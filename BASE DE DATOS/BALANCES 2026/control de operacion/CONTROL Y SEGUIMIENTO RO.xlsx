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2025\Seguimiento Diario PTAR\RO - FORMATOS Control operacional 2025\"/>
    </mc:Choice>
  </mc:AlternateContent>
  <xr:revisionPtr revIDLastSave="0" documentId="14_{EB2A2D49-596D-4761-87F6-ED401A2F3CD3}" xr6:coauthVersionLast="47" xr6:coauthVersionMax="47" xr10:uidLastSave="{00000000-0000-0000-0000-000000000000}"/>
  <bookViews>
    <workbookView xWindow="-120" yWindow="-120" windowWidth="21840" windowHeight="13020" activeTab="3" xr2:uid="{3288544A-1BA2-4D0B-815B-075C07B2F87A}"/>
  </bookViews>
  <sheets>
    <sheet name="DB OPERACIONAL" sheetId="6" r:id="rId1"/>
    <sheet name="Gráfico1" sheetId="8" state="hidden" r:id="rId2"/>
    <sheet name="CALCULADORA" sheetId="5" r:id="rId3"/>
    <sheet name="OPERACIÓN RO1" sheetId="1" r:id="rId4"/>
    <sheet name="OPERACIÓN RO2" sheetId="9" state="hidden" r:id="rId5"/>
    <sheet name="Hoja1" sheetId="2" state="hidden" r:id="rId6"/>
    <sheet name="Hoja2" sheetId="3" state="hidden" r:id="rId7"/>
  </sheets>
  <definedNames>
    <definedName name="SegmentaciónDeDatos_Fecha">#N/A</definedName>
  </definedNames>
  <calcPr calcId="191029"/>
  <pivotCaches>
    <pivotCache cacheId="8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6" i="1" l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50" i="1"/>
  <c r="M251" i="1"/>
  <c r="M252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309" i="1"/>
  <c r="O309" i="1"/>
  <c r="U309" i="1"/>
  <c r="V309" i="1"/>
  <c r="W309" i="1"/>
  <c r="M306" i="1"/>
  <c r="M307" i="1"/>
  <c r="M308" i="1"/>
  <c r="K309" i="1"/>
  <c r="L309" i="1"/>
  <c r="N309" i="1"/>
  <c r="Q309" i="1" s="1"/>
  <c r="R309" i="1" s="1"/>
  <c r="H309" i="1"/>
  <c r="G309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R295" i="1"/>
  <c r="R296" i="1"/>
  <c r="R297" i="1"/>
  <c r="R298" i="1"/>
  <c r="R299" i="1"/>
  <c r="R300" i="1"/>
  <c r="R301" i="1"/>
  <c r="R302" i="1"/>
  <c r="R303" i="1"/>
  <c r="R304" i="1"/>
  <c r="Q295" i="1"/>
  <c r="Q296" i="1"/>
  <c r="Q297" i="1"/>
  <c r="Q298" i="1"/>
  <c r="Q299" i="1"/>
  <c r="Q300" i="1"/>
  <c r="Q301" i="1"/>
  <c r="Q302" i="1"/>
  <c r="Q303" i="1"/>
  <c r="Q304" i="1"/>
  <c r="M305" i="1"/>
  <c r="M304" i="1"/>
  <c r="M295" i="1"/>
  <c r="M296" i="1"/>
  <c r="M297" i="1"/>
  <c r="M298" i="1"/>
  <c r="M299" i="1"/>
  <c r="M300" i="1"/>
  <c r="M301" i="1"/>
  <c r="M302" i="1"/>
  <c r="M303" i="1"/>
  <c r="O295" i="1"/>
  <c r="O296" i="1"/>
  <c r="O297" i="1"/>
  <c r="O298" i="1"/>
  <c r="O299" i="1"/>
  <c r="O300" i="1"/>
  <c r="O301" i="1"/>
  <c r="O302" i="1"/>
  <c r="O303" i="1"/>
  <c r="O304" i="1"/>
  <c r="O305" i="1"/>
  <c r="Q305" i="1" s="1"/>
  <c r="R305" i="1" s="1"/>
  <c r="O306" i="1"/>
  <c r="O307" i="1"/>
  <c r="O308" i="1"/>
  <c r="Q308" i="1" s="1"/>
  <c r="R308" i="1" s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M280" i="1"/>
  <c r="M277" i="1"/>
  <c r="O234" i="1"/>
  <c r="M94" i="1"/>
  <c r="M82" i="1"/>
  <c r="M115" i="1"/>
  <c r="M109" i="1"/>
  <c r="M102" i="1"/>
  <c r="M225" i="1"/>
  <c r="M224" i="1"/>
  <c r="M227" i="1"/>
  <c r="M278" i="1"/>
  <c r="M279" i="1"/>
  <c r="M294" i="1"/>
  <c r="L295" i="1"/>
  <c r="L296" i="1"/>
  <c r="L297" i="1"/>
  <c r="L298" i="1"/>
  <c r="L299" i="1"/>
  <c r="L300" i="1"/>
  <c r="L301" i="1"/>
  <c r="L302" i="1"/>
  <c r="L303" i="1"/>
  <c r="L304" i="1"/>
  <c r="L305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L306" i="1" s="1"/>
  <c r="K307" i="1"/>
  <c r="L307" i="1" s="1"/>
  <c r="K308" i="1"/>
  <c r="L308" i="1" s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W278" i="1"/>
  <c r="W279" i="1"/>
  <c r="W280" i="1"/>
  <c r="V278" i="1"/>
  <c r="V279" i="1"/>
  <c r="V280" i="1"/>
  <c r="U278" i="1"/>
  <c r="U279" i="1"/>
  <c r="U280" i="1"/>
  <c r="R274" i="1"/>
  <c r="R275" i="1"/>
  <c r="R276" i="1"/>
  <c r="R277" i="1"/>
  <c r="R278" i="1"/>
  <c r="R279" i="1"/>
  <c r="R280" i="1"/>
  <c r="Q274" i="1"/>
  <c r="Q275" i="1"/>
  <c r="Q276" i="1"/>
  <c r="Q277" i="1"/>
  <c r="Q278" i="1"/>
  <c r="Q279" i="1"/>
  <c r="Q280" i="1"/>
  <c r="O151" i="1"/>
  <c r="O152" i="1"/>
  <c r="O153" i="1"/>
  <c r="O154" i="1"/>
  <c r="O155" i="1"/>
  <c r="O274" i="1"/>
  <c r="O275" i="1"/>
  <c r="O276" i="1"/>
  <c r="O277" i="1"/>
  <c r="O278" i="1"/>
  <c r="O279" i="1"/>
  <c r="O280" i="1"/>
  <c r="N274" i="1"/>
  <c r="N275" i="1"/>
  <c r="N276" i="1"/>
  <c r="N277" i="1"/>
  <c r="N278" i="1"/>
  <c r="N279" i="1"/>
  <c r="N280" i="1"/>
  <c r="M276" i="1"/>
  <c r="L278" i="1"/>
  <c r="L279" i="1"/>
  <c r="L280" i="1"/>
  <c r="K278" i="1"/>
  <c r="K279" i="1"/>
  <c r="K280" i="1"/>
  <c r="H278" i="1"/>
  <c r="H279" i="1"/>
  <c r="H280" i="1"/>
  <c r="G278" i="1"/>
  <c r="G279" i="1"/>
  <c r="G280" i="1"/>
  <c r="G222" i="1"/>
  <c r="G223" i="1"/>
  <c r="G224" i="1"/>
  <c r="M275" i="1"/>
  <c r="K275" i="1"/>
  <c r="L275" i="1" s="1"/>
  <c r="K276" i="1"/>
  <c r="L276" i="1" s="1"/>
  <c r="K277" i="1"/>
  <c r="L277" i="1" s="1"/>
  <c r="H275" i="1"/>
  <c r="H276" i="1"/>
  <c r="H277" i="1"/>
  <c r="G275" i="1"/>
  <c r="G276" i="1"/>
  <c r="G277" i="1"/>
  <c r="S271" i="1"/>
  <c r="S274" i="1"/>
  <c r="W274" i="1"/>
  <c r="W275" i="1"/>
  <c r="W276" i="1"/>
  <c r="W277" i="1"/>
  <c r="V274" i="1"/>
  <c r="V275" i="1"/>
  <c r="V276" i="1"/>
  <c r="V277" i="1"/>
  <c r="U274" i="1"/>
  <c r="U275" i="1"/>
  <c r="U276" i="1"/>
  <c r="U277" i="1"/>
  <c r="Q307" i="1" l="1"/>
  <c r="R307" i="1" s="1"/>
  <c r="Q306" i="1"/>
  <c r="R306" i="1" s="1"/>
  <c r="W270" i="1"/>
  <c r="W271" i="1"/>
  <c r="W272" i="1"/>
  <c r="W273" i="1"/>
  <c r="V270" i="1"/>
  <c r="V271" i="1"/>
  <c r="V272" i="1"/>
  <c r="V273" i="1"/>
  <c r="U270" i="1"/>
  <c r="U271" i="1"/>
  <c r="U272" i="1"/>
  <c r="U273" i="1"/>
  <c r="Q272" i="1"/>
  <c r="R272" i="1" s="1"/>
  <c r="O269" i="1"/>
  <c r="O270" i="1"/>
  <c r="Q271" i="1"/>
  <c r="R271" i="1" s="1"/>
  <c r="O273" i="1"/>
  <c r="Q273" i="1" s="1"/>
  <c r="N269" i="1"/>
  <c r="S268" i="1" s="1"/>
  <c r="N270" i="1"/>
  <c r="N273" i="1"/>
  <c r="K270" i="1"/>
  <c r="L270" i="1" s="1"/>
  <c r="K273" i="1"/>
  <c r="L273" i="1" s="1"/>
  <c r="H270" i="1"/>
  <c r="H273" i="1"/>
  <c r="G270" i="1"/>
  <c r="G273" i="1"/>
  <c r="H268" i="1"/>
  <c r="G268" i="1"/>
  <c r="W267" i="1"/>
  <c r="W268" i="1"/>
  <c r="V267" i="1"/>
  <c r="V268" i="1"/>
  <c r="U267" i="1"/>
  <c r="U268" i="1"/>
  <c r="O268" i="1"/>
  <c r="N268" i="1"/>
  <c r="K268" i="1"/>
  <c r="L268" i="1" s="1"/>
  <c r="H267" i="1"/>
  <c r="G267" i="1"/>
  <c r="O267" i="1"/>
  <c r="N267" i="1"/>
  <c r="N263" i="1"/>
  <c r="O263" i="1"/>
  <c r="K267" i="1"/>
  <c r="L267" i="1" s="1"/>
  <c r="W257" i="1"/>
  <c r="W258" i="1"/>
  <c r="W259" i="1"/>
  <c r="W260" i="1"/>
  <c r="W261" i="1"/>
  <c r="W262" i="1"/>
  <c r="W263" i="1"/>
  <c r="V261" i="1"/>
  <c r="V262" i="1"/>
  <c r="V263" i="1"/>
  <c r="U261" i="1"/>
  <c r="U262" i="1"/>
  <c r="U263" i="1"/>
  <c r="O261" i="1"/>
  <c r="O262" i="1"/>
  <c r="N261" i="1"/>
  <c r="N262" i="1"/>
  <c r="K261" i="1"/>
  <c r="L261" i="1" s="1"/>
  <c r="K262" i="1"/>
  <c r="L262" i="1" s="1"/>
  <c r="K263" i="1"/>
  <c r="L263" i="1" s="1"/>
  <c r="H261" i="1"/>
  <c r="H262" i="1"/>
  <c r="H263" i="1"/>
  <c r="G261" i="1"/>
  <c r="G262" i="1"/>
  <c r="G263" i="1"/>
  <c r="U247" i="1"/>
  <c r="G109" i="1"/>
  <c r="G108" i="1"/>
  <c r="H66" i="1"/>
  <c r="M100" i="1"/>
  <c r="J87" i="1"/>
  <c r="N87" i="1" s="1"/>
  <c r="G246" i="1"/>
  <c r="H246" i="1"/>
  <c r="K246" i="1"/>
  <c r="L246" i="1" s="1"/>
  <c r="N246" i="1"/>
  <c r="O246" i="1"/>
  <c r="U246" i="1"/>
  <c r="V246" i="1"/>
  <c r="W246" i="1"/>
  <c r="G247" i="1"/>
  <c r="H247" i="1"/>
  <c r="K247" i="1"/>
  <c r="L247" i="1" s="1"/>
  <c r="N247" i="1"/>
  <c r="O247" i="1"/>
  <c r="V247" i="1"/>
  <c r="W247" i="1"/>
  <c r="G248" i="1"/>
  <c r="H248" i="1"/>
  <c r="K248" i="1"/>
  <c r="L248" i="1" s="1"/>
  <c r="N248" i="1"/>
  <c r="O248" i="1"/>
  <c r="U248" i="1"/>
  <c r="V248" i="1"/>
  <c r="W248" i="1"/>
  <c r="G249" i="1"/>
  <c r="H249" i="1"/>
  <c r="K249" i="1"/>
  <c r="L249" i="1" s="1"/>
  <c r="N249" i="1"/>
  <c r="O249" i="1"/>
  <c r="U249" i="1"/>
  <c r="V249" i="1"/>
  <c r="W249" i="1"/>
  <c r="U250" i="1"/>
  <c r="W250" i="1"/>
  <c r="U251" i="1"/>
  <c r="W251" i="1"/>
  <c r="G252" i="1"/>
  <c r="H252" i="1"/>
  <c r="K252" i="1"/>
  <c r="L252" i="1" s="1"/>
  <c r="N252" i="1"/>
  <c r="O252" i="1"/>
  <c r="U252" i="1"/>
  <c r="V252" i="1"/>
  <c r="W252" i="1"/>
  <c r="G253" i="1"/>
  <c r="H253" i="1"/>
  <c r="K253" i="1"/>
  <c r="L253" i="1" s="1"/>
  <c r="N253" i="1"/>
  <c r="O253" i="1"/>
  <c r="U253" i="1"/>
  <c r="V253" i="1"/>
  <c r="W253" i="1"/>
  <c r="U254" i="1"/>
  <c r="W254" i="1"/>
  <c r="G255" i="1"/>
  <c r="H255" i="1"/>
  <c r="K255" i="1"/>
  <c r="L255" i="1" s="1"/>
  <c r="N255" i="1"/>
  <c r="O255" i="1"/>
  <c r="U255" i="1"/>
  <c r="V255" i="1"/>
  <c r="W255" i="1"/>
  <c r="G256" i="1"/>
  <c r="H256" i="1"/>
  <c r="K256" i="1"/>
  <c r="L256" i="1" s="1"/>
  <c r="N256" i="1"/>
  <c r="S256" i="1" s="1"/>
  <c r="O256" i="1"/>
  <c r="U256" i="1"/>
  <c r="V256" i="1"/>
  <c r="W256" i="1"/>
  <c r="S272" i="1" l="1"/>
  <c r="S273" i="1"/>
  <c r="S269" i="1"/>
  <c r="S270" i="1"/>
  <c r="S262" i="1"/>
  <c r="R273" i="1"/>
  <c r="Q267" i="1"/>
  <c r="R267" i="1" s="1"/>
  <c r="S261" i="1"/>
  <c r="Q270" i="1"/>
  <c r="R270" i="1" s="1"/>
  <c r="S263" i="1"/>
  <c r="S267" i="1"/>
  <c r="Q253" i="1"/>
  <c r="R253" i="1" s="1"/>
  <c r="Q255" i="1"/>
  <c r="R255" i="1" s="1"/>
  <c r="Q256" i="1"/>
  <c r="R256" i="1" s="1"/>
  <c r="Q262" i="1"/>
  <c r="R262" i="1" s="1"/>
  <c r="Q261" i="1"/>
  <c r="R261" i="1" s="1"/>
  <c r="Q268" i="1"/>
  <c r="R268" i="1" s="1"/>
  <c r="S255" i="1"/>
  <c r="Q263" i="1"/>
  <c r="R263" i="1" s="1"/>
  <c r="Q252" i="1"/>
  <c r="R252" i="1" s="1"/>
  <c r="S252" i="1"/>
  <c r="Q249" i="1"/>
  <c r="R249" i="1" s="1"/>
  <c r="S249" i="1"/>
  <c r="Q248" i="1"/>
  <c r="R248" i="1" s="1"/>
  <c r="Q247" i="1"/>
  <c r="R247" i="1" s="1"/>
  <c r="Q246" i="1"/>
  <c r="R246" i="1" s="1"/>
  <c r="S246" i="1"/>
  <c r="S248" i="1"/>
  <c r="S253" i="1"/>
  <c r="S247" i="1"/>
  <c r="N227" i="1"/>
  <c r="H63" i="1" l="1"/>
  <c r="M88" i="1"/>
  <c r="M81" i="1"/>
  <c r="M196" i="1"/>
  <c r="M193" i="1"/>
  <c r="M190" i="1"/>
  <c r="M186" i="1"/>
  <c r="M184" i="1"/>
  <c r="M178" i="1"/>
  <c r="M176" i="1"/>
  <c r="M172" i="1"/>
  <c r="M168" i="1"/>
  <c r="V227" i="1"/>
  <c r="W227" i="1"/>
  <c r="V232" i="1"/>
  <c r="W232" i="1"/>
  <c r="V233" i="1"/>
  <c r="W233" i="1"/>
  <c r="V234" i="1"/>
  <c r="W234" i="1"/>
  <c r="V235" i="1"/>
  <c r="W235" i="1"/>
  <c r="U227" i="1"/>
  <c r="U232" i="1"/>
  <c r="U233" i="1"/>
  <c r="U234" i="1"/>
  <c r="U235" i="1"/>
  <c r="O227" i="1"/>
  <c r="O232" i="1"/>
  <c r="O233" i="1"/>
  <c r="O235" i="1"/>
  <c r="O226" i="1"/>
  <c r="W226" i="1"/>
  <c r="O225" i="1"/>
  <c r="U204" i="1"/>
  <c r="U205" i="1"/>
  <c r="U206" i="1"/>
  <c r="U207" i="1"/>
  <c r="U211" i="1"/>
  <c r="U212" i="1"/>
  <c r="U213" i="1"/>
  <c r="U214" i="1"/>
  <c r="U215" i="1"/>
  <c r="U216" i="1"/>
  <c r="U217" i="1"/>
  <c r="U218" i="1"/>
  <c r="U219" i="1"/>
  <c r="U220" i="1"/>
  <c r="U221" i="1"/>
  <c r="U224" i="1"/>
  <c r="U225" i="1"/>
  <c r="U226" i="1"/>
  <c r="D25" i="5"/>
  <c r="D24" i="5"/>
  <c r="V226" i="1"/>
  <c r="V225" i="1"/>
  <c r="V224" i="1"/>
  <c r="O224" i="1"/>
  <c r="O221" i="1" l="1"/>
  <c r="V221" i="1"/>
  <c r="O220" i="1"/>
  <c r="V218" i="1" l="1"/>
  <c r="V219" i="1"/>
  <c r="V220" i="1"/>
  <c r="O217" i="1"/>
  <c r="N217" i="1"/>
  <c r="O214" i="1"/>
  <c r="N214" i="1"/>
  <c r="O213" i="1"/>
  <c r="N213" i="1"/>
  <c r="O212" i="1"/>
  <c r="N212" i="1"/>
  <c r="V215" i="1"/>
  <c r="V216" i="1"/>
  <c r="V217" i="1"/>
  <c r="V214" i="1"/>
  <c r="V213" i="1"/>
  <c r="V212" i="1"/>
  <c r="O211" i="1"/>
  <c r="N211" i="1"/>
  <c r="V211" i="1"/>
  <c r="O207" i="1"/>
  <c r="V207" i="1"/>
  <c r="Q217" i="1" l="1"/>
  <c r="V206" i="1"/>
  <c r="Z206" i="1"/>
  <c r="O206" i="1"/>
  <c r="O205" i="1"/>
  <c r="AD197" i="1"/>
  <c r="AD198" i="1"/>
  <c r="AD199" i="1"/>
  <c r="AD200" i="1"/>
  <c r="AD201" i="1"/>
  <c r="AD202" i="1"/>
  <c r="AD203" i="1"/>
  <c r="AD204" i="1"/>
  <c r="AD205" i="1"/>
  <c r="AD206" i="1"/>
  <c r="Z197" i="1"/>
  <c r="Z198" i="1"/>
  <c r="Z199" i="1"/>
  <c r="Z200" i="1"/>
  <c r="Z201" i="1"/>
  <c r="Z202" i="1"/>
  <c r="Z203" i="1"/>
  <c r="Z204" i="1"/>
  <c r="Z205" i="1"/>
  <c r="V205" i="1"/>
  <c r="O204" i="1"/>
  <c r="V197" i="1"/>
  <c r="V198" i="1"/>
  <c r="V199" i="1"/>
  <c r="V200" i="1"/>
  <c r="V201" i="1"/>
  <c r="V202" i="1"/>
  <c r="V203" i="1"/>
  <c r="V204" i="1"/>
  <c r="O196" i="1"/>
  <c r="V194" i="1"/>
  <c r="V195" i="1"/>
  <c r="V196" i="1"/>
  <c r="O171" i="1"/>
  <c r="O172" i="1"/>
  <c r="O176" i="1"/>
  <c r="O178" i="1"/>
  <c r="O184" i="1"/>
  <c r="O186" i="1"/>
  <c r="O189" i="1"/>
  <c r="O190" i="1"/>
  <c r="O191" i="1"/>
  <c r="O192" i="1"/>
  <c r="O193" i="1"/>
  <c r="V191" i="1"/>
  <c r="V192" i="1"/>
  <c r="V193" i="1"/>
  <c r="V190" i="1"/>
  <c r="V189" i="1"/>
  <c r="AD196" i="1"/>
  <c r="AD195" i="1"/>
  <c r="AD194" i="1"/>
  <c r="AD193" i="1"/>
  <c r="AD192" i="1"/>
  <c r="AD191" i="1"/>
  <c r="AD190" i="1"/>
  <c r="AD189" i="1"/>
  <c r="AD188" i="1"/>
  <c r="AD187" i="1"/>
  <c r="AD186" i="1"/>
  <c r="Z196" i="1"/>
  <c r="Z195" i="1"/>
  <c r="Z194" i="1"/>
  <c r="Z193" i="1"/>
  <c r="Z192" i="1"/>
  <c r="Z191" i="1"/>
  <c r="Z190" i="1"/>
  <c r="Z189" i="1"/>
  <c r="Z188" i="1"/>
  <c r="Z187" i="1"/>
  <c r="Z186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V186" i="1"/>
  <c r="V184" i="1" l="1"/>
  <c r="V178" i="1" l="1"/>
  <c r="V176" i="1"/>
  <c r="V172" i="1"/>
  <c r="V151" i="1"/>
  <c r="V171" i="1"/>
  <c r="O170" i="1"/>
  <c r="V170" i="1"/>
  <c r="V169" i="1"/>
  <c r="O169" i="1"/>
  <c r="N169" i="1"/>
  <c r="AD163" i="1"/>
  <c r="AD164" i="1"/>
  <c r="AD165" i="1"/>
  <c r="AD166" i="1"/>
  <c r="AD167" i="1"/>
  <c r="AD168" i="1"/>
  <c r="Z163" i="1"/>
  <c r="Z164" i="1"/>
  <c r="Z165" i="1"/>
  <c r="Z166" i="1"/>
  <c r="Z167" i="1"/>
  <c r="Z168" i="1"/>
  <c r="O168" i="1"/>
  <c r="O164" i="1"/>
  <c r="O165" i="1"/>
  <c r="V166" i="1"/>
  <c r="V167" i="1"/>
  <c r="V168" i="1"/>
  <c r="V164" i="1"/>
  <c r="V165" i="1"/>
  <c r="V163" i="1"/>
  <c r="O163" i="1"/>
  <c r="U169" i="1" l="1"/>
  <c r="V152" i="1"/>
  <c r="V153" i="1"/>
  <c r="V154" i="1"/>
  <c r="O150" i="1"/>
  <c r="V162" i="1"/>
  <c r="O162" i="1"/>
  <c r="AD159" i="1"/>
  <c r="AD160" i="1"/>
  <c r="Z159" i="1"/>
  <c r="Z160" i="1"/>
  <c r="Z158" i="1"/>
  <c r="Z157" i="1"/>
  <c r="AD158" i="1"/>
  <c r="AD157" i="1"/>
  <c r="AD156" i="1"/>
  <c r="Z156" i="1"/>
  <c r="O159" i="1"/>
  <c r="O161" i="1"/>
  <c r="V159" i="1"/>
  <c r="V160" i="1"/>
  <c r="V161" i="1"/>
  <c r="O158" i="1"/>
  <c r="V158" i="1"/>
  <c r="O157" i="1"/>
  <c r="V157" i="1"/>
  <c r="O156" i="1"/>
  <c r="V156" i="1"/>
  <c r="AD152" i="1"/>
  <c r="AD153" i="1"/>
  <c r="AD154" i="1"/>
  <c r="AD155" i="1"/>
  <c r="Z152" i="1"/>
  <c r="Z153" i="1"/>
  <c r="Z154" i="1"/>
  <c r="Z155" i="1"/>
  <c r="V155" i="1"/>
  <c r="AD151" i="1" l="1"/>
  <c r="Z151" i="1"/>
  <c r="V150" i="1"/>
  <c r="AD150" i="1"/>
  <c r="AD149" i="1"/>
  <c r="AD141" i="1"/>
  <c r="AD142" i="1"/>
  <c r="AD143" i="1"/>
  <c r="AD144" i="1"/>
  <c r="AD145" i="1"/>
  <c r="AD146" i="1"/>
  <c r="AD147" i="1"/>
  <c r="AD148" i="1"/>
  <c r="Z150" i="1"/>
  <c r="Z149" i="1"/>
  <c r="Z141" i="1"/>
  <c r="Z142" i="1"/>
  <c r="Z143" i="1"/>
  <c r="Z144" i="1"/>
  <c r="Z145" i="1"/>
  <c r="Z146" i="1"/>
  <c r="Z147" i="1"/>
  <c r="Z148" i="1"/>
  <c r="V149" i="1"/>
  <c r="O149" i="1"/>
  <c r="U143" i="1"/>
  <c r="O148" i="1"/>
  <c r="V141" i="1"/>
  <c r="V142" i="1"/>
  <c r="V143" i="1"/>
  <c r="V144" i="1"/>
  <c r="V145" i="1"/>
  <c r="V146" i="1"/>
  <c r="V147" i="1"/>
  <c r="V148" i="1"/>
  <c r="U137" i="1" l="1"/>
  <c r="U138" i="1"/>
  <c r="O140" i="1"/>
  <c r="AD137" i="1"/>
  <c r="AD138" i="1"/>
  <c r="AD139" i="1"/>
  <c r="AD140" i="1"/>
  <c r="Z137" i="1"/>
  <c r="Z138" i="1"/>
  <c r="Z139" i="1"/>
  <c r="Z140" i="1"/>
  <c r="V137" i="1"/>
  <c r="V138" i="1"/>
  <c r="V139" i="1"/>
  <c r="V140" i="1"/>
  <c r="AD136" i="1"/>
  <c r="Z136" i="1"/>
  <c r="V136" i="1"/>
  <c r="O136" i="1"/>
  <c r="AD135" i="1"/>
  <c r="Z135" i="1"/>
  <c r="N136" i="1"/>
  <c r="U136" i="1" l="1"/>
  <c r="O108" i="1"/>
  <c r="O109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6" i="1"/>
  <c r="O127" i="1"/>
  <c r="O129" i="1"/>
  <c r="O130" i="1"/>
  <c r="O133" i="1"/>
  <c r="O134" i="1"/>
  <c r="O135" i="1"/>
  <c r="O107" i="1"/>
  <c r="N135" i="1" l="1"/>
  <c r="U135" i="1" s="1"/>
  <c r="V135" i="1"/>
  <c r="AD134" i="1"/>
  <c r="Z134" i="1"/>
  <c r="N134" i="1"/>
  <c r="U134" i="1" s="1"/>
  <c r="V134" i="1"/>
  <c r="AD131" i="1"/>
  <c r="AD132" i="1"/>
  <c r="AD133" i="1"/>
  <c r="Z131" i="1"/>
  <c r="Z132" i="1"/>
  <c r="Z133" i="1"/>
  <c r="U131" i="1"/>
  <c r="U132" i="1"/>
  <c r="N133" i="1"/>
  <c r="U133" i="1" s="1"/>
  <c r="V131" i="1"/>
  <c r="V132" i="1"/>
  <c r="V133" i="1"/>
  <c r="AD130" i="1"/>
  <c r="Z130" i="1"/>
  <c r="AD128" i="1"/>
  <c r="AD129" i="1"/>
  <c r="Z128" i="1"/>
  <c r="Z129" i="1"/>
  <c r="N130" i="1"/>
  <c r="U130" i="1" s="1"/>
  <c r="V130" i="1"/>
  <c r="AD127" i="1" l="1"/>
  <c r="Z127" i="1"/>
  <c r="U128" i="1"/>
  <c r="N129" i="1"/>
  <c r="U129" i="1" s="1"/>
  <c r="V128" i="1"/>
  <c r="V129" i="1"/>
  <c r="G123" i="1"/>
  <c r="G112" i="1"/>
  <c r="G113" i="1"/>
  <c r="G114" i="1"/>
  <c r="G115" i="1"/>
  <c r="G119" i="1"/>
  <c r="G120" i="1"/>
  <c r="G121" i="1"/>
  <c r="G122" i="1"/>
  <c r="G126" i="1"/>
  <c r="G127" i="1"/>
  <c r="V127" i="1"/>
  <c r="AD124" i="1"/>
  <c r="AD125" i="1"/>
  <c r="AD126" i="1"/>
  <c r="AD123" i="1"/>
  <c r="V124" i="1"/>
  <c r="V125" i="1"/>
  <c r="V126" i="1"/>
  <c r="Z123" i="1"/>
  <c r="Z124" i="1"/>
  <c r="Z125" i="1"/>
  <c r="Z126" i="1"/>
  <c r="V123" i="1"/>
  <c r="AD122" i="1" l="1"/>
  <c r="Z122" i="1"/>
  <c r="V122" i="1"/>
  <c r="AD121" i="1" l="1"/>
  <c r="Z121" i="1"/>
  <c r="V121" i="1"/>
  <c r="AD120" i="1"/>
  <c r="AD116" i="1"/>
  <c r="AD117" i="1"/>
  <c r="AD118" i="1"/>
  <c r="AD119" i="1"/>
  <c r="Z120" i="1"/>
  <c r="Z116" i="1"/>
  <c r="Z117" i="1"/>
  <c r="Z118" i="1"/>
  <c r="Z119" i="1"/>
  <c r="V120" i="1"/>
  <c r="V116" i="1"/>
  <c r="V117" i="1"/>
  <c r="V118" i="1"/>
  <c r="V119" i="1"/>
  <c r="AD115" i="1"/>
  <c r="Z115" i="1"/>
  <c r="V115" i="1"/>
  <c r="AD114" i="1"/>
  <c r="Z114" i="1"/>
  <c r="V114" i="1"/>
  <c r="AD113" i="1" l="1"/>
  <c r="Z113" i="1"/>
  <c r="V113" i="1"/>
  <c r="AD110" i="1"/>
  <c r="AD111" i="1"/>
  <c r="AD112" i="1"/>
  <c r="Z110" i="1"/>
  <c r="Z111" i="1"/>
  <c r="Z112" i="1"/>
  <c r="V110" i="1"/>
  <c r="V111" i="1"/>
  <c r="V112" i="1"/>
  <c r="AD109" i="1" l="1"/>
  <c r="Z109" i="1"/>
  <c r="V109" i="1"/>
  <c r="AD108" i="1"/>
  <c r="AD103" i="1"/>
  <c r="AD104" i="1"/>
  <c r="AD105" i="1"/>
  <c r="AD106" i="1"/>
  <c r="AD107" i="1"/>
  <c r="AD102" i="1"/>
  <c r="Z108" i="1"/>
  <c r="Z103" i="1"/>
  <c r="Z104" i="1"/>
  <c r="Z105" i="1"/>
  <c r="Z106" i="1"/>
  <c r="Z107" i="1"/>
  <c r="Z102" i="1"/>
  <c r="V108" i="1"/>
  <c r="V103" i="1" l="1"/>
  <c r="V104" i="1"/>
  <c r="V105" i="1"/>
  <c r="V106" i="1"/>
  <c r="V107" i="1"/>
  <c r="J102" i="1" l="1"/>
  <c r="V102" i="1"/>
  <c r="AD101" i="1" l="1"/>
  <c r="Z101" i="1"/>
  <c r="J101" i="1"/>
  <c r="V101" i="1"/>
  <c r="Z100" i="1"/>
  <c r="AD100" i="1"/>
  <c r="V100" i="1"/>
  <c r="J100" i="1"/>
  <c r="Z95" i="1"/>
  <c r="Z96" i="1"/>
  <c r="Z97" i="1"/>
  <c r="Z98" i="1"/>
  <c r="Z99" i="1"/>
  <c r="AD95" i="1"/>
  <c r="AD96" i="1"/>
  <c r="AD97" i="1"/>
  <c r="AD98" i="1"/>
  <c r="AD99" i="1"/>
  <c r="J99" i="1"/>
  <c r="N99" i="1" s="1"/>
  <c r="V95" i="1"/>
  <c r="V96" i="1"/>
  <c r="V97" i="1"/>
  <c r="V98" i="1"/>
  <c r="V99" i="1"/>
  <c r="Z94" i="1"/>
  <c r="AD94" i="1"/>
  <c r="V94" i="1"/>
  <c r="J94" i="1"/>
  <c r="AD93" i="1"/>
  <c r="Z93" i="1"/>
  <c r="R224" i="9"/>
  <c r="O224" i="9"/>
  <c r="M224" i="9"/>
  <c r="K224" i="9"/>
  <c r="L224" i="9" s="1"/>
  <c r="J224" i="9"/>
  <c r="R223" i="9"/>
  <c r="O223" i="9"/>
  <c r="S223" i="9" s="1"/>
  <c r="T223" i="9" s="1"/>
  <c r="M223" i="9"/>
  <c r="K223" i="9"/>
  <c r="L223" i="9" s="1"/>
  <c r="J223" i="9"/>
  <c r="R222" i="9"/>
  <c r="O222" i="9"/>
  <c r="M222" i="9"/>
  <c r="K222" i="9"/>
  <c r="L222" i="9" s="1"/>
  <c r="J222" i="9"/>
  <c r="R221" i="9"/>
  <c r="O221" i="9"/>
  <c r="S221" i="9" s="1"/>
  <c r="T221" i="9" s="1"/>
  <c r="M221" i="9"/>
  <c r="K221" i="9"/>
  <c r="L221" i="9" s="1"/>
  <c r="J221" i="9"/>
  <c r="R220" i="9"/>
  <c r="O220" i="9"/>
  <c r="M220" i="9"/>
  <c r="K220" i="9"/>
  <c r="L220" i="9" s="1"/>
  <c r="J220" i="9"/>
  <c r="R219" i="9"/>
  <c r="O219" i="9"/>
  <c r="S219" i="9" s="1"/>
  <c r="T219" i="9" s="1"/>
  <c r="M219" i="9"/>
  <c r="K219" i="9"/>
  <c r="L219" i="9" s="1"/>
  <c r="J219" i="9"/>
  <c r="R218" i="9"/>
  <c r="O218" i="9"/>
  <c r="M218" i="9"/>
  <c r="K218" i="9"/>
  <c r="L218" i="9" s="1"/>
  <c r="J218" i="9"/>
  <c r="R217" i="9"/>
  <c r="O217" i="9"/>
  <c r="S217" i="9" s="1"/>
  <c r="T217" i="9" s="1"/>
  <c r="M217" i="9"/>
  <c r="K217" i="9"/>
  <c r="L217" i="9" s="1"/>
  <c r="J217" i="9"/>
  <c r="R216" i="9"/>
  <c r="O216" i="9"/>
  <c r="M216" i="9"/>
  <c r="K216" i="9"/>
  <c r="L216" i="9" s="1"/>
  <c r="J216" i="9"/>
  <c r="R215" i="9"/>
  <c r="O215" i="9"/>
  <c r="S215" i="9" s="1"/>
  <c r="T215" i="9" s="1"/>
  <c r="M215" i="9"/>
  <c r="K215" i="9"/>
  <c r="L215" i="9" s="1"/>
  <c r="J215" i="9"/>
  <c r="R214" i="9"/>
  <c r="O214" i="9"/>
  <c r="M214" i="9"/>
  <c r="K214" i="9"/>
  <c r="L214" i="9" s="1"/>
  <c r="J214" i="9"/>
  <c r="R213" i="9"/>
  <c r="O213" i="9"/>
  <c r="S213" i="9" s="1"/>
  <c r="T213" i="9" s="1"/>
  <c r="M213" i="9"/>
  <c r="K213" i="9"/>
  <c r="L213" i="9" s="1"/>
  <c r="J213" i="9"/>
  <c r="R212" i="9"/>
  <c r="O212" i="9"/>
  <c r="M212" i="9"/>
  <c r="K212" i="9"/>
  <c r="L212" i="9" s="1"/>
  <c r="J212" i="9"/>
  <c r="R211" i="9"/>
  <c r="O211" i="9"/>
  <c r="S211" i="9" s="1"/>
  <c r="T211" i="9" s="1"/>
  <c r="M211" i="9"/>
  <c r="K211" i="9"/>
  <c r="L211" i="9" s="1"/>
  <c r="J211" i="9"/>
  <c r="R210" i="9"/>
  <c r="O210" i="9"/>
  <c r="M210" i="9"/>
  <c r="K210" i="9"/>
  <c r="L210" i="9" s="1"/>
  <c r="J210" i="9"/>
  <c r="R209" i="9"/>
  <c r="O209" i="9"/>
  <c r="S209" i="9" s="1"/>
  <c r="T209" i="9" s="1"/>
  <c r="M209" i="9"/>
  <c r="K209" i="9"/>
  <c r="L209" i="9" s="1"/>
  <c r="J209" i="9"/>
  <c r="R208" i="9"/>
  <c r="O208" i="9"/>
  <c r="M208" i="9"/>
  <c r="K208" i="9"/>
  <c r="L208" i="9" s="1"/>
  <c r="J208" i="9"/>
  <c r="R207" i="9"/>
  <c r="O207" i="9"/>
  <c r="S207" i="9" s="1"/>
  <c r="T207" i="9" s="1"/>
  <c r="M207" i="9"/>
  <c r="K207" i="9"/>
  <c r="L207" i="9" s="1"/>
  <c r="J207" i="9"/>
  <c r="R206" i="9"/>
  <c r="O206" i="9"/>
  <c r="M206" i="9"/>
  <c r="K206" i="9"/>
  <c r="L206" i="9" s="1"/>
  <c r="J206" i="9"/>
  <c r="R205" i="9"/>
  <c r="O205" i="9"/>
  <c r="S205" i="9" s="1"/>
  <c r="T205" i="9" s="1"/>
  <c r="M205" i="9"/>
  <c r="K205" i="9"/>
  <c r="L205" i="9" s="1"/>
  <c r="J205" i="9"/>
  <c r="R204" i="9"/>
  <c r="O204" i="9"/>
  <c r="M204" i="9"/>
  <c r="K204" i="9"/>
  <c r="L204" i="9" s="1"/>
  <c r="J204" i="9"/>
  <c r="R203" i="9"/>
  <c r="O203" i="9"/>
  <c r="S203" i="9" s="1"/>
  <c r="T203" i="9" s="1"/>
  <c r="M203" i="9"/>
  <c r="K203" i="9"/>
  <c r="L203" i="9" s="1"/>
  <c r="J203" i="9"/>
  <c r="R202" i="9"/>
  <c r="O202" i="9"/>
  <c r="M202" i="9"/>
  <c r="K202" i="9"/>
  <c r="L202" i="9" s="1"/>
  <c r="J202" i="9"/>
  <c r="R201" i="9"/>
  <c r="O201" i="9"/>
  <c r="S201" i="9" s="1"/>
  <c r="T201" i="9" s="1"/>
  <c r="M201" i="9"/>
  <c r="K201" i="9"/>
  <c r="L201" i="9" s="1"/>
  <c r="J201" i="9"/>
  <c r="R200" i="9"/>
  <c r="O200" i="9"/>
  <c r="M200" i="9"/>
  <c r="K200" i="9"/>
  <c r="L200" i="9" s="1"/>
  <c r="J200" i="9"/>
  <c r="R199" i="9"/>
  <c r="O199" i="9"/>
  <c r="S199" i="9" s="1"/>
  <c r="T199" i="9" s="1"/>
  <c r="M199" i="9"/>
  <c r="K199" i="9"/>
  <c r="L199" i="9" s="1"/>
  <c r="J199" i="9"/>
  <c r="R198" i="9"/>
  <c r="O198" i="9"/>
  <c r="M198" i="9"/>
  <c r="K198" i="9"/>
  <c r="L198" i="9" s="1"/>
  <c r="J198" i="9"/>
  <c r="R197" i="9"/>
  <c r="O197" i="9"/>
  <c r="S197" i="9" s="1"/>
  <c r="T197" i="9" s="1"/>
  <c r="M197" i="9"/>
  <c r="K197" i="9"/>
  <c r="L197" i="9" s="1"/>
  <c r="J197" i="9"/>
  <c r="R196" i="9"/>
  <c r="O196" i="9"/>
  <c r="M196" i="9"/>
  <c r="K196" i="9"/>
  <c r="L196" i="9" s="1"/>
  <c r="J196" i="9"/>
  <c r="R195" i="9"/>
  <c r="O195" i="9"/>
  <c r="S195" i="9" s="1"/>
  <c r="T195" i="9" s="1"/>
  <c r="M195" i="9"/>
  <c r="K195" i="9"/>
  <c r="L195" i="9" s="1"/>
  <c r="J195" i="9"/>
  <c r="R194" i="9"/>
  <c r="O194" i="9"/>
  <c r="M194" i="9"/>
  <c r="K194" i="9"/>
  <c r="L194" i="9" s="1"/>
  <c r="J194" i="9"/>
  <c r="R193" i="9"/>
  <c r="O193" i="9"/>
  <c r="S193" i="9" s="1"/>
  <c r="T193" i="9" s="1"/>
  <c r="M193" i="9"/>
  <c r="K193" i="9"/>
  <c r="L193" i="9" s="1"/>
  <c r="J193" i="9"/>
  <c r="R192" i="9"/>
  <c r="O192" i="9"/>
  <c r="M192" i="9"/>
  <c r="K192" i="9"/>
  <c r="L192" i="9" s="1"/>
  <c r="J192" i="9"/>
  <c r="R191" i="9"/>
  <c r="O191" i="9"/>
  <c r="S191" i="9" s="1"/>
  <c r="T191" i="9" s="1"/>
  <c r="M191" i="9"/>
  <c r="K191" i="9"/>
  <c r="L191" i="9" s="1"/>
  <c r="J191" i="9"/>
  <c r="R190" i="9"/>
  <c r="O190" i="9"/>
  <c r="M190" i="9"/>
  <c r="K190" i="9"/>
  <c r="L190" i="9" s="1"/>
  <c r="J190" i="9"/>
  <c r="R189" i="9"/>
  <c r="O189" i="9"/>
  <c r="S189" i="9" s="1"/>
  <c r="T189" i="9" s="1"/>
  <c r="M189" i="9"/>
  <c r="K189" i="9"/>
  <c r="L189" i="9" s="1"/>
  <c r="J189" i="9"/>
  <c r="R188" i="9"/>
  <c r="O188" i="9"/>
  <c r="M188" i="9"/>
  <c r="K188" i="9"/>
  <c r="L188" i="9" s="1"/>
  <c r="J188" i="9"/>
  <c r="R187" i="9"/>
  <c r="O187" i="9"/>
  <c r="S187" i="9" s="1"/>
  <c r="T187" i="9" s="1"/>
  <c r="M187" i="9"/>
  <c r="K187" i="9"/>
  <c r="L187" i="9" s="1"/>
  <c r="J187" i="9"/>
  <c r="R186" i="9"/>
  <c r="O186" i="9"/>
  <c r="M186" i="9"/>
  <c r="K186" i="9"/>
  <c r="L186" i="9" s="1"/>
  <c r="J186" i="9"/>
  <c r="R185" i="9"/>
  <c r="O185" i="9"/>
  <c r="S185" i="9" s="1"/>
  <c r="T185" i="9" s="1"/>
  <c r="M185" i="9"/>
  <c r="K185" i="9"/>
  <c r="L185" i="9" s="1"/>
  <c r="J185" i="9"/>
  <c r="R184" i="9"/>
  <c r="O184" i="9"/>
  <c r="M184" i="9"/>
  <c r="K184" i="9"/>
  <c r="L184" i="9" s="1"/>
  <c r="J184" i="9"/>
  <c r="R183" i="9"/>
  <c r="O183" i="9"/>
  <c r="U182" i="9" s="1"/>
  <c r="M183" i="9"/>
  <c r="K183" i="9"/>
  <c r="L183" i="9" s="1"/>
  <c r="J183" i="9"/>
  <c r="R182" i="9"/>
  <c r="O182" i="9"/>
  <c r="M182" i="9"/>
  <c r="K182" i="9"/>
  <c r="L182" i="9" s="1"/>
  <c r="J182" i="9"/>
  <c r="R181" i="9"/>
  <c r="O181" i="9"/>
  <c r="M181" i="9"/>
  <c r="K181" i="9"/>
  <c r="L181" i="9" s="1"/>
  <c r="J181" i="9"/>
  <c r="R180" i="9"/>
  <c r="O180" i="9"/>
  <c r="M180" i="9"/>
  <c r="K180" i="9"/>
  <c r="L180" i="9" s="1"/>
  <c r="J180" i="9"/>
  <c r="R179" i="9"/>
  <c r="O179" i="9"/>
  <c r="M179" i="9"/>
  <c r="K179" i="9"/>
  <c r="L179" i="9" s="1"/>
  <c r="J179" i="9"/>
  <c r="R178" i="9"/>
  <c r="O178" i="9"/>
  <c r="M178" i="9"/>
  <c r="K178" i="9"/>
  <c r="L178" i="9" s="1"/>
  <c r="J178" i="9"/>
  <c r="R177" i="9"/>
  <c r="O177" i="9"/>
  <c r="M177" i="9"/>
  <c r="K177" i="9"/>
  <c r="L177" i="9" s="1"/>
  <c r="J177" i="9"/>
  <c r="R176" i="9"/>
  <c r="O176" i="9"/>
  <c r="M176" i="9"/>
  <c r="K176" i="9"/>
  <c r="L176" i="9" s="1"/>
  <c r="J176" i="9"/>
  <c r="R175" i="9"/>
  <c r="O175" i="9"/>
  <c r="M175" i="9"/>
  <c r="K175" i="9"/>
  <c r="L175" i="9" s="1"/>
  <c r="J175" i="9"/>
  <c r="R174" i="9"/>
  <c r="O174" i="9"/>
  <c r="M174" i="9"/>
  <c r="K174" i="9"/>
  <c r="L174" i="9" s="1"/>
  <c r="J174" i="9"/>
  <c r="R173" i="9"/>
  <c r="O173" i="9"/>
  <c r="M173" i="9"/>
  <c r="K173" i="9"/>
  <c r="L173" i="9" s="1"/>
  <c r="J173" i="9"/>
  <c r="R172" i="9"/>
  <c r="O172" i="9"/>
  <c r="M172" i="9"/>
  <c r="K172" i="9"/>
  <c r="L172" i="9" s="1"/>
  <c r="J172" i="9"/>
  <c r="R171" i="9"/>
  <c r="O171" i="9"/>
  <c r="U170" i="9" s="1"/>
  <c r="M171" i="9"/>
  <c r="K171" i="9"/>
  <c r="L171" i="9" s="1"/>
  <c r="J171" i="9"/>
  <c r="R170" i="9"/>
  <c r="O170" i="9"/>
  <c r="M170" i="9"/>
  <c r="K170" i="9"/>
  <c r="L170" i="9" s="1"/>
  <c r="J170" i="9"/>
  <c r="R169" i="9"/>
  <c r="O169" i="9"/>
  <c r="M169" i="9"/>
  <c r="K169" i="9"/>
  <c r="L169" i="9" s="1"/>
  <c r="J169" i="9"/>
  <c r="R168" i="9"/>
  <c r="O168" i="9"/>
  <c r="M168" i="9"/>
  <c r="K168" i="9"/>
  <c r="L168" i="9" s="1"/>
  <c r="J168" i="9"/>
  <c r="R167" i="9"/>
  <c r="O167" i="9"/>
  <c r="M167" i="9"/>
  <c r="K167" i="9"/>
  <c r="L167" i="9" s="1"/>
  <c r="J167" i="9"/>
  <c r="R166" i="9"/>
  <c r="O166" i="9"/>
  <c r="M166" i="9"/>
  <c r="K166" i="9"/>
  <c r="L166" i="9" s="1"/>
  <c r="J166" i="9"/>
  <c r="R165" i="9"/>
  <c r="O165" i="9"/>
  <c r="U164" i="9" s="1"/>
  <c r="M165" i="9"/>
  <c r="K165" i="9"/>
  <c r="L165" i="9" s="1"/>
  <c r="J165" i="9"/>
  <c r="R164" i="9"/>
  <c r="O164" i="9"/>
  <c r="M164" i="9"/>
  <c r="K164" i="9"/>
  <c r="L164" i="9" s="1"/>
  <c r="J164" i="9"/>
  <c r="R163" i="9"/>
  <c r="O163" i="9"/>
  <c r="M163" i="9"/>
  <c r="K163" i="9"/>
  <c r="L163" i="9" s="1"/>
  <c r="J163" i="9"/>
  <c r="R162" i="9"/>
  <c r="O162" i="9"/>
  <c r="M162" i="9"/>
  <c r="K162" i="9"/>
  <c r="L162" i="9" s="1"/>
  <c r="J162" i="9"/>
  <c r="R161" i="9"/>
  <c r="O161" i="9"/>
  <c r="M161" i="9"/>
  <c r="K161" i="9"/>
  <c r="L161" i="9" s="1"/>
  <c r="J161" i="9"/>
  <c r="R160" i="9"/>
  <c r="O160" i="9"/>
  <c r="M160" i="9"/>
  <c r="K160" i="9"/>
  <c r="L160" i="9" s="1"/>
  <c r="J160" i="9"/>
  <c r="R159" i="9"/>
  <c r="O159" i="9"/>
  <c r="U158" i="9" s="1"/>
  <c r="M159" i="9"/>
  <c r="K159" i="9"/>
  <c r="L159" i="9" s="1"/>
  <c r="J159" i="9"/>
  <c r="R158" i="9"/>
  <c r="O158" i="9"/>
  <c r="M158" i="9"/>
  <c r="K158" i="9"/>
  <c r="L158" i="9" s="1"/>
  <c r="J158" i="9"/>
  <c r="R157" i="9"/>
  <c r="O157" i="9"/>
  <c r="M157" i="9"/>
  <c r="K157" i="9"/>
  <c r="L157" i="9" s="1"/>
  <c r="J157" i="9"/>
  <c r="R156" i="9"/>
  <c r="O156" i="9"/>
  <c r="M156" i="9"/>
  <c r="K156" i="9"/>
  <c r="L156" i="9" s="1"/>
  <c r="J156" i="9"/>
  <c r="R155" i="9"/>
  <c r="O155" i="9"/>
  <c r="M155" i="9"/>
  <c r="K155" i="9"/>
  <c r="L155" i="9" s="1"/>
  <c r="J155" i="9"/>
  <c r="R154" i="9"/>
  <c r="O154" i="9"/>
  <c r="S154" i="9" s="1"/>
  <c r="T154" i="9" s="1"/>
  <c r="M154" i="9"/>
  <c r="K154" i="9"/>
  <c r="L154" i="9" s="1"/>
  <c r="J154" i="9"/>
  <c r="R153" i="9"/>
  <c r="O153" i="9"/>
  <c r="M153" i="9"/>
  <c r="K153" i="9"/>
  <c r="L153" i="9" s="1"/>
  <c r="J153" i="9"/>
  <c r="R152" i="9"/>
  <c r="O152" i="9"/>
  <c r="S152" i="9" s="1"/>
  <c r="T152" i="9" s="1"/>
  <c r="M152" i="9"/>
  <c r="K152" i="9"/>
  <c r="L152" i="9" s="1"/>
  <c r="J152" i="9"/>
  <c r="R151" i="9"/>
  <c r="O151" i="9"/>
  <c r="M151" i="9"/>
  <c r="K151" i="9"/>
  <c r="L151" i="9" s="1"/>
  <c r="J151" i="9"/>
  <c r="R150" i="9"/>
  <c r="O150" i="9"/>
  <c r="M150" i="9"/>
  <c r="K150" i="9"/>
  <c r="L150" i="9" s="1"/>
  <c r="J150" i="9"/>
  <c r="R149" i="9"/>
  <c r="O149" i="9"/>
  <c r="M149" i="9"/>
  <c r="K149" i="9"/>
  <c r="L149" i="9" s="1"/>
  <c r="J149" i="9"/>
  <c r="R148" i="9"/>
  <c r="O148" i="9"/>
  <c r="M148" i="9"/>
  <c r="K148" i="9"/>
  <c r="L148" i="9" s="1"/>
  <c r="J148" i="9"/>
  <c r="R147" i="9"/>
  <c r="O147" i="9"/>
  <c r="M147" i="9"/>
  <c r="K147" i="9"/>
  <c r="L147" i="9" s="1"/>
  <c r="J147" i="9"/>
  <c r="R146" i="9"/>
  <c r="O146" i="9"/>
  <c r="U145" i="9" s="1"/>
  <c r="M146" i="9"/>
  <c r="K146" i="9"/>
  <c r="L146" i="9" s="1"/>
  <c r="J146" i="9"/>
  <c r="R145" i="9"/>
  <c r="O145" i="9"/>
  <c r="M145" i="9"/>
  <c r="K145" i="9"/>
  <c r="L145" i="9" s="1"/>
  <c r="J145" i="9"/>
  <c r="R144" i="9"/>
  <c r="O144" i="9"/>
  <c r="S144" i="9" s="1"/>
  <c r="T144" i="9" s="1"/>
  <c r="M144" i="9"/>
  <c r="K144" i="9"/>
  <c r="L144" i="9" s="1"/>
  <c r="J144" i="9"/>
  <c r="R143" i="9"/>
  <c r="O143" i="9"/>
  <c r="M143" i="9"/>
  <c r="K143" i="9"/>
  <c r="L143" i="9" s="1"/>
  <c r="J143" i="9"/>
  <c r="R142" i="9"/>
  <c r="O142" i="9"/>
  <c r="S142" i="9" s="1"/>
  <c r="T142" i="9" s="1"/>
  <c r="M142" i="9"/>
  <c r="K142" i="9"/>
  <c r="L142" i="9" s="1"/>
  <c r="J142" i="9"/>
  <c r="R141" i="9"/>
  <c r="O141" i="9"/>
  <c r="M141" i="9"/>
  <c r="K141" i="9"/>
  <c r="L141" i="9" s="1"/>
  <c r="J141" i="9"/>
  <c r="R140" i="9"/>
  <c r="O140" i="9"/>
  <c r="M140" i="9"/>
  <c r="K140" i="9"/>
  <c r="L140" i="9" s="1"/>
  <c r="J140" i="9"/>
  <c r="R139" i="9"/>
  <c r="O139" i="9"/>
  <c r="M139" i="9"/>
  <c r="K139" i="9"/>
  <c r="L139" i="9" s="1"/>
  <c r="J139" i="9"/>
  <c r="R138" i="9"/>
  <c r="O138" i="9"/>
  <c r="S138" i="9" s="1"/>
  <c r="T138" i="9" s="1"/>
  <c r="M138" i="9"/>
  <c r="K138" i="9"/>
  <c r="L138" i="9" s="1"/>
  <c r="J138" i="9"/>
  <c r="R137" i="9"/>
  <c r="O137" i="9"/>
  <c r="M137" i="9"/>
  <c r="K137" i="9"/>
  <c r="L137" i="9" s="1"/>
  <c r="J137" i="9"/>
  <c r="R136" i="9"/>
  <c r="O136" i="9"/>
  <c r="S136" i="9" s="1"/>
  <c r="T136" i="9" s="1"/>
  <c r="M136" i="9"/>
  <c r="K136" i="9"/>
  <c r="L136" i="9" s="1"/>
  <c r="J136" i="9"/>
  <c r="R135" i="9"/>
  <c r="O135" i="9"/>
  <c r="M135" i="9"/>
  <c r="K135" i="9"/>
  <c r="L135" i="9" s="1"/>
  <c r="J135" i="9"/>
  <c r="R134" i="9"/>
  <c r="O134" i="9"/>
  <c r="S134" i="9" s="1"/>
  <c r="T134" i="9" s="1"/>
  <c r="M134" i="9"/>
  <c r="K134" i="9"/>
  <c r="L134" i="9" s="1"/>
  <c r="J134" i="9"/>
  <c r="R133" i="9"/>
  <c r="O133" i="9"/>
  <c r="S133" i="9" s="1"/>
  <c r="T133" i="9" s="1"/>
  <c r="M133" i="9"/>
  <c r="K133" i="9"/>
  <c r="L133" i="9" s="1"/>
  <c r="J133" i="9"/>
  <c r="R132" i="9"/>
  <c r="O132" i="9"/>
  <c r="M132" i="9"/>
  <c r="K132" i="9"/>
  <c r="L132" i="9" s="1"/>
  <c r="J132" i="9"/>
  <c r="R131" i="9"/>
  <c r="O131" i="9"/>
  <c r="M131" i="9"/>
  <c r="K131" i="9"/>
  <c r="L131" i="9" s="1"/>
  <c r="J131" i="9"/>
  <c r="R130" i="9"/>
  <c r="O130" i="9"/>
  <c r="M130" i="9"/>
  <c r="K130" i="9"/>
  <c r="L130" i="9" s="1"/>
  <c r="J130" i="9"/>
  <c r="R129" i="9"/>
  <c r="O129" i="9"/>
  <c r="S129" i="9" s="1"/>
  <c r="T129" i="9" s="1"/>
  <c r="M129" i="9"/>
  <c r="K129" i="9"/>
  <c r="L129" i="9" s="1"/>
  <c r="J129" i="9"/>
  <c r="R128" i="9"/>
  <c r="O128" i="9"/>
  <c r="S128" i="9" s="1"/>
  <c r="T128" i="9" s="1"/>
  <c r="M128" i="9"/>
  <c r="K128" i="9"/>
  <c r="L128" i="9" s="1"/>
  <c r="J128" i="9"/>
  <c r="R127" i="9"/>
  <c r="O127" i="9"/>
  <c r="M127" i="9"/>
  <c r="K127" i="9"/>
  <c r="L127" i="9" s="1"/>
  <c r="J127" i="9"/>
  <c r="R126" i="9"/>
  <c r="O126" i="9"/>
  <c r="S126" i="9" s="1"/>
  <c r="T126" i="9" s="1"/>
  <c r="M126" i="9"/>
  <c r="K126" i="9"/>
  <c r="L126" i="9" s="1"/>
  <c r="J126" i="9"/>
  <c r="R125" i="9"/>
  <c r="O125" i="9"/>
  <c r="S125" i="9" s="1"/>
  <c r="T125" i="9" s="1"/>
  <c r="M125" i="9"/>
  <c r="K125" i="9"/>
  <c r="L125" i="9" s="1"/>
  <c r="J125" i="9"/>
  <c r="R124" i="9"/>
  <c r="O124" i="9"/>
  <c r="M124" i="9"/>
  <c r="K124" i="9"/>
  <c r="L124" i="9" s="1"/>
  <c r="J124" i="9"/>
  <c r="R123" i="9"/>
  <c r="O123" i="9"/>
  <c r="S123" i="9" s="1"/>
  <c r="T123" i="9" s="1"/>
  <c r="M123" i="9"/>
  <c r="K123" i="9"/>
  <c r="L123" i="9" s="1"/>
  <c r="J123" i="9"/>
  <c r="R122" i="9"/>
  <c r="O122" i="9"/>
  <c r="S122" i="9" s="1"/>
  <c r="T122" i="9" s="1"/>
  <c r="M122" i="9"/>
  <c r="K122" i="9"/>
  <c r="L122" i="9" s="1"/>
  <c r="J122" i="9"/>
  <c r="R121" i="9"/>
  <c r="O121" i="9"/>
  <c r="S121" i="9" s="1"/>
  <c r="T121" i="9" s="1"/>
  <c r="M121" i="9"/>
  <c r="K121" i="9"/>
  <c r="L121" i="9" s="1"/>
  <c r="J121" i="9"/>
  <c r="R120" i="9"/>
  <c r="O120" i="9"/>
  <c r="M120" i="9"/>
  <c r="K120" i="9"/>
  <c r="L120" i="9" s="1"/>
  <c r="J120" i="9"/>
  <c r="R119" i="9"/>
  <c r="O119" i="9"/>
  <c r="M119" i="9"/>
  <c r="K119" i="9"/>
  <c r="L119" i="9" s="1"/>
  <c r="J119" i="9"/>
  <c r="R118" i="9"/>
  <c r="O118" i="9"/>
  <c r="M118" i="9"/>
  <c r="K118" i="9"/>
  <c r="L118" i="9" s="1"/>
  <c r="J118" i="9"/>
  <c r="R117" i="9"/>
  <c r="O117" i="9"/>
  <c r="S117" i="9" s="1"/>
  <c r="T117" i="9" s="1"/>
  <c r="M117" i="9"/>
  <c r="K117" i="9"/>
  <c r="L117" i="9" s="1"/>
  <c r="J117" i="9"/>
  <c r="R116" i="9"/>
  <c r="O116" i="9"/>
  <c r="S116" i="9" s="1"/>
  <c r="T116" i="9" s="1"/>
  <c r="M116" i="9"/>
  <c r="K116" i="9"/>
  <c r="L116" i="9" s="1"/>
  <c r="J116" i="9"/>
  <c r="R115" i="9"/>
  <c r="O115" i="9"/>
  <c r="M115" i="9"/>
  <c r="K115" i="9"/>
  <c r="L115" i="9" s="1"/>
  <c r="J115" i="9"/>
  <c r="R114" i="9"/>
  <c r="O114" i="9"/>
  <c r="S114" i="9" s="1"/>
  <c r="T114" i="9" s="1"/>
  <c r="M114" i="9"/>
  <c r="K114" i="9"/>
  <c r="L114" i="9" s="1"/>
  <c r="J114" i="9"/>
  <c r="R113" i="9"/>
  <c r="O113" i="9"/>
  <c r="M113" i="9"/>
  <c r="K113" i="9"/>
  <c r="L113" i="9" s="1"/>
  <c r="J113" i="9"/>
  <c r="R112" i="9"/>
  <c r="O112" i="9"/>
  <c r="S112" i="9" s="1"/>
  <c r="T112" i="9" s="1"/>
  <c r="M112" i="9"/>
  <c r="K112" i="9"/>
  <c r="L112" i="9" s="1"/>
  <c r="J112" i="9"/>
  <c r="R111" i="9"/>
  <c r="O111" i="9"/>
  <c r="M111" i="9"/>
  <c r="K111" i="9"/>
  <c r="L111" i="9" s="1"/>
  <c r="J111" i="9"/>
  <c r="R110" i="9"/>
  <c r="O110" i="9"/>
  <c r="S110" i="9" s="1"/>
  <c r="T110" i="9" s="1"/>
  <c r="M110" i="9"/>
  <c r="K110" i="9"/>
  <c r="L110" i="9" s="1"/>
  <c r="J110" i="9"/>
  <c r="R109" i="9"/>
  <c r="O109" i="9"/>
  <c r="M109" i="9"/>
  <c r="K109" i="9"/>
  <c r="L109" i="9" s="1"/>
  <c r="J109" i="9"/>
  <c r="R108" i="9"/>
  <c r="O108" i="9"/>
  <c r="S108" i="9" s="1"/>
  <c r="T108" i="9" s="1"/>
  <c r="M108" i="9"/>
  <c r="K108" i="9"/>
  <c r="L108" i="9" s="1"/>
  <c r="J108" i="9"/>
  <c r="R107" i="9"/>
  <c r="O107" i="9"/>
  <c r="M107" i="9"/>
  <c r="K107" i="9"/>
  <c r="L107" i="9" s="1"/>
  <c r="J107" i="9"/>
  <c r="R106" i="9"/>
  <c r="O106" i="9"/>
  <c r="S106" i="9" s="1"/>
  <c r="T106" i="9" s="1"/>
  <c r="M106" i="9"/>
  <c r="K106" i="9"/>
  <c r="L106" i="9" s="1"/>
  <c r="J106" i="9"/>
  <c r="R105" i="9"/>
  <c r="O105" i="9"/>
  <c r="M105" i="9"/>
  <c r="K105" i="9"/>
  <c r="L105" i="9" s="1"/>
  <c r="J105" i="9"/>
  <c r="R104" i="9"/>
  <c r="O104" i="9"/>
  <c r="S104" i="9" s="1"/>
  <c r="T104" i="9" s="1"/>
  <c r="M104" i="9"/>
  <c r="K104" i="9"/>
  <c r="L104" i="9" s="1"/>
  <c r="J104" i="9"/>
  <c r="R103" i="9"/>
  <c r="O103" i="9"/>
  <c r="M103" i="9"/>
  <c r="K103" i="9"/>
  <c r="L103" i="9" s="1"/>
  <c r="J103" i="9"/>
  <c r="R102" i="9"/>
  <c r="O102" i="9"/>
  <c r="S102" i="9" s="1"/>
  <c r="T102" i="9" s="1"/>
  <c r="M102" i="9"/>
  <c r="K102" i="9"/>
  <c r="L102" i="9" s="1"/>
  <c r="J102" i="9"/>
  <c r="R101" i="9"/>
  <c r="O101" i="9"/>
  <c r="M101" i="9"/>
  <c r="K101" i="9"/>
  <c r="L101" i="9" s="1"/>
  <c r="J101" i="9"/>
  <c r="R100" i="9"/>
  <c r="O100" i="9"/>
  <c r="S100" i="9" s="1"/>
  <c r="T100" i="9" s="1"/>
  <c r="M100" i="9"/>
  <c r="K100" i="9"/>
  <c r="L100" i="9" s="1"/>
  <c r="J100" i="9"/>
  <c r="R99" i="9"/>
  <c r="O99" i="9"/>
  <c r="M99" i="9"/>
  <c r="K99" i="9"/>
  <c r="L99" i="9" s="1"/>
  <c r="J99" i="9"/>
  <c r="R98" i="9"/>
  <c r="O98" i="9"/>
  <c r="S98" i="9" s="1"/>
  <c r="T98" i="9" s="1"/>
  <c r="M98" i="9"/>
  <c r="K98" i="9"/>
  <c r="L98" i="9" s="1"/>
  <c r="J98" i="9"/>
  <c r="R97" i="9"/>
  <c r="O97" i="9"/>
  <c r="M97" i="9"/>
  <c r="K97" i="9"/>
  <c r="L97" i="9" s="1"/>
  <c r="J97" i="9"/>
  <c r="R96" i="9"/>
  <c r="O96" i="9"/>
  <c r="S96" i="9" s="1"/>
  <c r="T96" i="9" s="1"/>
  <c r="M96" i="9"/>
  <c r="K96" i="9"/>
  <c r="L96" i="9" s="1"/>
  <c r="J96" i="9"/>
  <c r="R95" i="9"/>
  <c r="O95" i="9"/>
  <c r="M95" i="9"/>
  <c r="K95" i="9"/>
  <c r="L95" i="9" s="1"/>
  <c r="J95" i="9"/>
  <c r="R94" i="9"/>
  <c r="O94" i="9"/>
  <c r="S94" i="9" s="1"/>
  <c r="T94" i="9" s="1"/>
  <c r="M94" i="9"/>
  <c r="K94" i="9"/>
  <c r="L94" i="9" s="1"/>
  <c r="J94" i="9"/>
  <c r="R93" i="9"/>
  <c r="O93" i="9"/>
  <c r="M93" i="9"/>
  <c r="K93" i="9"/>
  <c r="L93" i="9" s="1"/>
  <c r="J93" i="9"/>
  <c r="R92" i="9"/>
  <c r="O92" i="9"/>
  <c r="S92" i="9" s="1"/>
  <c r="T92" i="9" s="1"/>
  <c r="M92" i="9"/>
  <c r="K92" i="9"/>
  <c r="L92" i="9" s="1"/>
  <c r="J92" i="9"/>
  <c r="R91" i="9"/>
  <c r="O91" i="9"/>
  <c r="M91" i="9"/>
  <c r="K91" i="9"/>
  <c r="L91" i="9" s="1"/>
  <c r="J91" i="9"/>
  <c r="R90" i="9"/>
  <c r="O90" i="9"/>
  <c r="S90" i="9" s="1"/>
  <c r="T90" i="9" s="1"/>
  <c r="M90" i="9"/>
  <c r="K90" i="9"/>
  <c r="L90" i="9" s="1"/>
  <c r="J90" i="9"/>
  <c r="R89" i="9"/>
  <c r="O89" i="9"/>
  <c r="M89" i="9"/>
  <c r="K89" i="9"/>
  <c r="L89" i="9" s="1"/>
  <c r="J89" i="9"/>
  <c r="R88" i="9"/>
  <c r="O88" i="9"/>
  <c r="S88" i="9" s="1"/>
  <c r="T88" i="9" s="1"/>
  <c r="M88" i="9"/>
  <c r="K88" i="9"/>
  <c r="L88" i="9" s="1"/>
  <c r="J88" i="9"/>
  <c r="R87" i="9"/>
  <c r="O87" i="9"/>
  <c r="M87" i="9"/>
  <c r="K87" i="9"/>
  <c r="L87" i="9" s="1"/>
  <c r="J87" i="9"/>
  <c r="R86" i="9"/>
  <c r="O86" i="9"/>
  <c r="S86" i="9" s="1"/>
  <c r="T86" i="9" s="1"/>
  <c r="M86" i="9"/>
  <c r="K86" i="9"/>
  <c r="L86" i="9" s="1"/>
  <c r="J86" i="9"/>
  <c r="R85" i="9"/>
  <c r="O85" i="9"/>
  <c r="M85" i="9"/>
  <c r="K85" i="9"/>
  <c r="L85" i="9" s="1"/>
  <c r="J85" i="9"/>
  <c r="R84" i="9"/>
  <c r="O84" i="9"/>
  <c r="S84" i="9" s="1"/>
  <c r="T84" i="9" s="1"/>
  <c r="M84" i="9"/>
  <c r="K84" i="9"/>
  <c r="L84" i="9" s="1"/>
  <c r="J84" i="9"/>
  <c r="R83" i="9"/>
  <c r="O83" i="9"/>
  <c r="M83" i="9"/>
  <c r="K83" i="9"/>
  <c r="L83" i="9" s="1"/>
  <c r="J83" i="9"/>
  <c r="R82" i="9"/>
  <c r="O82" i="9"/>
  <c r="S82" i="9" s="1"/>
  <c r="T82" i="9" s="1"/>
  <c r="M82" i="9"/>
  <c r="K82" i="9"/>
  <c r="L82" i="9" s="1"/>
  <c r="J82" i="9"/>
  <c r="R81" i="9"/>
  <c r="O81" i="9"/>
  <c r="M81" i="9"/>
  <c r="K81" i="9"/>
  <c r="L81" i="9" s="1"/>
  <c r="J81" i="9"/>
  <c r="R80" i="9"/>
  <c r="O80" i="9"/>
  <c r="S80" i="9" s="1"/>
  <c r="T80" i="9" s="1"/>
  <c r="M80" i="9"/>
  <c r="K80" i="9"/>
  <c r="L80" i="9" s="1"/>
  <c r="J80" i="9"/>
  <c r="R79" i="9"/>
  <c r="O79" i="9"/>
  <c r="M79" i="9"/>
  <c r="K79" i="9"/>
  <c r="L79" i="9" s="1"/>
  <c r="J79" i="9"/>
  <c r="R78" i="9"/>
  <c r="O78" i="9"/>
  <c r="S78" i="9" s="1"/>
  <c r="T78" i="9" s="1"/>
  <c r="M78" i="9"/>
  <c r="K78" i="9"/>
  <c r="L78" i="9" s="1"/>
  <c r="J78" i="9"/>
  <c r="R77" i="9"/>
  <c r="O77" i="9"/>
  <c r="M77" i="9"/>
  <c r="K77" i="9"/>
  <c r="L77" i="9" s="1"/>
  <c r="J77" i="9"/>
  <c r="R76" i="9"/>
  <c r="O76" i="9"/>
  <c r="S76" i="9" s="1"/>
  <c r="T76" i="9" s="1"/>
  <c r="M76" i="9"/>
  <c r="K76" i="9"/>
  <c r="L76" i="9" s="1"/>
  <c r="J76" i="9"/>
  <c r="R75" i="9"/>
  <c r="O75" i="9"/>
  <c r="M75" i="9"/>
  <c r="K75" i="9"/>
  <c r="L75" i="9" s="1"/>
  <c r="J75" i="9"/>
  <c r="R74" i="9"/>
  <c r="M74" i="9"/>
  <c r="J74" i="9"/>
  <c r="K74" i="9"/>
  <c r="L74" i="9" s="1"/>
  <c r="R73" i="9"/>
  <c r="O73" i="9"/>
  <c r="M73" i="9"/>
  <c r="J73" i="9"/>
  <c r="K73" i="9"/>
  <c r="L73" i="9" s="1"/>
  <c r="R72" i="9"/>
  <c r="O72" i="9"/>
  <c r="M72" i="9"/>
  <c r="K72" i="9"/>
  <c r="L72" i="9" s="1"/>
  <c r="J72" i="9"/>
  <c r="AA71" i="9"/>
  <c r="W71" i="9"/>
  <c r="R71" i="9"/>
  <c r="M71" i="9"/>
  <c r="J71" i="9"/>
  <c r="I71" i="9"/>
  <c r="O71" i="9" s="1"/>
  <c r="E71" i="9"/>
  <c r="AA70" i="9"/>
  <c r="W70" i="9"/>
  <c r="R70" i="9"/>
  <c r="M70" i="9"/>
  <c r="J70" i="9"/>
  <c r="I70" i="9"/>
  <c r="K70" i="9" s="1"/>
  <c r="L70" i="9" s="1"/>
  <c r="E70" i="9"/>
  <c r="R69" i="9"/>
  <c r="O69" i="9"/>
  <c r="M69" i="9"/>
  <c r="J69" i="9"/>
  <c r="K69" i="9"/>
  <c r="L69" i="9" s="1"/>
  <c r="R68" i="9"/>
  <c r="O68" i="9"/>
  <c r="S68" i="9" s="1"/>
  <c r="T68" i="9" s="1"/>
  <c r="M68" i="9"/>
  <c r="K68" i="9"/>
  <c r="L68" i="9" s="1"/>
  <c r="J68" i="9"/>
  <c r="AA67" i="9"/>
  <c r="W67" i="9"/>
  <c r="R67" i="9"/>
  <c r="M67" i="9"/>
  <c r="J67" i="9"/>
  <c r="I67" i="9"/>
  <c r="K67" i="9" s="1"/>
  <c r="L67" i="9" s="1"/>
  <c r="E67" i="9"/>
  <c r="AA66" i="9"/>
  <c r="W66" i="9"/>
  <c r="R66" i="9"/>
  <c r="M66" i="9"/>
  <c r="J66" i="9"/>
  <c r="I66" i="9"/>
  <c r="O66" i="9" s="1"/>
  <c r="E66" i="9"/>
  <c r="AA65" i="9"/>
  <c r="W65" i="9"/>
  <c r="R65" i="9"/>
  <c r="M65" i="9"/>
  <c r="J65" i="9"/>
  <c r="I65" i="9"/>
  <c r="K65" i="9" s="1"/>
  <c r="L65" i="9" s="1"/>
  <c r="E65" i="9"/>
  <c r="AA64" i="9"/>
  <c r="W64" i="9"/>
  <c r="R64" i="9"/>
  <c r="M64" i="9"/>
  <c r="J64" i="9"/>
  <c r="I64" i="9"/>
  <c r="K64" i="9" s="1"/>
  <c r="L64" i="9" s="1"/>
  <c r="E64" i="9"/>
  <c r="R63" i="9"/>
  <c r="O63" i="9"/>
  <c r="M63" i="9"/>
  <c r="J63" i="9"/>
  <c r="K63" i="9"/>
  <c r="L63" i="9" s="1"/>
  <c r="W62" i="9"/>
  <c r="R62" i="9"/>
  <c r="M62" i="9"/>
  <c r="J62" i="9"/>
  <c r="I62" i="9"/>
  <c r="O62" i="9" s="1"/>
  <c r="S62" i="9" s="1"/>
  <c r="T62" i="9" s="1"/>
  <c r="AA61" i="9"/>
  <c r="W61" i="9"/>
  <c r="R61" i="9"/>
  <c r="M61" i="9"/>
  <c r="J61" i="9"/>
  <c r="I61" i="9"/>
  <c r="K61" i="9" s="1"/>
  <c r="L61" i="9" s="1"/>
  <c r="AA60" i="9"/>
  <c r="W60" i="9"/>
  <c r="R60" i="9"/>
  <c r="M60" i="9"/>
  <c r="J60" i="9"/>
  <c r="I60" i="9"/>
  <c r="K60" i="9" s="1"/>
  <c r="L60" i="9" s="1"/>
  <c r="U59" i="9"/>
  <c r="S59" i="9"/>
  <c r="T59" i="9" s="1"/>
  <c r="R59" i="9"/>
  <c r="M59" i="9"/>
  <c r="K59" i="9"/>
  <c r="L59" i="9" s="1"/>
  <c r="J59" i="9"/>
  <c r="U58" i="9"/>
  <c r="S58" i="9"/>
  <c r="T58" i="9" s="1"/>
  <c r="R58" i="9"/>
  <c r="M58" i="9"/>
  <c r="K58" i="9"/>
  <c r="L58" i="9" s="1"/>
  <c r="J58" i="9"/>
  <c r="U57" i="9"/>
  <c r="S57" i="9"/>
  <c r="T57" i="9" s="1"/>
  <c r="R57" i="9"/>
  <c r="M57" i="9"/>
  <c r="K57" i="9"/>
  <c r="L57" i="9" s="1"/>
  <c r="J57" i="9"/>
  <c r="U56" i="9"/>
  <c r="S56" i="9"/>
  <c r="T56" i="9" s="1"/>
  <c r="R56" i="9"/>
  <c r="M56" i="9"/>
  <c r="K56" i="9"/>
  <c r="L56" i="9" s="1"/>
  <c r="J56" i="9"/>
  <c r="U55" i="9"/>
  <c r="S55" i="9"/>
  <c r="T55" i="9" s="1"/>
  <c r="R55" i="9"/>
  <c r="M55" i="9"/>
  <c r="K55" i="9"/>
  <c r="L55" i="9" s="1"/>
  <c r="J55" i="9"/>
  <c r="U54" i="9"/>
  <c r="S54" i="9"/>
  <c r="T54" i="9" s="1"/>
  <c r="R54" i="9"/>
  <c r="M54" i="9"/>
  <c r="K54" i="9"/>
  <c r="L54" i="9" s="1"/>
  <c r="J54" i="9"/>
  <c r="U53" i="9"/>
  <c r="S53" i="9"/>
  <c r="T53" i="9" s="1"/>
  <c r="R53" i="9"/>
  <c r="M53" i="9"/>
  <c r="K53" i="9"/>
  <c r="L53" i="9" s="1"/>
  <c r="J53" i="9"/>
  <c r="U52" i="9"/>
  <c r="S52" i="9"/>
  <c r="T52" i="9" s="1"/>
  <c r="R52" i="9"/>
  <c r="M52" i="9"/>
  <c r="K52" i="9"/>
  <c r="L52" i="9" s="1"/>
  <c r="J52" i="9"/>
  <c r="U51" i="9"/>
  <c r="S51" i="9"/>
  <c r="T51" i="9" s="1"/>
  <c r="R51" i="9"/>
  <c r="M51" i="9"/>
  <c r="K51" i="9"/>
  <c r="L51" i="9" s="1"/>
  <c r="J51" i="9"/>
  <c r="U50" i="9"/>
  <c r="S50" i="9"/>
  <c r="T50" i="9" s="1"/>
  <c r="R50" i="9"/>
  <c r="M50" i="9"/>
  <c r="K50" i="9"/>
  <c r="L50" i="9" s="1"/>
  <c r="J50" i="9"/>
  <c r="U49" i="9"/>
  <c r="S49" i="9"/>
  <c r="T49" i="9" s="1"/>
  <c r="R49" i="9"/>
  <c r="M49" i="9"/>
  <c r="K49" i="9"/>
  <c r="L49" i="9" s="1"/>
  <c r="J49" i="9"/>
  <c r="U48" i="9"/>
  <c r="S48" i="9"/>
  <c r="T48" i="9" s="1"/>
  <c r="R48" i="9"/>
  <c r="M48" i="9"/>
  <c r="K48" i="9"/>
  <c r="L48" i="9" s="1"/>
  <c r="J48" i="9"/>
  <c r="U47" i="9"/>
  <c r="S47" i="9"/>
  <c r="T47" i="9" s="1"/>
  <c r="R47" i="9"/>
  <c r="M47" i="9"/>
  <c r="K47" i="9"/>
  <c r="L47" i="9" s="1"/>
  <c r="J47" i="9"/>
  <c r="U46" i="9"/>
  <c r="S46" i="9"/>
  <c r="T46" i="9" s="1"/>
  <c r="R46" i="9"/>
  <c r="M46" i="9"/>
  <c r="K46" i="9"/>
  <c r="L46" i="9" s="1"/>
  <c r="J46" i="9"/>
  <c r="U45" i="9"/>
  <c r="S45" i="9"/>
  <c r="T45" i="9" s="1"/>
  <c r="R45" i="9"/>
  <c r="M45" i="9"/>
  <c r="K45" i="9"/>
  <c r="L45" i="9" s="1"/>
  <c r="J45" i="9"/>
  <c r="U44" i="9"/>
  <c r="S44" i="9"/>
  <c r="T44" i="9" s="1"/>
  <c r="R44" i="9"/>
  <c r="M44" i="9"/>
  <c r="K44" i="9"/>
  <c r="L44" i="9" s="1"/>
  <c r="J44" i="9"/>
  <c r="U43" i="9"/>
  <c r="S43" i="9"/>
  <c r="T43" i="9" s="1"/>
  <c r="R43" i="9"/>
  <c r="M43" i="9"/>
  <c r="K43" i="9"/>
  <c r="L43" i="9" s="1"/>
  <c r="J43" i="9"/>
  <c r="U42" i="9"/>
  <c r="S42" i="9"/>
  <c r="T42" i="9" s="1"/>
  <c r="R42" i="9"/>
  <c r="M42" i="9"/>
  <c r="K42" i="9"/>
  <c r="L42" i="9" s="1"/>
  <c r="J42" i="9"/>
  <c r="U41" i="9"/>
  <c r="S41" i="9"/>
  <c r="T41" i="9" s="1"/>
  <c r="R41" i="9"/>
  <c r="M41" i="9"/>
  <c r="K41" i="9"/>
  <c r="L41" i="9" s="1"/>
  <c r="J41" i="9"/>
  <c r="U40" i="9"/>
  <c r="S40" i="9"/>
  <c r="T40" i="9" s="1"/>
  <c r="R40" i="9"/>
  <c r="M40" i="9"/>
  <c r="K40" i="9"/>
  <c r="L40" i="9" s="1"/>
  <c r="J40" i="9"/>
  <c r="U39" i="9"/>
  <c r="S39" i="9"/>
  <c r="T39" i="9" s="1"/>
  <c r="R39" i="9"/>
  <c r="M39" i="9"/>
  <c r="K39" i="9"/>
  <c r="L39" i="9" s="1"/>
  <c r="J39" i="9"/>
  <c r="U38" i="9"/>
  <c r="S38" i="9"/>
  <c r="T38" i="9" s="1"/>
  <c r="R38" i="9"/>
  <c r="M38" i="9"/>
  <c r="K38" i="9"/>
  <c r="L38" i="9" s="1"/>
  <c r="J38" i="9"/>
  <c r="U37" i="9"/>
  <c r="S37" i="9"/>
  <c r="T37" i="9" s="1"/>
  <c r="R37" i="9"/>
  <c r="M37" i="9"/>
  <c r="K37" i="9"/>
  <c r="L37" i="9" s="1"/>
  <c r="J37" i="9"/>
  <c r="U36" i="9"/>
  <c r="S36" i="9"/>
  <c r="T36" i="9" s="1"/>
  <c r="R36" i="9"/>
  <c r="M36" i="9"/>
  <c r="K36" i="9"/>
  <c r="L36" i="9" s="1"/>
  <c r="J36" i="9"/>
  <c r="U35" i="9"/>
  <c r="S35" i="9"/>
  <c r="T35" i="9" s="1"/>
  <c r="R35" i="9"/>
  <c r="M35" i="9"/>
  <c r="K35" i="9"/>
  <c r="L35" i="9" s="1"/>
  <c r="J35" i="9"/>
  <c r="U34" i="9"/>
  <c r="S34" i="9"/>
  <c r="T34" i="9" s="1"/>
  <c r="R34" i="9"/>
  <c r="M34" i="9"/>
  <c r="K34" i="9"/>
  <c r="L34" i="9" s="1"/>
  <c r="J34" i="9"/>
  <c r="U33" i="9"/>
  <c r="S33" i="9"/>
  <c r="T33" i="9" s="1"/>
  <c r="R33" i="9"/>
  <c r="M33" i="9"/>
  <c r="K33" i="9"/>
  <c r="L33" i="9" s="1"/>
  <c r="J33" i="9"/>
  <c r="U32" i="9"/>
  <c r="S32" i="9"/>
  <c r="T32" i="9" s="1"/>
  <c r="R32" i="9"/>
  <c r="M32" i="9"/>
  <c r="K32" i="9"/>
  <c r="L32" i="9" s="1"/>
  <c r="J32" i="9"/>
  <c r="U31" i="9"/>
  <c r="S31" i="9"/>
  <c r="T31" i="9" s="1"/>
  <c r="R31" i="9"/>
  <c r="M31" i="9"/>
  <c r="K31" i="9"/>
  <c r="L31" i="9" s="1"/>
  <c r="J31" i="9"/>
  <c r="U30" i="9"/>
  <c r="S30" i="9"/>
  <c r="T30" i="9" s="1"/>
  <c r="R30" i="9"/>
  <c r="M30" i="9"/>
  <c r="K30" i="9"/>
  <c r="L30" i="9" s="1"/>
  <c r="J30" i="9"/>
  <c r="U29" i="9"/>
  <c r="S29" i="9"/>
  <c r="T29" i="9" s="1"/>
  <c r="R29" i="9"/>
  <c r="M29" i="9"/>
  <c r="K29" i="9"/>
  <c r="L29" i="9" s="1"/>
  <c r="J29" i="9"/>
  <c r="U28" i="9"/>
  <c r="S28" i="9"/>
  <c r="T28" i="9" s="1"/>
  <c r="R28" i="9"/>
  <c r="M28" i="9"/>
  <c r="K28" i="9"/>
  <c r="L28" i="9" s="1"/>
  <c r="J28" i="9"/>
  <c r="U27" i="9"/>
  <c r="S27" i="9"/>
  <c r="T27" i="9" s="1"/>
  <c r="R27" i="9"/>
  <c r="M27" i="9"/>
  <c r="K27" i="9"/>
  <c r="L27" i="9" s="1"/>
  <c r="J27" i="9"/>
  <c r="U26" i="9"/>
  <c r="S26" i="9"/>
  <c r="T26" i="9" s="1"/>
  <c r="R26" i="9"/>
  <c r="M26" i="9"/>
  <c r="K26" i="9"/>
  <c r="L26" i="9" s="1"/>
  <c r="J26" i="9"/>
  <c r="U25" i="9"/>
  <c r="S25" i="9"/>
  <c r="T25" i="9" s="1"/>
  <c r="R25" i="9"/>
  <c r="M25" i="9"/>
  <c r="K25" i="9"/>
  <c r="L25" i="9" s="1"/>
  <c r="J25" i="9"/>
  <c r="U24" i="9"/>
  <c r="S24" i="9"/>
  <c r="T24" i="9" s="1"/>
  <c r="R24" i="9"/>
  <c r="M24" i="9"/>
  <c r="K24" i="9"/>
  <c r="L24" i="9" s="1"/>
  <c r="J24" i="9"/>
  <c r="U23" i="9"/>
  <c r="S23" i="9"/>
  <c r="T23" i="9" s="1"/>
  <c r="R23" i="9"/>
  <c r="M23" i="9"/>
  <c r="K23" i="9"/>
  <c r="L23" i="9" s="1"/>
  <c r="J23" i="9"/>
  <c r="U22" i="9"/>
  <c r="S22" i="9"/>
  <c r="T22" i="9" s="1"/>
  <c r="R22" i="9"/>
  <c r="M22" i="9"/>
  <c r="K22" i="9"/>
  <c r="L22" i="9" s="1"/>
  <c r="J22" i="9"/>
  <c r="U21" i="9"/>
  <c r="S21" i="9"/>
  <c r="T21" i="9" s="1"/>
  <c r="R21" i="9"/>
  <c r="M21" i="9"/>
  <c r="K21" i="9"/>
  <c r="L21" i="9" s="1"/>
  <c r="J21" i="9"/>
  <c r="U20" i="9"/>
  <c r="S20" i="9"/>
  <c r="T20" i="9" s="1"/>
  <c r="R20" i="9"/>
  <c r="M20" i="9"/>
  <c r="K20" i="9"/>
  <c r="L20" i="9" s="1"/>
  <c r="J20" i="9"/>
  <c r="U19" i="9"/>
  <c r="S19" i="9"/>
  <c r="T19" i="9" s="1"/>
  <c r="R19" i="9"/>
  <c r="M19" i="9"/>
  <c r="K19" i="9"/>
  <c r="L19" i="9" s="1"/>
  <c r="J19" i="9"/>
  <c r="U18" i="9"/>
  <c r="S18" i="9"/>
  <c r="T18" i="9" s="1"/>
  <c r="R18" i="9"/>
  <c r="M18" i="9"/>
  <c r="K18" i="9"/>
  <c r="L18" i="9" s="1"/>
  <c r="J18" i="9"/>
  <c r="U17" i="9"/>
  <c r="S17" i="9"/>
  <c r="T17" i="9" s="1"/>
  <c r="R17" i="9"/>
  <c r="M17" i="9"/>
  <c r="K17" i="9"/>
  <c r="L17" i="9" s="1"/>
  <c r="J17" i="9"/>
  <c r="U16" i="9"/>
  <c r="S16" i="9"/>
  <c r="T16" i="9" s="1"/>
  <c r="R16" i="9"/>
  <c r="M16" i="9"/>
  <c r="K16" i="9"/>
  <c r="L16" i="9" s="1"/>
  <c r="J16" i="9"/>
  <c r="U15" i="9"/>
  <c r="S15" i="9"/>
  <c r="T15" i="9" s="1"/>
  <c r="R15" i="9"/>
  <c r="M15" i="9"/>
  <c r="K15" i="9"/>
  <c r="L15" i="9" s="1"/>
  <c r="J15" i="9"/>
  <c r="U14" i="9"/>
  <c r="S14" i="9"/>
  <c r="T14" i="9" s="1"/>
  <c r="R14" i="9"/>
  <c r="M14" i="9"/>
  <c r="K14" i="9"/>
  <c r="L14" i="9" s="1"/>
  <c r="J14" i="9"/>
  <c r="U13" i="9"/>
  <c r="S13" i="9"/>
  <c r="T13" i="9" s="1"/>
  <c r="R13" i="9"/>
  <c r="M13" i="9"/>
  <c r="K13" i="9"/>
  <c r="L13" i="9" s="1"/>
  <c r="J13" i="9"/>
  <c r="U12" i="9"/>
  <c r="S12" i="9"/>
  <c r="T12" i="9" s="1"/>
  <c r="R12" i="9"/>
  <c r="M12" i="9"/>
  <c r="K12" i="9"/>
  <c r="L12" i="9" s="1"/>
  <c r="J12" i="9"/>
  <c r="U11" i="9"/>
  <c r="S11" i="9"/>
  <c r="T11" i="9" s="1"/>
  <c r="R11" i="9"/>
  <c r="M11" i="9"/>
  <c r="K11" i="9"/>
  <c r="L11" i="9" s="1"/>
  <c r="J11" i="9"/>
  <c r="U10" i="9"/>
  <c r="S10" i="9"/>
  <c r="T10" i="9" s="1"/>
  <c r="R10" i="9"/>
  <c r="M10" i="9"/>
  <c r="K10" i="9"/>
  <c r="L10" i="9" s="1"/>
  <c r="J10" i="9"/>
  <c r="U9" i="9"/>
  <c r="S9" i="9"/>
  <c r="T9" i="9" s="1"/>
  <c r="R9" i="9"/>
  <c r="M9" i="9"/>
  <c r="K9" i="9"/>
  <c r="L9" i="9" s="1"/>
  <c r="J9" i="9"/>
  <c r="U8" i="9"/>
  <c r="S8" i="9"/>
  <c r="T8" i="9" s="1"/>
  <c r="R8" i="9"/>
  <c r="M8" i="9"/>
  <c r="K8" i="9"/>
  <c r="L8" i="9" s="1"/>
  <c r="J8" i="9"/>
  <c r="U7" i="9"/>
  <c r="S7" i="9"/>
  <c r="T7" i="9" s="1"/>
  <c r="R7" i="9"/>
  <c r="M7" i="9"/>
  <c r="K7" i="9"/>
  <c r="L7" i="9" s="1"/>
  <c r="J7" i="9"/>
  <c r="U6" i="9"/>
  <c r="S6" i="9"/>
  <c r="T6" i="9" s="1"/>
  <c r="R6" i="9"/>
  <c r="M6" i="9"/>
  <c r="K6" i="9"/>
  <c r="L6" i="9" s="1"/>
  <c r="J6" i="9"/>
  <c r="U5" i="9"/>
  <c r="S5" i="9"/>
  <c r="T5" i="9" s="1"/>
  <c r="R5" i="9"/>
  <c r="M5" i="9"/>
  <c r="K5" i="9"/>
  <c r="L5" i="9" s="1"/>
  <c r="J5" i="9"/>
  <c r="U4" i="9"/>
  <c r="S4" i="9"/>
  <c r="T4" i="9" s="1"/>
  <c r="R4" i="9"/>
  <c r="M4" i="9"/>
  <c r="K4" i="9"/>
  <c r="L4" i="9" s="1"/>
  <c r="J4" i="9"/>
  <c r="U3" i="9"/>
  <c r="S3" i="9"/>
  <c r="T3" i="9" s="1"/>
  <c r="R3" i="9"/>
  <c r="M3" i="9"/>
  <c r="K3" i="9"/>
  <c r="L3" i="9" s="1"/>
  <c r="J3" i="9"/>
  <c r="U2" i="9"/>
  <c r="S2" i="9"/>
  <c r="T2" i="9" s="1"/>
  <c r="R2" i="9"/>
  <c r="M2" i="9"/>
  <c r="K2" i="9"/>
  <c r="L2" i="9" s="1"/>
  <c r="J2" i="9"/>
  <c r="Z92" i="1"/>
  <c r="AD92" i="1"/>
  <c r="J93" i="1"/>
  <c r="V93" i="1"/>
  <c r="G93" i="1"/>
  <c r="U99" i="9" l="1"/>
  <c r="U109" i="9"/>
  <c r="O64" i="9"/>
  <c r="U63" i="9" s="1"/>
  <c r="U176" i="9"/>
  <c r="U79" i="9"/>
  <c r="U87" i="9"/>
  <c r="U132" i="9"/>
  <c r="U149" i="9"/>
  <c r="U180" i="9"/>
  <c r="U85" i="9"/>
  <c r="U103" i="9"/>
  <c r="K62" i="9"/>
  <c r="L62" i="9" s="1"/>
  <c r="K71" i="9"/>
  <c r="L71" i="9" s="1"/>
  <c r="U83" i="9"/>
  <c r="U91" i="9"/>
  <c r="U93" i="9"/>
  <c r="U128" i="9"/>
  <c r="U156" i="9"/>
  <c r="U168" i="9"/>
  <c r="U111" i="9"/>
  <c r="U147" i="9"/>
  <c r="D66" i="9"/>
  <c r="S66" i="9"/>
  <c r="T66" i="9" s="1"/>
  <c r="D71" i="9"/>
  <c r="S71" i="9"/>
  <c r="T71" i="9" s="1"/>
  <c r="O60" i="9"/>
  <c r="S60" i="9" s="1"/>
  <c r="T60" i="9" s="1"/>
  <c r="O65" i="9"/>
  <c r="U64" i="9" s="1"/>
  <c r="U71" i="9"/>
  <c r="U77" i="9"/>
  <c r="U129" i="9"/>
  <c r="U151" i="9"/>
  <c r="K66" i="9"/>
  <c r="L66" i="9" s="1"/>
  <c r="O67" i="9"/>
  <c r="U67" i="9" s="1"/>
  <c r="U81" i="9"/>
  <c r="U105" i="9"/>
  <c r="U117" i="9"/>
  <c r="S150" i="9"/>
  <c r="T150" i="9" s="1"/>
  <c r="U75" i="9"/>
  <c r="U89" i="9"/>
  <c r="U120" i="9"/>
  <c r="U123" i="9"/>
  <c r="S148" i="9"/>
  <c r="T148" i="9" s="1"/>
  <c r="U97" i="9"/>
  <c r="O70" i="9"/>
  <c r="D70" i="9" s="1"/>
  <c r="U116" i="9"/>
  <c r="U121" i="9"/>
  <c r="U125" i="9"/>
  <c r="S146" i="9"/>
  <c r="T146" i="9" s="1"/>
  <c r="U153" i="9"/>
  <c r="U160" i="9"/>
  <c r="U172" i="9"/>
  <c r="S72" i="9"/>
  <c r="T72" i="9" s="1"/>
  <c r="O61" i="9"/>
  <c r="S61" i="9" s="1"/>
  <c r="T61" i="9" s="1"/>
  <c r="S63" i="9"/>
  <c r="T63" i="9" s="1"/>
  <c r="U62" i="9"/>
  <c r="S69" i="9"/>
  <c r="T69" i="9" s="1"/>
  <c r="U68" i="9"/>
  <c r="O74" i="9"/>
  <c r="S75" i="9"/>
  <c r="T75" i="9" s="1"/>
  <c r="S81" i="9"/>
  <c r="T81" i="9" s="1"/>
  <c r="U80" i="9"/>
  <c r="S87" i="9"/>
  <c r="T87" i="9" s="1"/>
  <c r="U86" i="9"/>
  <c r="S93" i="9"/>
  <c r="T93" i="9" s="1"/>
  <c r="U92" i="9"/>
  <c r="S99" i="9"/>
  <c r="T99" i="9" s="1"/>
  <c r="U98" i="9"/>
  <c r="S105" i="9"/>
  <c r="T105" i="9" s="1"/>
  <c r="U104" i="9"/>
  <c r="S111" i="9"/>
  <c r="T111" i="9" s="1"/>
  <c r="U110" i="9"/>
  <c r="S120" i="9"/>
  <c r="T120" i="9" s="1"/>
  <c r="U119" i="9"/>
  <c r="S132" i="9"/>
  <c r="T132" i="9" s="1"/>
  <c r="U131" i="9"/>
  <c r="S162" i="9"/>
  <c r="T162" i="9" s="1"/>
  <c r="U161" i="9"/>
  <c r="S64" i="9"/>
  <c r="T64" i="9" s="1"/>
  <c r="U206" i="9"/>
  <c r="S206" i="9"/>
  <c r="T206" i="9" s="1"/>
  <c r="U205" i="9"/>
  <c r="U218" i="9"/>
  <c r="S218" i="9"/>
  <c r="T218" i="9" s="1"/>
  <c r="U217" i="9"/>
  <c r="S77" i="9"/>
  <c r="T77" i="9" s="1"/>
  <c r="U76" i="9"/>
  <c r="S83" i="9"/>
  <c r="T83" i="9" s="1"/>
  <c r="U82" i="9"/>
  <c r="S89" i="9"/>
  <c r="T89" i="9" s="1"/>
  <c r="U88" i="9"/>
  <c r="S95" i="9"/>
  <c r="T95" i="9" s="1"/>
  <c r="U94" i="9"/>
  <c r="S101" i="9"/>
  <c r="T101" i="9" s="1"/>
  <c r="U100" i="9"/>
  <c r="S107" i="9"/>
  <c r="T107" i="9" s="1"/>
  <c r="U106" i="9"/>
  <c r="S113" i="9"/>
  <c r="T113" i="9" s="1"/>
  <c r="U112" i="9"/>
  <c r="U134" i="9"/>
  <c r="S135" i="9"/>
  <c r="T135" i="9" s="1"/>
  <c r="U138" i="9"/>
  <c r="S139" i="9"/>
  <c r="T139" i="9" s="1"/>
  <c r="S174" i="9"/>
  <c r="T174" i="9" s="1"/>
  <c r="U173" i="9"/>
  <c r="U139" i="9"/>
  <c r="S140" i="9"/>
  <c r="T140" i="9" s="1"/>
  <c r="U133" i="9"/>
  <c r="U137" i="9"/>
  <c r="S166" i="9"/>
  <c r="T166" i="9" s="1"/>
  <c r="U165" i="9"/>
  <c r="U210" i="9"/>
  <c r="S210" i="9"/>
  <c r="T210" i="9" s="1"/>
  <c r="U209" i="9"/>
  <c r="U222" i="9"/>
  <c r="S222" i="9"/>
  <c r="T222" i="9" s="1"/>
  <c r="U221" i="9"/>
  <c r="S91" i="9"/>
  <c r="T91" i="9" s="1"/>
  <c r="U90" i="9"/>
  <c r="U95" i="9"/>
  <c r="S97" i="9"/>
  <c r="T97" i="9" s="1"/>
  <c r="U96" i="9"/>
  <c r="U101" i="9"/>
  <c r="S103" i="9"/>
  <c r="T103" i="9" s="1"/>
  <c r="U102" i="9"/>
  <c r="U107" i="9"/>
  <c r="S109" i="9"/>
  <c r="T109" i="9" s="1"/>
  <c r="U108" i="9"/>
  <c r="U113" i="9"/>
  <c r="S115" i="9"/>
  <c r="T115" i="9" s="1"/>
  <c r="U114" i="9"/>
  <c r="U115" i="9"/>
  <c r="S124" i="9"/>
  <c r="T124" i="9" s="1"/>
  <c r="S127" i="9"/>
  <c r="T127" i="9" s="1"/>
  <c r="U126" i="9"/>
  <c r="U127" i="9"/>
  <c r="S73" i="9"/>
  <c r="T73" i="9" s="1"/>
  <c r="U72" i="9"/>
  <c r="S79" i="9"/>
  <c r="T79" i="9" s="1"/>
  <c r="U78" i="9"/>
  <c r="S85" i="9"/>
  <c r="T85" i="9" s="1"/>
  <c r="U84" i="9"/>
  <c r="S119" i="9"/>
  <c r="T119" i="9" s="1"/>
  <c r="U118" i="9"/>
  <c r="S131" i="9"/>
  <c r="T131" i="9" s="1"/>
  <c r="U130" i="9"/>
  <c r="S178" i="9"/>
  <c r="T178" i="9" s="1"/>
  <c r="U177" i="9"/>
  <c r="S118" i="9"/>
  <c r="T118" i="9" s="1"/>
  <c r="U122" i="9"/>
  <c r="S130" i="9"/>
  <c r="T130" i="9" s="1"/>
  <c r="U135" i="9"/>
  <c r="U136" i="9"/>
  <c r="S137" i="9"/>
  <c r="T137" i="9" s="1"/>
  <c r="U144" i="9"/>
  <c r="U146" i="9"/>
  <c r="U148" i="9"/>
  <c r="U150" i="9"/>
  <c r="U152" i="9"/>
  <c r="U154" i="9"/>
  <c r="S156" i="9"/>
  <c r="T156" i="9" s="1"/>
  <c r="U155" i="9"/>
  <c r="U166" i="9"/>
  <c r="S168" i="9"/>
  <c r="T168" i="9" s="1"/>
  <c r="U167" i="9"/>
  <c r="U178" i="9"/>
  <c r="S180" i="9"/>
  <c r="T180" i="9" s="1"/>
  <c r="U179" i="9"/>
  <c r="U204" i="9"/>
  <c r="S204" i="9"/>
  <c r="T204" i="9" s="1"/>
  <c r="U203" i="9"/>
  <c r="U216" i="9"/>
  <c r="S216" i="9"/>
  <c r="T216" i="9" s="1"/>
  <c r="U215" i="9"/>
  <c r="U162" i="9"/>
  <c r="S164" i="9"/>
  <c r="T164" i="9" s="1"/>
  <c r="U163" i="9"/>
  <c r="U174" i="9"/>
  <c r="S176" i="9"/>
  <c r="T176" i="9" s="1"/>
  <c r="U175" i="9"/>
  <c r="U208" i="9"/>
  <c r="S208" i="9"/>
  <c r="T208" i="9" s="1"/>
  <c r="U207" i="9"/>
  <c r="U220" i="9"/>
  <c r="S220" i="9"/>
  <c r="T220" i="9" s="1"/>
  <c r="U219" i="9"/>
  <c r="U140" i="9"/>
  <c r="S141" i="9"/>
  <c r="T141" i="9" s="1"/>
  <c r="U141" i="9"/>
  <c r="S160" i="9"/>
  <c r="T160" i="9" s="1"/>
  <c r="U159" i="9"/>
  <c r="S172" i="9"/>
  <c r="T172" i="9" s="1"/>
  <c r="U171" i="9"/>
  <c r="U184" i="9"/>
  <c r="S184" i="9"/>
  <c r="T184" i="9" s="1"/>
  <c r="U183" i="9"/>
  <c r="U186" i="9"/>
  <c r="S186" i="9"/>
  <c r="T186" i="9" s="1"/>
  <c r="U185" i="9"/>
  <c r="U188" i="9"/>
  <c r="S188" i="9"/>
  <c r="T188" i="9" s="1"/>
  <c r="U187" i="9"/>
  <c r="U190" i="9"/>
  <c r="S190" i="9"/>
  <c r="T190" i="9" s="1"/>
  <c r="U189" i="9"/>
  <c r="U192" i="9"/>
  <c r="S192" i="9"/>
  <c r="T192" i="9" s="1"/>
  <c r="U191" i="9"/>
  <c r="U194" i="9"/>
  <c r="S194" i="9"/>
  <c r="T194" i="9" s="1"/>
  <c r="U193" i="9"/>
  <c r="U196" i="9"/>
  <c r="S196" i="9"/>
  <c r="T196" i="9" s="1"/>
  <c r="U195" i="9"/>
  <c r="U198" i="9"/>
  <c r="S198" i="9"/>
  <c r="T198" i="9" s="1"/>
  <c r="U197" i="9"/>
  <c r="U200" i="9"/>
  <c r="S200" i="9"/>
  <c r="T200" i="9" s="1"/>
  <c r="U199" i="9"/>
  <c r="U212" i="9"/>
  <c r="S212" i="9"/>
  <c r="T212" i="9" s="1"/>
  <c r="U211" i="9"/>
  <c r="U224" i="9"/>
  <c r="S224" i="9"/>
  <c r="T224" i="9" s="1"/>
  <c r="U223" i="9"/>
  <c r="U124" i="9"/>
  <c r="U142" i="9"/>
  <c r="S143" i="9"/>
  <c r="T143" i="9" s="1"/>
  <c r="U143" i="9"/>
  <c r="S158" i="9"/>
  <c r="T158" i="9" s="1"/>
  <c r="U157" i="9"/>
  <c r="S170" i="9"/>
  <c r="T170" i="9" s="1"/>
  <c r="U169" i="9"/>
  <c r="S182" i="9"/>
  <c r="T182" i="9" s="1"/>
  <c r="U181" i="9"/>
  <c r="U202" i="9"/>
  <c r="S202" i="9"/>
  <c r="T202" i="9" s="1"/>
  <c r="U201" i="9"/>
  <c r="U214" i="9"/>
  <c r="S214" i="9"/>
  <c r="T214" i="9" s="1"/>
  <c r="U213" i="9"/>
  <c r="S145" i="9"/>
  <c r="T145" i="9" s="1"/>
  <c r="S147" i="9"/>
  <c r="T147" i="9" s="1"/>
  <c r="S149" i="9"/>
  <c r="T149" i="9" s="1"/>
  <c r="S151" i="9"/>
  <c r="T151" i="9" s="1"/>
  <c r="S153" i="9"/>
  <c r="T153" i="9" s="1"/>
  <c r="S155" i="9"/>
  <c r="T155" i="9" s="1"/>
  <c r="S157" i="9"/>
  <c r="T157" i="9" s="1"/>
  <c r="S159" i="9"/>
  <c r="T159" i="9" s="1"/>
  <c r="S161" i="9"/>
  <c r="T161" i="9" s="1"/>
  <c r="S163" i="9"/>
  <c r="T163" i="9" s="1"/>
  <c r="S165" i="9"/>
  <c r="T165" i="9" s="1"/>
  <c r="S167" i="9"/>
  <c r="T167" i="9" s="1"/>
  <c r="S169" i="9"/>
  <c r="T169" i="9" s="1"/>
  <c r="S171" i="9"/>
  <c r="T171" i="9" s="1"/>
  <c r="S173" i="9"/>
  <c r="T173" i="9" s="1"/>
  <c r="S175" i="9"/>
  <c r="T175" i="9" s="1"/>
  <c r="S177" i="9"/>
  <c r="T177" i="9" s="1"/>
  <c r="S179" i="9"/>
  <c r="T179" i="9" s="1"/>
  <c r="S181" i="9"/>
  <c r="T181" i="9" s="1"/>
  <c r="S183" i="9"/>
  <c r="T183" i="9" s="1"/>
  <c r="M79" i="1"/>
  <c r="M80" i="1"/>
  <c r="M78" i="1"/>
  <c r="M67" i="1"/>
  <c r="H73" i="1"/>
  <c r="H74" i="1"/>
  <c r="H75" i="1"/>
  <c r="H76" i="1"/>
  <c r="H77" i="1"/>
  <c r="H78" i="1"/>
  <c r="H79" i="1"/>
  <c r="H80" i="1"/>
  <c r="H81" i="1"/>
  <c r="H82" i="1"/>
  <c r="H87" i="1"/>
  <c r="H88" i="1"/>
  <c r="H91" i="1"/>
  <c r="H92" i="1"/>
  <c r="J92" i="1"/>
  <c r="M61" i="1"/>
  <c r="M62" i="1"/>
  <c r="M63" i="1"/>
  <c r="M64" i="1"/>
  <c r="M65" i="1"/>
  <c r="M66" i="1"/>
  <c r="M68" i="1"/>
  <c r="M69" i="1"/>
  <c r="M70" i="1"/>
  <c r="M71" i="1"/>
  <c r="M72" i="1"/>
  <c r="M73" i="1"/>
  <c r="M74" i="1"/>
  <c r="M75" i="1"/>
  <c r="M76" i="1"/>
  <c r="M77" i="1"/>
  <c r="M87" i="1"/>
  <c r="M91" i="1"/>
  <c r="M92" i="1"/>
  <c r="V92" i="1"/>
  <c r="D64" i="9" l="1"/>
  <c r="S70" i="9"/>
  <c r="T70" i="9" s="1"/>
  <c r="U66" i="9"/>
  <c r="U70" i="9"/>
  <c r="U60" i="9"/>
  <c r="U69" i="9"/>
  <c r="U61" i="9"/>
  <c r="S67" i="9"/>
  <c r="T67" i="9" s="1"/>
  <c r="D67" i="9"/>
  <c r="D65" i="9"/>
  <c r="S65" i="9"/>
  <c r="T65" i="9" s="1"/>
  <c r="U65" i="9"/>
  <c r="S74" i="9"/>
  <c r="T74" i="9" s="1"/>
  <c r="U74" i="9"/>
  <c r="U73" i="9"/>
  <c r="AD89" i="1"/>
  <c r="AD90" i="1"/>
  <c r="AD91" i="1"/>
  <c r="Z89" i="1"/>
  <c r="Z90" i="1"/>
  <c r="Z91" i="1"/>
  <c r="J91" i="1"/>
  <c r="V89" i="1"/>
  <c r="V90" i="1"/>
  <c r="V91" i="1"/>
  <c r="Z88" i="1"/>
  <c r="AD88" i="1"/>
  <c r="J88" i="1"/>
  <c r="V88" i="1"/>
  <c r="AA83" i="1"/>
  <c r="AA84" i="1"/>
  <c r="AA85" i="1"/>
  <c r="AA86" i="1"/>
  <c r="AD87" i="1"/>
  <c r="AD82" i="1"/>
  <c r="W83" i="1"/>
  <c r="W84" i="1"/>
  <c r="W85" i="1"/>
  <c r="W86" i="1"/>
  <c r="Z87" i="1"/>
  <c r="Z82" i="1"/>
  <c r="S83" i="1"/>
  <c r="S84" i="1"/>
  <c r="S85" i="1"/>
  <c r="S86" i="1"/>
  <c r="V87" i="1"/>
  <c r="V82" i="1"/>
  <c r="J82" i="1"/>
  <c r="N82" i="1" s="1"/>
  <c r="J81" i="1"/>
  <c r="Z81" i="1" l="1"/>
  <c r="AD81" i="1"/>
  <c r="V81" i="1"/>
  <c r="J80" i="1"/>
  <c r="AD79" i="1" l="1"/>
  <c r="AD80" i="1"/>
  <c r="Z78" i="1"/>
  <c r="Z79" i="1"/>
  <c r="Z80" i="1"/>
  <c r="J79" i="1"/>
  <c r="N79" i="1" s="1"/>
  <c r="V79" i="1"/>
  <c r="V80" i="1"/>
  <c r="AD78" i="1"/>
  <c r="AD77" i="1"/>
  <c r="Z77" i="1"/>
  <c r="J78" i="1"/>
  <c r="N78" i="1" s="1"/>
  <c r="V78" i="1"/>
  <c r="V77" i="1"/>
  <c r="J77" i="1"/>
  <c r="N77" i="1" s="1"/>
  <c r="U77" i="1" l="1"/>
  <c r="Q77" i="1"/>
  <c r="R77" i="1" s="1"/>
  <c r="U79" i="1"/>
  <c r="S79" i="1"/>
  <c r="Q79" i="1"/>
  <c r="R79" i="1" s="1"/>
  <c r="U78" i="1"/>
  <c r="S77" i="1"/>
  <c r="Q78" i="1"/>
  <c r="R78" i="1" s="1"/>
  <c r="S78" i="1"/>
  <c r="AD76" i="1"/>
  <c r="Z75" i="1"/>
  <c r="Z74" i="1"/>
  <c r="Z76" i="1"/>
  <c r="J75" i="1"/>
  <c r="J76" i="1"/>
  <c r="J74" i="1"/>
  <c r="V76" i="1"/>
  <c r="V75" i="1"/>
  <c r="AD75" i="1"/>
  <c r="AD74" i="1"/>
  <c r="AD73" i="1"/>
  <c r="Z73" i="1"/>
  <c r="V74" i="1"/>
  <c r="J68" i="1"/>
  <c r="J73" i="1"/>
  <c r="T70" i="1"/>
  <c r="V73" i="1" l="1"/>
  <c r="V72" i="1"/>
  <c r="AD72" i="1"/>
  <c r="Z72" i="1"/>
  <c r="N73" i="1"/>
  <c r="N74" i="1"/>
  <c r="N75" i="1"/>
  <c r="N76" i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V70" i="1"/>
  <c r="T71" i="1"/>
  <c r="V71" i="1" s="1"/>
  <c r="T60" i="1"/>
  <c r="V60" i="1" s="1"/>
  <c r="N60" i="1"/>
  <c r="U60" i="1" s="1"/>
  <c r="N61" i="1"/>
  <c r="U61" i="1" s="1"/>
  <c r="N62" i="1"/>
  <c r="U62" i="1" s="1"/>
  <c r="N63" i="1"/>
  <c r="N64" i="1"/>
  <c r="N65" i="1"/>
  <c r="U65" i="1" s="1"/>
  <c r="N66" i="1"/>
  <c r="U66" i="1" s="1"/>
  <c r="N67" i="1"/>
  <c r="U67" i="1" s="1"/>
  <c r="N70" i="1"/>
  <c r="U70" i="1" s="1"/>
  <c r="N71" i="1"/>
  <c r="U71" i="1" s="1"/>
  <c r="AD68" i="1"/>
  <c r="AD69" i="1"/>
  <c r="AD70" i="1"/>
  <c r="AD71" i="1"/>
  <c r="Z68" i="1"/>
  <c r="Z69" i="1"/>
  <c r="Z70" i="1"/>
  <c r="Z71" i="1"/>
  <c r="Z64" i="1"/>
  <c r="Z63" i="1"/>
  <c r="G63" i="1"/>
  <c r="AD67" i="1"/>
  <c r="AD62" i="1"/>
  <c r="AD61" i="1"/>
  <c r="Z62" i="1"/>
  <c r="Z65" i="1"/>
  <c r="Z66" i="1"/>
  <c r="Z67" i="1"/>
  <c r="Z61" i="1"/>
  <c r="G67" i="1"/>
  <c r="G64" i="1"/>
  <c r="G65" i="1"/>
  <c r="G66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7" i="1"/>
  <c r="G88" i="1"/>
  <c r="G91" i="1"/>
  <c r="G92" i="1"/>
  <c r="G94" i="1"/>
  <c r="G99" i="1"/>
  <c r="G100" i="1"/>
  <c r="G101" i="1"/>
  <c r="G102" i="1"/>
  <c r="G107" i="1"/>
  <c r="G129" i="1"/>
  <c r="G130" i="1"/>
  <c r="G133" i="1"/>
  <c r="G134" i="1"/>
  <c r="G135" i="1"/>
  <c r="G136" i="1"/>
  <c r="G140" i="1"/>
  <c r="G148" i="1"/>
  <c r="G149" i="1"/>
  <c r="G150" i="1"/>
  <c r="G151" i="1"/>
  <c r="G155" i="1"/>
  <c r="G156" i="1"/>
  <c r="G157" i="1"/>
  <c r="G158" i="1"/>
  <c r="G159" i="1"/>
  <c r="G161" i="1"/>
  <c r="G162" i="1"/>
  <c r="G163" i="1"/>
  <c r="G164" i="1"/>
  <c r="G165" i="1"/>
  <c r="G168" i="1"/>
  <c r="G169" i="1"/>
  <c r="G170" i="1"/>
  <c r="G171" i="1"/>
  <c r="G172" i="1"/>
  <c r="G176" i="1"/>
  <c r="G178" i="1"/>
  <c r="G184" i="1"/>
  <c r="G185" i="1"/>
  <c r="G186" i="1"/>
  <c r="G189" i="1"/>
  <c r="G190" i="1"/>
  <c r="G193" i="1"/>
  <c r="G196" i="1"/>
  <c r="G204" i="1"/>
  <c r="G205" i="1"/>
  <c r="G206" i="1"/>
  <c r="G207" i="1"/>
  <c r="G211" i="1"/>
  <c r="G212" i="1"/>
  <c r="G213" i="1"/>
  <c r="G214" i="1"/>
  <c r="G217" i="1"/>
  <c r="G220" i="1"/>
  <c r="G221" i="1"/>
  <c r="G225" i="1"/>
  <c r="G226" i="1"/>
  <c r="G227" i="1"/>
  <c r="G232" i="1"/>
  <c r="G233" i="1"/>
  <c r="G234" i="1"/>
  <c r="G235" i="1"/>
  <c r="K63" i="1"/>
  <c r="L63" i="1" s="1"/>
  <c r="U73" i="1" l="1"/>
  <c r="Q73" i="1"/>
  <c r="R73" i="1" s="1"/>
  <c r="U76" i="1"/>
  <c r="Q76" i="1"/>
  <c r="R76" i="1" s="1"/>
  <c r="S75" i="1"/>
  <c r="S76" i="1"/>
  <c r="U75" i="1"/>
  <c r="S74" i="1"/>
  <c r="Q75" i="1"/>
  <c r="R75" i="1" s="1"/>
  <c r="U74" i="1"/>
  <c r="S73" i="1"/>
  <c r="Q74" i="1"/>
  <c r="R74" i="1" s="1"/>
  <c r="S62" i="1"/>
  <c r="S63" i="1"/>
  <c r="U63" i="1"/>
  <c r="S61" i="1"/>
  <c r="U64" i="1"/>
  <c r="E14" i="5"/>
  <c r="E11" i="5"/>
  <c r="C11" i="5"/>
  <c r="F7" i="5"/>
  <c r="B7" i="5"/>
  <c r="G5" i="5"/>
  <c r="D5" i="5"/>
  <c r="E5" i="5"/>
  <c r="S64" i="1"/>
  <c r="S65" i="1"/>
  <c r="S66" i="1"/>
  <c r="N80" i="1"/>
  <c r="N81" i="1"/>
  <c r="N88" i="1"/>
  <c r="N91" i="1"/>
  <c r="N92" i="1"/>
  <c r="N93" i="1"/>
  <c r="U93" i="1" s="1"/>
  <c r="N94" i="1"/>
  <c r="U94" i="1" s="1"/>
  <c r="U95" i="1"/>
  <c r="U96" i="1"/>
  <c r="N100" i="1"/>
  <c r="N101" i="1"/>
  <c r="N102" i="1"/>
  <c r="U102" i="1" s="1"/>
  <c r="U104" i="1"/>
  <c r="N107" i="1"/>
  <c r="N108" i="1"/>
  <c r="U108" i="1" s="1"/>
  <c r="N109" i="1"/>
  <c r="N112" i="1"/>
  <c r="N113" i="1"/>
  <c r="N114" i="1"/>
  <c r="U114" i="1" s="1"/>
  <c r="N115" i="1"/>
  <c r="U118" i="1"/>
  <c r="N119" i="1"/>
  <c r="N120" i="1"/>
  <c r="U120" i="1" s="1"/>
  <c r="N121" i="1"/>
  <c r="N122" i="1"/>
  <c r="N123" i="1"/>
  <c r="U123" i="1" s="1"/>
  <c r="U125" i="1"/>
  <c r="N126" i="1"/>
  <c r="U126" i="1" s="1"/>
  <c r="N127" i="1"/>
  <c r="Q129" i="1"/>
  <c r="R129" i="1" s="1"/>
  <c r="Q130" i="1"/>
  <c r="R130" i="1" s="1"/>
  <c r="Q133" i="1"/>
  <c r="R133" i="1" s="1"/>
  <c r="Q134" i="1"/>
  <c r="R134" i="1" s="1"/>
  <c r="R137" i="1"/>
  <c r="N140" i="1"/>
  <c r="U144" i="1"/>
  <c r="N148" i="1"/>
  <c r="N149" i="1"/>
  <c r="N150" i="1"/>
  <c r="U150" i="1" s="1"/>
  <c r="N151" i="1"/>
  <c r="N155" i="1"/>
  <c r="N156" i="1"/>
  <c r="U156" i="1" s="1"/>
  <c r="N157" i="1"/>
  <c r="N158" i="1"/>
  <c r="N159" i="1"/>
  <c r="U159" i="1" s="1"/>
  <c r="U160" i="1"/>
  <c r="N161" i="1"/>
  <c r="N162" i="1"/>
  <c r="U162" i="1" s="1"/>
  <c r="N163" i="1"/>
  <c r="N164" i="1"/>
  <c r="N165" i="1"/>
  <c r="U167" i="1"/>
  <c r="N168" i="1"/>
  <c r="U168" i="1" s="1"/>
  <c r="Q169" i="1"/>
  <c r="R169" i="1" s="1"/>
  <c r="N170" i="1"/>
  <c r="N171" i="1"/>
  <c r="U171" i="1" s="1"/>
  <c r="N172" i="1"/>
  <c r="N176" i="1"/>
  <c r="U176" i="1" s="1"/>
  <c r="N178" i="1"/>
  <c r="N184" i="1"/>
  <c r="N186" i="1"/>
  <c r="U186" i="1" s="1"/>
  <c r="N189" i="1"/>
  <c r="N190" i="1"/>
  <c r="U190" i="1" s="1"/>
  <c r="N191" i="1"/>
  <c r="U191" i="1" s="1"/>
  <c r="N192" i="1"/>
  <c r="U192" i="1" s="1"/>
  <c r="N193" i="1"/>
  <c r="U195" i="1"/>
  <c r="N196" i="1"/>
  <c r="U198" i="1"/>
  <c r="U200" i="1"/>
  <c r="U203" i="1"/>
  <c r="N204" i="1"/>
  <c r="N205" i="1"/>
  <c r="Q205" i="1" s="1"/>
  <c r="R205" i="1" s="1"/>
  <c r="N206" i="1"/>
  <c r="Q206" i="1" s="1"/>
  <c r="R206" i="1" s="1"/>
  <c r="N207" i="1"/>
  <c r="Q207" i="1" s="1"/>
  <c r="R207" i="1" s="1"/>
  <c r="Q211" i="1"/>
  <c r="R211" i="1" s="1"/>
  <c r="Q212" i="1"/>
  <c r="R212" i="1" s="1"/>
  <c r="Q213" i="1"/>
  <c r="R213" i="1" s="1"/>
  <c r="Q214" i="1"/>
  <c r="R214" i="1" s="1"/>
  <c r="R215" i="1"/>
  <c r="R217" i="1"/>
  <c r="R218" i="1"/>
  <c r="N220" i="1"/>
  <c r="Q220" i="1" s="1"/>
  <c r="R220" i="1" s="1"/>
  <c r="N221" i="1"/>
  <c r="N224" i="1"/>
  <c r="N225" i="1"/>
  <c r="Q225" i="1" s="1"/>
  <c r="R225" i="1" s="1"/>
  <c r="N226" i="1"/>
  <c r="Q226" i="1" s="1"/>
  <c r="R226" i="1" s="1"/>
  <c r="N232" i="1"/>
  <c r="N233" i="1"/>
  <c r="Q233" i="1" s="1"/>
  <c r="R233" i="1" s="1"/>
  <c r="N234" i="1"/>
  <c r="N235" i="1"/>
  <c r="S60" i="1"/>
  <c r="M4" i="1"/>
  <c r="H2" i="1"/>
  <c r="Q2" i="1"/>
  <c r="R2" i="1" s="1"/>
  <c r="S2" i="1"/>
  <c r="H3" i="1"/>
  <c r="Q3" i="1"/>
  <c r="R3" i="1" s="1"/>
  <c r="S3" i="1"/>
  <c r="H4" i="1"/>
  <c r="Q4" i="1"/>
  <c r="R4" i="1" s="1"/>
  <c r="S4" i="1"/>
  <c r="H5" i="1"/>
  <c r="Q5" i="1"/>
  <c r="R5" i="1" s="1"/>
  <c r="S5" i="1"/>
  <c r="H6" i="1"/>
  <c r="Q6" i="1"/>
  <c r="R6" i="1" s="1"/>
  <c r="S6" i="1"/>
  <c r="H7" i="1"/>
  <c r="Q7" i="1"/>
  <c r="R7" i="1" s="1"/>
  <c r="S7" i="1"/>
  <c r="H8" i="1"/>
  <c r="Q8" i="1"/>
  <c r="R8" i="1" s="1"/>
  <c r="S8" i="1"/>
  <c r="H9" i="1"/>
  <c r="Q9" i="1"/>
  <c r="R9" i="1" s="1"/>
  <c r="S9" i="1"/>
  <c r="H10" i="1"/>
  <c r="Q10" i="1"/>
  <c r="R10" i="1" s="1"/>
  <c r="S10" i="1"/>
  <c r="H11" i="1"/>
  <c r="Q11" i="1"/>
  <c r="R11" i="1" s="1"/>
  <c r="S11" i="1"/>
  <c r="H12" i="1"/>
  <c r="Q12" i="1"/>
  <c r="R12" i="1" s="1"/>
  <c r="S12" i="1"/>
  <c r="H13" i="1"/>
  <c r="Q13" i="1"/>
  <c r="R13" i="1" s="1"/>
  <c r="S13" i="1"/>
  <c r="H14" i="1"/>
  <c r="Q14" i="1"/>
  <c r="R14" i="1" s="1"/>
  <c r="S14" i="1"/>
  <c r="H15" i="1"/>
  <c r="Q15" i="1"/>
  <c r="R15" i="1" s="1"/>
  <c r="S15" i="1"/>
  <c r="H16" i="1"/>
  <c r="Q16" i="1"/>
  <c r="R16" i="1" s="1"/>
  <c r="S16" i="1"/>
  <c r="H17" i="1"/>
  <c r="Q17" i="1"/>
  <c r="R17" i="1" s="1"/>
  <c r="S17" i="1"/>
  <c r="H18" i="1"/>
  <c r="Q18" i="1"/>
  <c r="R18" i="1" s="1"/>
  <c r="S18" i="1"/>
  <c r="H19" i="1"/>
  <c r="Q19" i="1"/>
  <c r="R19" i="1" s="1"/>
  <c r="S19" i="1"/>
  <c r="H20" i="1"/>
  <c r="Q20" i="1"/>
  <c r="R20" i="1" s="1"/>
  <c r="S20" i="1"/>
  <c r="H21" i="1"/>
  <c r="Q21" i="1"/>
  <c r="R21" i="1" s="1"/>
  <c r="S21" i="1"/>
  <c r="H22" i="1"/>
  <c r="Q22" i="1"/>
  <c r="R22" i="1" s="1"/>
  <c r="S22" i="1"/>
  <c r="H23" i="1"/>
  <c r="Q23" i="1"/>
  <c r="R23" i="1" s="1"/>
  <c r="S23" i="1"/>
  <c r="H24" i="1"/>
  <c r="Q24" i="1"/>
  <c r="R24" i="1" s="1"/>
  <c r="S24" i="1"/>
  <c r="H25" i="1"/>
  <c r="Q25" i="1"/>
  <c r="R25" i="1" s="1"/>
  <c r="S25" i="1"/>
  <c r="H26" i="1"/>
  <c r="Q26" i="1"/>
  <c r="R26" i="1" s="1"/>
  <c r="S26" i="1"/>
  <c r="H27" i="1"/>
  <c r="Q27" i="1"/>
  <c r="R27" i="1" s="1"/>
  <c r="S27" i="1"/>
  <c r="H28" i="1"/>
  <c r="Q28" i="1"/>
  <c r="R28" i="1" s="1"/>
  <c r="S28" i="1"/>
  <c r="H29" i="1"/>
  <c r="Q29" i="1"/>
  <c r="R29" i="1" s="1"/>
  <c r="S29" i="1"/>
  <c r="H30" i="1"/>
  <c r="Q30" i="1"/>
  <c r="R30" i="1" s="1"/>
  <c r="S30" i="1"/>
  <c r="H31" i="1"/>
  <c r="Q31" i="1"/>
  <c r="R31" i="1" s="1"/>
  <c r="S31" i="1"/>
  <c r="H32" i="1"/>
  <c r="Q32" i="1"/>
  <c r="R32" i="1" s="1"/>
  <c r="S32" i="1"/>
  <c r="H33" i="1"/>
  <c r="Q33" i="1"/>
  <c r="R33" i="1" s="1"/>
  <c r="S33" i="1"/>
  <c r="H34" i="1"/>
  <c r="Q34" i="1"/>
  <c r="R34" i="1" s="1"/>
  <c r="S34" i="1"/>
  <c r="H35" i="1"/>
  <c r="Q35" i="1"/>
  <c r="R35" i="1" s="1"/>
  <c r="S35" i="1"/>
  <c r="H36" i="1"/>
  <c r="Q36" i="1"/>
  <c r="R36" i="1" s="1"/>
  <c r="S36" i="1"/>
  <c r="H37" i="1"/>
  <c r="Q37" i="1"/>
  <c r="R37" i="1" s="1"/>
  <c r="S37" i="1"/>
  <c r="H38" i="1"/>
  <c r="Q38" i="1"/>
  <c r="R38" i="1" s="1"/>
  <c r="S38" i="1"/>
  <c r="H39" i="1"/>
  <c r="Q39" i="1"/>
  <c r="R39" i="1" s="1"/>
  <c r="S39" i="1"/>
  <c r="H40" i="1"/>
  <c r="Q40" i="1"/>
  <c r="R40" i="1" s="1"/>
  <c r="S40" i="1"/>
  <c r="H41" i="1"/>
  <c r="Q41" i="1"/>
  <c r="R41" i="1" s="1"/>
  <c r="S41" i="1"/>
  <c r="H42" i="1"/>
  <c r="Q42" i="1"/>
  <c r="R42" i="1" s="1"/>
  <c r="S42" i="1"/>
  <c r="H43" i="1"/>
  <c r="Q43" i="1"/>
  <c r="R43" i="1" s="1"/>
  <c r="S43" i="1"/>
  <c r="H44" i="1"/>
  <c r="Q44" i="1"/>
  <c r="R44" i="1" s="1"/>
  <c r="S44" i="1"/>
  <c r="H45" i="1"/>
  <c r="Q45" i="1"/>
  <c r="R45" i="1" s="1"/>
  <c r="S45" i="1"/>
  <c r="H46" i="1"/>
  <c r="Q46" i="1"/>
  <c r="R46" i="1" s="1"/>
  <c r="S46" i="1"/>
  <c r="H47" i="1"/>
  <c r="Q47" i="1"/>
  <c r="R47" i="1" s="1"/>
  <c r="S47" i="1"/>
  <c r="H48" i="1"/>
  <c r="Q48" i="1"/>
  <c r="R48" i="1" s="1"/>
  <c r="S48" i="1"/>
  <c r="H49" i="1"/>
  <c r="Q49" i="1"/>
  <c r="R49" i="1" s="1"/>
  <c r="S49" i="1"/>
  <c r="H50" i="1"/>
  <c r="Q50" i="1"/>
  <c r="R50" i="1" s="1"/>
  <c r="S50" i="1"/>
  <c r="H51" i="1"/>
  <c r="Q51" i="1"/>
  <c r="R51" i="1" s="1"/>
  <c r="S51" i="1"/>
  <c r="H52" i="1"/>
  <c r="Q52" i="1"/>
  <c r="R52" i="1" s="1"/>
  <c r="S52" i="1"/>
  <c r="H53" i="1"/>
  <c r="Q53" i="1"/>
  <c r="R53" i="1" s="1"/>
  <c r="S53" i="1"/>
  <c r="H54" i="1"/>
  <c r="Q54" i="1"/>
  <c r="R54" i="1" s="1"/>
  <c r="S54" i="1"/>
  <c r="H55" i="1"/>
  <c r="Q55" i="1"/>
  <c r="R55" i="1" s="1"/>
  <c r="S55" i="1"/>
  <c r="H56" i="1"/>
  <c r="Q56" i="1"/>
  <c r="R56" i="1" s="1"/>
  <c r="S56" i="1"/>
  <c r="H57" i="1"/>
  <c r="Q57" i="1"/>
  <c r="R57" i="1" s="1"/>
  <c r="S57" i="1"/>
  <c r="H58" i="1"/>
  <c r="Q58" i="1"/>
  <c r="R58" i="1" s="1"/>
  <c r="S58" i="1"/>
  <c r="H59" i="1"/>
  <c r="Q59" i="1"/>
  <c r="R59" i="1" s="1"/>
  <c r="S59" i="1"/>
  <c r="H60" i="1"/>
  <c r="Q60" i="1"/>
  <c r="R60" i="1" s="1"/>
  <c r="H61" i="1"/>
  <c r="Q61" i="1"/>
  <c r="R61" i="1" s="1"/>
  <c r="H62" i="1"/>
  <c r="Q62" i="1"/>
  <c r="R62" i="1" s="1"/>
  <c r="H64" i="1"/>
  <c r="H65" i="1"/>
  <c r="Q66" i="1"/>
  <c r="R66" i="1" s="1"/>
  <c r="H67" i="1"/>
  <c r="H68" i="1"/>
  <c r="H69" i="1"/>
  <c r="H70" i="1"/>
  <c r="H71" i="1"/>
  <c r="H72" i="1"/>
  <c r="H93" i="1"/>
  <c r="H94" i="1"/>
  <c r="H100" i="1"/>
  <c r="H101" i="1"/>
  <c r="H102" i="1"/>
  <c r="H107" i="1"/>
  <c r="H99" i="1" s="1"/>
  <c r="H108" i="1"/>
  <c r="H109" i="1"/>
  <c r="H112" i="1"/>
  <c r="H113" i="1"/>
  <c r="H114" i="1"/>
  <c r="H115" i="1"/>
  <c r="H119" i="1"/>
  <c r="H120" i="1"/>
  <c r="H121" i="1"/>
  <c r="H122" i="1"/>
  <c r="H123" i="1"/>
  <c r="H126" i="1"/>
  <c r="H127" i="1"/>
  <c r="H129" i="1"/>
  <c r="H130" i="1"/>
  <c r="H133" i="1"/>
  <c r="H134" i="1"/>
  <c r="H135" i="1"/>
  <c r="H136" i="1"/>
  <c r="H140" i="1"/>
  <c r="H148" i="1"/>
  <c r="H149" i="1"/>
  <c r="H150" i="1"/>
  <c r="H151" i="1"/>
  <c r="H155" i="1"/>
  <c r="H156" i="1"/>
  <c r="H157" i="1"/>
  <c r="H158" i="1"/>
  <c r="H159" i="1"/>
  <c r="H161" i="1"/>
  <c r="H162" i="1"/>
  <c r="H163" i="1"/>
  <c r="H164" i="1"/>
  <c r="H165" i="1"/>
  <c r="H168" i="1"/>
  <c r="H169" i="1"/>
  <c r="H170" i="1"/>
  <c r="H171" i="1"/>
  <c r="H172" i="1"/>
  <c r="H176" i="1"/>
  <c r="H178" i="1"/>
  <c r="H184" i="1"/>
  <c r="H185" i="1"/>
  <c r="H186" i="1"/>
  <c r="H189" i="1"/>
  <c r="H190" i="1"/>
  <c r="H193" i="1"/>
  <c r="H196" i="1"/>
  <c r="H204" i="1"/>
  <c r="H205" i="1"/>
  <c r="H206" i="1"/>
  <c r="H207" i="1"/>
  <c r="H211" i="1"/>
  <c r="H212" i="1"/>
  <c r="H213" i="1"/>
  <c r="H214" i="1"/>
  <c r="H217" i="1"/>
  <c r="H220" i="1"/>
  <c r="H221" i="1"/>
  <c r="H224" i="1"/>
  <c r="H225" i="1"/>
  <c r="H226" i="1"/>
  <c r="H227" i="1"/>
  <c r="H232" i="1"/>
  <c r="H233" i="1"/>
  <c r="H234" i="1"/>
  <c r="H235" i="1"/>
  <c r="M2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93" i="1"/>
  <c r="M99" i="1"/>
  <c r="M101" i="1"/>
  <c r="M107" i="1"/>
  <c r="M108" i="1"/>
  <c r="M112" i="1"/>
  <c r="M113" i="1"/>
  <c r="M114" i="1"/>
  <c r="M119" i="1"/>
  <c r="M120" i="1"/>
  <c r="M121" i="1"/>
  <c r="M122" i="1"/>
  <c r="M126" i="1"/>
  <c r="M129" i="1"/>
  <c r="M133" i="1"/>
  <c r="M134" i="1"/>
  <c r="M135" i="1"/>
  <c r="M148" i="1"/>
  <c r="M149" i="1"/>
  <c r="M150" i="1"/>
  <c r="M155" i="1"/>
  <c r="M156" i="1"/>
  <c r="M157" i="1"/>
  <c r="M158" i="1"/>
  <c r="M161" i="1"/>
  <c r="M162" i="1"/>
  <c r="M163" i="1"/>
  <c r="M164" i="1"/>
  <c r="M169" i="1"/>
  <c r="M170" i="1"/>
  <c r="M171" i="1"/>
  <c r="M189" i="1"/>
  <c r="M204" i="1"/>
  <c r="M205" i="1"/>
  <c r="M206" i="1"/>
  <c r="M211" i="1"/>
  <c r="M212" i="1"/>
  <c r="M213" i="1"/>
  <c r="M220" i="1"/>
  <c r="M226" i="1"/>
  <c r="M232" i="1"/>
  <c r="M233" i="1"/>
  <c r="M234" i="1"/>
  <c r="K2" i="1"/>
  <c r="L2" i="1" s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56" i="1"/>
  <c r="L56" i="1" s="1"/>
  <c r="K57" i="1"/>
  <c r="L57" i="1" s="1"/>
  <c r="K58" i="1"/>
  <c r="L58" i="1" s="1"/>
  <c r="K59" i="1"/>
  <c r="L59" i="1" s="1"/>
  <c r="K60" i="1"/>
  <c r="L60" i="1" s="1"/>
  <c r="K61" i="1"/>
  <c r="L61" i="1" s="1"/>
  <c r="K62" i="1"/>
  <c r="L62" i="1" s="1"/>
  <c r="K64" i="1"/>
  <c r="L64" i="1" s="1"/>
  <c r="K65" i="1"/>
  <c r="L65" i="1" s="1"/>
  <c r="K66" i="1"/>
  <c r="L66" i="1" s="1"/>
  <c r="K67" i="1"/>
  <c r="L67" i="1" s="1"/>
  <c r="K70" i="1"/>
  <c r="L70" i="1" s="1"/>
  <c r="K71" i="1"/>
  <c r="L71" i="1" s="1"/>
  <c r="K73" i="1"/>
  <c r="L73" i="1" s="1"/>
  <c r="K74" i="1"/>
  <c r="L74" i="1" s="1"/>
  <c r="K75" i="1"/>
  <c r="L75" i="1" s="1"/>
  <c r="K76" i="1"/>
  <c r="L76" i="1" s="1"/>
  <c r="K77" i="1"/>
  <c r="L77" i="1" s="1"/>
  <c r="K78" i="1"/>
  <c r="L78" i="1" s="1"/>
  <c r="K79" i="1"/>
  <c r="L79" i="1" s="1"/>
  <c r="K80" i="1"/>
  <c r="L80" i="1" s="1"/>
  <c r="K81" i="1"/>
  <c r="L81" i="1" s="1"/>
  <c r="K82" i="1"/>
  <c r="L82" i="1" s="1"/>
  <c r="K87" i="1"/>
  <c r="L87" i="1" s="1"/>
  <c r="K88" i="1"/>
  <c r="L88" i="1" s="1"/>
  <c r="K91" i="1"/>
  <c r="L91" i="1" s="1"/>
  <c r="K92" i="1"/>
  <c r="L92" i="1" s="1"/>
  <c r="K93" i="1"/>
  <c r="L93" i="1" s="1"/>
  <c r="K94" i="1"/>
  <c r="L94" i="1" s="1"/>
  <c r="K99" i="1"/>
  <c r="L99" i="1" s="1"/>
  <c r="K100" i="1"/>
  <c r="L100" i="1" s="1"/>
  <c r="K101" i="1"/>
  <c r="L101" i="1" s="1"/>
  <c r="K102" i="1"/>
  <c r="L102" i="1" s="1"/>
  <c r="K107" i="1"/>
  <c r="L107" i="1" s="1"/>
  <c r="K108" i="1"/>
  <c r="L108" i="1" s="1"/>
  <c r="K109" i="1"/>
  <c r="L109" i="1" s="1"/>
  <c r="K112" i="1"/>
  <c r="L112" i="1" s="1"/>
  <c r="K113" i="1"/>
  <c r="L113" i="1" s="1"/>
  <c r="K114" i="1"/>
  <c r="L114" i="1" s="1"/>
  <c r="K115" i="1"/>
  <c r="L115" i="1" s="1"/>
  <c r="K119" i="1"/>
  <c r="L119" i="1" s="1"/>
  <c r="K120" i="1"/>
  <c r="L120" i="1" s="1"/>
  <c r="K121" i="1"/>
  <c r="L121" i="1" s="1"/>
  <c r="K122" i="1"/>
  <c r="L122" i="1" s="1"/>
  <c r="K123" i="1"/>
  <c r="L123" i="1" s="1"/>
  <c r="K126" i="1"/>
  <c r="L126" i="1" s="1"/>
  <c r="K127" i="1"/>
  <c r="L127" i="1" s="1"/>
  <c r="K129" i="1"/>
  <c r="L129" i="1" s="1"/>
  <c r="K130" i="1"/>
  <c r="L130" i="1" s="1"/>
  <c r="K133" i="1"/>
  <c r="L133" i="1" s="1"/>
  <c r="K134" i="1"/>
  <c r="L134" i="1" s="1"/>
  <c r="K135" i="1"/>
  <c r="L135" i="1" s="1"/>
  <c r="K136" i="1"/>
  <c r="L136" i="1" s="1"/>
  <c r="K140" i="1"/>
  <c r="L140" i="1" s="1"/>
  <c r="K148" i="1"/>
  <c r="L148" i="1" s="1"/>
  <c r="K149" i="1"/>
  <c r="L149" i="1" s="1"/>
  <c r="K150" i="1"/>
  <c r="L150" i="1" s="1"/>
  <c r="K151" i="1"/>
  <c r="L151" i="1" s="1"/>
  <c r="K155" i="1"/>
  <c r="L155" i="1" s="1"/>
  <c r="K156" i="1"/>
  <c r="L156" i="1" s="1"/>
  <c r="K157" i="1"/>
  <c r="L157" i="1" s="1"/>
  <c r="K158" i="1"/>
  <c r="L158" i="1" s="1"/>
  <c r="K159" i="1"/>
  <c r="L159" i="1" s="1"/>
  <c r="K161" i="1"/>
  <c r="L161" i="1" s="1"/>
  <c r="K162" i="1"/>
  <c r="L162" i="1" s="1"/>
  <c r="K163" i="1"/>
  <c r="L163" i="1" s="1"/>
  <c r="K164" i="1"/>
  <c r="L164" i="1" s="1"/>
  <c r="K165" i="1"/>
  <c r="L165" i="1" s="1"/>
  <c r="K168" i="1"/>
  <c r="L168" i="1" s="1"/>
  <c r="K169" i="1"/>
  <c r="L169" i="1" s="1"/>
  <c r="K170" i="1"/>
  <c r="L170" i="1" s="1"/>
  <c r="K171" i="1"/>
  <c r="L171" i="1" s="1"/>
  <c r="K172" i="1"/>
  <c r="L172" i="1" s="1"/>
  <c r="K176" i="1"/>
  <c r="L176" i="1" s="1"/>
  <c r="K178" i="1"/>
  <c r="L178" i="1" s="1"/>
  <c r="K184" i="1"/>
  <c r="L184" i="1" s="1"/>
  <c r="K186" i="1"/>
  <c r="L186" i="1" s="1"/>
  <c r="K189" i="1"/>
  <c r="L189" i="1" s="1"/>
  <c r="K190" i="1"/>
  <c r="L190" i="1" s="1"/>
  <c r="K193" i="1"/>
  <c r="L193" i="1" s="1"/>
  <c r="K196" i="1"/>
  <c r="L196" i="1" s="1"/>
  <c r="K204" i="1"/>
  <c r="L204" i="1" s="1"/>
  <c r="K205" i="1"/>
  <c r="L205" i="1" s="1"/>
  <c r="K206" i="1"/>
  <c r="L206" i="1" s="1"/>
  <c r="K207" i="1"/>
  <c r="L207" i="1" s="1"/>
  <c r="K211" i="1"/>
  <c r="L211" i="1" s="1"/>
  <c r="K212" i="1"/>
  <c r="L212" i="1" s="1"/>
  <c r="K213" i="1"/>
  <c r="L213" i="1" s="1"/>
  <c r="K214" i="1"/>
  <c r="L214" i="1" s="1"/>
  <c r="K217" i="1"/>
  <c r="L217" i="1" s="1"/>
  <c r="K220" i="1"/>
  <c r="L220" i="1" s="1"/>
  <c r="K221" i="1"/>
  <c r="L221" i="1" s="1"/>
  <c r="K224" i="1"/>
  <c r="L224" i="1" s="1"/>
  <c r="K225" i="1"/>
  <c r="L225" i="1" s="1"/>
  <c r="K226" i="1"/>
  <c r="L226" i="1" s="1"/>
  <c r="K227" i="1"/>
  <c r="L227" i="1" s="1"/>
  <c r="K232" i="1"/>
  <c r="L232" i="1" s="1"/>
  <c r="K233" i="1"/>
  <c r="L233" i="1" s="1"/>
  <c r="K234" i="1"/>
  <c r="L234" i="1" s="1"/>
  <c r="K235" i="1"/>
  <c r="L235" i="1" s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Q235" i="1" l="1"/>
  <c r="R235" i="1" s="1"/>
  <c r="S235" i="1"/>
  <c r="Q172" i="1"/>
  <c r="R172" i="1" s="1"/>
  <c r="U172" i="1"/>
  <c r="Q202" i="1"/>
  <c r="R202" i="1" s="1"/>
  <c r="U202" i="1"/>
  <c r="Q194" i="1"/>
  <c r="R194" i="1" s="1"/>
  <c r="U194" i="1"/>
  <c r="Q178" i="1"/>
  <c r="R178" i="1" s="1"/>
  <c r="U178" i="1"/>
  <c r="Q196" i="1"/>
  <c r="R196" i="1" s="1"/>
  <c r="U196" i="1"/>
  <c r="Q201" i="1"/>
  <c r="R201" i="1" s="1"/>
  <c r="U201" i="1"/>
  <c r="Q193" i="1"/>
  <c r="R193" i="1" s="1"/>
  <c r="U193" i="1"/>
  <c r="Q184" i="1"/>
  <c r="R184" i="1" s="1"/>
  <c r="U184" i="1"/>
  <c r="Q199" i="1"/>
  <c r="R199" i="1" s="1"/>
  <c r="U199" i="1"/>
  <c r="Q197" i="1"/>
  <c r="R197" i="1" s="1"/>
  <c r="U197" i="1"/>
  <c r="Q189" i="1"/>
  <c r="R189" i="1" s="1"/>
  <c r="U189" i="1"/>
  <c r="S207" i="1"/>
  <c r="Q166" i="1"/>
  <c r="R166" i="1" s="1"/>
  <c r="U166" i="1"/>
  <c r="Q170" i="1"/>
  <c r="R170" i="1" s="1"/>
  <c r="U170" i="1"/>
  <c r="Q164" i="1"/>
  <c r="R164" i="1" s="1"/>
  <c r="U164" i="1"/>
  <c r="Q163" i="1"/>
  <c r="R163" i="1" s="1"/>
  <c r="U163" i="1"/>
  <c r="Q165" i="1"/>
  <c r="R165" i="1" s="1"/>
  <c r="U165" i="1"/>
  <c r="Q154" i="1"/>
  <c r="R154" i="1" s="1"/>
  <c r="U154" i="1"/>
  <c r="Q155" i="1"/>
  <c r="R155" i="1" s="1"/>
  <c r="U155" i="1"/>
  <c r="Q152" i="1"/>
  <c r="R152" i="1" s="1"/>
  <c r="U152" i="1"/>
  <c r="Q161" i="1"/>
  <c r="R161" i="1" s="1"/>
  <c r="U161" i="1"/>
  <c r="Q153" i="1"/>
  <c r="R153" i="1" s="1"/>
  <c r="U153" i="1"/>
  <c r="S172" i="1"/>
  <c r="Q157" i="1"/>
  <c r="R157" i="1" s="1"/>
  <c r="U157" i="1"/>
  <c r="Q151" i="1"/>
  <c r="R151" i="1" s="1"/>
  <c r="U151" i="1"/>
  <c r="R139" i="1"/>
  <c r="U139" i="1"/>
  <c r="Q158" i="1"/>
  <c r="R158" i="1" s="1"/>
  <c r="U158" i="1"/>
  <c r="Q149" i="1"/>
  <c r="R149" i="1" s="1"/>
  <c r="U149" i="1"/>
  <c r="U146" i="1"/>
  <c r="U142" i="1"/>
  <c r="U141" i="1"/>
  <c r="Q147" i="1"/>
  <c r="U147" i="1"/>
  <c r="U145" i="1"/>
  <c r="Q148" i="1"/>
  <c r="R148" i="1" s="1"/>
  <c r="U148" i="1"/>
  <c r="Q140" i="1"/>
  <c r="R140" i="1" s="1"/>
  <c r="U140" i="1"/>
  <c r="Q125" i="1"/>
  <c r="R125" i="1" s="1"/>
  <c r="Q127" i="1"/>
  <c r="R127" i="1" s="1"/>
  <c r="U127" i="1"/>
  <c r="Q124" i="1"/>
  <c r="R124" i="1" s="1"/>
  <c r="U124" i="1"/>
  <c r="Q122" i="1"/>
  <c r="R122" i="1" s="1"/>
  <c r="U122" i="1"/>
  <c r="Q121" i="1"/>
  <c r="R121" i="1" s="1"/>
  <c r="U121" i="1"/>
  <c r="Q116" i="1"/>
  <c r="R116" i="1" s="1"/>
  <c r="U116" i="1"/>
  <c r="Q119" i="1"/>
  <c r="R119" i="1" s="1"/>
  <c r="U119" i="1"/>
  <c r="Q117" i="1"/>
  <c r="R117" i="1" s="1"/>
  <c r="U117" i="1"/>
  <c r="Q115" i="1"/>
  <c r="R115" i="1" s="1"/>
  <c r="U115" i="1"/>
  <c r="Q113" i="1"/>
  <c r="R113" i="1" s="1"/>
  <c r="U113" i="1"/>
  <c r="Q112" i="1"/>
  <c r="R112" i="1" s="1"/>
  <c r="U112" i="1"/>
  <c r="Q111" i="1"/>
  <c r="R111" i="1" s="1"/>
  <c r="U111" i="1"/>
  <c r="Q110" i="1"/>
  <c r="R110" i="1" s="1"/>
  <c r="U110" i="1"/>
  <c r="Q109" i="1"/>
  <c r="R109" i="1" s="1"/>
  <c r="U109" i="1"/>
  <c r="S124" i="1"/>
  <c r="Q100" i="1"/>
  <c r="R100" i="1" s="1"/>
  <c r="U100" i="1"/>
  <c r="Q107" i="1"/>
  <c r="R107" i="1" s="1"/>
  <c r="U107" i="1"/>
  <c r="Q106" i="1"/>
  <c r="R106" i="1" s="1"/>
  <c r="U106" i="1"/>
  <c r="Q105" i="1"/>
  <c r="R105" i="1" s="1"/>
  <c r="U105" i="1"/>
  <c r="Q103" i="1"/>
  <c r="R103" i="1" s="1"/>
  <c r="U103" i="1"/>
  <c r="Q101" i="1"/>
  <c r="R101" i="1" s="1"/>
  <c r="U101" i="1"/>
  <c r="Q99" i="1"/>
  <c r="R99" i="1" s="1"/>
  <c r="U99" i="1"/>
  <c r="Q98" i="1"/>
  <c r="R98" i="1" s="1"/>
  <c r="U98" i="1"/>
  <c r="Q97" i="1"/>
  <c r="R97" i="1" s="1"/>
  <c r="U97" i="1"/>
  <c r="S195" i="1"/>
  <c r="S148" i="1"/>
  <c r="S100" i="1"/>
  <c r="S196" i="1"/>
  <c r="Q91" i="1"/>
  <c r="R91" i="1" s="1"/>
  <c r="S90" i="1"/>
  <c r="U90" i="1"/>
  <c r="S89" i="1"/>
  <c r="Q90" i="1"/>
  <c r="R90" i="1" s="1"/>
  <c r="U89" i="1"/>
  <c r="S88" i="1"/>
  <c r="Q89" i="1"/>
  <c r="R89" i="1" s="1"/>
  <c r="R83" i="1"/>
  <c r="S82" i="1"/>
  <c r="Q88" i="1"/>
  <c r="R88" i="1" s="1"/>
  <c r="S87" i="1"/>
  <c r="Q82" i="1"/>
  <c r="R82" i="1" s="1"/>
  <c r="S81" i="1"/>
  <c r="R84" i="1"/>
  <c r="Q93" i="1"/>
  <c r="R93" i="1" s="1"/>
  <c r="S92" i="1"/>
  <c r="U87" i="1"/>
  <c r="Q87" i="1"/>
  <c r="R87" i="1" s="1"/>
  <c r="S80" i="1"/>
  <c r="Q81" i="1"/>
  <c r="R81" i="1" s="1"/>
  <c r="S91" i="1"/>
  <c r="Q92" i="1"/>
  <c r="R92" i="1" s="1"/>
  <c r="Q80" i="1"/>
  <c r="R80" i="1" s="1"/>
  <c r="U92" i="1"/>
  <c r="U91" i="1"/>
  <c r="U88" i="1"/>
  <c r="R86" i="1"/>
  <c r="R85" i="1"/>
  <c r="U82" i="1"/>
  <c r="U81" i="1"/>
  <c r="U80" i="1"/>
  <c r="S213" i="1"/>
  <c r="S189" i="1"/>
  <c r="S165" i="1"/>
  <c r="S117" i="1"/>
  <c r="S93" i="1"/>
  <c r="S190" i="1"/>
  <c r="S220" i="1"/>
  <c r="Q221" i="1"/>
  <c r="R221" i="1" s="1"/>
  <c r="S70" i="1"/>
  <c r="Q70" i="1"/>
  <c r="R70" i="1" s="1"/>
  <c r="Q191" i="1"/>
  <c r="R191" i="1" s="1"/>
  <c r="Q94" i="1"/>
  <c r="R94" i="1" s="1"/>
  <c r="Q118" i="1"/>
  <c r="R118" i="1" s="1"/>
  <c r="S202" i="1"/>
  <c r="S194" i="1"/>
  <c r="S170" i="1"/>
  <c r="S130" i="1"/>
  <c r="S122" i="1"/>
  <c r="S106" i="1"/>
  <c r="S214" i="1"/>
  <c r="Q190" i="1"/>
  <c r="R190" i="1" s="1"/>
  <c r="S226" i="1"/>
  <c r="Q195" i="1"/>
  <c r="R195" i="1" s="1"/>
  <c r="S178" i="1"/>
  <c r="S154" i="1"/>
  <c r="S123" i="1"/>
  <c r="Q203" i="1"/>
  <c r="R203" i="1" s="1"/>
  <c r="Q123" i="1"/>
  <c r="R123" i="1" s="1"/>
  <c r="S115" i="1"/>
  <c r="S105" i="1"/>
  <c r="S163" i="1"/>
  <c r="Q131" i="1"/>
  <c r="R131" i="1" s="1"/>
  <c r="S206" i="1"/>
  <c r="S166" i="1"/>
  <c r="S158" i="1"/>
  <c r="S134" i="1"/>
  <c r="S118" i="1"/>
  <c r="S94" i="1"/>
  <c r="S219" i="1"/>
  <c r="S211" i="1"/>
  <c r="S171" i="1"/>
  <c r="Q171" i="1"/>
  <c r="R171" i="1" s="1"/>
  <c r="S147" i="1"/>
  <c r="S139" i="1"/>
  <c r="S218" i="1"/>
  <c r="Q167" i="1"/>
  <c r="R167" i="1" s="1"/>
  <c r="Q159" i="1"/>
  <c r="R159" i="1" s="1"/>
  <c r="Q95" i="1"/>
  <c r="R95" i="1" s="1"/>
  <c r="S199" i="1"/>
  <c r="S159" i="1"/>
  <c r="S135" i="1"/>
  <c r="S127" i="1"/>
  <c r="S112" i="1"/>
  <c r="S103" i="1"/>
  <c r="S225" i="1"/>
  <c r="Q135" i="1"/>
  <c r="R135" i="1" s="1"/>
  <c r="S201" i="1"/>
  <c r="S110" i="1"/>
  <c r="S153" i="1"/>
  <c r="S232" i="1"/>
  <c r="Q176" i="1"/>
  <c r="R176" i="1" s="1"/>
  <c r="S151" i="1"/>
  <c r="Q104" i="1"/>
  <c r="R104" i="1" s="1"/>
  <c r="Q232" i="1"/>
  <c r="Q200" i="1"/>
  <c r="R200" i="1" s="1"/>
  <c r="S136" i="1"/>
  <c r="S111" i="1"/>
  <c r="S160" i="1"/>
  <c r="Q136" i="1"/>
  <c r="R136" i="1" s="1"/>
  <c r="Q128" i="1"/>
  <c r="R128" i="1" s="1"/>
  <c r="Q160" i="1"/>
  <c r="R160" i="1" s="1"/>
  <c r="Q224" i="1"/>
  <c r="R224" i="1" s="1"/>
  <c r="S184" i="1"/>
  <c r="S129" i="1"/>
  <c r="S98" i="1"/>
  <c r="S224" i="1"/>
  <c r="S217" i="1"/>
  <c r="S212" i="1"/>
  <c r="S205" i="1"/>
  <c r="S200" i="1"/>
  <c r="S193" i="1"/>
  <c r="S176" i="1"/>
  <c r="S169" i="1"/>
  <c r="S164" i="1"/>
  <c r="S157" i="1"/>
  <c r="S152" i="1"/>
  <c r="S140" i="1"/>
  <c r="S133" i="1"/>
  <c r="S128" i="1"/>
  <c r="S121" i="1"/>
  <c r="S116" i="1"/>
  <c r="S109" i="1"/>
  <c r="S104" i="1"/>
  <c r="S97" i="1"/>
  <c r="S233" i="1"/>
  <c r="S227" i="1"/>
  <c r="S221" i="1"/>
  <c r="S215" i="1"/>
  <c r="S203" i="1"/>
  <c r="S197" i="1"/>
  <c r="S191" i="1"/>
  <c r="S167" i="1"/>
  <c r="S161" i="1"/>
  <c r="S155" i="1"/>
  <c r="S149" i="1"/>
  <c r="S137" i="1"/>
  <c r="S131" i="1"/>
  <c r="S125" i="1"/>
  <c r="S99" i="1"/>
  <c r="Q65" i="1"/>
  <c r="R65" i="1" s="1"/>
  <c r="S119" i="1"/>
  <c r="S113" i="1"/>
  <c r="S107" i="1"/>
  <c r="S101" i="1"/>
  <c r="S95" i="1"/>
  <c r="Q67" i="1"/>
  <c r="R67" i="1" s="1"/>
  <c r="D7" i="5"/>
  <c r="C12" i="5"/>
  <c r="C13" i="5" s="1"/>
  <c r="C15" i="5" s="1"/>
  <c r="Q64" i="1"/>
  <c r="R64" i="1" s="1"/>
  <c r="Q63" i="1"/>
  <c r="R63" i="1" s="1"/>
  <c r="D11" i="5"/>
  <c r="D12" i="5" s="1"/>
  <c r="S234" i="1"/>
  <c r="S216" i="1"/>
  <c r="S204" i="1"/>
  <c r="S198" i="1"/>
  <c r="S192" i="1"/>
  <c r="S186" i="1"/>
  <c r="S168" i="1"/>
  <c r="S162" i="1"/>
  <c r="S156" i="1"/>
  <c r="S150" i="1"/>
  <c r="S138" i="1"/>
  <c r="S132" i="1"/>
  <c r="S126" i="1"/>
  <c r="S120" i="1"/>
  <c r="S114" i="1"/>
  <c r="S108" i="1"/>
  <c r="S102" i="1"/>
  <c r="S96" i="1"/>
  <c r="Q234" i="1"/>
  <c r="R234" i="1" s="1"/>
  <c r="R216" i="1"/>
  <c r="Q204" i="1"/>
  <c r="R204" i="1" s="1"/>
  <c r="Q198" i="1"/>
  <c r="R198" i="1" s="1"/>
  <c r="Q192" i="1"/>
  <c r="R192" i="1" s="1"/>
  <c r="Q186" i="1"/>
  <c r="R186" i="1" s="1"/>
  <c r="Q168" i="1"/>
  <c r="R168" i="1" s="1"/>
  <c r="Q162" i="1"/>
  <c r="R162" i="1" s="1"/>
  <c r="Q156" i="1"/>
  <c r="R156" i="1" s="1"/>
  <c r="Q150" i="1"/>
  <c r="R150" i="1" s="1"/>
  <c r="R138" i="1"/>
  <c r="Q132" i="1"/>
  <c r="R132" i="1" s="1"/>
  <c r="Q126" i="1"/>
  <c r="R126" i="1" s="1"/>
  <c r="Q120" i="1"/>
  <c r="R120" i="1" s="1"/>
  <c r="Q114" i="1"/>
  <c r="R114" i="1" s="1"/>
  <c r="Q108" i="1"/>
  <c r="R108" i="1" s="1"/>
  <c r="Q102" i="1"/>
  <c r="R102" i="1" s="1"/>
  <c r="Q96" i="1"/>
  <c r="R96" i="1" s="1"/>
  <c r="Q71" i="1"/>
  <c r="R71" i="1" s="1"/>
  <c r="E12" i="5" l="1"/>
  <c r="D13" i="5"/>
  <c r="D15" i="5" s="1"/>
  <c r="E15" i="5" s="1"/>
  <c r="K68" i="1" l="1"/>
  <c r="L68" i="1" s="1"/>
  <c r="V68" i="1"/>
  <c r="N68" i="1"/>
  <c r="Q68" i="1" s="1"/>
  <c r="R68" i="1" s="1"/>
  <c r="S67" i="1" l="1"/>
  <c r="U68" i="1"/>
  <c r="K69" i="1"/>
  <c r="L69" i="1" s="1"/>
  <c r="N69" i="1"/>
  <c r="U69" i="1" s="1"/>
  <c r="T69" i="1"/>
  <c r="V69" i="1" s="1"/>
  <c r="Q69" i="1" l="1"/>
  <c r="R69" i="1" s="1"/>
  <c r="S68" i="1"/>
  <c r="S69" i="1"/>
  <c r="J72" i="1" l="1"/>
  <c r="N72" i="1" s="1"/>
  <c r="Q72" i="1" l="1"/>
  <c r="R72" i="1" s="1"/>
  <c r="S71" i="1"/>
  <c r="S72" i="1"/>
  <c r="U72" i="1"/>
  <c r="K72" i="1"/>
  <c r="L7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Sofia Osorio Parra</author>
  </authors>
  <commentList>
    <comment ref="F4" authorId="0" shapeId="0" xr:uid="{3A74F814-00C1-4652-BF43-11A766A6BEB0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DIGITAL</t>
        </r>
      </text>
    </comment>
    <comment ref="B5" authorId="0" shapeId="0" xr:uid="{6FBAA7ED-09E2-443B-B36C-DB8D484D75C4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PANTALLA
</t>
        </r>
      </text>
    </comment>
    <comment ref="C5" authorId="0" shapeId="0" xr:uid="{CA0D05BE-16CB-4D01-B016-4F21A7E6D411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ROTAMETRO GRANDE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Beardsley</author>
    <author>Erbin Dario Galvis Rodriguez</author>
    <author>tc={70C786D8-D66D-4FDB-AD53-3D129EC070AB}</author>
    <author>tc={5C22BE65-BFE0-4F2F-9A1F-E48306A011B8}</author>
    <author>Luna Sofia Osorio Parra</author>
  </authors>
  <commentList>
    <comment ref="A1" authorId="0" shapeId="0" xr:uid="{47D49507-160D-4E81-B830-6CE7753E5955}">
      <text>
        <r>
          <rPr>
            <b/>
            <sz val="8"/>
            <color indexed="81"/>
            <rFont val="Tahoma"/>
            <family val="2"/>
          </rPr>
          <t>The date should be entered using the following format:  dd-mmm-yyyy (e.g., 04-Nov-1999).</t>
        </r>
      </text>
    </comment>
    <comment ref="C1" authorId="1" shapeId="0" xr:uid="{6DE3289B-5D4D-47C8-92A0-38F4CAD4BD29}">
      <text>
        <r>
          <rPr>
            <b/>
            <sz val="9"/>
            <color indexed="81"/>
            <rFont val="Tahoma"/>
            <family val="2"/>
          </rPr>
          <t xml:space="preserve">PRESION (15 - 18 Bar)
</t>
        </r>
      </text>
    </comment>
    <comment ref="E1" authorId="1" shapeId="0" xr:uid="{EB7D127D-18BE-4E0E-95B9-831244919EBD}">
      <text>
        <r>
          <rPr>
            <b/>
            <sz val="9"/>
            <color indexed="81"/>
            <rFont val="Tahoma"/>
            <family val="2"/>
          </rPr>
          <t xml:space="preserve">PRESION (18 - 21 bar)
</t>
        </r>
      </text>
    </comment>
    <comment ref="G1" authorId="0" shapeId="0" xr:uid="{F590A59E-390F-42FC-B7ED-E06D99564704}">
      <text>
        <r>
          <rPr>
            <b/>
            <sz val="8"/>
            <color indexed="81"/>
            <rFont val="Tahoma"/>
            <family val="2"/>
          </rPr>
          <t>DUPONT: Cuando el diferencial de presión aumente de 10 - 15%</t>
        </r>
      </text>
    </comment>
    <comment ref="H1" authorId="0" shapeId="0" xr:uid="{219F89B6-1E5D-467D-86CD-97FEE166BB81}">
      <text>
        <r>
          <rPr>
            <b/>
            <sz val="8"/>
            <color indexed="81"/>
            <rFont val="Tahoma"/>
            <family val="2"/>
          </rPr>
          <t>DUPONT: Cuando el diferencial de presión aumente de 10 - 15%</t>
        </r>
      </text>
    </comment>
    <comment ref="I1" authorId="1" shapeId="0" xr:uid="{A168A87E-5089-46BE-9CC1-602CD0F81769}">
      <text>
        <r>
          <rPr>
            <b/>
            <sz val="9"/>
            <color indexed="81"/>
            <rFont val="Tahoma"/>
            <family val="2"/>
          </rPr>
          <t xml:space="preserve">NO OPERAR CON Q&lt;70 m3/h
</t>
        </r>
      </text>
    </comment>
    <comment ref="K1" authorId="1" shapeId="0" xr:uid="{2ACC1303-5678-44EA-8BB7-157CF4B08A0D}">
      <text>
        <r>
          <rPr>
            <b/>
            <sz val="9"/>
            <color indexed="81"/>
            <rFont val="Tahoma"/>
            <family val="2"/>
          </rPr>
          <t xml:space="preserve">De acuerdo a manual CWT el diseño de la 1a RO tiene recuperación de 75%
</t>
        </r>
      </text>
    </comment>
    <comment ref="M1" authorId="1" shapeId="0" xr:uid="{CDA62002-227D-4358-9268-D3291F5E6450}">
      <text>
        <r>
          <rPr>
            <b/>
            <sz val="9"/>
            <color indexed="81"/>
            <rFont val="Tahoma"/>
            <family val="2"/>
          </rPr>
          <t xml:space="preserve">DUPONT: Cuando se reduzca en un 10%
</t>
        </r>
      </text>
    </comment>
    <comment ref="O1" authorId="2" shapeId="0" xr:uid="{70C786D8-D66D-4FDB-AD53-3D129EC070A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ROTAMETRO ETAPA 2</t>
      </text>
    </comment>
    <comment ref="P1" authorId="3" shapeId="0" xr:uid="{5C22BE65-BFE0-4F2F-9A1F-E48306A011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ROTAMETRO ETAPA 2</t>
      </text>
    </comment>
    <comment ref="Q1" authorId="1" shapeId="0" xr:uid="{9840F253-644D-4EA0-ACE0-A558E888E2AA}">
      <text>
        <r>
          <rPr>
            <b/>
            <sz val="9"/>
            <color indexed="81"/>
            <rFont val="Tahoma"/>
            <family val="2"/>
          </rPr>
          <t xml:space="preserve">De acuerdo a manual CWT el diseño de la 1a RO tiene recuperación de 75%
</t>
        </r>
      </text>
    </comment>
    <comment ref="S1" authorId="1" shapeId="0" xr:uid="{2B69973E-FAB8-44DA-8AE2-F770201CD1E8}">
      <text>
        <r>
          <rPr>
            <b/>
            <sz val="9"/>
            <color indexed="81"/>
            <rFont val="Tahoma"/>
            <family val="2"/>
          </rPr>
          <t xml:space="preserve">DUPONT: Cuando se reduzca en un 10%
</t>
        </r>
      </text>
    </comment>
    <comment ref="T1" authorId="4" shapeId="0" xr:uid="{3F5253BD-DF27-41AE-A526-E0BCFF2ED488}">
      <text>
        <r>
          <rPr>
            <b/>
            <sz val="9"/>
            <color indexed="81"/>
            <rFont val="Tahoma"/>
            <family val="2"/>
          </rPr>
          <t xml:space="preserve">Luna Sofia Osorio Parra:ANOTAR DIGITAL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1" authorId="4" shapeId="0" xr:uid="{63782B78-E975-41DF-9B38-4A788AA73B2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ROTAMETRO RECHAZO  </t>
        </r>
      </text>
    </comment>
    <comment ref="W1" authorId="4" shapeId="0" xr:uid="{4B93222F-EB6B-47E5-BF64-71A670604A3B}">
      <text>
        <r>
          <rPr>
            <b/>
            <sz val="9"/>
            <color indexed="81"/>
            <rFont val="Tahoma"/>
            <family val="2"/>
          </rPr>
          <t xml:space="preserve">Luna Sofia Osorio Parra:ANOTAR DIGITAL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" authorId="4" shapeId="0" xr:uid="{1722BA06-EF01-4CF9-B739-725FD0DA545B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ROTAMETRO RECHAZO  </t>
        </r>
      </text>
    </comment>
    <comment ref="Y1" authorId="1" shapeId="0" xr:uid="{0BB72D69-F667-4A47-95D4-27B8E7569173}">
      <text>
        <r>
          <rPr>
            <b/>
            <sz val="9"/>
            <color indexed="81"/>
            <rFont val="Tahoma"/>
            <family val="2"/>
          </rPr>
          <t xml:space="preserve">El manual no indica un dato de presión
</t>
        </r>
      </text>
    </comment>
    <comment ref="C175" authorId="1" shapeId="0" xr:uid="{1FA40A44-7B96-41AF-8C6F-8D5935E70602}">
      <text>
        <r>
          <rPr>
            <b/>
            <sz val="9"/>
            <color indexed="81"/>
            <rFont val="Tahoma"/>
            <family val="2"/>
          </rPr>
          <t>Erbin Dario Galvis Rodriguez:</t>
        </r>
        <r>
          <rPr>
            <sz val="9"/>
            <color indexed="81"/>
            <rFont val="Tahoma"/>
            <family val="2"/>
          </rPr>
          <t xml:space="preserve">
No se opera intervención Torre de enfriamiento
</t>
        </r>
      </text>
    </comment>
    <comment ref="C177" authorId="1" shapeId="0" xr:uid="{C421C653-B4C4-422B-B781-6732239D85F9}">
      <text>
        <r>
          <rPr>
            <b/>
            <sz val="9"/>
            <color indexed="81"/>
            <rFont val="Tahoma"/>
            <family val="2"/>
          </rPr>
          <t>Erbin Dario Galvis Rodriguez:</t>
        </r>
        <r>
          <rPr>
            <sz val="9"/>
            <color indexed="81"/>
            <rFont val="Tahoma"/>
            <family val="2"/>
          </rPr>
          <t xml:space="preserve">
NO SE OPERA RO POR INTERVENCION EN TORRE DE ENFRIAMIENTO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Beardsley</author>
    <author>Luna Sofia Osorio Parra</author>
    <author>Erbin Dario Galvis Rodriguez</author>
    <author>tc={70C786D8-D66D-4FDC-AD53-3D129EC070AB}</author>
  </authors>
  <commentList>
    <comment ref="A1" authorId="0" shapeId="0" xr:uid="{13BE3410-C88C-49E3-B4BD-7C45BEAE5932}">
      <text>
        <r>
          <rPr>
            <b/>
            <sz val="8"/>
            <color indexed="81"/>
            <rFont val="Tahoma"/>
            <family val="2"/>
          </rPr>
          <t>The date should be entered using the following format:  dd-mmm-yyyy (e.g., 04-Nov-1999).</t>
        </r>
      </text>
    </comment>
    <comment ref="C1" authorId="1" shapeId="0" xr:uid="{687BEDA9-7462-4105-B332-94DB2DE5196C}">
      <text>
        <r>
          <rPr>
            <b/>
            <sz val="9"/>
            <color indexed="81"/>
            <rFont val="Tahoma"/>
            <family val="2"/>
          </rPr>
          <t xml:space="preserve">Luna Sofia Osorio Parra:ANOTAR DIGITAL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CB5ACCE8-5E8C-4BA3-B594-B2FCAD4EC252}">
      <text>
        <r>
          <rPr>
            <b/>
            <sz val="9"/>
            <color indexed="81"/>
            <rFont val="Tahoma"/>
            <family val="2"/>
          </rPr>
          <t>Luna Sofia Osorio Parra:</t>
        </r>
        <r>
          <rPr>
            <sz val="9"/>
            <color indexed="81"/>
            <rFont val="Tahoma"/>
            <family val="2"/>
          </rPr>
          <t xml:space="preserve">
ROTAMETRO RECHAZO  </t>
        </r>
      </text>
    </comment>
    <comment ref="F1" authorId="2" shapeId="0" xr:uid="{29E57BF3-5481-4153-9312-98E6BA5B97E4}">
      <text>
        <r>
          <rPr>
            <b/>
            <sz val="9"/>
            <color indexed="81"/>
            <rFont val="Tahoma"/>
            <family val="2"/>
          </rPr>
          <t xml:space="preserve">PRESION (15 - 18 Bar)
</t>
        </r>
      </text>
    </comment>
    <comment ref="G1" authorId="2" shapeId="0" xr:uid="{CED64AAD-5EEA-4970-BBFA-76F67C13AE4A}">
      <text>
        <r>
          <rPr>
            <b/>
            <sz val="9"/>
            <color indexed="81"/>
            <rFont val="Tahoma"/>
            <family val="2"/>
          </rPr>
          <t xml:space="preserve">NO OPERAR CON Q&lt;70 m3/h
</t>
        </r>
      </text>
    </comment>
    <comment ref="J1" authorId="0" shapeId="0" xr:uid="{4D4976E0-988A-48EE-A1B6-4AD8732CEDF4}">
      <text>
        <r>
          <rPr>
            <b/>
            <sz val="8"/>
            <color indexed="81"/>
            <rFont val="Tahoma"/>
            <family val="2"/>
          </rPr>
          <t>DUPONT: Cuando el diferencial de presión aumente de 10 - 15%</t>
        </r>
      </text>
    </comment>
    <comment ref="K1" authorId="2" shapeId="0" xr:uid="{D15C26E6-A1F4-4BE0-8D44-31C95100E0C4}">
      <text>
        <r>
          <rPr>
            <b/>
            <sz val="9"/>
            <color indexed="81"/>
            <rFont val="Tahoma"/>
            <family val="2"/>
          </rPr>
          <t xml:space="preserve">De acuerdo a manual CWT el diseño de la 1a RO tiene recuperación de 75%
</t>
        </r>
      </text>
    </comment>
    <comment ref="M1" authorId="2" shapeId="0" xr:uid="{56A5117C-E9E1-4B66-B350-8C2DA73096BD}">
      <text>
        <r>
          <rPr>
            <b/>
            <sz val="9"/>
            <color indexed="81"/>
            <rFont val="Tahoma"/>
            <family val="2"/>
          </rPr>
          <t xml:space="preserve">DUPONT: Cuando se reduzca en un 10%
</t>
        </r>
      </text>
    </comment>
    <comment ref="N1" authorId="2" shapeId="0" xr:uid="{BC57F5AA-9EEB-481B-8A4F-6DFC738BE8A7}">
      <text>
        <r>
          <rPr>
            <b/>
            <sz val="9"/>
            <color indexed="81"/>
            <rFont val="Tahoma"/>
            <family val="2"/>
          </rPr>
          <t xml:space="preserve">PRESION (18 - 21 bar)
</t>
        </r>
      </text>
    </comment>
    <comment ref="Q1" authorId="3" shapeId="0" xr:uid="{C7D4443B-046F-4F8F-A391-4A4F98DFA4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ROTAMETRO ETAPA 2</t>
      </text>
    </comment>
    <comment ref="R1" authorId="0" shapeId="0" xr:uid="{04588386-D3CD-4CA4-8C78-A1C84734E503}">
      <text>
        <r>
          <rPr>
            <b/>
            <sz val="8"/>
            <color indexed="81"/>
            <rFont val="Tahoma"/>
            <family val="2"/>
          </rPr>
          <t>DUPONT: Cuando el diferencial de presión aumente de 10 - 15%</t>
        </r>
      </text>
    </comment>
    <comment ref="S1" authorId="2" shapeId="0" xr:uid="{B111A461-7CEB-493C-BF0C-EAE517A07915}">
      <text>
        <r>
          <rPr>
            <b/>
            <sz val="9"/>
            <color indexed="81"/>
            <rFont val="Tahoma"/>
            <family val="2"/>
          </rPr>
          <t xml:space="preserve">De acuerdo a manual CWT el diseño de la 1a RO tiene recuperación de 75%
</t>
        </r>
      </text>
    </comment>
    <comment ref="U1" authorId="2" shapeId="0" xr:uid="{1C5B3EB6-C618-4BFD-B14A-1704787A447B}">
      <text>
        <r>
          <rPr>
            <b/>
            <sz val="9"/>
            <color indexed="81"/>
            <rFont val="Tahoma"/>
            <family val="2"/>
          </rPr>
          <t xml:space="preserve">DUPONT: Cuando se reduzca en un 10%
</t>
        </r>
      </text>
    </comment>
    <comment ref="V1" authorId="2" shapeId="0" xr:uid="{1A8DE0CF-6BDC-42BA-B7D2-3A89AAFE5495}">
      <text>
        <r>
          <rPr>
            <b/>
            <sz val="9"/>
            <color indexed="81"/>
            <rFont val="Tahoma"/>
            <family val="2"/>
          </rPr>
          <t xml:space="preserve">El manual no indica un dato de presión
</t>
        </r>
      </text>
    </comment>
    <comment ref="F156" authorId="2" shapeId="0" xr:uid="{768F2E27-E531-4FCF-871B-06304E095CB3}">
      <text>
        <r>
          <rPr>
            <b/>
            <sz val="9"/>
            <color indexed="81"/>
            <rFont val="Tahoma"/>
            <family val="2"/>
          </rPr>
          <t>Erbin Dario Galvis Rodriguez:</t>
        </r>
        <r>
          <rPr>
            <sz val="9"/>
            <color indexed="81"/>
            <rFont val="Tahoma"/>
            <family val="2"/>
          </rPr>
          <t xml:space="preserve">
No se opera intervención Torre de enfriamiento
</t>
        </r>
      </text>
    </comment>
    <comment ref="F158" authorId="2" shapeId="0" xr:uid="{362D5A60-E47C-42DD-88D2-4ADDEE662563}">
      <text>
        <r>
          <rPr>
            <b/>
            <sz val="9"/>
            <color indexed="81"/>
            <rFont val="Tahoma"/>
            <family val="2"/>
          </rPr>
          <t>Erbin Dario Galvis Rodriguez:</t>
        </r>
        <r>
          <rPr>
            <sz val="9"/>
            <color indexed="81"/>
            <rFont val="Tahoma"/>
            <family val="2"/>
          </rPr>
          <t xml:space="preserve">
NO SE OPERA RO POR INTERVENCION EN TORRE DE ENFRIAMIENTO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Beardsley</author>
  </authors>
  <commentList>
    <comment ref="B3" authorId="0" shapeId="0" xr:uid="{C7F99474-B955-40CA-95B0-FCD86FCBAAA5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4" authorId="0" shapeId="0" xr:uid="{833E4758-88BC-47AB-8741-197F6CA8EADC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5" authorId="0" shapeId="0" xr:uid="{76D4F26D-3023-4CB7-B011-F109E91A3CB0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7" authorId="0" shapeId="0" xr:uid="{1A6F4EA9-E9DD-49AF-80C5-C1652498402A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8" authorId="0" shapeId="0" xr:uid="{F66A2D7E-BC42-40E6-9945-442C3140062A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9" authorId="0" shapeId="0" xr:uid="{3E9A48AF-FCA6-4C4F-9ED9-34154F7DC771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11" authorId="0" shapeId="0" xr:uid="{BC345494-4200-41BB-B12A-FC216BADF0C1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12" authorId="0" shapeId="0" xr:uid="{864C783F-468D-4EBB-ACDA-9DB0E6179235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  <comment ref="B13" authorId="0" shapeId="0" xr:uid="{5845A900-56CC-4B91-BC63-9303CE7F598B}">
      <text>
        <r>
          <rPr>
            <b/>
            <sz val="8"/>
            <color indexed="81"/>
            <rFont val="Tahoma"/>
            <family val="2"/>
          </rPr>
          <t>Enter Feed Conductivity if the concentrations are measured using a conductivity meter.</t>
        </r>
      </text>
    </comment>
  </commentList>
</comments>
</file>

<file path=xl/sharedStrings.xml><?xml version="1.0" encoding="utf-8"?>
<sst xmlns="http://schemas.openxmlformats.org/spreadsheetml/2006/main" count="1126" uniqueCount="218">
  <si>
    <t>Fecha</t>
  </si>
  <si>
    <t>PRESION F1</t>
  </si>
  <si>
    <t>Aumento de presión de F1</t>
  </si>
  <si>
    <t>PRESION F2</t>
  </si>
  <si>
    <t>Aumento de presión de F2</t>
  </si>
  <si>
    <t>PRESION F3</t>
  </si>
  <si>
    <t>Aumento de presión de F3</t>
  </si>
  <si>
    <t>PRESION
FTP.5.01B  RO1</t>
  </si>
  <si>
    <t>PRESION
FTP.5.07   RO2</t>
  </si>
  <si>
    <t>PRESION
FTP.5.01A  RO1</t>
  </si>
  <si>
    <t>P Entrada RO 1 ETAPA 1(Bar)</t>
  </si>
  <si>
    <t>HORA</t>
  </si>
  <si>
    <t>Q Entrada RO 1 ETAPA 1</t>
  </si>
  <si>
    <t>P Salida RO 1 ETAPA 1(Bar)</t>
  </si>
  <si>
    <t>Q Salida RO 1 ETAPA 1</t>
  </si>
  <si>
    <t>P Entrada RO 1 ETAPA 2 (Bar)</t>
  </si>
  <si>
    <t>Q Entrada RO 1 ETAPA 2</t>
  </si>
  <si>
    <t>P Salida RO 1 ETAPA 2 (Bar)</t>
  </si>
  <si>
    <t>Q Salida RO 1 ETAPA 2</t>
  </si>
  <si>
    <t>SE REALIZA CIP</t>
  </si>
  <si>
    <t>% RECUPERACIÓN de etapa 1 RO1</t>
  </si>
  <si>
    <t>-</t>
  </si>
  <si>
    <t>Q RECHAZO RO1</t>
  </si>
  <si>
    <t>PARAMETRO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</si>
  <si>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</si>
  <si>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</si>
  <si>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</si>
  <si>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</si>
  <si>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</si>
  <si>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</si>
  <si>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</si>
  <si>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</si>
  <si>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</si>
  <si>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</si>
  <si>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</si>
  <si>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</si>
  <si>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COMPUESTA</t>
  </si>
  <si>
    <t>Temperatura (°C)</t>
  </si>
  <si>
    <t>Color</t>
  </si>
  <si>
    <t xml:space="preserve">Conductividad </t>
  </si>
  <si>
    <t>Ph</t>
  </si>
  <si>
    <t>MUESTRA</t>
  </si>
  <si>
    <t>ENTRADA</t>
  </si>
  <si>
    <t>PERMEADO</t>
  </si>
  <si>
    <t>RECHAZO</t>
  </si>
  <si>
    <t>ANTES</t>
  </si>
  <si>
    <t>DESPUES</t>
  </si>
  <si>
    <t xml:space="preserve"> </t>
  </si>
  <si>
    <t>OFF</t>
  </si>
  <si>
    <t>3.0</t>
  </si>
  <si>
    <t>CALCULADORA VASO A VASO</t>
  </si>
  <si>
    <t xml:space="preserve">Q ENTRADA </t>
  </si>
  <si>
    <t>ETAPA 1</t>
  </si>
  <si>
    <t>ETAPA 2</t>
  </si>
  <si>
    <t>Q PERMEADO</t>
  </si>
  <si>
    <t>RO TOTAL</t>
  </si>
  <si>
    <t>Q RECHAZO</t>
  </si>
  <si>
    <t>EFICIENCIA ETAPA 1</t>
  </si>
  <si>
    <t>EFICIENCIA ETAPA 2</t>
  </si>
  <si>
    <t xml:space="preserve">EFICIENCIA TOTAL </t>
  </si>
  <si>
    <t>BASE DE CALCULO PARA MUESTRAS</t>
  </si>
  <si>
    <t>TOTAL</t>
  </si>
  <si>
    <t>V PERMEADO</t>
  </si>
  <si>
    <t>% PERMEADO</t>
  </si>
  <si>
    <t>BASE DE CALCULO</t>
  </si>
  <si>
    <t>ML</t>
  </si>
  <si>
    <t>N DE VASOS</t>
  </si>
  <si>
    <t>ML X VASO</t>
  </si>
  <si>
    <t xml:space="preserve">                                                                          </t>
  </si>
  <si>
    <t xml:space="preserve">  13:50:00 p.m.</t>
  </si>
  <si>
    <t>13:38:00 pm</t>
  </si>
  <si>
    <t>5.4</t>
  </si>
  <si>
    <t>4.0</t>
  </si>
  <si>
    <t>2:30:00 PM.</t>
  </si>
  <si>
    <t>N/A</t>
  </si>
  <si>
    <t>10:20:00p´m</t>
  </si>
  <si>
    <t>Q PERMEADO RO1</t>
  </si>
  <si>
    <t>BOMBA RO 2 DESHABILITADA Y CAMBIO DE MEMBRANAS</t>
  </si>
  <si>
    <r>
      <t xml:space="preserve">Diferencial de Presión RO 1 ETAPA 1 </t>
    </r>
    <r>
      <rPr>
        <sz val="10"/>
        <rFont val="Calibri"/>
        <family val="2"/>
      </rPr>
      <t>ΔP</t>
    </r>
  </si>
  <si>
    <t>FACTOR DE CONCENTRACIÓN ETAPA 1</t>
  </si>
  <si>
    <r>
      <t>Flujo</t>
    </r>
    <r>
      <rPr>
        <sz val="10"/>
        <color indexed="10"/>
        <rFont val="Arial"/>
        <family val="2"/>
      </rPr>
      <t xml:space="preserve"> normalizado </t>
    </r>
    <r>
      <rPr>
        <sz val="10"/>
        <rFont val="Arial"/>
        <family val="2"/>
      </rPr>
      <t xml:space="preserve">reducido RO1 - ETAPA 1 </t>
    </r>
    <r>
      <rPr>
        <sz val="10"/>
        <rFont val="Calibri"/>
        <family val="2"/>
      </rPr>
      <t>ΔQ</t>
    </r>
  </si>
  <si>
    <r>
      <t xml:space="preserve">Diferencial de Presión RO 1 ETAPA 2 </t>
    </r>
    <r>
      <rPr>
        <sz val="10"/>
        <rFont val="Calibri"/>
        <family val="2"/>
      </rPr>
      <t>ΔP</t>
    </r>
  </si>
  <si>
    <t>Eficiencia RO1 ETAPA 2</t>
  </si>
  <si>
    <t>FACTOR DE CONCENTRACIÓN RO1 ETAPA 2</t>
  </si>
  <si>
    <r>
      <t>Flujo</t>
    </r>
    <r>
      <rPr>
        <sz val="10"/>
        <color indexed="10"/>
        <rFont val="Arial"/>
        <family val="2"/>
      </rPr>
      <t xml:space="preserve"> normalizado </t>
    </r>
    <r>
      <rPr>
        <sz val="10"/>
        <rFont val="Arial"/>
        <family val="2"/>
      </rPr>
      <t xml:space="preserve">reducido RO1 ETAPA 2 </t>
    </r>
    <r>
      <rPr>
        <sz val="10"/>
        <rFont val="Calibri"/>
        <family val="2"/>
      </rPr>
      <t>ΔQ</t>
    </r>
  </si>
  <si>
    <t>Etiquetas de fila</t>
  </si>
  <si>
    <t>Total general</t>
  </si>
  <si>
    <t xml:space="preserve">P Entrada RO 1 ETAPA 1(Bar) </t>
  </si>
  <si>
    <t xml:space="preserve">Q Entrada RO 1 ETAPA 1 </t>
  </si>
  <si>
    <t xml:space="preserve">P Salida RO 1 ETAPA 1(Bar) </t>
  </si>
  <si>
    <t xml:space="preserve">Diferencial de Presión RO 1 ETAPA 1 ΔP  </t>
  </si>
  <si>
    <t>OSMOSIS 1 PRESIÓN</t>
  </si>
  <si>
    <t>ETAPA 1 CAUDAL Y EFICIENCIA</t>
  </si>
  <si>
    <t>ETAPA 1 CAUDAL Y DIFERENCIAL DE PRESIÓN</t>
  </si>
  <si>
    <t>ETAPA 2 CAUDAL Y DIFERENCIAL DE PRESIÓN</t>
  </si>
  <si>
    <t xml:space="preserve">P Entrada RO 1 ETAPA 2 (Bar) </t>
  </si>
  <si>
    <t xml:space="preserve">P Salida RO 1 ETAPA 2 (Bar) </t>
  </si>
  <si>
    <t xml:space="preserve">Diferencial de Presión RO 1 ETAPA 2 ΔP </t>
  </si>
  <si>
    <t>EFICIENCIA Y CAUDALES ETAPA 2</t>
  </si>
  <si>
    <t>EFICIENCIA RO1</t>
  </si>
  <si>
    <t>OSMOSIS 1 EFICIENCIA</t>
  </si>
  <si>
    <t xml:space="preserve">% EFICIENCIA RO1 </t>
  </si>
  <si>
    <t>SE REALIZA CIP 15-06</t>
  </si>
  <si>
    <t xml:space="preserve">NO SE REALIZA </t>
  </si>
  <si>
    <t xml:space="preserve">SI </t>
  </si>
  <si>
    <t>IZQUIERDA</t>
  </si>
  <si>
    <t>DERECHA</t>
  </si>
  <si>
    <t xml:space="preserve">MEJORAN LOS SOLIDOS, SE ALIMENTA MEJOR LA OSMOSIS </t>
  </si>
  <si>
    <t xml:space="preserve">APAGADA POR  BOMBA </t>
  </si>
  <si>
    <t>NO</t>
  </si>
  <si>
    <t>OSMSIS DETENIDA POR FALLA EM BOMBA DE ALTA</t>
  </si>
  <si>
    <t xml:space="preserve">OSMOSIS CON PRESENCIA DE RESINA </t>
  </si>
  <si>
    <t xml:space="preserve">FESTIVO NO QUISIMOS  TRABAJAR </t>
  </si>
  <si>
    <t xml:space="preserve">SEGUIMOS CON OSMOSIS DETENIDA </t>
  </si>
  <si>
    <t xml:space="preserve">APAGADA </t>
  </si>
  <si>
    <t xml:space="preserve">INTENTO DE DAR ARRANQUE ENCENDER OSMOSIS </t>
  </si>
  <si>
    <t>OSMOSIS APAGADA, CAMBIO DE MEMBRANA</t>
  </si>
  <si>
    <t>OSMOSIS APAGADA, FALLO DE BOMBA</t>
  </si>
  <si>
    <t xml:space="preserve">OSMOSIS APAGADA, FALLO DE BOMBA </t>
  </si>
  <si>
    <t xml:space="preserve">3:00:00 p.m </t>
  </si>
  <si>
    <t>OSMOSIS ENCENDIDA</t>
  </si>
  <si>
    <t xml:space="preserve">CAMBIO DE CARTUCHOS </t>
  </si>
  <si>
    <t xml:space="preserve">INSPECCION DE FILTROS DE 5 MICRAS , CAMBIO DE FILTROS </t>
  </si>
  <si>
    <t xml:space="preserve">COLORES ALTOS ETAPA 1 </t>
  </si>
  <si>
    <t>CIP</t>
  </si>
  <si>
    <t>CIP, LAVADO DE FILTROS DE INTERCAMBIO IONICO</t>
  </si>
  <si>
    <t xml:space="preserve">NOVEDAD DE DQO Y CLORUROS = 4500 </t>
  </si>
  <si>
    <t xml:space="preserve">OSMOSIS APAGADA, CAMBIO DE ORINGS DE MEMBRANAS </t>
  </si>
  <si>
    <t xml:space="preserve">CAMBIO DE MEMBRANAS VASO 6 7 8 </t>
  </si>
  <si>
    <t xml:space="preserve">SE PESARON MEMBRANAS </t>
  </si>
  <si>
    <t>ASEO</t>
  </si>
  <si>
    <t>SE DETECTA COLOR</t>
  </si>
  <si>
    <t>BOMBA FRENADA POR RODAMIENTOS Y KIT HIDRAULICO</t>
  </si>
  <si>
    <t>CAMBIO DE FILTROS DE 5 MICRAS</t>
  </si>
  <si>
    <t xml:space="preserve">INSPECCION FILTROS 5 MICRAS , SE EVIDENCIA RESINA </t>
  </si>
  <si>
    <t>3:27:00 p m.</t>
  </si>
  <si>
    <t xml:space="preserve">SE REALIZA CIP ALCALINO </t>
  </si>
  <si>
    <t xml:space="preserve">OSMOSIS DETENIDA BAJO NIVEL TH </t>
  </si>
  <si>
    <t xml:space="preserve">OSMOSIS APAGADA POR BAJO NIVEL DE TH </t>
  </si>
  <si>
    <t xml:space="preserve">MEDIDOR DAÑADO </t>
  </si>
  <si>
    <t xml:space="preserve">OSMOSIS BAJO TH </t>
  </si>
  <si>
    <t>OSMOSIS APAGADA</t>
  </si>
  <si>
    <t>OSMOSIS APAGADA NIVEL DE TH BAJO</t>
  </si>
  <si>
    <t xml:space="preserve">CIP LOS DOMINGOS DE CADA SEMANA </t>
  </si>
  <si>
    <t xml:space="preserve">CIP SABADO TURNO 1 ALCALINO </t>
  </si>
  <si>
    <t>CIP DOMINGO TURNO 02 ACIDO</t>
  </si>
  <si>
    <t>SI</t>
  </si>
  <si>
    <t>SE REALIZO CIP ALCALINO</t>
  </si>
  <si>
    <t>Se realiza cambio de cartuchos de filtros de 5 micras.</t>
  </si>
  <si>
    <t>Se Realiza CIP Alcalino y CIP Acido RO1</t>
  </si>
  <si>
    <t>OSMOSIS APAGADA, SE DA ARRANQUE AL SISTEMA RO1</t>
  </si>
  <si>
    <t>APAGADA</t>
  </si>
  <si>
    <t xml:space="preserve">NO ASISTI </t>
  </si>
  <si>
    <t>OSMOSIS APAGADA POR TH BAJO</t>
  </si>
  <si>
    <t>OBSERVACIONES</t>
  </si>
  <si>
    <t>Q Salida RO 1 ETAPA 2 CALCULADO</t>
  </si>
  <si>
    <t>Q Salida RO 1 ETAPA 2 ROTAMETRO B</t>
  </si>
  <si>
    <t>Q Salida RO 1 ETAPA 1 ROT A</t>
  </si>
  <si>
    <t>Q Entrada RO 1 ETAPA 2 CALCULADO</t>
  </si>
  <si>
    <t>Q PERMEADO RO1 MEDIDOR DIGITAL</t>
  </si>
  <si>
    <t>Q RECHAZO RO1 CALCULADO</t>
  </si>
  <si>
    <t>Q TOTAL PERMEADO CALCULADO</t>
  </si>
  <si>
    <t>Q RECHAZO ROTAMETRO</t>
  </si>
  <si>
    <t>% EFICIENCIA ETAPA 1 RO1</t>
  </si>
  <si>
    <t>% EFICIENCIA ETAPA 2 RO1</t>
  </si>
  <si>
    <t xml:space="preserve"> % EFICIENCIA ETAPA 2 RO1 </t>
  </si>
  <si>
    <t xml:space="preserve"> % EFICIENCIA ETAPA 1 RO1 </t>
  </si>
  <si>
    <t xml:space="preserve"> Q PERMEADO RO1 MEDIDOR DIGITAL </t>
  </si>
  <si>
    <t xml:space="preserve"> RECHAZO RO1 CALCULADO </t>
  </si>
  <si>
    <t xml:space="preserve">Q PERMEADO RO1 MEDIDOR DIGITAL </t>
  </si>
  <si>
    <t xml:space="preserve">Q RECHAZO RO1 CALCULADO </t>
  </si>
  <si>
    <t xml:space="preserve">Q Salida RO 1 ETAPA 1 ROT A </t>
  </si>
  <si>
    <t xml:space="preserve"> Q Entrada RO 1 ETAPA 2 CALCULADO </t>
  </si>
  <si>
    <t xml:space="preserve">CIP ALCALINO </t>
  </si>
  <si>
    <t>FESTIVO</t>
  </si>
  <si>
    <t>NIVEL TH BAJO</t>
  </si>
  <si>
    <t>24.6</t>
  </si>
  <si>
    <t>DIA FAMILIA</t>
  </si>
  <si>
    <t xml:space="preserve">INSPECCION DE FILTROS DE 5 MICRAS , </t>
  </si>
  <si>
    <t xml:space="preserve">SE REALIZA CAMBIO DE FILTROS DE 5 MICRAS </t>
  </si>
  <si>
    <t>SE REALIZA VASO A VASO</t>
  </si>
  <si>
    <t>CIP ALCALINO</t>
  </si>
  <si>
    <t>SE REALIZA CIP ACIDO</t>
  </si>
  <si>
    <t>SEGUIMIENTO A CIP ACIDO</t>
  </si>
  <si>
    <t>FIN DE SEMANA</t>
  </si>
  <si>
    <t>SE REALIZA CIP ALCALINO</t>
  </si>
  <si>
    <t xml:space="preserve">SE REALIZA CAMBIO DE CARTUCHOS DE 5 MICRAS EN EL FILTRO B </t>
  </si>
  <si>
    <t xml:space="preserve">SE REALIZA CIP ALCALINO Y CIP ACIDO RO1 </t>
  </si>
  <si>
    <t xml:space="preserve">SE INSPECCIONA FILTRO B , SE EVIDENCIA DEFORMACION EN LOS CARTUCHOS, SE REALIZA CAMBIOS DE CARTUCHOS FILTRO A AUMNETO DE CAUDAL ENTRADA Y SALIDA </t>
  </si>
  <si>
    <t xml:space="preserve">SE EXTRAEN LOS FILTROS DE CINCO MICRAS DEL FILTRO B SE REALIZA ALMACENAMIENTO PARA SU PREVIA DISPOSICION </t>
  </si>
  <si>
    <t>SE REALIZA CAMBIOS DE FILTROS DE 5 MICRAS , SE DEJA SECADOS LOS CARTUCHOS QUE ESTABAN EN USO</t>
  </si>
  <si>
    <t xml:space="preserve">POR NIVELES BAJOS SE REALIZA PURGA EN EL SISTEMA BIOLOGICO Y NO SE OPERA RO </t>
  </si>
  <si>
    <t>SE REALIZA CAMBIO ( FILTROS DE 5 MICRAS )</t>
  </si>
  <si>
    <t xml:space="preserve">INTERVENCION TABLERO RO ,SE REALIZA CAMBIO DE FILTROS DE 5 MICRAS </t>
  </si>
  <si>
    <t>CIP ALCALINO, POST- INMERCION Y ENJUAGUE FINAL</t>
  </si>
  <si>
    <t xml:space="preserve">FIN DE SEMANA </t>
  </si>
  <si>
    <t xml:space="preserve">DERECHA </t>
  </si>
  <si>
    <t>,4,2</t>
  </si>
  <si>
    <t xml:space="preserve">FIN DE SEMANA, SE REALIZA CIP ALCALINO CIP ACIDO, SE EVIDENCIA ALTO COLOR EN EL CIP ALCALINO </t>
  </si>
  <si>
    <t>SE REALIZA CIP ALCALINO, CIP ACIDO</t>
  </si>
  <si>
    <t xml:space="preserve">RO DETENIDA POR INADECUADA ALIMENTACION A REACTORES, SE CAMBIAN CARTUCHOS </t>
  </si>
  <si>
    <t>ANALISIS CON QUIMICOS DE TQI</t>
  </si>
  <si>
    <t>DIA DE VELITAS, LIMPIEZA CON KURIVERTER , LIMPIEZA CON ROCLEAN AL 2%</t>
  </si>
  <si>
    <t>FIN DE SEMANA SE REALIZA CIP , ENJUAGUE FINAL LIMPIEZA ALCALINA</t>
  </si>
  <si>
    <t xml:space="preserve">INTALACION DE BOMBA OSMOSIS </t>
  </si>
  <si>
    <t>IZQUIERDA-DERECHA</t>
  </si>
  <si>
    <t xml:space="preserve">Se evidencia que el producto quimico de la RO no registra inyeccion en operación, </t>
  </si>
  <si>
    <t xml:space="preserve">FIN DE SEMANA, LIMPIEZA REALIZACION CIP LAVADO CON ACIDO ESPECIALIZADO </t>
  </si>
  <si>
    <t>MEDICION DE SOLIDOS POR,GAVIMETRIA</t>
  </si>
  <si>
    <t xml:space="preserve">MANTENMIENTO OSMOSIS, LAVADO DE MENBRANAS CON SODA </t>
  </si>
  <si>
    <t xml:space="preserve">LIMPIEZA CIP KURIVERTER Y ROCLEAN </t>
  </si>
  <si>
    <t xml:space="preserve">CAMBIO DE FILTROS 5 MICRAS DE LA RO , LI,PIEZA BIOPELICULA </t>
  </si>
  <si>
    <t>CAMBIO DE FILTROS DE LA CARCASA B , OSMOSIS APAGADA</t>
  </si>
  <si>
    <t xml:space="preserve">NAVIDAD, OSMOSIS APAGADA BAJO NIVEL TH </t>
  </si>
  <si>
    <t>FIN DE SEMANA , SE RELIZA CIP</t>
  </si>
  <si>
    <t>Se realiza el cambio de filtros del cartucho A</t>
  </si>
  <si>
    <t>CIP alcalino CIP acido, se realiza enjuague inicial, recirculación y queda en remojo hasta las 6 am, para que el turno siguiente lo finalice</t>
  </si>
  <si>
    <t xml:space="preserve">Vaso a vaso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</si>
</sst>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[$-F400]h:mm:ss\ AM/PM"/>
    <numFmt numFmtId="165" formatCode="0.0%"/>
    <numFmt numFmtId="166" formatCode="0.0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0"/>
      <name val="Calibri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71">
    <xf numFmtId="0" fontId="0" fillId="0" borderId="0" xfId="0"/>
    <xf numFmtId="0" fontId="4" fillId="2" borderId="5" xfId="0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1" fillId="9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3" borderId="6" xfId="0" applyFill="1" applyBorder="1"/>
    <xf numFmtId="0" fontId="0" fillId="3" borderId="9" xfId="0" applyFill="1" applyBorder="1"/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14" fontId="0" fillId="0" borderId="8" xfId="0" applyNumberFormat="1" applyBorder="1" applyAlignment="1">
      <alignment horizontal="center"/>
    </xf>
    <xf numFmtId="0" fontId="4" fillId="0" borderId="1" xfId="0" applyFont="1" applyBorder="1"/>
    <xf numFmtId="0" fontId="1" fillId="9" borderId="16" xfId="0" applyFont="1" applyFill="1" applyBorder="1" applyAlignment="1">
      <alignment horizontal="center" vertical="center" wrapText="1"/>
    </xf>
    <xf numFmtId="164" fontId="1" fillId="2" borderId="4" xfId="0" applyNumberFormat="1" applyFont="1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7" borderId="11" xfId="0" applyFill="1" applyBorder="1" applyAlignment="1">
      <alignment horizontal="center"/>
    </xf>
    <xf numFmtId="0" fontId="0" fillId="0" borderId="6" xfId="0" applyBorder="1"/>
    <xf numFmtId="0" fontId="0" fillId="0" borderId="13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7" xfId="0" applyBorder="1"/>
    <xf numFmtId="0" fontId="0" fillId="0" borderId="11" xfId="0" applyBorder="1"/>
    <xf numFmtId="0" fontId="0" fillId="0" borderId="12" xfId="0" applyBorder="1"/>
    <xf numFmtId="0" fontId="0" fillId="0" borderId="10" xfId="0" applyBorder="1"/>
    <xf numFmtId="0" fontId="0" fillId="0" borderId="24" xfId="0" applyBorder="1"/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3" borderId="24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 wrapText="1"/>
    </xf>
    <xf numFmtId="0" fontId="1" fillId="12" borderId="21" xfId="0" applyFont="1" applyFill="1" applyBorder="1" applyAlignment="1">
      <alignment horizontal="center" vertical="center" wrapText="1"/>
    </xf>
    <xf numFmtId="0" fontId="1" fillId="0" borderId="0" xfId="0" applyFont="1"/>
    <xf numFmtId="0" fontId="0" fillId="3" borderId="8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0" borderId="6" xfId="0" applyFont="1" applyBorder="1"/>
    <xf numFmtId="0" fontId="1" fillId="7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10" borderId="6" xfId="0" applyFill="1" applyBorder="1"/>
    <xf numFmtId="0" fontId="0" fillId="13" borderId="6" xfId="0" applyFill="1" applyBorder="1"/>
    <xf numFmtId="0" fontId="0" fillId="14" borderId="6" xfId="0" applyFill="1" applyBorder="1"/>
    <xf numFmtId="165" fontId="0" fillId="0" borderId="6" xfId="1" applyNumberFormat="1" applyFont="1" applyBorder="1"/>
    <xf numFmtId="9" fontId="0" fillId="0" borderId="6" xfId="0" applyNumberFormat="1" applyBorder="1"/>
    <xf numFmtId="1" fontId="0" fillId="0" borderId="6" xfId="0" applyNumberFormat="1" applyBorder="1"/>
    <xf numFmtId="1" fontId="0" fillId="15" borderId="6" xfId="0" applyNumberFormat="1" applyFill="1" applyBorder="1"/>
    <xf numFmtId="164" fontId="1" fillId="0" borderId="7" xfId="0" applyNumberFormat="1" applyFon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1" fillId="17" borderId="6" xfId="0" applyNumberFormat="1" applyFont="1" applyFill="1" applyBorder="1" applyAlignment="1">
      <alignment horizontal="center" vertical="center"/>
    </xf>
    <xf numFmtId="0" fontId="1" fillId="7" borderId="0" xfId="0" applyFont="1" applyFill="1"/>
    <xf numFmtId="9" fontId="0" fillId="7" borderId="11" xfId="1" applyFont="1" applyFill="1" applyBorder="1" applyAlignment="1">
      <alignment horizontal="center"/>
    </xf>
    <xf numFmtId="2" fontId="0" fillId="7" borderId="14" xfId="0" applyNumberFormat="1" applyFill="1" applyBorder="1" applyAlignment="1">
      <alignment horizontal="center"/>
    </xf>
    <xf numFmtId="166" fontId="0" fillId="3" borderId="8" xfId="0" applyNumberFormat="1" applyFill="1" applyBorder="1" applyAlignment="1">
      <alignment horizontal="center"/>
    </xf>
    <xf numFmtId="166" fontId="0" fillId="3" borderId="6" xfId="0" applyNumberFormat="1" applyFill="1" applyBorder="1" applyAlignment="1">
      <alignment horizontal="center"/>
    </xf>
    <xf numFmtId="0" fontId="3" fillId="3" borderId="27" xfId="0" applyFont="1" applyFill="1" applyBorder="1" applyAlignment="1">
      <alignment horizontal="center" vertical="center"/>
    </xf>
    <xf numFmtId="0" fontId="0" fillId="7" borderId="14" xfId="0" applyFill="1" applyBorder="1" applyAlignment="1">
      <alignment horizontal="center"/>
    </xf>
    <xf numFmtId="9" fontId="0" fillId="7" borderId="12" xfId="1" applyFont="1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1" fontId="0" fillId="7" borderId="11" xfId="0" applyNumberFormat="1" applyFill="1" applyBorder="1" applyAlignment="1">
      <alignment horizontal="center"/>
    </xf>
    <xf numFmtId="0" fontId="1" fillId="3" borderId="9" xfId="0" applyFont="1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13" borderId="16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7" fillId="18" borderId="3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166" fontId="0" fillId="0" borderId="0" xfId="0" applyNumberFormat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166" fontId="0" fillId="7" borderId="11" xfId="0" applyNumberFormat="1" applyFill="1" applyBorder="1" applyAlignment="1">
      <alignment horizontal="center"/>
    </xf>
    <xf numFmtId="164" fontId="1" fillId="17" borderId="28" xfId="0" applyNumberFormat="1" applyFont="1" applyFill="1" applyBorder="1" applyAlignment="1">
      <alignment horizontal="center" vertical="center"/>
    </xf>
    <xf numFmtId="9" fontId="0" fillId="0" borderId="25" xfId="1" applyFont="1" applyBorder="1" applyAlignment="1">
      <alignment horizontal="center"/>
    </xf>
    <xf numFmtId="14" fontId="0" fillId="0" borderId="0" xfId="0" applyNumberFormat="1" applyAlignment="1">
      <alignment horizontal="left"/>
    </xf>
    <xf numFmtId="9" fontId="0" fillId="0" borderId="0" xfId="0" applyNumberFormat="1" applyAlignment="1">
      <alignment wrapText="1"/>
    </xf>
    <xf numFmtId="1" fontId="0" fillId="0" borderId="25" xfId="0" applyNumberFormat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66" fontId="1" fillId="7" borderId="9" xfId="0" applyNumberFormat="1" applyFont="1" applyFill="1" applyBorder="1" applyAlignment="1">
      <alignment horizontal="center"/>
    </xf>
    <xf numFmtId="0" fontId="0" fillId="0" borderId="25" xfId="0" applyBorder="1" applyAlignment="1">
      <alignment horizontal="center"/>
    </xf>
    <xf numFmtId="10" fontId="0" fillId="0" borderId="25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0" fillId="3" borderId="9" xfId="0" applyFill="1" applyBorder="1" applyAlignment="1">
      <alignment horizontal="center" vertical="center"/>
    </xf>
    <xf numFmtId="9" fontId="0" fillId="0" borderId="0" xfId="1" applyFont="1" applyAlignment="1">
      <alignment horizontal="center"/>
    </xf>
    <xf numFmtId="0" fontId="1" fillId="10" borderId="6" xfId="0" applyFont="1" applyFill="1" applyBorder="1"/>
    <xf numFmtId="0" fontId="0" fillId="0" borderId="6" xfId="0" applyBorder="1" applyAlignment="1">
      <alignment horizontal="center"/>
    </xf>
    <xf numFmtId="9" fontId="0" fillId="7" borderId="14" xfId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19" borderId="5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" fillId="12" borderId="2" xfId="0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9" fontId="1" fillId="12" borderId="2" xfId="1" applyFon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1" fillId="19" borderId="30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 vertical="center" wrapText="1"/>
    </xf>
    <xf numFmtId="164" fontId="1" fillId="6" borderId="31" xfId="0" applyNumberFormat="1" applyFont="1" applyFill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/>
    </xf>
    <xf numFmtId="0" fontId="1" fillId="19" borderId="29" xfId="0" applyFont="1" applyFill="1" applyBorder="1" applyAlignment="1">
      <alignment horizontal="center" vertical="center" wrapText="1"/>
    </xf>
    <xf numFmtId="164" fontId="1" fillId="6" borderId="32" xfId="0" applyNumberFormat="1" applyFont="1" applyFill="1" applyBorder="1" applyAlignment="1">
      <alignment horizontal="center" vertical="center" wrapText="1"/>
    </xf>
    <xf numFmtId="164" fontId="1" fillId="12" borderId="30" xfId="0" applyNumberFormat="1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  <xf numFmtId="0" fontId="1" fillId="0" borderId="6" xfId="0" applyFont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9" fontId="0" fillId="7" borderId="6" xfId="1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9" fontId="1" fillId="7" borderId="6" xfId="1" applyFont="1" applyFill="1" applyBorder="1" applyAlignment="1">
      <alignment horizontal="center"/>
    </xf>
    <xf numFmtId="9" fontId="0" fillId="7" borderId="17" xfId="1" applyFont="1" applyFill="1" applyBorder="1" applyAlignment="1">
      <alignment horizontal="center"/>
    </xf>
    <xf numFmtId="9" fontId="1" fillId="7" borderId="13" xfId="1" applyFont="1" applyFill="1" applyBorder="1" applyAlignment="1">
      <alignment horizontal="center"/>
    </xf>
    <xf numFmtId="9" fontId="1" fillId="7" borderId="33" xfId="1" applyFont="1" applyFill="1" applyBorder="1" applyAlignment="1">
      <alignment horizontal="center"/>
    </xf>
    <xf numFmtId="2" fontId="0" fillId="7" borderId="6" xfId="0" applyNumberFormat="1" applyFill="1" applyBorder="1" applyAlignment="1">
      <alignment horizontal="center"/>
    </xf>
    <xf numFmtId="9" fontId="0" fillId="0" borderId="6" xfId="1" applyFont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1" fillId="7" borderId="34" xfId="0" applyFont="1" applyFill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166" fontId="0" fillId="7" borderId="6" xfId="0" applyNumberFormat="1" applyFill="1" applyBorder="1" applyAlignment="1">
      <alignment horizontal="center"/>
    </xf>
    <xf numFmtId="166" fontId="1" fillId="7" borderId="6" xfId="0" applyNumberFormat="1" applyFont="1" applyFill="1" applyBorder="1" applyAlignment="1">
      <alignment horizontal="center"/>
    </xf>
    <xf numFmtId="9" fontId="0" fillId="3" borderId="6" xfId="1" applyFont="1" applyFill="1" applyBorder="1" applyAlignment="1">
      <alignment horizontal="center"/>
    </xf>
    <xf numFmtId="0" fontId="0" fillId="0" borderId="6" xfId="2" applyNumberFormat="1" applyFont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9" xfId="0" applyFont="1" applyFill="1" applyBorder="1"/>
    <xf numFmtId="164" fontId="7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0" fontId="1" fillId="7" borderId="25" xfId="0" applyFont="1" applyFill="1" applyBorder="1" applyAlignment="1">
      <alignment horizontal="center"/>
    </xf>
    <xf numFmtId="0" fontId="0" fillId="3" borderId="34" xfId="0" applyFill="1" applyBorder="1"/>
    <xf numFmtId="0" fontId="1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0" xfId="0" applyFill="1"/>
    <xf numFmtId="0" fontId="0" fillId="3" borderId="25" xfId="0" applyFill="1" applyBorder="1" applyAlignment="1">
      <alignment horizontal="center"/>
    </xf>
    <xf numFmtId="2" fontId="0" fillId="7" borderId="6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16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7" xfId="1" applyNumberFormat="1" applyFont="1" applyBorder="1" applyAlignment="1">
      <alignment horizontal="center"/>
    </xf>
    <xf numFmtId="165" fontId="0" fillId="0" borderId="13" xfId="1" applyNumberFormat="1" applyFont="1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alignment vertical="top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alignment vertical="center"/>
    </dxf>
    <dxf>
      <alignment wrapText="1"/>
    </dxf>
    <dxf>
      <alignment wrapText="1"/>
    </dxf>
    <dxf>
      <alignment vertical="top"/>
    </dxf>
    <dxf>
      <alignment horizontal="center"/>
    </dxf>
    <dxf>
      <alignment wrapText="1"/>
    </dxf>
    <dxf>
      <alignment wrapText="1"/>
    </dxf>
    <dxf>
      <alignment vertical="center" wrapText="1"/>
    </dxf>
    <dxf>
      <alignment vertical="center" wrapText="1"/>
    </dxf>
    <dxf>
      <numFmt numFmtId="13" formatCode="0%"/>
    </dxf>
    <dxf>
      <alignment vertical="center"/>
    </dxf>
    <dxf>
      <alignment wrapText="1"/>
    </dxf>
    <dxf>
      <alignment horizontal="center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17/10/relationships/person" Target="persons/person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microsoft.com/office/2007/relationships/slicerCache" Target="slicerCaches/slicerCach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Y SEGUIMIENTO RO.xlsx]DB OPERACIONAL!TablaDinámica1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OPERACIÓN RO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  <a:alpha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  <a:alpha val="52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bg1">
                <a:lumMod val="5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bg1">
                <a:lumMod val="50000"/>
              </a:schemeClr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</c:marker>
        <c:dLbl>
          <c:idx val="0"/>
          <c:spPr>
            <a:solidFill>
              <a:schemeClr val="bg1">
                <a:lumMod val="75000"/>
                <a:alpha val="32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'DB OPERACIONAL'!$D$5</c:f>
              <c:strCache>
                <c:ptCount val="1"/>
                <c:pt idx="0">
                  <c:v> Q PERMEADO RO1 MEDIDOR DIGITAL 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OPERACIONAL'!$A$6:$A$33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OPERACIONAL'!$D$6:$D$33</c:f>
              <c:numCache>
                <c:formatCode>General</c:formatCode>
                <c:ptCount val="27"/>
                <c:pt idx="6">
                  <c:v>28.2</c:v>
                </c:pt>
                <c:pt idx="7">
                  <c:v>25.5</c:v>
                </c:pt>
                <c:pt idx="8">
                  <c:v>23.2</c:v>
                </c:pt>
                <c:pt idx="9">
                  <c:v>21.3</c:v>
                </c:pt>
                <c:pt idx="13">
                  <c:v>26.6</c:v>
                </c:pt>
                <c:pt idx="14">
                  <c:v>20.8</c:v>
                </c:pt>
                <c:pt idx="15">
                  <c:v>24.5</c:v>
                </c:pt>
                <c:pt idx="16">
                  <c:v>23.4</c:v>
                </c:pt>
                <c:pt idx="19">
                  <c:v>24.8</c:v>
                </c:pt>
                <c:pt idx="22">
                  <c:v>22.9</c:v>
                </c:pt>
                <c:pt idx="23">
                  <c:v>17.3</c:v>
                </c:pt>
                <c:pt idx="26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26F-485F-AB44-F1EE904E3865}"/>
            </c:ext>
          </c:extLst>
        </c:ser>
        <c:ser>
          <c:idx val="3"/>
          <c:order val="3"/>
          <c:tx>
            <c:strRef>
              <c:f>'DB OPERACIONAL'!$E$5</c:f>
              <c:strCache>
                <c:ptCount val="1"/>
                <c:pt idx="0">
                  <c:v> RECHAZO RO1 CALCULADO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6-726F-485F-AB44-F1EE904E386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5-726F-485F-AB44-F1EE904E386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726F-485F-AB44-F1EE904E3865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3-726F-485F-AB44-F1EE904E3865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2-726F-485F-AB44-F1EE904E3865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726F-485F-AB44-F1EE904E3865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726F-485F-AB44-F1EE904E3865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726F-485F-AB44-F1EE904E3865}"/>
              </c:ext>
            </c:extLst>
          </c:dPt>
          <c:dPt>
            <c:idx val="2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726F-485F-AB44-F1EE904E3865}"/>
              </c:ext>
            </c:extLst>
          </c:dPt>
          <c:dPt>
            <c:idx val="2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726F-485F-AB44-F1EE904E3865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726F-485F-AB44-F1EE904E3865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726F-485F-AB44-F1EE904E3865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26F-485F-AB44-F1EE904E386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6F-485F-AB44-F1EE904E38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26F-485F-AB44-F1EE904E38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26F-485F-AB44-F1EE904E38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26F-485F-AB44-F1EE904E386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26F-485F-AB44-F1EE904E386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26F-485F-AB44-F1EE904E3865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26F-485F-AB44-F1EE904E3865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26F-485F-AB44-F1EE904E3865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26F-485F-AB44-F1EE904E3865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6F-485F-AB44-F1EE904E386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6F-485F-AB44-F1EE904E3865}"/>
                </c:ext>
              </c:extLst>
            </c:dLbl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OPERACIONAL'!$A$6:$A$33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OPERACIONAL'!$E$6:$E$33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5.8000000000000007</c:v>
                </c:pt>
                <c:pt idx="7">
                  <c:v>6.3999999999999986</c:v>
                </c:pt>
                <c:pt idx="8">
                  <c:v>6.1000000000000014</c:v>
                </c:pt>
                <c:pt idx="9">
                  <c:v>12.499999999999996</c:v>
                </c:pt>
                <c:pt idx="13">
                  <c:v>6.8999999999999986</c:v>
                </c:pt>
                <c:pt idx="14">
                  <c:v>6.5999999999999979</c:v>
                </c:pt>
                <c:pt idx="15">
                  <c:v>8.5</c:v>
                </c:pt>
                <c:pt idx="16">
                  <c:v>8.7000000000000028</c:v>
                </c:pt>
                <c:pt idx="17">
                  <c:v>0</c:v>
                </c:pt>
                <c:pt idx="18">
                  <c:v>0</c:v>
                </c:pt>
                <c:pt idx="19">
                  <c:v>7.8000000000000007</c:v>
                </c:pt>
                <c:pt idx="20">
                  <c:v>0</c:v>
                </c:pt>
                <c:pt idx="21">
                  <c:v>0</c:v>
                </c:pt>
                <c:pt idx="22">
                  <c:v>6.4000000000000021</c:v>
                </c:pt>
                <c:pt idx="23">
                  <c:v>17.499999999999996</c:v>
                </c:pt>
                <c:pt idx="24">
                  <c:v>0</c:v>
                </c:pt>
                <c:pt idx="25">
                  <c:v>0</c:v>
                </c:pt>
                <c:pt idx="26">
                  <c:v>5.2000000000000028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6F-485F-AB44-F1EE904E3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62229440"/>
        <c:axId val="1162207840"/>
      </c:barChart>
      <c:lineChart>
        <c:grouping val="standard"/>
        <c:varyColors val="0"/>
        <c:ser>
          <c:idx val="1"/>
          <c:order val="1"/>
          <c:tx>
            <c:strRef>
              <c:f>'DB OPERACIONAL'!$C$5</c:f>
              <c:strCache>
                <c:ptCount val="1"/>
                <c:pt idx="0">
                  <c:v>Q Entrada RO 1 ETAPA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OPERACIONAL'!$A$6:$A$33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OPERACIONAL'!$C$6:$C$33</c:f>
              <c:numCache>
                <c:formatCode>General</c:formatCode>
                <c:ptCount val="27"/>
                <c:pt idx="6">
                  <c:v>34</c:v>
                </c:pt>
                <c:pt idx="7">
                  <c:v>31.9</c:v>
                </c:pt>
                <c:pt idx="8">
                  <c:v>29.3</c:v>
                </c:pt>
                <c:pt idx="9">
                  <c:v>33.799999999999997</c:v>
                </c:pt>
                <c:pt idx="13">
                  <c:v>33.5</c:v>
                </c:pt>
                <c:pt idx="14">
                  <c:v>27.4</c:v>
                </c:pt>
                <c:pt idx="15">
                  <c:v>33</c:v>
                </c:pt>
                <c:pt idx="16">
                  <c:v>32.1</c:v>
                </c:pt>
                <c:pt idx="19">
                  <c:v>32.6</c:v>
                </c:pt>
                <c:pt idx="22">
                  <c:v>29.3</c:v>
                </c:pt>
                <c:pt idx="23">
                  <c:v>34.799999999999997</c:v>
                </c:pt>
                <c:pt idx="26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C2-4BC5-8B44-C5A43554A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229440"/>
        <c:axId val="1162207840"/>
      </c:lineChart>
      <c:lineChart>
        <c:grouping val="standard"/>
        <c:varyColors val="0"/>
        <c:ser>
          <c:idx val="0"/>
          <c:order val="0"/>
          <c:tx>
            <c:strRef>
              <c:f>'DB OPERACIONAL'!$B$5</c:f>
              <c:strCache>
                <c:ptCount val="1"/>
                <c:pt idx="0">
                  <c:v>P Entrada RO 1 ETAPA 1(Bar) 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50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dLbls>
            <c:spPr>
              <a:solidFill>
                <a:schemeClr val="bg1">
                  <a:lumMod val="75000"/>
                  <a:alpha val="32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OPERACIONAL'!$A$6:$A$33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OPERACIONAL'!$B$6:$B$33</c:f>
              <c:numCache>
                <c:formatCode>General</c:formatCode>
                <c:ptCount val="27"/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5.5</c:v>
                </c:pt>
                <c:pt idx="13">
                  <c:v>5.7</c:v>
                </c:pt>
                <c:pt idx="14">
                  <c:v>6.2</c:v>
                </c:pt>
                <c:pt idx="15">
                  <c:v>6.2</c:v>
                </c:pt>
                <c:pt idx="16">
                  <c:v>5.7</c:v>
                </c:pt>
                <c:pt idx="19">
                  <c:v>5.2</c:v>
                </c:pt>
                <c:pt idx="22">
                  <c:v>5.9</c:v>
                </c:pt>
                <c:pt idx="23">
                  <c:v>4.9000000000000004</c:v>
                </c:pt>
                <c:pt idx="26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C2-4BC5-8B44-C5A43554A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841472"/>
        <c:axId val="1500839072"/>
      </c:lineChart>
      <c:catAx>
        <c:axId val="1162229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207840"/>
        <c:crosses val="autoZero"/>
        <c:auto val="1"/>
        <c:lblAlgn val="ctr"/>
        <c:lblOffset val="100"/>
        <c:noMultiLvlLbl val="0"/>
      </c:catAx>
      <c:valAx>
        <c:axId val="116220784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(m3)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229440"/>
        <c:crosses val="autoZero"/>
        <c:crossBetween val="between"/>
      </c:valAx>
      <c:valAx>
        <c:axId val="150083907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PRESION (bar)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0841472"/>
        <c:crosses val="max"/>
        <c:crossBetween val="between"/>
      </c:valAx>
      <c:catAx>
        <c:axId val="150084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08390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Y SEGUIMIENTO RO.xlsx]DB OPERACIONAL!TablaDinámica3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EFICIENCIA ETAPA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>
            <a:solidFill>
              <a:srgbClr val="00B050"/>
            </a:solidFill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>
                  <a:alpha val="94000"/>
                </a:srgbClr>
              </a:solidFill>
            </a:ln>
            <a:effectLst/>
          </c:spPr>
        </c:marker>
        <c:dLbl>
          <c:idx val="0"/>
          <c:spPr>
            <a:solidFill>
              <a:schemeClr val="accent5">
                <a:lumMod val="20000"/>
                <a:lumOff val="80000"/>
                <a:alpha val="68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6">
                <a:lumMod val="20000"/>
                <a:lumOff val="80000"/>
                <a:alpha val="77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noFill/>
            <a:ln w="9525"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20000"/>
                <a:lumOff val="80000"/>
                <a:alpha val="54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'DB OPERACIONAL'!$S$5</c:f>
              <c:strCache>
                <c:ptCount val="1"/>
                <c:pt idx="0">
                  <c:v>Q Salida RO 1 ETAPA 1 ROT A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OPERACIONAL'!$P$6:$P$33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OPERACIONAL'!$S$6:$S$33</c:f>
              <c:numCache>
                <c:formatCode>General</c:formatCode>
                <c:ptCount val="27"/>
                <c:pt idx="6">
                  <c:v>13</c:v>
                </c:pt>
                <c:pt idx="7">
                  <c:v>14</c:v>
                </c:pt>
                <c:pt idx="8">
                  <c:v>14</c:v>
                </c:pt>
                <c:pt idx="9">
                  <c:v>13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9">
                  <c:v>13</c:v>
                </c:pt>
                <c:pt idx="22">
                  <c:v>13</c:v>
                </c:pt>
                <c:pt idx="23">
                  <c:v>12</c:v>
                </c:pt>
                <c:pt idx="2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E66-40D9-BA0A-8B9810CF9A07}"/>
            </c:ext>
          </c:extLst>
        </c:ser>
        <c:ser>
          <c:idx val="3"/>
          <c:order val="3"/>
          <c:tx>
            <c:strRef>
              <c:f>'DB OPERACIONAL'!$T$5</c:f>
              <c:strCache>
                <c:ptCount val="1"/>
                <c:pt idx="0">
                  <c:v> Q Entrada RO 1 ETAPA 2 CALCULADO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OPERACIONAL'!$P$6:$P$33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OPERACIONAL'!$T$6:$T$33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  <c:pt idx="7">
                  <c:v>17.899999999999999</c:v>
                </c:pt>
                <c:pt idx="8">
                  <c:v>15.3</c:v>
                </c:pt>
                <c:pt idx="9">
                  <c:v>20.799999999999997</c:v>
                </c:pt>
                <c:pt idx="13">
                  <c:v>19.5</c:v>
                </c:pt>
                <c:pt idx="14">
                  <c:v>13.399999999999999</c:v>
                </c:pt>
                <c:pt idx="15">
                  <c:v>19</c:v>
                </c:pt>
                <c:pt idx="16">
                  <c:v>19.100000000000001</c:v>
                </c:pt>
                <c:pt idx="17">
                  <c:v>0</c:v>
                </c:pt>
                <c:pt idx="18">
                  <c:v>0</c:v>
                </c:pt>
                <c:pt idx="19">
                  <c:v>19.600000000000001</c:v>
                </c:pt>
                <c:pt idx="21">
                  <c:v>0</c:v>
                </c:pt>
                <c:pt idx="22">
                  <c:v>16.3</c:v>
                </c:pt>
                <c:pt idx="23">
                  <c:v>22.799999999999997</c:v>
                </c:pt>
                <c:pt idx="24">
                  <c:v>0</c:v>
                </c:pt>
                <c:pt idx="25">
                  <c:v>0</c:v>
                </c:pt>
                <c:pt idx="26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E66-40D9-BA0A-8B9810CF9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90270912"/>
        <c:axId val="1190274752"/>
      </c:barChart>
      <c:lineChart>
        <c:grouping val="standard"/>
        <c:varyColors val="0"/>
        <c:ser>
          <c:idx val="0"/>
          <c:order val="0"/>
          <c:tx>
            <c:strRef>
              <c:f>'DB OPERACIONAL'!$Q$5</c:f>
              <c:strCache>
                <c:ptCount val="1"/>
                <c:pt idx="0">
                  <c:v>Q Entrada RO 1 ETAPA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OPERACIONAL'!$P$6:$P$33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OPERACIONAL'!$Q$6:$Q$33</c:f>
              <c:numCache>
                <c:formatCode>General</c:formatCode>
                <c:ptCount val="27"/>
                <c:pt idx="6">
                  <c:v>34</c:v>
                </c:pt>
                <c:pt idx="7">
                  <c:v>31.9</c:v>
                </c:pt>
                <c:pt idx="8">
                  <c:v>29.3</c:v>
                </c:pt>
                <c:pt idx="9">
                  <c:v>33.799999999999997</c:v>
                </c:pt>
                <c:pt idx="13">
                  <c:v>33.5</c:v>
                </c:pt>
                <c:pt idx="14">
                  <c:v>27.4</c:v>
                </c:pt>
                <c:pt idx="15">
                  <c:v>33</c:v>
                </c:pt>
                <c:pt idx="16">
                  <c:v>32.1</c:v>
                </c:pt>
                <c:pt idx="19">
                  <c:v>32.6</c:v>
                </c:pt>
                <c:pt idx="22">
                  <c:v>29.3</c:v>
                </c:pt>
                <c:pt idx="23">
                  <c:v>34.799999999999997</c:v>
                </c:pt>
                <c:pt idx="26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31-4C25-BB75-3EA46C5A7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0270912"/>
        <c:axId val="1190274752"/>
      </c:lineChart>
      <c:lineChart>
        <c:grouping val="standard"/>
        <c:varyColors val="0"/>
        <c:ser>
          <c:idx val="1"/>
          <c:order val="1"/>
          <c:tx>
            <c:strRef>
              <c:f>'DB OPERACIONAL'!$R$5</c:f>
              <c:strCache>
                <c:ptCount val="1"/>
                <c:pt idx="0">
                  <c:v> % EFICIENCIA ETAPA 1 RO1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OPERACIONAL'!$P$6:$P$33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OPERACIONAL'!$R$6:$R$33</c:f>
              <c:numCache>
                <c:formatCode>0%</c:formatCode>
                <c:ptCount val="27"/>
                <c:pt idx="6">
                  <c:v>0.38235294117647056</c:v>
                </c:pt>
                <c:pt idx="7">
                  <c:v>0.43887147335423199</c:v>
                </c:pt>
                <c:pt idx="8">
                  <c:v>0.47781569965870307</c:v>
                </c:pt>
                <c:pt idx="9">
                  <c:v>0.38461538461538464</c:v>
                </c:pt>
                <c:pt idx="13">
                  <c:v>0.41791044776119401</c:v>
                </c:pt>
                <c:pt idx="14">
                  <c:v>0.51094890510948909</c:v>
                </c:pt>
                <c:pt idx="15">
                  <c:v>0.42424242424242425</c:v>
                </c:pt>
                <c:pt idx="16">
                  <c:v>0.40498442367601245</c:v>
                </c:pt>
                <c:pt idx="17">
                  <c:v>#N/A</c:v>
                </c:pt>
                <c:pt idx="18">
                  <c:v>#N/A</c:v>
                </c:pt>
                <c:pt idx="19">
                  <c:v>0.3987730061349693</c:v>
                </c:pt>
                <c:pt idx="20">
                  <c:v>#N/A</c:v>
                </c:pt>
                <c:pt idx="21">
                  <c:v>#N/A</c:v>
                </c:pt>
                <c:pt idx="22">
                  <c:v>0.44368600682593856</c:v>
                </c:pt>
                <c:pt idx="23">
                  <c:v>0.34482758620689657</c:v>
                </c:pt>
                <c:pt idx="24">
                  <c:v>#N/A</c:v>
                </c:pt>
                <c:pt idx="25">
                  <c:v>#N/A</c:v>
                </c:pt>
                <c:pt idx="26">
                  <c:v>0.45751633986928103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66-40D9-BA0A-8B9810CF9A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6069872"/>
        <c:axId val="136067472"/>
      </c:lineChart>
      <c:catAx>
        <c:axId val="119027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274752"/>
        <c:crosses val="autoZero"/>
        <c:auto val="1"/>
        <c:lblAlgn val="ctr"/>
        <c:lblOffset val="100"/>
        <c:noMultiLvlLbl val="0"/>
      </c:catAx>
      <c:valAx>
        <c:axId val="119027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</a:t>
                </a:r>
                <a:r>
                  <a:rPr lang="es-CO" baseline="0"/>
                  <a:t> (m3/h)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270912"/>
        <c:crosses val="autoZero"/>
        <c:crossBetween val="between"/>
      </c:valAx>
      <c:valAx>
        <c:axId val="1360674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6069872"/>
        <c:crosses val="max"/>
        <c:crossBetween val="between"/>
      </c:valAx>
      <c:catAx>
        <c:axId val="1360698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067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Y SEGUIMIENTO RO.xlsx]DB OPERACIONAL!TablaDinámica4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PRESION ETAPA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5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</c:pivotFmts>
    <c:plotArea>
      <c:layout/>
      <c:barChart>
        <c:barDir val="col"/>
        <c:grouping val="stacked"/>
        <c:varyColors val="0"/>
        <c:ser>
          <c:idx val="3"/>
          <c:order val="3"/>
          <c:tx>
            <c:strRef>
              <c:f>'DB OPERACIONAL'!$AC$5</c:f>
              <c:strCache>
                <c:ptCount val="1"/>
                <c:pt idx="0">
                  <c:v>Q Entrada RO 1 ETAPA 1 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5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OPERACIONAL'!$Y$6:$Y$33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OPERACIONAL'!$AC$6:$AC$33</c:f>
              <c:numCache>
                <c:formatCode>General</c:formatCode>
                <c:ptCount val="27"/>
                <c:pt idx="6">
                  <c:v>34</c:v>
                </c:pt>
                <c:pt idx="7">
                  <c:v>31.9</c:v>
                </c:pt>
                <c:pt idx="8">
                  <c:v>29.3</c:v>
                </c:pt>
                <c:pt idx="9">
                  <c:v>33.799999999999997</c:v>
                </c:pt>
                <c:pt idx="13">
                  <c:v>33.5</c:v>
                </c:pt>
                <c:pt idx="14">
                  <c:v>27.4</c:v>
                </c:pt>
                <c:pt idx="15">
                  <c:v>33</c:v>
                </c:pt>
                <c:pt idx="16">
                  <c:v>32.1</c:v>
                </c:pt>
                <c:pt idx="19">
                  <c:v>32.6</c:v>
                </c:pt>
                <c:pt idx="22">
                  <c:v>29.3</c:v>
                </c:pt>
                <c:pt idx="23">
                  <c:v>34.799999999999997</c:v>
                </c:pt>
                <c:pt idx="26">
                  <c:v>30.6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538-406F-A6B5-25C349617137}"/>
            </c:ext>
          </c:extLst>
        </c:ser>
        <c:ser>
          <c:idx val="0"/>
          <c:order val="0"/>
          <c:tx>
            <c:strRef>
              <c:f>'DB OPERACIONAL'!$Z$5</c:f>
              <c:strCache>
                <c:ptCount val="1"/>
                <c:pt idx="0">
                  <c:v>P Entrada RO 1 ETAPA 1(Bar)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OPERACIONAL'!$Y$6:$Y$33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OPERACIONAL'!$Z$6:$Z$33</c:f>
              <c:numCache>
                <c:formatCode>General</c:formatCode>
                <c:ptCount val="27"/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5.5</c:v>
                </c:pt>
                <c:pt idx="13">
                  <c:v>5.7</c:v>
                </c:pt>
                <c:pt idx="14">
                  <c:v>6.2</c:v>
                </c:pt>
                <c:pt idx="15">
                  <c:v>6.2</c:v>
                </c:pt>
                <c:pt idx="16">
                  <c:v>5.7</c:v>
                </c:pt>
                <c:pt idx="19">
                  <c:v>5.2</c:v>
                </c:pt>
                <c:pt idx="22">
                  <c:v>5.9</c:v>
                </c:pt>
                <c:pt idx="23">
                  <c:v>4.9000000000000004</c:v>
                </c:pt>
                <c:pt idx="26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06F-A6B5-25C349617137}"/>
            </c:ext>
          </c:extLst>
        </c:ser>
        <c:ser>
          <c:idx val="1"/>
          <c:order val="1"/>
          <c:tx>
            <c:strRef>
              <c:f>'DB OPERACIONAL'!$AA$5</c:f>
              <c:strCache>
                <c:ptCount val="1"/>
                <c:pt idx="0">
                  <c:v>Diferencial de Presión RO 1 ETAPA 1 ΔP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OPERACIONAL'!$Y$6:$Y$33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OPERACIONAL'!$AA$6:$AA$33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0.20000000000000018</c:v>
                </c:pt>
                <c:pt idx="7">
                  <c:v>0.20000000000000018</c:v>
                </c:pt>
                <c:pt idx="8">
                  <c:v>0.20000000000000018</c:v>
                </c:pt>
                <c:pt idx="9">
                  <c:v>1.5</c:v>
                </c:pt>
                <c:pt idx="13">
                  <c:v>0.70000000000000018</c:v>
                </c:pt>
                <c:pt idx="14">
                  <c:v>1.2000000000000002</c:v>
                </c:pt>
                <c:pt idx="15">
                  <c:v>1.2000000000000002</c:v>
                </c:pt>
                <c:pt idx="16">
                  <c:v>0.70000000000000018</c:v>
                </c:pt>
                <c:pt idx="17">
                  <c:v>0</c:v>
                </c:pt>
                <c:pt idx="18">
                  <c:v>0</c:v>
                </c:pt>
                <c:pt idx="19">
                  <c:v>1.2000000000000002</c:v>
                </c:pt>
                <c:pt idx="20">
                  <c:v>0</c:v>
                </c:pt>
                <c:pt idx="21">
                  <c:v>0</c:v>
                </c:pt>
                <c:pt idx="22">
                  <c:v>0.90000000000000036</c:v>
                </c:pt>
                <c:pt idx="23">
                  <c:v>0.90000000000000036</c:v>
                </c:pt>
                <c:pt idx="24">
                  <c:v>0</c:v>
                </c:pt>
                <c:pt idx="25">
                  <c:v>0</c:v>
                </c:pt>
                <c:pt idx="26">
                  <c:v>1.2999999999999998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38-406F-A6B5-25C349617137}"/>
            </c:ext>
          </c:extLst>
        </c:ser>
        <c:ser>
          <c:idx val="2"/>
          <c:order val="2"/>
          <c:tx>
            <c:strRef>
              <c:f>'DB OPERACIONAL'!$AB$5</c:f>
              <c:strCache>
                <c:ptCount val="1"/>
                <c:pt idx="0">
                  <c:v>P Salida RO 1 ETAPA 1(Bar)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OPERACIONAL'!$Y$6:$Y$33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OPERACIONAL'!$AB$6:$AB$33</c:f>
              <c:numCache>
                <c:formatCode>General</c:formatCode>
                <c:ptCount val="27"/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4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9">
                  <c:v>4</c:v>
                </c:pt>
                <c:pt idx="22">
                  <c:v>5</c:v>
                </c:pt>
                <c:pt idx="23">
                  <c:v>4</c:v>
                </c:pt>
                <c:pt idx="2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38-406F-A6B5-25C349617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19249632"/>
        <c:axId val="1119255392"/>
      </c:barChart>
      <c:catAx>
        <c:axId val="111924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255392"/>
        <c:crosses val="autoZero"/>
        <c:auto val="1"/>
        <c:lblAlgn val="ctr"/>
        <c:lblOffset val="100"/>
        <c:noMultiLvlLbl val="0"/>
      </c:catAx>
      <c:valAx>
        <c:axId val="1119255392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24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Y SEGUIMIENTO RO.xlsx]DB OPERACIONAL!TablaDinámica5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PRESIÓN ETAPA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chemeClr val="accent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'DB OPERACIONAL'!$AL$5</c:f>
              <c:strCache>
                <c:ptCount val="1"/>
                <c:pt idx="0">
                  <c:v>P Salida RO 1 ETAPA 2 (Bar) 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OPERACIONAL'!$AJ$6:$AJ$33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OPERACIONAL'!$AL$6:$AL$33</c:f>
              <c:numCache>
                <c:formatCode>General</c:formatCode>
                <c:ptCount val="27"/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9">
                  <c:v>10</c:v>
                </c:pt>
                <c:pt idx="22">
                  <c:v>11</c:v>
                </c:pt>
                <c:pt idx="23">
                  <c:v>10</c:v>
                </c:pt>
                <c:pt idx="26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9-4303-A999-D59ECB2434AE}"/>
            </c:ext>
          </c:extLst>
        </c:ser>
        <c:ser>
          <c:idx val="0"/>
          <c:order val="0"/>
          <c:tx>
            <c:strRef>
              <c:f>'DB OPERACIONAL'!$AK$5</c:f>
              <c:strCache>
                <c:ptCount val="1"/>
                <c:pt idx="0">
                  <c:v>Diferencial de Presión RO 1 ETAPA 2 ΔP 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2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OPERACIONAL'!$AJ$6:$AJ$33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OPERACIONAL'!$AK$6:$AK$33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0.80000000000000071</c:v>
                </c:pt>
                <c:pt idx="7">
                  <c:v>0.80000000000000071</c:v>
                </c:pt>
                <c:pt idx="8">
                  <c:v>0.90000000000000036</c:v>
                </c:pt>
                <c:pt idx="9">
                  <c:v>0.90000000000000036</c:v>
                </c:pt>
                <c:pt idx="13">
                  <c:v>0.19999999999999929</c:v>
                </c:pt>
                <c:pt idx="14">
                  <c:v>1.1999999999999993</c:v>
                </c:pt>
                <c:pt idx="15">
                  <c:v>0.80000000000000071</c:v>
                </c:pt>
                <c:pt idx="16">
                  <c:v>0.19999999999999929</c:v>
                </c:pt>
                <c:pt idx="17">
                  <c:v>0</c:v>
                </c:pt>
                <c:pt idx="18">
                  <c:v>0</c:v>
                </c:pt>
                <c:pt idx="19">
                  <c:v>0.69999999999999929</c:v>
                </c:pt>
                <c:pt idx="20">
                  <c:v>0</c:v>
                </c:pt>
                <c:pt idx="21">
                  <c:v>0</c:v>
                </c:pt>
                <c:pt idx="22">
                  <c:v>0.59999999999999964</c:v>
                </c:pt>
                <c:pt idx="23">
                  <c:v>0.40000000000000036</c:v>
                </c:pt>
                <c:pt idx="24">
                  <c:v>0</c:v>
                </c:pt>
                <c:pt idx="25">
                  <c:v>0</c:v>
                </c:pt>
                <c:pt idx="2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9-4303-A999-D59ECB2434AE}"/>
            </c:ext>
          </c:extLst>
        </c:ser>
        <c:ser>
          <c:idx val="2"/>
          <c:order val="2"/>
          <c:tx>
            <c:strRef>
              <c:f>'DB OPERACIONAL'!$AM$5</c:f>
              <c:strCache>
                <c:ptCount val="1"/>
                <c:pt idx="0">
                  <c:v>P Entrada RO 1 ETAPA 2 (Bar) 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OPERACIONAL'!$AJ$6:$AJ$33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OPERACIONAL'!$AM$6:$AM$33</c:f>
              <c:numCache>
                <c:formatCode>General</c:formatCode>
                <c:ptCount val="27"/>
                <c:pt idx="6">
                  <c:v>11.8</c:v>
                </c:pt>
                <c:pt idx="7">
                  <c:v>11.8</c:v>
                </c:pt>
                <c:pt idx="8">
                  <c:v>11.9</c:v>
                </c:pt>
                <c:pt idx="9">
                  <c:v>10.9</c:v>
                </c:pt>
                <c:pt idx="13">
                  <c:v>11.2</c:v>
                </c:pt>
                <c:pt idx="14">
                  <c:v>11.2</c:v>
                </c:pt>
                <c:pt idx="15">
                  <c:v>11.8</c:v>
                </c:pt>
                <c:pt idx="16">
                  <c:v>11.2</c:v>
                </c:pt>
                <c:pt idx="19">
                  <c:v>10.7</c:v>
                </c:pt>
                <c:pt idx="22">
                  <c:v>11.6</c:v>
                </c:pt>
                <c:pt idx="23">
                  <c:v>10.4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49-4303-A999-D59ECB243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19230432"/>
        <c:axId val="1119232352"/>
      </c:barChart>
      <c:catAx>
        <c:axId val="111923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232352"/>
        <c:crosses val="autoZero"/>
        <c:auto val="1"/>
        <c:lblAlgn val="ctr"/>
        <c:lblOffset val="100"/>
        <c:noMultiLvlLbl val="0"/>
      </c:catAx>
      <c:valAx>
        <c:axId val="1119232352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192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Y SEGUIMIENTO RO.xlsx]DB OPERACIONAL!TablaDinámica7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EFICIENCIA</a:t>
            </a:r>
            <a:r>
              <a:rPr lang="es-CO" baseline="0"/>
              <a:t> ETAPA 1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solidFill>
              <a:srgbClr val="00B050"/>
            </a:solidFill>
          </a:ln>
          <a:effectLst/>
        </c:spPr>
        <c:marker>
          <c:symbol val="circle"/>
          <c:size val="5"/>
          <c:spPr>
            <a:solidFill>
              <a:srgbClr val="00B050"/>
            </a:solidFill>
            <a:ln w="9525">
              <a:solidFill>
                <a:srgbClr val="00B05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190280512"/>
        <c:axId val="1190287712"/>
      </c:barChart>
      <c:catAx>
        <c:axId val="119028051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287712"/>
        <c:crosses val="autoZero"/>
        <c:auto val="1"/>
        <c:lblAlgn val="ctr"/>
        <c:lblOffset val="100"/>
        <c:noMultiLvlLbl val="0"/>
      </c:catAx>
      <c:valAx>
        <c:axId val="11902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90280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 Y SEGUIMIENTO RO.xlsx]DB OPERACIONAL!TablaDinámica8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EFICIENCIA RO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C00000"/>
            </a:solidFill>
            <a:round/>
          </a:ln>
          <a:effectLst/>
        </c:spPr>
        <c:marker>
          <c:symbol val="circle"/>
          <c:size val="5"/>
          <c:spPr>
            <a:solidFill>
              <a:srgbClr val="C00000"/>
            </a:solidFill>
            <a:ln w="9525">
              <a:solidFill>
                <a:srgbClr val="C00000"/>
              </a:solidFill>
            </a:ln>
            <a:effectLst/>
          </c:spPr>
        </c:marker>
        <c:dLbl>
          <c:idx val="0"/>
          <c:spPr>
            <a:solidFill>
              <a:srgbClr val="C00000">
                <a:alpha val="46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rgbClr val="00B0F0"/>
            </a:solidFill>
            <a:ln w="9525">
              <a:solidFill>
                <a:srgbClr val="00B0F0"/>
              </a:solidFill>
            </a:ln>
            <a:effectLst/>
          </c:spPr>
        </c:marker>
        <c:dLbl>
          <c:idx val="0"/>
          <c:spPr>
            <a:solidFill>
              <a:srgbClr val="00B0F0">
                <a:alpha val="24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</a:ln>
            <a:effectLst/>
          </c:spPr>
        </c:marker>
      </c:pivotFmt>
    </c:pivotFmts>
    <c:plotArea>
      <c:layout/>
      <c:barChart>
        <c:barDir val="col"/>
        <c:grouping val="stacked"/>
        <c:varyColors val="0"/>
        <c:ser>
          <c:idx val="4"/>
          <c:order val="4"/>
          <c:tx>
            <c:strRef>
              <c:f>'DB OPERACIONAL'!$L$5</c:f>
              <c:strCache>
                <c:ptCount val="1"/>
                <c:pt idx="0">
                  <c:v>Q PERMEADO RO1 MEDIDOR DIGITAL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OPERACIONAL'!$G$6:$G$33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OPERACIONAL'!$L$6:$L$33</c:f>
              <c:numCache>
                <c:formatCode>General</c:formatCode>
                <c:ptCount val="27"/>
                <c:pt idx="6">
                  <c:v>28.2</c:v>
                </c:pt>
                <c:pt idx="7">
                  <c:v>25.5</c:v>
                </c:pt>
                <c:pt idx="8">
                  <c:v>23.2</c:v>
                </c:pt>
                <c:pt idx="9">
                  <c:v>21.3</c:v>
                </c:pt>
                <c:pt idx="13">
                  <c:v>26.6</c:v>
                </c:pt>
                <c:pt idx="14">
                  <c:v>20.8</c:v>
                </c:pt>
                <c:pt idx="15">
                  <c:v>24.5</c:v>
                </c:pt>
                <c:pt idx="16">
                  <c:v>23.4</c:v>
                </c:pt>
                <c:pt idx="19">
                  <c:v>24.8</c:v>
                </c:pt>
                <c:pt idx="22">
                  <c:v>22.9</c:v>
                </c:pt>
                <c:pt idx="23">
                  <c:v>17.3</c:v>
                </c:pt>
                <c:pt idx="26">
                  <c:v>25.4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A4-41F8-8A92-E65F4923F6CE}"/>
            </c:ext>
          </c:extLst>
        </c:ser>
        <c:ser>
          <c:idx val="5"/>
          <c:order val="5"/>
          <c:tx>
            <c:strRef>
              <c:f>'DB OPERACIONAL'!$M$5</c:f>
              <c:strCache>
                <c:ptCount val="1"/>
                <c:pt idx="0">
                  <c:v>Q RECHAZO RO1 CALCULADO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OPERACIONAL'!$G$6:$G$33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OPERACIONAL'!$M$6:$M$33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5.8000000000000007</c:v>
                </c:pt>
                <c:pt idx="7">
                  <c:v>6.3999999999999986</c:v>
                </c:pt>
                <c:pt idx="8">
                  <c:v>6.1000000000000014</c:v>
                </c:pt>
                <c:pt idx="9">
                  <c:v>12.499999999999996</c:v>
                </c:pt>
                <c:pt idx="13">
                  <c:v>6.8999999999999986</c:v>
                </c:pt>
                <c:pt idx="14">
                  <c:v>6.5999999999999979</c:v>
                </c:pt>
                <c:pt idx="15">
                  <c:v>8.5</c:v>
                </c:pt>
                <c:pt idx="16">
                  <c:v>8.7000000000000028</c:v>
                </c:pt>
                <c:pt idx="17">
                  <c:v>0</c:v>
                </c:pt>
                <c:pt idx="18">
                  <c:v>0</c:v>
                </c:pt>
                <c:pt idx="19">
                  <c:v>7.8000000000000007</c:v>
                </c:pt>
                <c:pt idx="20">
                  <c:v>0</c:v>
                </c:pt>
                <c:pt idx="21">
                  <c:v>0</c:v>
                </c:pt>
                <c:pt idx="22">
                  <c:v>6.4000000000000021</c:v>
                </c:pt>
                <c:pt idx="23">
                  <c:v>17.499999999999996</c:v>
                </c:pt>
                <c:pt idx="24">
                  <c:v>0</c:v>
                </c:pt>
                <c:pt idx="25">
                  <c:v>0</c:v>
                </c:pt>
                <c:pt idx="26">
                  <c:v>5.2000000000000028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A4-41F8-8A92-E65F4923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01127408"/>
        <c:axId val="1301141808"/>
      </c:barChart>
      <c:lineChart>
        <c:grouping val="standard"/>
        <c:varyColors val="0"/>
        <c:ser>
          <c:idx val="3"/>
          <c:order val="3"/>
          <c:tx>
            <c:strRef>
              <c:f>'DB OPERACIONAL'!$K$5</c:f>
              <c:strCache>
                <c:ptCount val="1"/>
                <c:pt idx="0">
                  <c:v>Q Entrada RO 1 ETAPA 1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OPERACIONAL'!$G$6:$G$33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OPERACIONAL'!$K$6:$K$33</c:f>
              <c:numCache>
                <c:formatCode>General</c:formatCode>
                <c:ptCount val="27"/>
                <c:pt idx="6">
                  <c:v>34</c:v>
                </c:pt>
                <c:pt idx="7">
                  <c:v>31.9</c:v>
                </c:pt>
                <c:pt idx="8">
                  <c:v>29.3</c:v>
                </c:pt>
                <c:pt idx="9">
                  <c:v>33.799999999999997</c:v>
                </c:pt>
                <c:pt idx="13">
                  <c:v>33.5</c:v>
                </c:pt>
                <c:pt idx="14">
                  <c:v>27.4</c:v>
                </c:pt>
                <c:pt idx="15">
                  <c:v>33</c:v>
                </c:pt>
                <c:pt idx="16">
                  <c:v>32.1</c:v>
                </c:pt>
                <c:pt idx="19">
                  <c:v>32.6</c:v>
                </c:pt>
                <c:pt idx="22">
                  <c:v>29.3</c:v>
                </c:pt>
                <c:pt idx="23">
                  <c:v>34.799999999999997</c:v>
                </c:pt>
                <c:pt idx="26">
                  <c:v>30.6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A4-41F8-8A92-E65F4923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1127408"/>
        <c:axId val="1301141808"/>
      </c:lineChart>
      <c:lineChart>
        <c:grouping val="standard"/>
        <c:varyColors val="0"/>
        <c:ser>
          <c:idx val="0"/>
          <c:order val="0"/>
          <c:tx>
            <c:strRef>
              <c:f>'DB OPERACIONAL'!$H$5</c:f>
              <c:strCache>
                <c:ptCount val="1"/>
                <c:pt idx="0">
                  <c:v>% EFICIENCIA RO1 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OPERACIONAL'!$G$6:$G$33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OPERACIONAL'!$H$6:$H$33</c:f>
              <c:numCache>
                <c:formatCode>0%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0.82941176470588229</c:v>
                </c:pt>
                <c:pt idx="7">
                  <c:v>0.79937304075235116</c:v>
                </c:pt>
                <c:pt idx="8">
                  <c:v>0.79180887372013653</c:v>
                </c:pt>
                <c:pt idx="9">
                  <c:v>0.63017751479289952</c:v>
                </c:pt>
                <c:pt idx="13">
                  <c:v>0.79402985074626875</c:v>
                </c:pt>
                <c:pt idx="14">
                  <c:v>0.75912408759124095</c:v>
                </c:pt>
                <c:pt idx="15">
                  <c:v>0.74242424242424243</c:v>
                </c:pt>
                <c:pt idx="16">
                  <c:v>0.7289719626168224</c:v>
                </c:pt>
                <c:pt idx="17">
                  <c:v>#N/A</c:v>
                </c:pt>
                <c:pt idx="18">
                  <c:v>#N/A</c:v>
                </c:pt>
                <c:pt idx="19">
                  <c:v>0.76073619631901834</c:v>
                </c:pt>
                <c:pt idx="20">
                  <c:v>#N/A</c:v>
                </c:pt>
                <c:pt idx="21">
                  <c:v>#N/A</c:v>
                </c:pt>
                <c:pt idx="22">
                  <c:v>0.78156996587030714</c:v>
                </c:pt>
                <c:pt idx="23">
                  <c:v>0.49712643678160928</c:v>
                </c:pt>
                <c:pt idx="24">
                  <c:v>#N/A</c:v>
                </c:pt>
                <c:pt idx="25">
                  <c:v>#N/A</c:v>
                </c:pt>
                <c:pt idx="26">
                  <c:v>0.83006535947712412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8E-4C07-BD97-8A9C16BCF63D}"/>
            </c:ext>
          </c:extLst>
        </c:ser>
        <c:ser>
          <c:idx val="1"/>
          <c:order val="1"/>
          <c:tx>
            <c:strRef>
              <c:f>'DB OPERACIONAL'!$I$5</c:f>
              <c:strCache>
                <c:ptCount val="1"/>
                <c:pt idx="0">
                  <c:v> % EFICIENCIA ETAPA 2 RO1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Lbls>
            <c:spPr>
              <a:solidFill>
                <a:srgbClr val="00B0F0">
                  <a:alpha val="24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OPERACIONAL'!$G$6:$G$33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OPERACIONAL'!$I$6:$I$33</c:f>
              <c:numCache>
                <c:formatCode>0%</c:formatCode>
                <c:ptCount val="2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0.72380952380952379</c:v>
                </c:pt>
                <c:pt idx="7">
                  <c:v>0.64245810055865926</c:v>
                </c:pt>
                <c:pt idx="8">
                  <c:v>0.60130718954248363</c:v>
                </c:pt>
                <c:pt idx="9">
                  <c:v>0.39903846153846162</c:v>
                </c:pt>
                <c:pt idx="13">
                  <c:v>0.64615384615384619</c:v>
                </c:pt>
                <c:pt idx="14">
                  <c:v>0.50746268656716431</c:v>
                </c:pt>
                <c:pt idx="15">
                  <c:v>0.55263157894736847</c:v>
                </c:pt>
                <c:pt idx="16">
                  <c:v>0.54450261780104703</c:v>
                </c:pt>
                <c:pt idx="17">
                  <c:v>#N/A</c:v>
                </c:pt>
                <c:pt idx="18">
                  <c:v>#N/A</c:v>
                </c:pt>
                <c:pt idx="19">
                  <c:v>0.60204081632653061</c:v>
                </c:pt>
                <c:pt idx="20">
                  <c:v>#N/A</c:v>
                </c:pt>
                <c:pt idx="21">
                  <c:v>#N/A</c:v>
                </c:pt>
                <c:pt idx="22">
                  <c:v>0.60736196319018398</c:v>
                </c:pt>
                <c:pt idx="23">
                  <c:v>0.23245614035087725</c:v>
                </c:pt>
                <c:pt idx="24">
                  <c:v>#N/A</c:v>
                </c:pt>
                <c:pt idx="25">
                  <c:v>#N/A</c:v>
                </c:pt>
                <c:pt idx="26">
                  <c:v>0.68674698795180711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8E-4C07-BD97-8A9C16BCF63D}"/>
            </c:ext>
          </c:extLst>
        </c:ser>
        <c:ser>
          <c:idx val="2"/>
          <c:order val="2"/>
          <c:tx>
            <c:strRef>
              <c:f>'DB OPERACIONAL'!$J$5</c:f>
              <c:strCache>
                <c:ptCount val="1"/>
                <c:pt idx="0">
                  <c:v> % EFICIENCIA ETAPA 1 RO1 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>
                  <a:alpha val="46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'DB OPERACIONAL'!$G$6:$G$33</c:f>
              <c:strCache>
                <c:ptCount val="27"/>
                <c:pt idx="0">
                  <c:v>1/10/2025</c:v>
                </c:pt>
                <c:pt idx="1">
                  <c:v>2/10/2025</c:v>
                </c:pt>
                <c:pt idx="2">
                  <c:v>3/10/2025</c:v>
                </c:pt>
                <c:pt idx="3">
                  <c:v>4/10/2025</c:v>
                </c:pt>
                <c:pt idx="4">
                  <c:v>5/10/2025</c:v>
                </c:pt>
                <c:pt idx="5">
                  <c:v>6/10/2025</c:v>
                </c:pt>
                <c:pt idx="6">
                  <c:v>7/10/2025</c:v>
                </c:pt>
                <c:pt idx="7">
                  <c:v>8/10/2025</c:v>
                </c:pt>
                <c:pt idx="8">
                  <c:v>9/10/2025</c:v>
                </c:pt>
                <c:pt idx="9">
                  <c:v>10/10/2025</c:v>
                </c:pt>
                <c:pt idx="10">
                  <c:v>11/10/2025</c:v>
                </c:pt>
                <c:pt idx="11">
                  <c:v>12/10/2025</c:v>
                </c:pt>
                <c:pt idx="12">
                  <c:v>13/10/2025</c:v>
                </c:pt>
                <c:pt idx="13">
                  <c:v>14/10/2025</c:v>
                </c:pt>
                <c:pt idx="14">
                  <c:v>15/10/2025</c:v>
                </c:pt>
                <c:pt idx="15">
                  <c:v>16/10/2025</c:v>
                </c:pt>
                <c:pt idx="16">
                  <c:v>17/10/2025</c:v>
                </c:pt>
                <c:pt idx="17">
                  <c:v>18/10/2025</c:v>
                </c:pt>
                <c:pt idx="18">
                  <c:v>19/10/2025</c:v>
                </c:pt>
                <c:pt idx="19">
                  <c:v>20/10/2025</c:v>
                </c:pt>
                <c:pt idx="20">
                  <c:v>21/10/2025</c:v>
                </c:pt>
                <c:pt idx="21">
                  <c:v>22/10/2025</c:v>
                </c:pt>
                <c:pt idx="22">
                  <c:v>23/10/2025</c:v>
                </c:pt>
                <c:pt idx="23">
                  <c:v>24/10/2025</c:v>
                </c:pt>
                <c:pt idx="24">
                  <c:v>25/10/2025</c:v>
                </c:pt>
                <c:pt idx="25">
                  <c:v>26/10/2025</c:v>
                </c:pt>
                <c:pt idx="26">
                  <c:v>27/10/2025</c:v>
                </c:pt>
              </c:strCache>
            </c:strRef>
          </c:cat>
          <c:val>
            <c:numRef>
              <c:f>'DB OPERACIONAL'!$J$6:$J$33</c:f>
              <c:numCache>
                <c:formatCode>0%</c:formatCode>
                <c:ptCount val="27"/>
                <c:pt idx="6">
                  <c:v>0.38235294117647056</c:v>
                </c:pt>
                <c:pt idx="7">
                  <c:v>0.43887147335423199</c:v>
                </c:pt>
                <c:pt idx="8">
                  <c:v>0.47781569965870307</c:v>
                </c:pt>
                <c:pt idx="9">
                  <c:v>0.38461538461538464</c:v>
                </c:pt>
                <c:pt idx="13">
                  <c:v>0.41791044776119401</c:v>
                </c:pt>
                <c:pt idx="14">
                  <c:v>0.51094890510948909</c:v>
                </c:pt>
                <c:pt idx="15">
                  <c:v>0.42424242424242425</c:v>
                </c:pt>
                <c:pt idx="16">
                  <c:v>0.40498442367601245</c:v>
                </c:pt>
                <c:pt idx="17">
                  <c:v>#N/A</c:v>
                </c:pt>
                <c:pt idx="18">
                  <c:v>#N/A</c:v>
                </c:pt>
                <c:pt idx="19">
                  <c:v>0.3987730061349693</c:v>
                </c:pt>
                <c:pt idx="20">
                  <c:v>#N/A</c:v>
                </c:pt>
                <c:pt idx="21">
                  <c:v>#N/A</c:v>
                </c:pt>
                <c:pt idx="22">
                  <c:v>0.44368600682593856</c:v>
                </c:pt>
                <c:pt idx="23">
                  <c:v>0.34482758620689657</c:v>
                </c:pt>
                <c:pt idx="24">
                  <c:v>#N/A</c:v>
                </c:pt>
                <c:pt idx="25">
                  <c:v>#N/A</c:v>
                </c:pt>
                <c:pt idx="26">
                  <c:v>0.45751633986928103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A4-41F8-8A92-E65F4923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0930272"/>
        <c:axId val="1500926912"/>
      </c:lineChart>
      <c:catAx>
        <c:axId val="130112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1141808"/>
        <c:crosses val="autoZero"/>
        <c:auto val="1"/>
        <c:lblAlgn val="ctr"/>
        <c:lblOffset val="100"/>
        <c:noMultiLvlLbl val="0"/>
      </c:catAx>
      <c:valAx>
        <c:axId val="13011418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Q (m3/h)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1127408"/>
        <c:crosses val="autoZero"/>
        <c:crossBetween val="between"/>
      </c:valAx>
      <c:valAx>
        <c:axId val="1500926912"/>
        <c:scaling>
          <c:orientation val="minMax"/>
          <c:max val="1"/>
          <c:min val="-1.5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00930272"/>
        <c:crosses val="max"/>
        <c:crossBetween val="between"/>
      </c:valAx>
      <c:catAx>
        <c:axId val="15009302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0926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'OPERACIÓN RO1'!$B$1:$B$70</c:f>
              <c:strCache>
                <c:ptCount val="70"/>
                <c:pt idx="0">
                  <c:v>HORA</c:v>
                </c:pt>
                <c:pt idx="3">
                  <c:v>4:00:00 p. m.</c:v>
                </c:pt>
                <c:pt idx="4">
                  <c:v>11:29:00 a. m.</c:v>
                </c:pt>
                <c:pt idx="5">
                  <c:v>11:10:00 a. m.</c:v>
                </c:pt>
                <c:pt idx="6">
                  <c:v>11:24:00 a. m.</c:v>
                </c:pt>
                <c:pt idx="7">
                  <c:v>1:48:00 p. m.</c:v>
                </c:pt>
                <c:pt idx="10">
                  <c:v>11:31:00 a. m.</c:v>
                </c:pt>
                <c:pt idx="11">
                  <c:v>2:00:00 p. m.</c:v>
                </c:pt>
                <c:pt idx="13">
                  <c:v>2:01:00 p. m.</c:v>
                </c:pt>
                <c:pt idx="59">
                  <c:v>1:01:00 p. m.</c:v>
                </c:pt>
                <c:pt idx="60">
                  <c:v>12:00:00 p. m.</c:v>
                </c:pt>
                <c:pt idx="61">
                  <c:v>12:00:00 p. m.</c:v>
                </c:pt>
                <c:pt idx="62">
                  <c:v>12:00:00 p. m.</c:v>
                </c:pt>
                <c:pt idx="63">
                  <c:v>12:00:00 p. m.</c:v>
                </c:pt>
                <c:pt idx="64">
                  <c:v>  13:50:00 p.m.</c:v>
                </c:pt>
                <c:pt idx="65">
                  <c:v>13:38:00 pm</c:v>
                </c:pt>
                <c:pt idx="66">
                  <c:v>12:30:00 p. m.</c:v>
                </c:pt>
                <c:pt idx="67">
                  <c:v>2:30:00 PM.</c:v>
                </c:pt>
                <c:pt idx="68">
                  <c:v>1:00:00 p. m.</c:v>
                </c:pt>
                <c:pt idx="69">
                  <c:v>10:20:00p´m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RO1'!$B$71:$B$243</c:f>
              <c:numCache>
                <c:formatCode>[$-F400]h:mm:ss\ AM/PM</c:formatCode>
                <c:ptCount val="88"/>
                <c:pt idx="0">
                  <c:v>0.35416666666666669</c:v>
                </c:pt>
                <c:pt idx="1">
                  <c:v>0.39583333333333331</c:v>
                </c:pt>
                <c:pt idx="2">
                  <c:v>0.39583333333333331</c:v>
                </c:pt>
                <c:pt idx="3">
                  <c:v>0.45833333333333331</c:v>
                </c:pt>
                <c:pt idx="4">
                  <c:v>0.36805555555555558</c:v>
                </c:pt>
                <c:pt idx="5">
                  <c:v>0.39583333333333331</c:v>
                </c:pt>
                <c:pt idx="6">
                  <c:v>0.5</c:v>
                </c:pt>
                <c:pt idx="7">
                  <c:v>0.38472222222222224</c:v>
                </c:pt>
                <c:pt idx="8">
                  <c:v>0.39583333333333331</c:v>
                </c:pt>
                <c:pt idx="9">
                  <c:v>0.35416666666666669</c:v>
                </c:pt>
                <c:pt idx="10">
                  <c:v>0.41666666666666669</c:v>
                </c:pt>
                <c:pt idx="11">
                  <c:v>0.35416666666666669</c:v>
                </c:pt>
                <c:pt idx="12">
                  <c:v>0.39583333333333331</c:v>
                </c:pt>
                <c:pt idx="13">
                  <c:v>0.35416666666666669</c:v>
                </c:pt>
                <c:pt idx="14">
                  <c:v>0.33333333333333331</c:v>
                </c:pt>
                <c:pt idx="15">
                  <c:v>0.35416666666666669</c:v>
                </c:pt>
                <c:pt idx="16">
                  <c:v>0.4375</c:v>
                </c:pt>
                <c:pt idx="17">
                  <c:v>0.41666666666666669</c:v>
                </c:pt>
                <c:pt idx="18">
                  <c:v>0.35416666666666669</c:v>
                </c:pt>
                <c:pt idx="19">
                  <c:v>0.375</c:v>
                </c:pt>
                <c:pt idx="20">
                  <c:v>0.375</c:v>
                </c:pt>
                <c:pt idx="21">
                  <c:v>0.41666666666666669</c:v>
                </c:pt>
                <c:pt idx="22">
                  <c:v>0.35416666666666669</c:v>
                </c:pt>
                <c:pt idx="23">
                  <c:v>0.375</c:v>
                </c:pt>
                <c:pt idx="24">
                  <c:v>0.35416666666666669</c:v>
                </c:pt>
                <c:pt idx="25">
                  <c:v>0.41666666666666669</c:v>
                </c:pt>
                <c:pt idx="26">
                  <c:v>0.33333333333333331</c:v>
                </c:pt>
                <c:pt idx="27">
                  <c:v>0.375</c:v>
                </c:pt>
                <c:pt idx="28">
                  <c:v>0.39583333333333331</c:v>
                </c:pt>
                <c:pt idx="29">
                  <c:v>0.35416666666666669</c:v>
                </c:pt>
                <c:pt idx="30">
                  <c:v>0.35416666666666669</c:v>
                </c:pt>
                <c:pt idx="31">
                  <c:v>0.375</c:v>
                </c:pt>
                <c:pt idx="32">
                  <c:v>0.375</c:v>
                </c:pt>
                <c:pt idx="33">
                  <c:v>0.35416666666666669</c:v>
                </c:pt>
                <c:pt idx="34">
                  <c:v>0.35416666666666669</c:v>
                </c:pt>
                <c:pt idx="35">
                  <c:v>0.35416666666666669</c:v>
                </c:pt>
                <c:pt idx="36">
                  <c:v>0.375</c:v>
                </c:pt>
                <c:pt idx="37">
                  <c:v>0.35416666666666669</c:v>
                </c:pt>
                <c:pt idx="38">
                  <c:v>0.45833333333333331</c:v>
                </c:pt>
                <c:pt idx="39">
                  <c:v>0.35416666666666669</c:v>
                </c:pt>
                <c:pt idx="40">
                  <c:v>0.375</c:v>
                </c:pt>
                <c:pt idx="41">
                  <c:v>0.35416666666666669</c:v>
                </c:pt>
                <c:pt idx="42">
                  <c:v>0.41666666666666669</c:v>
                </c:pt>
                <c:pt idx="43">
                  <c:v>0</c:v>
                </c:pt>
                <c:pt idx="44">
                  <c:v>0.64583333333333337</c:v>
                </c:pt>
                <c:pt idx="45">
                  <c:v>0.68194444444444446</c:v>
                </c:pt>
                <c:pt idx="46">
                  <c:v>0.60972222222222228</c:v>
                </c:pt>
                <c:pt idx="47">
                  <c:v>0.375</c:v>
                </c:pt>
                <c:pt idx="48">
                  <c:v>0.64930555555555558</c:v>
                </c:pt>
                <c:pt idx="49">
                  <c:v>0</c:v>
                </c:pt>
                <c:pt idx="50">
                  <c:v>0.66666666666666663</c:v>
                </c:pt>
                <c:pt idx="51">
                  <c:v>0.64930555555555558</c:v>
                </c:pt>
                <c:pt idx="52">
                  <c:v>0.64444444444444449</c:v>
                </c:pt>
                <c:pt idx="53">
                  <c:v>0.35416666666666669</c:v>
                </c:pt>
                <c:pt idx="54">
                  <c:v>0.50069444444444444</c:v>
                </c:pt>
                <c:pt idx="55">
                  <c:v>0.52638888888888891</c:v>
                </c:pt>
                <c:pt idx="56">
                  <c:v>3</c:v>
                </c:pt>
                <c:pt idx="57">
                  <c:v>0.375</c:v>
                </c:pt>
                <c:pt idx="58">
                  <c:v>0.58333333333333337</c:v>
                </c:pt>
                <c:pt idx="59">
                  <c:v>0.35416666666666669</c:v>
                </c:pt>
                <c:pt idx="60">
                  <c:v>0.39583333333333331</c:v>
                </c:pt>
                <c:pt idx="61">
                  <c:v>3.5</c:v>
                </c:pt>
                <c:pt idx="62">
                  <c:v>2.5833333333333335</c:v>
                </c:pt>
                <c:pt idx="63">
                  <c:v>0.53333333333333333</c:v>
                </c:pt>
                <c:pt idx="64">
                  <c:v>0.50763888888888886</c:v>
                </c:pt>
                <c:pt idx="65">
                  <c:v>0.65902777777777777</c:v>
                </c:pt>
                <c:pt idx="66">
                  <c:v>10.5</c:v>
                </c:pt>
                <c:pt idx="67">
                  <c:v>0.61250000000000004</c:v>
                </c:pt>
                <c:pt idx="68">
                  <c:v>0.6875</c:v>
                </c:pt>
                <c:pt idx="69">
                  <c:v>0.69374999999999998</c:v>
                </c:pt>
                <c:pt idx="70">
                  <c:v>0.32291666666666669</c:v>
                </c:pt>
                <c:pt idx="71">
                  <c:v>0.55694444444444446</c:v>
                </c:pt>
                <c:pt idx="72">
                  <c:v>300.5</c:v>
                </c:pt>
                <c:pt idx="73">
                  <c:v>0.59583333333333333</c:v>
                </c:pt>
                <c:pt idx="74">
                  <c:v>0.61805555555555558</c:v>
                </c:pt>
                <c:pt idx="75">
                  <c:v>0.44444444444444442</c:v>
                </c:pt>
                <c:pt idx="76">
                  <c:v>0.5625</c:v>
                </c:pt>
                <c:pt idx="77">
                  <c:v>0.71319444444444446</c:v>
                </c:pt>
                <c:pt idx="78">
                  <c:v>2.5</c:v>
                </c:pt>
                <c:pt idx="79">
                  <c:v>0.35416666666666669</c:v>
                </c:pt>
                <c:pt idx="80">
                  <c:v>0.625</c:v>
                </c:pt>
                <c:pt idx="81">
                  <c:v>0.60416666666666663</c:v>
                </c:pt>
                <c:pt idx="82">
                  <c:v>0.41458333333333336</c:v>
                </c:pt>
                <c:pt idx="83">
                  <c:v>125.5</c:v>
                </c:pt>
                <c:pt idx="84">
                  <c:v>6.25E-2</c:v>
                </c:pt>
                <c:pt idx="85">
                  <c:v>8.3333333333333339</c:v>
                </c:pt>
                <c:pt idx="86">
                  <c:v>12</c:v>
                </c:pt>
                <c:pt idx="87">
                  <c:v>0.40972222222222221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05-4F8F-A53E-B4A1DF8B0409}"/>
            </c:ext>
          </c:extLst>
        </c:ser>
        <c:ser>
          <c:idx val="1"/>
          <c:order val="1"/>
          <c:tx>
            <c:strRef>
              <c:f>'OPERACIÓN RO1'!$T$1:$T$70</c:f>
              <c:strCache>
                <c:ptCount val="70"/>
                <c:pt idx="0">
                  <c:v>Q PERMEADO RO1 MEDIDOR DIGITAL</c:v>
                </c:pt>
                <c:pt idx="59">
                  <c:v>27,0</c:v>
                </c:pt>
                <c:pt idx="60">
                  <c:v>27,0</c:v>
                </c:pt>
                <c:pt idx="61">
                  <c:v>28,0</c:v>
                </c:pt>
                <c:pt idx="62">
                  <c:v>28,0</c:v>
                </c:pt>
                <c:pt idx="63">
                  <c:v>26,5</c:v>
                </c:pt>
                <c:pt idx="64">
                  <c:v>26,7</c:v>
                </c:pt>
                <c:pt idx="65">
                  <c:v>25,1</c:v>
                </c:pt>
                <c:pt idx="66">
                  <c:v>25,4</c:v>
                </c:pt>
                <c:pt idx="67">
                  <c:v>39,0</c:v>
                </c:pt>
                <c:pt idx="68">
                  <c:v>38,0</c:v>
                </c:pt>
                <c:pt idx="69">
                  <c:v>37,0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RO1'!$T$71:$T$243</c:f>
              <c:numCache>
                <c:formatCode>0.0</c:formatCode>
                <c:ptCount val="88"/>
                <c:pt idx="0">
                  <c:v>36</c:v>
                </c:pt>
                <c:pt idx="1">
                  <c:v>28.9</c:v>
                </c:pt>
                <c:pt idx="2">
                  <c:v>25.1</c:v>
                </c:pt>
                <c:pt idx="3">
                  <c:v>24.6</c:v>
                </c:pt>
                <c:pt idx="4">
                  <c:v>24.9</c:v>
                </c:pt>
                <c:pt idx="5">
                  <c:v>25.3</c:v>
                </c:pt>
                <c:pt idx="6">
                  <c:v>21.7</c:v>
                </c:pt>
                <c:pt idx="7">
                  <c:v>23.9</c:v>
                </c:pt>
                <c:pt idx="8">
                  <c:v>25.1</c:v>
                </c:pt>
                <c:pt idx="9">
                  <c:v>31.1</c:v>
                </c:pt>
                <c:pt idx="10">
                  <c:v>28.6</c:v>
                </c:pt>
                <c:pt idx="11">
                  <c:v>27.4</c:v>
                </c:pt>
                <c:pt idx="12">
                  <c:v>25.1</c:v>
                </c:pt>
                <c:pt idx="13">
                  <c:v>23</c:v>
                </c:pt>
                <c:pt idx="14">
                  <c:v>39.4</c:v>
                </c:pt>
                <c:pt idx="15">
                  <c:v>35.4</c:v>
                </c:pt>
                <c:pt idx="16" formatCode="General">
                  <c:v>33.299999999999997</c:v>
                </c:pt>
                <c:pt idx="17" formatCode="General">
                  <c:v>29.7</c:v>
                </c:pt>
                <c:pt idx="18" formatCode="General">
                  <c:v>30.2</c:v>
                </c:pt>
                <c:pt idx="19" formatCode="General">
                  <c:v>29.6</c:v>
                </c:pt>
                <c:pt idx="20" formatCode="General">
                  <c:v>28.5</c:v>
                </c:pt>
                <c:pt idx="21" formatCode="General">
                  <c:v>29.1</c:v>
                </c:pt>
                <c:pt idx="22" formatCode="General">
                  <c:v>35.9</c:v>
                </c:pt>
                <c:pt idx="23" formatCode="General">
                  <c:v>31.8</c:v>
                </c:pt>
                <c:pt idx="24" formatCode="General">
                  <c:v>30.5</c:v>
                </c:pt>
                <c:pt idx="25" formatCode="General">
                  <c:v>28.6</c:v>
                </c:pt>
                <c:pt idx="26" formatCode="General">
                  <c:v>28.6</c:v>
                </c:pt>
                <c:pt idx="27" formatCode="General">
                  <c:v>27.3</c:v>
                </c:pt>
                <c:pt idx="28" formatCode="General">
                  <c:v>28.6</c:v>
                </c:pt>
                <c:pt idx="29" formatCode="General">
                  <c:v>44.4</c:v>
                </c:pt>
                <c:pt idx="30" formatCode="General">
                  <c:v>28.1</c:v>
                </c:pt>
                <c:pt idx="31" formatCode="General">
                  <c:v>24.1</c:v>
                </c:pt>
                <c:pt idx="32" formatCode="General">
                  <c:v>24</c:v>
                </c:pt>
                <c:pt idx="33" formatCode="General">
                  <c:v>21.9</c:v>
                </c:pt>
                <c:pt idx="34" formatCode="General">
                  <c:v>36.9</c:v>
                </c:pt>
                <c:pt idx="35" formatCode="General">
                  <c:v>30.8</c:v>
                </c:pt>
                <c:pt idx="36" formatCode="General">
                  <c:v>25.8</c:v>
                </c:pt>
                <c:pt idx="37" formatCode="General">
                  <c:v>23.8</c:v>
                </c:pt>
                <c:pt idx="38" formatCode="General">
                  <c:v>28.2</c:v>
                </c:pt>
                <c:pt idx="39" formatCode="General">
                  <c:v>24.8</c:v>
                </c:pt>
                <c:pt idx="40" formatCode="General">
                  <c:v>22.6</c:v>
                </c:pt>
                <c:pt idx="41" formatCode="General">
                  <c:v>23.7</c:v>
                </c:pt>
                <c:pt idx="42" formatCode="General">
                  <c:v>20.5</c:v>
                </c:pt>
                <c:pt idx="43" formatCode="General">
                  <c:v>17.600000000000001</c:v>
                </c:pt>
                <c:pt idx="44" formatCode="General">
                  <c:v>18.7</c:v>
                </c:pt>
                <c:pt idx="45" formatCode="General">
                  <c:v>17.2</c:v>
                </c:pt>
                <c:pt idx="46" formatCode="General">
                  <c:v>17.100000000000001</c:v>
                </c:pt>
                <c:pt idx="47" formatCode="General">
                  <c:v>32.200000000000003</c:v>
                </c:pt>
                <c:pt idx="48" formatCode="General">
                  <c:v>23.5</c:v>
                </c:pt>
                <c:pt idx="49" formatCode="General">
                  <c:v>20.399999999999999</c:v>
                </c:pt>
                <c:pt idx="50" formatCode="General">
                  <c:v>18.899999999999999</c:v>
                </c:pt>
                <c:pt idx="52" formatCode="General">
                  <c:v>21.4</c:v>
                </c:pt>
                <c:pt idx="53" formatCode="General">
                  <c:v>21.6</c:v>
                </c:pt>
                <c:pt idx="54" formatCode="General">
                  <c:v>21.4</c:v>
                </c:pt>
                <c:pt idx="55" formatCode="General">
                  <c:v>15.7</c:v>
                </c:pt>
                <c:pt idx="56" formatCode="General">
                  <c:v>34.9</c:v>
                </c:pt>
                <c:pt idx="57" formatCode="General">
                  <c:v>24.2</c:v>
                </c:pt>
                <c:pt idx="58" formatCode="General">
                  <c:v>17.600000000000001</c:v>
                </c:pt>
                <c:pt idx="60" formatCode="General">
                  <c:v>28.1</c:v>
                </c:pt>
                <c:pt idx="61" formatCode="General">
                  <c:v>36.1</c:v>
                </c:pt>
                <c:pt idx="62" formatCode="General">
                  <c:v>29.9</c:v>
                </c:pt>
                <c:pt idx="63" formatCode="General">
                  <c:v>36.700000000000003</c:v>
                </c:pt>
                <c:pt idx="64" formatCode="General">
                  <c:v>30.5</c:v>
                </c:pt>
                <c:pt idx="65" formatCode="General">
                  <c:v>22</c:v>
                </c:pt>
                <c:pt idx="66" formatCode="General">
                  <c:v>20.6</c:v>
                </c:pt>
                <c:pt idx="67" formatCode="General">
                  <c:v>21.7</c:v>
                </c:pt>
                <c:pt idx="68" formatCode="General">
                  <c:v>25.9</c:v>
                </c:pt>
                <c:pt idx="69" formatCode="General">
                  <c:v>28.2</c:v>
                </c:pt>
                <c:pt idx="70" formatCode="General">
                  <c:v>25.5</c:v>
                </c:pt>
                <c:pt idx="71" formatCode="General">
                  <c:v>23.2</c:v>
                </c:pt>
                <c:pt idx="72" formatCode="General">
                  <c:v>21.3</c:v>
                </c:pt>
                <c:pt idx="73" formatCode="General">
                  <c:v>26.6</c:v>
                </c:pt>
                <c:pt idx="74" formatCode="General">
                  <c:v>20.8</c:v>
                </c:pt>
                <c:pt idx="75" formatCode="General">
                  <c:v>24.5</c:v>
                </c:pt>
                <c:pt idx="76" formatCode="General">
                  <c:v>23.4</c:v>
                </c:pt>
                <c:pt idx="77" formatCode="General">
                  <c:v>24.8</c:v>
                </c:pt>
                <c:pt idx="78" formatCode="General">
                  <c:v>22.9</c:v>
                </c:pt>
                <c:pt idx="79" formatCode="General">
                  <c:v>17.3</c:v>
                </c:pt>
                <c:pt idx="80" formatCode="General">
                  <c:v>25.4</c:v>
                </c:pt>
                <c:pt idx="81" formatCode="General">
                  <c:v>22.5</c:v>
                </c:pt>
                <c:pt idx="82" formatCode="General">
                  <c:v>18.8</c:v>
                </c:pt>
                <c:pt idx="83" formatCode="General">
                  <c:v>19.5</c:v>
                </c:pt>
                <c:pt idx="84" formatCode="General">
                  <c:v>18.8</c:v>
                </c:pt>
                <c:pt idx="85" formatCode="General">
                  <c:v>21.4</c:v>
                </c:pt>
                <c:pt idx="86" formatCode="General">
                  <c:v>0</c:v>
                </c:pt>
                <c:pt idx="87" formatCode="General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05-4F8F-A53E-B4A1DF8B0409}"/>
            </c:ext>
          </c:extLst>
        </c:ser>
        <c:ser>
          <c:idx val="2"/>
          <c:order val="2"/>
          <c:tx>
            <c:strRef>
              <c:f>'OPERACIÓN RO1'!$U$1:$U$70</c:f>
              <c:strCache>
                <c:ptCount val="70"/>
                <c:pt idx="0">
                  <c:v>Q RECHAZO RO1 CALCULADO</c:v>
                </c:pt>
                <c:pt idx="59">
                  <c:v>22,1</c:v>
                </c:pt>
                <c:pt idx="60">
                  <c:v>20</c:v>
                </c:pt>
                <c:pt idx="61">
                  <c:v>17,4</c:v>
                </c:pt>
                <c:pt idx="62">
                  <c:v>15,3</c:v>
                </c:pt>
                <c:pt idx="63">
                  <c:v>16,3</c:v>
                </c:pt>
                <c:pt idx="64">
                  <c:v>16,9</c:v>
                </c:pt>
                <c:pt idx="65">
                  <c:v>16,6</c:v>
                </c:pt>
                <c:pt idx="66">
                  <c:v>15,7</c:v>
                </c:pt>
                <c:pt idx="67">
                  <c:v>16,2</c:v>
                </c:pt>
                <c:pt idx="68">
                  <c:v>17,6</c:v>
                </c:pt>
                <c:pt idx="69">
                  <c:v>18,7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RO1'!$U$71:$U$243</c:f>
              <c:numCache>
                <c:formatCode>General</c:formatCode>
                <c:ptCount val="88"/>
                <c:pt idx="0">
                  <c:v>14.200000000000003</c:v>
                </c:pt>
                <c:pt idx="1">
                  <c:v>20.5</c:v>
                </c:pt>
                <c:pt idx="2">
                  <c:v>25.299999999999997</c:v>
                </c:pt>
                <c:pt idx="3">
                  <c:v>25.5</c:v>
                </c:pt>
                <c:pt idx="4">
                  <c:v>25.399999999999995</c:v>
                </c:pt>
                <c:pt idx="5">
                  <c:v>20.200000000000003</c:v>
                </c:pt>
                <c:pt idx="6">
                  <c:v>26.799999999999997</c:v>
                </c:pt>
                <c:pt idx="7">
                  <c:v>23.6</c:v>
                </c:pt>
                <c:pt idx="8">
                  <c:v>23.799999999999997</c:v>
                </c:pt>
                <c:pt idx="9">
                  <c:v>20.799999999999997</c:v>
                </c:pt>
                <c:pt idx="10">
                  <c:v>21.1</c:v>
                </c:pt>
                <c:pt idx="11">
                  <c:v>19.399999999999999</c:v>
                </c:pt>
                <c:pt idx="12">
                  <c:v>24.8</c:v>
                </c:pt>
                <c:pt idx="13">
                  <c:v>24.899999999999995</c:v>
                </c:pt>
                <c:pt idx="14">
                  <c:v>6.5</c:v>
                </c:pt>
                <c:pt idx="15">
                  <c:v>17</c:v>
                </c:pt>
                <c:pt idx="16">
                  <c:v>17.300000000000004</c:v>
                </c:pt>
                <c:pt idx="17">
                  <c:v>18.8</c:v>
                </c:pt>
                <c:pt idx="18">
                  <c:v>28</c:v>
                </c:pt>
                <c:pt idx="19">
                  <c:v>28.799999999999997</c:v>
                </c:pt>
                <c:pt idx="20">
                  <c:v>28.700000000000003</c:v>
                </c:pt>
                <c:pt idx="21">
                  <c:v>28.299999999999997</c:v>
                </c:pt>
                <c:pt idx="22">
                  <c:v>16.700000000000003</c:v>
                </c:pt>
                <c:pt idx="23">
                  <c:v>21.599999999999998</c:v>
                </c:pt>
                <c:pt idx="24">
                  <c:v>26.799999999999997</c:v>
                </c:pt>
                <c:pt idx="25">
                  <c:v>20.199999999999996</c:v>
                </c:pt>
                <c:pt idx="26">
                  <c:v>19.299999999999997</c:v>
                </c:pt>
                <c:pt idx="27">
                  <c:v>20.2</c:v>
                </c:pt>
                <c:pt idx="28">
                  <c:v>19.699999999999996</c:v>
                </c:pt>
                <c:pt idx="29">
                  <c:v>10.300000000000004</c:v>
                </c:pt>
                <c:pt idx="30">
                  <c:v>11.100000000000001</c:v>
                </c:pt>
                <c:pt idx="31">
                  <c:v>5.3999999999999986</c:v>
                </c:pt>
                <c:pt idx="32">
                  <c:v>11.899999999999999</c:v>
                </c:pt>
                <c:pt idx="33">
                  <c:v>11.600000000000001</c:v>
                </c:pt>
                <c:pt idx="34">
                  <c:v>6.3999999999999986</c:v>
                </c:pt>
                <c:pt idx="35">
                  <c:v>5.9999999999999964</c:v>
                </c:pt>
                <c:pt idx="36">
                  <c:v>6.1999999999999993</c:v>
                </c:pt>
                <c:pt idx="37">
                  <c:v>4.6999999999999993</c:v>
                </c:pt>
                <c:pt idx="38">
                  <c:v>4.1999999999999993</c:v>
                </c:pt>
                <c:pt idx="39">
                  <c:v>10.199999999999999</c:v>
                </c:pt>
                <c:pt idx="40">
                  <c:v>7.8999999999999986</c:v>
                </c:pt>
                <c:pt idx="41">
                  <c:v>8.5999999999999979</c:v>
                </c:pt>
                <c:pt idx="42">
                  <c:v>11.600000000000001</c:v>
                </c:pt>
                <c:pt idx="43">
                  <c:v>7.0999999999999979</c:v>
                </c:pt>
                <c:pt idx="44">
                  <c:v>7.1000000000000014</c:v>
                </c:pt>
                <c:pt idx="45">
                  <c:v>7</c:v>
                </c:pt>
                <c:pt idx="46">
                  <c:v>6.5999999999999979</c:v>
                </c:pt>
                <c:pt idx="47">
                  <c:v>6.2999999999999972</c:v>
                </c:pt>
                <c:pt idx="48">
                  <c:v>6.3000000000000007</c:v>
                </c:pt>
                <c:pt idx="49">
                  <c:v>5.5</c:v>
                </c:pt>
                <c:pt idx="50">
                  <c:v>6</c:v>
                </c:pt>
                <c:pt idx="51">
                  <c:v>28.5</c:v>
                </c:pt>
                <c:pt idx="52">
                  <c:v>7.1000000000000014</c:v>
                </c:pt>
                <c:pt idx="53">
                  <c:v>10.799999999999997</c:v>
                </c:pt>
                <c:pt idx="54">
                  <c:v>8.3000000000000007</c:v>
                </c:pt>
                <c:pt idx="55">
                  <c:v>6.8000000000000007</c:v>
                </c:pt>
                <c:pt idx="56">
                  <c:v>12.300000000000004</c:v>
                </c:pt>
                <c:pt idx="57">
                  <c:v>11.8</c:v>
                </c:pt>
                <c:pt idx="58">
                  <c:v>10.399999999999999</c:v>
                </c:pt>
                <c:pt idx="59">
                  <c:v>32.5</c:v>
                </c:pt>
                <c:pt idx="60">
                  <c:v>13.5</c:v>
                </c:pt>
                <c:pt idx="61">
                  <c:v>11</c:v>
                </c:pt>
                <c:pt idx="62">
                  <c:v>8.3999999999999986</c:v>
                </c:pt>
                <c:pt idx="63">
                  <c:v>10.599999999999994</c:v>
                </c:pt>
                <c:pt idx="64">
                  <c:v>12</c:v>
                </c:pt>
                <c:pt idx="65">
                  <c:v>11.799999999999997</c:v>
                </c:pt>
                <c:pt idx="66">
                  <c:v>10</c:v>
                </c:pt>
                <c:pt idx="67">
                  <c:v>4.1000000000000014</c:v>
                </c:pt>
                <c:pt idx="68">
                  <c:v>8.1000000000000014</c:v>
                </c:pt>
                <c:pt idx="69">
                  <c:v>5.8000000000000007</c:v>
                </c:pt>
                <c:pt idx="70">
                  <c:v>6.3999999999999986</c:v>
                </c:pt>
                <c:pt idx="71">
                  <c:v>6.1000000000000014</c:v>
                </c:pt>
                <c:pt idx="72">
                  <c:v>12.499999999999996</c:v>
                </c:pt>
                <c:pt idx="73">
                  <c:v>6.8999999999999986</c:v>
                </c:pt>
                <c:pt idx="74">
                  <c:v>6.5999999999999979</c:v>
                </c:pt>
                <c:pt idx="75">
                  <c:v>8.5</c:v>
                </c:pt>
                <c:pt idx="76">
                  <c:v>8.7000000000000028</c:v>
                </c:pt>
                <c:pt idx="77">
                  <c:v>7.8000000000000007</c:v>
                </c:pt>
                <c:pt idx="78">
                  <c:v>6.4000000000000021</c:v>
                </c:pt>
                <c:pt idx="79">
                  <c:v>17.499999999999996</c:v>
                </c:pt>
                <c:pt idx="80">
                  <c:v>5.2000000000000028</c:v>
                </c:pt>
                <c:pt idx="81">
                  <c:v>4.8000000000000007</c:v>
                </c:pt>
                <c:pt idx="82">
                  <c:v>5</c:v>
                </c:pt>
                <c:pt idx="83">
                  <c:v>7.6000000000000014</c:v>
                </c:pt>
                <c:pt idx="84">
                  <c:v>0.69999999999999929</c:v>
                </c:pt>
                <c:pt idx="85">
                  <c:v>7.8000000000000007</c:v>
                </c:pt>
                <c:pt idx="86">
                  <c:v>0</c:v>
                </c:pt>
                <c:pt idx="87">
                  <c:v>5.6999999999999993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05-4F8F-A53E-B4A1DF8B0409}"/>
            </c:ext>
          </c:extLst>
        </c:ser>
        <c:ser>
          <c:idx val="3"/>
          <c:order val="3"/>
          <c:tx>
            <c:strRef>
              <c:f>'OPERACIÓN RO1'!$V$1:$V$70</c:f>
              <c:strCache>
                <c:ptCount val="70"/>
                <c:pt idx="0">
                  <c:v>EFICIENCIA RO1</c:v>
                </c:pt>
                <c:pt idx="59">
                  <c:v>55%</c:v>
                </c:pt>
                <c:pt idx="60">
                  <c:v>57%</c:v>
                </c:pt>
                <c:pt idx="61">
                  <c:v>62%</c:v>
                </c:pt>
                <c:pt idx="62">
                  <c:v>65%</c:v>
                </c:pt>
                <c:pt idx="63">
                  <c:v>62%</c:v>
                </c:pt>
                <c:pt idx="64">
                  <c:v>61%</c:v>
                </c:pt>
                <c:pt idx="65">
                  <c:v>60%</c:v>
                </c:pt>
                <c:pt idx="66">
                  <c:v>62%</c:v>
                </c:pt>
                <c:pt idx="67">
                  <c:v>71%</c:v>
                </c:pt>
                <c:pt idx="68">
                  <c:v>68%</c:v>
                </c:pt>
                <c:pt idx="69">
                  <c:v>66%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RO1'!$V$71:$V$243</c:f>
              <c:numCache>
                <c:formatCode>0%</c:formatCode>
                <c:ptCount val="88"/>
                <c:pt idx="0">
                  <c:v>0.71713147410358558</c:v>
                </c:pt>
                <c:pt idx="1">
                  <c:v>0.58502024291497978</c:v>
                </c:pt>
                <c:pt idx="2">
                  <c:v>0.49801587301587308</c:v>
                </c:pt>
                <c:pt idx="3">
                  <c:v>0.49101796407185633</c:v>
                </c:pt>
                <c:pt idx="4">
                  <c:v>0.49502982107355864</c:v>
                </c:pt>
                <c:pt idx="5">
                  <c:v>0.55604395604395607</c:v>
                </c:pt>
                <c:pt idx="6">
                  <c:v>0.4474226804123711</c:v>
                </c:pt>
                <c:pt idx="7">
                  <c:v>0.50315789473684203</c:v>
                </c:pt>
                <c:pt idx="8">
                  <c:v>0.51329243353783238</c:v>
                </c:pt>
                <c:pt idx="9">
                  <c:v>0.59922928709055878</c:v>
                </c:pt>
                <c:pt idx="10">
                  <c:v>0.57545271629778671</c:v>
                </c:pt>
                <c:pt idx="11">
                  <c:v>0.5854700854700855</c:v>
                </c:pt>
                <c:pt idx="12">
                  <c:v>0.50300601202404815</c:v>
                </c:pt>
                <c:pt idx="13">
                  <c:v>0.4801670146137787</c:v>
                </c:pt>
                <c:pt idx="14">
                  <c:v>0.85838779956427014</c:v>
                </c:pt>
                <c:pt idx="15">
                  <c:v>0.67557251908396942</c:v>
                </c:pt>
                <c:pt idx="16">
                  <c:v>0.65810276679841895</c:v>
                </c:pt>
                <c:pt idx="17">
                  <c:v>0.61237113402061849</c:v>
                </c:pt>
                <c:pt idx="18">
                  <c:v>0.51890034364261162</c:v>
                </c:pt>
                <c:pt idx="19">
                  <c:v>0.50684931506849318</c:v>
                </c:pt>
                <c:pt idx="20">
                  <c:v>0.49825174825174823</c:v>
                </c:pt>
                <c:pt idx="21">
                  <c:v>0.50696864111498263</c:v>
                </c:pt>
                <c:pt idx="22">
                  <c:v>0.68250950570342206</c:v>
                </c:pt>
                <c:pt idx="23">
                  <c:v>0.5955056179775281</c:v>
                </c:pt>
                <c:pt idx="24">
                  <c:v>0.53228621291448519</c:v>
                </c:pt>
                <c:pt idx="25">
                  <c:v>0.58606557377049184</c:v>
                </c:pt>
                <c:pt idx="26">
                  <c:v>0.59707724425887265</c:v>
                </c:pt>
                <c:pt idx="27">
                  <c:v>0.57473684210526321</c:v>
                </c:pt>
                <c:pt idx="28">
                  <c:v>0.59213250517598348</c:v>
                </c:pt>
                <c:pt idx="29">
                  <c:v>0.81170018281535639</c:v>
                </c:pt>
                <c:pt idx="30">
                  <c:v>0.71683673469387754</c:v>
                </c:pt>
                <c:pt idx="31">
                  <c:v>0.81694915254237288</c:v>
                </c:pt>
                <c:pt idx="32">
                  <c:v>0.66852367688022285</c:v>
                </c:pt>
                <c:pt idx="33">
                  <c:v>0.65373134328358207</c:v>
                </c:pt>
                <c:pt idx="34">
                  <c:v>0.85219399538106233</c:v>
                </c:pt>
                <c:pt idx="35">
                  <c:v>0.83695652173913049</c:v>
                </c:pt>
                <c:pt idx="36">
                  <c:v>0.80625000000000002</c:v>
                </c:pt>
                <c:pt idx="37">
                  <c:v>0.83508771929824566</c:v>
                </c:pt>
                <c:pt idx="38">
                  <c:v>0.87037037037037035</c:v>
                </c:pt>
                <c:pt idx="39">
                  <c:v>0.70857142857142863</c:v>
                </c:pt>
                <c:pt idx="40">
                  <c:v>0.74098360655737705</c:v>
                </c:pt>
                <c:pt idx="41">
                  <c:v>0.73374613003095979</c:v>
                </c:pt>
                <c:pt idx="42">
                  <c:v>0.63862928348909653</c:v>
                </c:pt>
                <c:pt idx="43">
                  <c:v>0.71255060728744946</c:v>
                </c:pt>
                <c:pt idx="44">
                  <c:v>0.72480620155038755</c:v>
                </c:pt>
                <c:pt idx="45">
                  <c:v>0.71074380165289253</c:v>
                </c:pt>
                <c:pt idx="46">
                  <c:v>0.72151898734177222</c:v>
                </c:pt>
                <c:pt idx="47">
                  <c:v>0.83636363636363642</c:v>
                </c:pt>
                <c:pt idx="48">
                  <c:v>0.78859060402684567</c:v>
                </c:pt>
                <c:pt idx="49">
                  <c:v>0.78764478764478763</c:v>
                </c:pt>
                <c:pt idx="50">
                  <c:v>0.75903614457831325</c:v>
                </c:pt>
                <c:pt idx="51">
                  <c:v>0</c:v>
                </c:pt>
                <c:pt idx="52">
                  <c:v>0.75087719298245614</c:v>
                </c:pt>
                <c:pt idx="53">
                  <c:v>0.66666666666666674</c:v>
                </c:pt>
                <c:pt idx="54">
                  <c:v>0.72053872053872048</c:v>
                </c:pt>
                <c:pt idx="55">
                  <c:v>0.69777777777777772</c:v>
                </c:pt>
                <c:pt idx="56">
                  <c:v>0.73940677966101687</c:v>
                </c:pt>
                <c:pt idx="57">
                  <c:v>0.67222222222222217</c:v>
                </c:pt>
                <c:pt idx="58">
                  <c:v>0.62857142857142867</c:v>
                </c:pt>
                <c:pt idx="59">
                  <c:v>0</c:v>
                </c:pt>
                <c:pt idx="60">
                  <c:v>0.67548076923076927</c:v>
                </c:pt>
                <c:pt idx="61">
                  <c:v>0.76645435244161364</c:v>
                </c:pt>
                <c:pt idx="62">
                  <c:v>0.78067885117493474</c:v>
                </c:pt>
                <c:pt idx="63">
                  <c:v>0.77589852008456672</c:v>
                </c:pt>
                <c:pt idx="64">
                  <c:v>0.71764705882352942</c:v>
                </c:pt>
                <c:pt idx="65">
                  <c:v>0.65088757396449715</c:v>
                </c:pt>
                <c:pt idx="66">
                  <c:v>0.67320261437908502</c:v>
                </c:pt>
                <c:pt idx="67">
                  <c:v>0.8410852713178294</c:v>
                </c:pt>
                <c:pt idx="68">
                  <c:v>0.7617647058823529</c:v>
                </c:pt>
                <c:pt idx="69">
                  <c:v>0.82941176470588229</c:v>
                </c:pt>
                <c:pt idx="70">
                  <c:v>0.79937304075235116</c:v>
                </c:pt>
                <c:pt idx="71">
                  <c:v>0.79180887372013653</c:v>
                </c:pt>
                <c:pt idx="72">
                  <c:v>0.63017751479289952</c:v>
                </c:pt>
                <c:pt idx="73">
                  <c:v>0.79402985074626875</c:v>
                </c:pt>
                <c:pt idx="74">
                  <c:v>0.75912408759124095</c:v>
                </c:pt>
                <c:pt idx="75">
                  <c:v>0.74242424242424243</c:v>
                </c:pt>
                <c:pt idx="76">
                  <c:v>0.7289719626168224</c:v>
                </c:pt>
                <c:pt idx="77">
                  <c:v>0.76073619631901834</c:v>
                </c:pt>
                <c:pt idx="78">
                  <c:v>0.78156996587030714</c:v>
                </c:pt>
                <c:pt idx="79">
                  <c:v>0.49712643678160928</c:v>
                </c:pt>
                <c:pt idx="80">
                  <c:v>0.83006535947712412</c:v>
                </c:pt>
                <c:pt idx="81">
                  <c:v>0.82417582417582413</c:v>
                </c:pt>
                <c:pt idx="82">
                  <c:v>0.78991596638655459</c:v>
                </c:pt>
                <c:pt idx="83">
                  <c:v>0.71955719557195563</c:v>
                </c:pt>
                <c:pt idx="84">
                  <c:v>0.96410256410256412</c:v>
                </c:pt>
                <c:pt idx="85">
                  <c:v>0.73287671232876705</c:v>
                </c:pt>
                <c:pt idx="86">
                  <c:v>0</c:v>
                </c:pt>
                <c:pt idx="87">
                  <c:v>0.80808080808080807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05-4F8F-A53E-B4A1DF8B0409}"/>
            </c:ext>
          </c:extLst>
        </c:ser>
        <c:ser>
          <c:idx val="4"/>
          <c:order val="4"/>
          <c:tx>
            <c:strRef>
              <c:f>'OPERACIÓN RO1'!$C$1:$C$70</c:f>
              <c:strCache>
                <c:ptCount val="70"/>
                <c:pt idx="0">
                  <c:v>P Entrada RO 1 ETAPA 1(Bar)</c:v>
                </c:pt>
                <c:pt idx="3">
                  <c:v>17,367</c:v>
                </c:pt>
                <c:pt idx="4">
                  <c:v>17,377</c:v>
                </c:pt>
                <c:pt idx="5">
                  <c:v>18,031</c:v>
                </c:pt>
                <c:pt idx="6">
                  <c:v>17,769</c:v>
                </c:pt>
                <c:pt idx="7">
                  <c:v>16,562</c:v>
                </c:pt>
                <c:pt idx="10">
                  <c:v>17,131</c:v>
                </c:pt>
                <c:pt idx="11">
                  <c:v>17,57</c:v>
                </c:pt>
                <c:pt idx="13">
                  <c:v>17,672</c:v>
                </c:pt>
                <c:pt idx="59">
                  <c:v>17,4</c:v>
                </c:pt>
                <c:pt idx="60">
                  <c:v>17,3</c:v>
                </c:pt>
                <c:pt idx="61">
                  <c:v>17,1</c:v>
                </c:pt>
                <c:pt idx="62">
                  <c:v>18,1</c:v>
                </c:pt>
                <c:pt idx="63">
                  <c:v>17,4</c:v>
                </c:pt>
                <c:pt idx="64">
                  <c:v>17,9</c:v>
                </c:pt>
                <c:pt idx="65">
                  <c:v>16,6</c:v>
                </c:pt>
                <c:pt idx="66">
                  <c:v>16,8</c:v>
                </c:pt>
                <c:pt idx="67">
                  <c:v>17,4</c:v>
                </c:pt>
                <c:pt idx="68">
                  <c:v>17,8</c:v>
                </c:pt>
                <c:pt idx="69">
                  <c:v>17,3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RO1'!$C$71:$C$243</c:f>
              <c:numCache>
                <c:formatCode>0.0</c:formatCode>
                <c:ptCount val="88"/>
                <c:pt idx="0">
                  <c:v>18.3</c:v>
                </c:pt>
                <c:pt idx="1">
                  <c:v>18.18</c:v>
                </c:pt>
                <c:pt idx="2">
                  <c:v>17.760000000000002</c:v>
                </c:pt>
                <c:pt idx="3">
                  <c:v>17.399999999999999</c:v>
                </c:pt>
                <c:pt idx="4">
                  <c:v>17.2</c:v>
                </c:pt>
                <c:pt idx="5">
                  <c:v>17.899999999999999</c:v>
                </c:pt>
                <c:pt idx="6">
                  <c:v>17.899999999999999</c:v>
                </c:pt>
                <c:pt idx="7">
                  <c:v>18.100000000000001</c:v>
                </c:pt>
                <c:pt idx="8">
                  <c:v>17.3</c:v>
                </c:pt>
                <c:pt idx="9">
                  <c:v>17.600000000000001</c:v>
                </c:pt>
                <c:pt idx="10">
                  <c:v>17.8</c:v>
                </c:pt>
                <c:pt idx="11">
                  <c:v>18.3</c:v>
                </c:pt>
                <c:pt idx="12">
                  <c:v>17.5</c:v>
                </c:pt>
                <c:pt idx="13">
                  <c:v>17.399999999999999</c:v>
                </c:pt>
                <c:pt idx="14">
                  <c:v>18.7</c:v>
                </c:pt>
                <c:pt idx="15">
                  <c:v>17.2</c:v>
                </c:pt>
                <c:pt idx="16" formatCode="General">
                  <c:v>17.600000000000001</c:v>
                </c:pt>
                <c:pt idx="17" formatCode="General">
                  <c:v>17.7</c:v>
                </c:pt>
                <c:pt idx="18" formatCode="General">
                  <c:v>17.100000000000001</c:v>
                </c:pt>
                <c:pt idx="19" formatCode="General">
                  <c:v>17.100000000000001</c:v>
                </c:pt>
                <c:pt idx="20" formatCode="General">
                  <c:v>17.100000000000001</c:v>
                </c:pt>
                <c:pt idx="21" formatCode="General">
                  <c:v>17.2</c:v>
                </c:pt>
                <c:pt idx="22" formatCode="General">
                  <c:v>18.399999999999999</c:v>
                </c:pt>
                <c:pt idx="23" formatCode="General">
                  <c:v>17.899999999999999</c:v>
                </c:pt>
                <c:pt idx="24" formatCode="General">
                  <c:v>17</c:v>
                </c:pt>
                <c:pt idx="25" formatCode="General">
                  <c:v>17.7</c:v>
                </c:pt>
                <c:pt idx="26" formatCode="General">
                  <c:v>17.899999999999999</c:v>
                </c:pt>
                <c:pt idx="27" formatCode="General">
                  <c:v>17.3</c:v>
                </c:pt>
                <c:pt idx="28" formatCode="General">
                  <c:v>17.7</c:v>
                </c:pt>
                <c:pt idx="29" formatCode="General">
                  <c:v>17.2</c:v>
                </c:pt>
                <c:pt idx="30" formatCode="General">
                  <c:v>16.600000000000001</c:v>
                </c:pt>
                <c:pt idx="31" formatCode="General">
                  <c:v>16.899999999999999</c:v>
                </c:pt>
                <c:pt idx="32" formatCode="General">
                  <c:v>17.2</c:v>
                </c:pt>
                <c:pt idx="33" formatCode="General">
                  <c:v>16.100000000000001</c:v>
                </c:pt>
                <c:pt idx="34" formatCode="General">
                  <c:v>16.3</c:v>
                </c:pt>
                <c:pt idx="35" formatCode="General">
                  <c:v>17.5</c:v>
                </c:pt>
                <c:pt idx="36" formatCode="General">
                  <c:v>17.2</c:v>
                </c:pt>
                <c:pt idx="37" formatCode="General">
                  <c:v>18.399999999999999</c:v>
                </c:pt>
                <c:pt idx="38" formatCode="General">
                  <c:v>18.399999999999999</c:v>
                </c:pt>
                <c:pt idx="39" formatCode="General">
                  <c:v>16.5</c:v>
                </c:pt>
                <c:pt idx="40" formatCode="General">
                  <c:v>18.100000000000001</c:v>
                </c:pt>
                <c:pt idx="41" formatCode="General">
                  <c:v>17.399999999999999</c:v>
                </c:pt>
                <c:pt idx="42" formatCode="General">
                  <c:v>10.1</c:v>
                </c:pt>
                <c:pt idx="43" formatCode="General">
                  <c:v>12.1</c:v>
                </c:pt>
                <c:pt idx="44" formatCode="General">
                  <c:v>11.8</c:v>
                </c:pt>
                <c:pt idx="45" formatCode="General">
                  <c:v>11.8</c:v>
                </c:pt>
                <c:pt idx="46" formatCode="General">
                  <c:v>11.7</c:v>
                </c:pt>
                <c:pt idx="47" formatCode="General">
                  <c:v>11.7</c:v>
                </c:pt>
                <c:pt idx="48" formatCode="General">
                  <c:v>11.9</c:v>
                </c:pt>
                <c:pt idx="49" formatCode="General">
                  <c:v>12.2</c:v>
                </c:pt>
                <c:pt idx="50" formatCode="General">
                  <c:v>12.1</c:v>
                </c:pt>
                <c:pt idx="51" formatCode="General">
                  <c:v>12.6</c:v>
                </c:pt>
                <c:pt idx="52" formatCode="General">
                  <c:v>12.6</c:v>
                </c:pt>
                <c:pt idx="53" formatCode="General">
                  <c:v>12.4</c:v>
                </c:pt>
                <c:pt idx="54" formatCode="General">
                  <c:v>12.3</c:v>
                </c:pt>
                <c:pt idx="55" formatCode="General">
                  <c:v>9.6</c:v>
                </c:pt>
                <c:pt idx="56" formatCode="General">
                  <c:v>10.1</c:v>
                </c:pt>
                <c:pt idx="57" formatCode="General">
                  <c:v>8.9</c:v>
                </c:pt>
                <c:pt idx="58" formatCode="General">
                  <c:v>7.1</c:v>
                </c:pt>
                <c:pt idx="59" formatCode="General">
                  <c:v>9.9</c:v>
                </c:pt>
                <c:pt idx="60" formatCode="General">
                  <c:v>11.7</c:v>
                </c:pt>
                <c:pt idx="61" formatCode="General">
                  <c:v>10.8</c:v>
                </c:pt>
                <c:pt idx="62" formatCode="General">
                  <c:v>10.5</c:v>
                </c:pt>
                <c:pt idx="63" formatCode="General">
                  <c:v>11</c:v>
                </c:pt>
                <c:pt idx="64" formatCode="General">
                  <c:v>10.199999999999999</c:v>
                </c:pt>
                <c:pt idx="65" formatCode="General">
                  <c:v>6.5</c:v>
                </c:pt>
                <c:pt idx="66" formatCode="General">
                  <c:v>6.2</c:v>
                </c:pt>
                <c:pt idx="67" formatCode="General">
                  <c:v>6.6</c:v>
                </c:pt>
                <c:pt idx="68" formatCode="General">
                  <c:v>5.6</c:v>
                </c:pt>
                <c:pt idx="69" formatCode="General">
                  <c:v>6.2</c:v>
                </c:pt>
                <c:pt idx="70" formatCode="General">
                  <c:v>6.2</c:v>
                </c:pt>
                <c:pt idx="71" formatCode="General">
                  <c:v>6.2</c:v>
                </c:pt>
                <c:pt idx="72" formatCode="General">
                  <c:v>5.5</c:v>
                </c:pt>
                <c:pt idx="73" formatCode="General">
                  <c:v>5.7</c:v>
                </c:pt>
                <c:pt idx="74" formatCode="General">
                  <c:v>6.2</c:v>
                </c:pt>
                <c:pt idx="75" formatCode="General">
                  <c:v>6.2</c:v>
                </c:pt>
                <c:pt idx="76" formatCode="General">
                  <c:v>5.7</c:v>
                </c:pt>
                <c:pt idx="77" formatCode="General">
                  <c:v>5.2</c:v>
                </c:pt>
                <c:pt idx="78" formatCode="General">
                  <c:v>5.9</c:v>
                </c:pt>
                <c:pt idx="79" formatCode="General">
                  <c:v>4.9000000000000004</c:v>
                </c:pt>
                <c:pt idx="80" formatCode="General">
                  <c:v>6.3</c:v>
                </c:pt>
                <c:pt idx="81" formatCode="General">
                  <c:v>5.9</c:v>
                </c:pt>
                <c:pt idx="82" formatCode="General">
                  <c:v>5.3</c:v>
                </c:pt>
                <c:pt idx="83" formatCode="General">
                  <c:v>6.5</c:v>
                </c:pt>
                <c:pt idx="84" formatCode="General">
                  <c:v>6.4</c:v>
                </c:pt>
                <c:pt idx="85" formatCode="General">
                  <c:v>4.8</c:v>
                </c:pt>
                <c:pt idx="86" formatCode="General">
                  <c:v>6.2</c:v>
                </c:pt>
                <c:pt idx="87" formatCode="General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05-4F8F-A53E-B4A1DF8B0409}"/>
            </c:ext>
          </c:extLst>
        </c:ser>
        <c:ser>
          <c:idx val="5"/>
          <c:order val="5"/>
          <c:tx>
            <c:strRef>
              <c:f>'OPERACIÓN RO1'!$I$1:$I$70</c:f>
              <c:strCache>
                <c:ptCount val="70"/>
                <c:pt idx="0">
                  <c:v>Q Entrada RO 1 ETAPA 1</c:v>
                </c:pt>
                <c:pt idx="3">
                  <c:v>60,558</c:v>
                </c:pt>
                <c:pt idx="4">
                  <c:v>59,712</c:v>
                </c:pt>
                <c:pt idx="5">
                  <c:v>56,364</c:v>
                </c:pt>
                <c:pt idx="6">
                  <c:v>57,944</c:v>
                </c:pt>
                <c:pt idx="7">
                  <c:v>62,733</c:v>
                </c:pt>
                <c:pt idx="10">
                  <c:v>60,496</c:v>
                </c:pt>
                <c:pt idx="11">
                  <c:v>58,616</c:v>
                </c:pt>
                <c:pt idx="13">
                  <c:v>60,891</c:v>
                </c:pt>
                <c:pt idx="59">
                  <c:v>49,1</c:v>
                </c:pt>
                <c:pt idx="60">
                  <c:v>47,0</c:v>
                </c:pt>
                <c:pt idx="61">
                  <c:v>45,4</c:v>
                </c:pt>
                <c:pt idx="62">
                  <c:v>43,3</c:v>
                </c:pt>
                <c:pt idx="63">
                  <c:v>42,8</c:v>
                </c:pt>
                <c:pt idx="64">
                  <c:v>43,6</c:v>
                </c:pt>
                <c:pt idx="65">
                  <c:v>41,7</c:v>
                </c:pt>
                <c:pt idx="66">
                  <c:v>41,1</c:v>
                </c:pt>
                <c:pt idx="67">
                  <c:v>55,2</c:v>
                </c:pt>
                <c:pt idx="68">
                  <c:v>55,6</c:v>
                </c:pt>
                <c:pt idx="69">
                  <c:v>55,7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RO1'!$I$71:$I$243</c:f>
              <c:numCache>
                <c:formatCode>0.0</c:formatCode>
                <c:ptCount val="88"/>
                <c:pt idx="0">
                  <c:v>50.2</c:v>
                </c:pt>
                <c:pt idx="1">
                  <c:v>49.4</c:v>
                </c:pt>
                <c:pt idx="2">
                  <c:v>50.4</c:v>
                </c:pt>
                <c:pt idx="3">
                  <c:v>50.1</c:v>
                </c:pt>
                <c:pt idx="4">
                  <c:v>50.3</c:v>
                </c:pt>
                <c:pt idx="5">
                  <c:v>45.5</c:v>
                </c:pt>
                <c:pt idx="6">
                  <c:v>48.5</c:v>
                </c:pt>
                <c:pt idx="7">
                  <c:v>47.5</c:v>
                </c:pt>
                <c:pt idx="8">
                  <c:v>48.9</c:v>
                </c:pt>
                <c:pt idx="9">
                  <c:v>51.9</c:v>
                </c:pt>
                <c:pt idx="10">
                  <c:v>49.7</c:v>
                </c:pt>
                <c:pt idx="11">
                  <c:v>46.8</c:v>
                </c:pt>
                <c:pt idx="12">
                  <c:v>49.9</c:v>
                </c:pt>
                <c:pt idx="13">
                  <c:v>47.9</c:v>
                </c:pt>
                <c:pt idx="14">
                  <c:v>45.9</c:v>
                </c:pt>
                <c:pt idx="15">
                  <c:v>52.4</c:v>
                </c:pt>
                <c:pt idx="16" formatCode="General">
                  <c:v>50.6</c:v>
                </c:pt>
                <c:pt idx="17" formatCode="General">
                  <c:v>48.5</c:v>
                </c:pt>
                <c:pt idx="18" formatCode="General">
                  <c:v>58.2</c:v>
                </c:pt>
                <c:pt idx="19" formatCode="General">
                  <c:v>58.4</c:v>
                </c:pt>
                <c:pt idx="20" formatCode="General">
                  <c:v>57.2</c:v>
                </c:pt>
                <c:pt idx="21" formatCode="General">
                  <c:v>57.4</c:v>
                </c:pt>
                <c:pt idx="22" formatCode="General">
                  <c:v>52.6</c:v>
                </c:pt>
                <c:pt idx="23" formatCode="General">
                  <c:v>53.4</c:v>
                </c:pt>
                <c:pt idx="24" formatCode="General">
                  <c:v>57.3</c:v>
                </c:pt>
                <c:pt idx="25" formatCode="General">
                  <c:v>48.8</c:v>
                </c:pt>
                <c:pt idx="26" formatCode="General">
                  <c:v>47.9</c:v>
                </c:pt>
                <c:pt idx="27" formatCode="General">
                  <c:v>47.5</c:v>
                </c:pt>
                <c:pt idx="28" formatCode="General">
                  <c:v>48.3</c:v>
                </c:pt>
                <c:pt idx="29" formatCode="General">
                  <c:v>54.7</c:v>
                </c:pt>
                <c:pt idx="30" formatCode="General">
                  <c:v>39.200000000000003</c:v>
                </c:pt>
                <c:pt idx="31" formatCode="General">
                  <c:v>29.5</c:v>
                </c:pt>
                <c:pt idx="32" formatCode="General">
                  <c:v>35.9</c:v>
                </c:pt>
                <c:pt idx="33" formatCode="General">
                  <c:v>33.5</c:v>
                </c:pt>
                <c:pt idx="34" formatCode="General">
                  <c:v>43.3</c:v>
                </c:pt>
                <c:pt idx="35" formatCode="General">
                  <c:v>36.799999999999997</c:v>
                </c:pt>
                <c:pt idx="36" formatCode="General">
                  <c:v>32</c:v>
                </c:pt>
                <c:pt idx="37" formatCode="General">
                  <c:v>28.5</c:v>
                </c:pt>
                <c:pt idx="38" formatCode="General">
                  <c:v>32.4</c:v>
                </c:pt>
                <c:pt idx="39" formatCode="General">
                  <c:v>35</c:v>
                </c:pt>
                <c:pt idx="40" formatCode="General">
                  <c:v>30.5</c:v>
                </c:pt>
                <c:pt idx="41" formatCode="General">
                  <c:v>32.299999999999997</c:v>
                </c:pt>
                <c:pt idx="42" formatCode="General">
                  <c:v>32.1</c:v>
                </c:pt>
                <c:pt idx="43" formatCode="General">
                  <c:v>24.7</c:v>
                </c:pt>
                <c:pt idx="44" formatCode="General">
                  <c:v>25.8</c:v>
                </c:pt>
                <c:pt idx="45" formatCode="General">
                  <c:v>24.2</c:v>
                </c:pt>
                <c:pt idx="46" formatCode="General">
                  <c:v>23.7</c:v>
                </c:pt>
                <c:pt idx="47" formatCode="General">
                  <c:v>38.5</c:v>
                </c:pt>
                <c:pt idx="48" formatCode="General">
                  <c:v>29.8</c:v>
                </c:pt>
                <c:pt idx="49" formatCode="General">
                  <c:v>25.9</c:v>
                </c:pt>
                <c:pt idx="50" formatCode="General">
                  <c:v>24.9</c:v>
                </c:pt>
                <c:pt idx="51" formatCode="General">
                  <c:v>28.5</c:v>
                </c:pt>
                <c:pt idx="52" formatCode="General">
                  <c:v>28.5</c:v>
                </c:pt>
                <c:pt idx="53" formatCode="General">
                  <c:v>32.4</c:v>
                </c:pt>
                <c:pt idx="54" formatCode="General">
                  <c:v>29.7</c:v>
                </c:pt>
                <c:pt idx="55" formatCode="General">
                  <c:v>22.5</c:v>
                </c:pt>
                <c:pt idx="56" formatCode="General">
                  <c:v>47.2</c:v>
                </c:pt>
                <c:pt idx="57" formatCode="General">
                  <c:v>36</c:v>
                </c:pt>
                <c:pt idx="58" formatCode="General">
                  <c:v>28</c:v>
                </c:pt>
                <c:pt idx="59" formatCode="General">
                  <c:v>32.5</c:v>
                </c:pt>
                <c:pt idx="60" formatCode="General">
                  <c:v>41.6</c:v>
                </c:pt>
                <c:pt idx="61" formatCode="General">
                  <c:v>47.1</c:v>
                </c:pt>
                <c:pt idx="62" formatCode="General">
                  <c:v>38.299999999999997</c:v>
                </c:pt>
                <c:pt idx="63" formatCode="General">
                  <c:v>47.3</c:v>
                </c:pt>
                <c:pt idx="64" formatCode="General">
                  <c:v>42.5</c:v>
                </c:pt>
                <c:pt idx="65" formatCode="General">
                  <c:v>33.799999999999997</c:v>
                </c:pt>
                <c:pt idx="66" formatCode="General">
                  <c:v>30.6</c:v>
                </c:pt>
                <c:pt idx="67" formatCode="General">
                  <c:v>25.8</c:v>
                </c:pt>
                <c:pt idx="68" formatCode="General">
                  <c:v>34</c:v>
                </c:pt>
                <c:pt idx="69" formatCode="General">
                  <c:v>34</c:v>
                </c:pt>
                <c:pt idx="70" formatCode="General">
                  <c:v>31.9</c:v>
                </c:pt>
                <c:pt idx="71" formatCode="General">
                  <c:v>29.3</c:v>
                </c:pt>
                <c:pt idx="72" formatCode="General">
                  <c:v>33.799999999999997</c:v>
                </c:pt>
                <c:pt idx="73" formatCode="General">
                  <c:v>33.5</c:v>
                </c:pt>
                <c:pt idx="74" formatCode="General">
                  <c:v>27.4</c:v>
                </c:pt>
                <c:pt idx="75" formatCode="General">
                  <c:v>33</c:v>
                </c:pt>
                <c:pt idx="76" formatCode="General">
                  <c:v>32.1</c:v>
                </c:pt>
                <c:pt idx="77" formatCode="General">
                  <c:v>32.6</c:v>
                </c:pt>
                <c:pt idx="78" formatCode="General">
                  <c:v>29.3</c:v>
                </c:pt>
                <c:pt idx="79" formatCode="General">
                  <c:v>34.799999999999997</c:v>
                </c:pt>
                <c:pt idx="80" formatCode="General">
                  <c:v>30.6</c:v>
                </c:pt>
                <c:pt idx="81" formatCode="General">
                  <c:v>27.3</c:v>
                </c:pt>
                <c:pt idx="82" formatCode="General">
                  <c:v>23.8</c:v>
                </c:pt>
                <c:pt idx="83" formatCode="General">
                  <c:v>27.1</c:v>
                </c:pt>
                <c:pt idx="84" formatCode="General">
                  <c:v>19.5</c:v>
                </c:pt>
                <c:pt idx="85" formatCode="General">
                  <c:v>29.2</c:v>
                </c:pt>
                <c:pt idx="86" formatCode="General">
                  <c:v>30.6</c:v>
                </c:pt>
                <c:pt idx="87" formatCode="General">
                  <c:v>29.7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05-4F8F-A53E-B4A1DF8B0409}"/>
            </c:ext>
          </c:extLst>
        </c:ser>
        <c:ser>
          <c:idx val="6"/>
          <c:order val="6"/>
          <c:tx>
            <c:strRef>
              <c:f>'OPERACIÓN RO1'!$D$1:$D$70</c:f>
              <c:strCache>
                <c:ptCount val="70"/>
                <c:pt idx="0">
                  <c:v>P Salida RO 1 ETAPA 1(Bar)</c:v>
                </c:pt>
                <c:pt idx="3">
                  <c:v>15,9</c:v>
                </c:pt>
                <c:pt idx="4">
                  <c:v>15,2</c:v>
                </c:pt>
                <c:pt idx="5">
                  <c:v>15,2</c:v>
                </c:pt>
                <c:pt idx="6">
                  <c:v>15,3</c:v>
                </c:pt>
                <c:pt idx="7">
                  <c:v>15,1</c:v>
                </c:pt>
                <c:pt idx="10">
                  <c:v>15,2</c:v>
                </c:pt>
                <c:pt idx="11">
                  <c:v>15,2</c:v>
                </c:pt>
                <c:pt idx="13">
                  <c:v>15,2</c:v>
                </c:pt>
                <c:pt idx="59">
                  <c:v>17,0</c:v>
                </c:pt>
                <c:pt idx="60">
                  <c:v>17,0</c:v>
                </c:pt>
                <c:pt idx="61">
                  <c:v>17,0</c:v>
                </c:pt>
                <c:pt idx="62">
                  <c:v>17,0</c:v>
                </c:pt>
                <c:pt idx="63">
                  <c:v>17,0</c:v>
                </c:pt>
                <c:pt idx="64">
                  <c:v>17,0</c:v>
                </c:pt>
                <c:pt idx="65">
                  <c:v>16,5</c:v>
                </c:pt>
                <c:pt idx="66">
                  <c:v>16,5</c:v>
                </c:pt>
                <c:pt idx="67">
                  <c:v>16,7</c:v>
                </c:pt>
                <c:pt idx="68">
                  <c:v>17,1</c:v>
                </c:pt>
                <c:pt idx="69">
                  <c:v>17,1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RO1'!$D$71:$D$243</c:f>
              <c:numCache>
                <c:formatCode>0.0</c:formatCode>
                <c:ptCount val="88"/>
                <c:pt idx="0">
                  <c:v>17.8</c:v>
                </c:pt>
                <c:pt idx="1">
                  <c:v>17.2</c:v>
                </c:pt>
                <c:pt idx="2">
                  <c:v>17.2</c:v>
                </c:pt>
                <c:pt idx="3">
                  <c:v>17</c:v>
                </c:pt>
                <c:pt idx="4">
                  <c:v>16.399999999999999</c:v>
                </c:pt>
                <c:pt idx="5">
                  <c:v>17.2</c:v>
                </c:pt>
                <c:pt idx="6">
                  <c:v>17</c:v>
                </c:pt>
                <c:pt idx="7">
                  <c:v>17.2</c:v>
                </c:pt>
                <c:pt idx="8">
                  <c:v>17.100000000000001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17.2</c:v>
                </c:pt>
                <c:pt idx="15">
                  <c:v>17</c:v>
                </c:pt>
                <c:pt idx="16" formatCode="General">
                  <c:v>17</c:v>
                </c:pt>
                <c:pt idx="17" formatCode="General">
                  <c:v>17</c:v>
                </c:pt>
                <c:pt idx="18" formatCode="General">
                  <c:v>17</c:v>
                </c:pt>
                <c:pt idx="19" formatCode="General">
                  <c:v>17</c:v>
                </c:pt>
                <c:pt idx="20" formatCode="General">
                  <c:v>17</c:v>
                </c:pt>
                <c:pt idx="21" formatCode="General">
                  <c:v>17</c:v>
                </c:pt>
                <c:pt idx="22" formatCode="General">
                  <c:v>18</c:v>
                </c:pt>
                <c:pt idx="23" formatCode="General">
                  <c:v>17</c:v>
                </c:pt>
                <c:pt idx="24" formatCode="General">
                  <c:v>17</c:v>
                </c:pt>
                <c:pt idx="25" formatCode="General">
                  <c:v>17</c:v>
                </c:pt>
                <c:pt idx="26" formatCode="General">
                  <c:v>17</c:v>
                </c:pt>
                <c:pt idx="27" formatCode="General">
                  <c:v>17</c:v>
                </c:pt>
                <c:pt idx="28" formatCode="General">
                  <c:v>17</c:v>
                </c:pt>
                <c:pt idx="29" formatCode="General">
                  <c:v>17</c:v>
                </c:pt>
                <c:pt idx="30" formatCode="General">
                  <c:v>16.5</c:v>
                </c:pt>
                <c:pt idx="31" formatCode="General">
                  <c:v>16.5</c:v>
                </c:pt>
                <c:pt idx="32" formatCode="General">
                  <c:v>17</c:v>
                </c:pt>
                <c:pt idx="33" formatCode="General">
                  <c:v>16</c:v>
                </c:pt>
                <c:pt idx="34" formatCode="General">
                  <c:v>16</c:v>
                </c:pt>
                <c:pt idx="35" formatCode="General">
                  <c:v>17</c:v>
                </c:pt>
                <c:pt idx="36" formatCode="General">
                  <c:v>17</c:v>
                </c:pt>
                <c:pt idx="37" formatCode="General">
                  <c:v>17</c:v>
                </c:pt>
                <c:pt idx="38" formatCode="General">
                  <c:v>18</c:v>
                </c:pt>
                <c:pt idx="39" formatCode="General">
                  <c:v>16.3</c:v>
                </c:pt>
                <c:pt idx="40" formatCode="General">
                  <c:v>18</c:v>
                </c:pt>
                <c:pt idx="41" formatCode="General">
                  <c:v>17</c:v>
                </c:pt>
                <c:pt idx="42" formatCode="General">
                  <c:v>9</c:v>
                </c:pt>
                <c:pt idx="43" formatCode="General">
                  <c:v>12</c:v>
                </c:pt>
                <c:pt idx="44" formatCode="General">
                  <c:v>12</c:v>
                </c:pt>
                <c:pt idx="45" formatCode="General">
                  <c:v>12</c:v>
                </c:pt>
                <c:pt idx="46" formatCode="General">
                  <c:v>12</c:v>
                </c:pt>
                <c:pt idx="47" formatCode="General">
                  <c:v>11</c:v>
                </c:pt>
                <c:pt idx="48" formatCode="General">
                  <c:v>12</c:v>
                </c:pt>
                <c:pt idx="49" formatCode="General">
                  <c:v>12</c:v>
                </c:pt>
                <c:pt idx="50" formatCode="General">
                  <c:v>12</c:v>
                </c:pt>
                <c:pt idx="51" formatCode="General">
                  <c:v>12.5</c:v>
                </c:pt>
                <c:pt idx="52" formatCode="General">
                  <c:v>12</c:v>
                </c:pt>
                <c:pt idx="53" formatCode="General">
                  <c:v>12</c:v>
                </c:pt>
                <c:pt idx="54" formatCode="General">
                  <c:v>12</c:v>
                </c:pt>
                <c:pt idx="55" formatCode="General">
                  <c:v>9</c:v>
                </c:pt>
                <c:pt idx="56" formatCode="General">
                  <c:v>9</c:v>
                </c:pt>
                <c:pt idx="57" formatCode="General">
                  <c:v>8.5</c:v>
                </c:pt>
                <c:pt idx="58" formatCode="General">
                  <c:v>7</c:v>
                </c:pt>
                <c:pt idx="59" formatCode="General">
                  <c:v>9</c:v>
                </c:pt>
                <c:pt idx="60" formatCode="General">
                  <c:v>11</c:v>
                </c:pt>
                <c:pt idx="61" formatCode="General">
                  <c:v>10</c:v>
                </c:pt>
                <c:pt idx="62" formatCode="General">
                  <c:v>10</c:v>
                </c:pt>
                <c:pt idx="63" formatCode="General">
                  <c:v>10</c:v>
                </c:pt>
                <c:pt idx="64" formatCode="General">
                  <c:v>10</c:v>
                </c:pt>
                <c:pt idx="65" formatCode="General">
                  <c:v>6</c:v>
                </c:pt>
                <c:pt idx="66" formatCode="General">
                  <c:v>6</c:v>
                </c:pt>
                <c:pt idx="67" formatCode="General">
                  <c:v>6</c:v>
                </c:pt>
                <c:pt idx="68" formatCode="General">
                  <c:v>5</c:v>
                </c:pt>
                <c:pt idx="69" formatCode="General">
                  <c:v>6</c:v>
                </c:pt>
                <c:pt idx="70" formatCode="General">
                  <c:v>6</c:v>
                </c:pt>
                <c:pt idx="71" formatCode="General">
                  <c:v>6</c:v>
                </c:pt>
                <c:pt idx="72" formatCode="General">
                  <c:v>4</c:v>
                </c:pt>
                <c:pt idx="73" formatCode="General">
                  <c:v>5</c:v>
                </c:pt>
                <c:pt idx="74" formatCode="General">
                  <c:v>5</c:v>
                </c:pt>
                <c:pt idx="75" formatCode="General">
                  <c:v>5</c:v>
                </c:pt>
                <c:pt idx="76" formatCode="General">
                  <c:v>5</c:v>
                </c:pt>
                <c:pt idx="77" formatCode="General">
                  <c:v>4</c:v>
                </c:pt>
                <c:pt idx="78" formatCode="General">
                  <c:v>5</c:v>
                </c:pt>
                <c:pt idx="79" formatCode="General">
                  <c:v>4</c:v>
                </c:pt>
                <c:pt idx="80" formatCode="General">
                  <c:v>5</c:v>
                </c:pt>
                <c:pt idx="81" formatCode="General">
                  <c:v>5</c:v>
                </c:pt>
                <c:pt idx="82" formatCode="General">
                  <c:v>5</c:v>
                </c:pt>
                <c:pt idx="83" formatCode="General">
                  <c:v>6</c:v>
                </c:pt>
                <c:pt idx="84" formatCode="General">
                  <c:v>6</c:v>
                </c:pt>
                <c:pt idx="85" formatCode="General">
                  <c:v>4</c:v>
                </c:pt>
                <c:pt idx="86" formatCode="General">
                  <c:v>5.0999999999999996</c:v>
                </c:pt>
                <c:pt idx="87" formatCode="General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05-4F8F-A53E-B4A1DF8B0409}"/>
            </c:ext>
          </c:extLst>
        </c:ser>
        <c:ser>
          <c:idx val="7"/>
          <c:order val="7"/>
          <c:tx>
            <c:strRef>
              <c:f>'OPERACIÓN RO1'!$J$1:$J$70</c:f>
              <c:strCache>
                <c:ptCount val="70"/>
                <c:pt idx="0">
                  <c:v>Q Salida RO 1 ETAPA 1 ROT A</c:v>
                </c:pt>
                <c:pt idx="3">
                  <c:v>30,9</c:v>
                </c:pt>
                <c:pt idx="4">
                  <c:v>31</c:v>
                </c:pt>
                <c:pt idx="5">
                  <c:v>30</c:v>
                </c:pt>
                <c:pt idx="6">
                  <c:v>29,9</c:v>
                </c:pt>
                <c:pt idx="7">
                  <c:v>23</c:v>
                </c:pt>
                <c:pt idx="10">
                  <c:v>28</c:v>
                </c:pt>
                <c:pt idx="11">
                  <c:v>24</c:v>
                </c:pt>
                <c:pt idx="13">
                  <c:v>30,1</c:v>
                </c:pt>
                <c:pt idx="59">
                  <c:v>26,0</c:v>
                </c:pt>
                <c:pt idx="60">
                  <c:v>25,0</c:v>
                </c:pt>
                <c:pt idx="61">
                  <c:v>25,0</c:v>
                </c:pt>
                <c:pt idx="62">
                  <c:v>26,0</c:v>
                </c:pt>
                <c:pt idx="63">
                  <c:v>24,5</c:v>
                </c:pt>
                <c:pt idx="64">
                  <c:v>23,7</c:v>
                </c:pt>
                <c:pt idx="65">
                  <c:v>22,1</c:v>
                </c:pt>
                <c:pt idx="66">
                  <c:v>22,4</c:v>
                </c:pt>
                <c:pt idx="67">
                  <c:v>14,0</c:v>
                </c:pt>
                <c:pt idx="68">
                  <c:v>13,0</c:v>
                </c:pt>
                <c:pt idx="69">
                  <c:v>12,0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RO1'!$J$71:$J$243</c:f>
              <c:numCache>
                <c:formatCode>0.0</c:formatCode>
                <c:ptCount val="88"/>
                <c:pt idx="0">
                  <c:v>11</c:v>
                </c:pt>
                <c:pt idx="1">
                  <c:v>8.8999999999999986</c:v>
                </c:pt>
                <c:pt idx="2">
                  <c:v>7.1000000000000014</c:v>
                </c:pt>
                <c:pt idx="3">
                  <c:v>7.2000000000000028</c:v>
                </c:pt>
                <c:pt idx="4">
                  <c:v>8.6999999999999993</c:v>
                </c:pt>
                <c:pt idx="5">
                  <c:v>7.8000000000000007</c:v>
                </c:pt>
                <c:pt idx="6">
                  <c:v>4.1999999999999993</c:v>
                </c:pt>
                <c:pt idx="7">
                  <c:v>7.8999999999999986</c:v>
                </c:pt>
                <c:pt idx="8">
                  <c:v>7.1000000000000014</c:v>
                </c:pt>
                <c:pt idx="9">
                  <c:v>15.100000000000001</c:v>
                </c:pt>
                <c:pt idx="10">
                  <c:v>12.600000000000001</c:v>
                </c:pt>
                <c:pt idx="11">
                  <c:v>13.399999999999999</c:v>
                </c:pt>
                <c:pt idx="12">
                  <c:v>12.900000000000002</c:v>
                </c:pt>
                <c:pt idx="13">
                  <c:v>10.8</c:v>
                </c:pt>
                <c:pt idx="14">
                  <c:v>29.4</c:v>
                </c:pt>
                <c:pt idx="15">
                  <c:v>27.4</c:v>
                </c:pt>
                <c:pt idx="16" formatCode="General">
                  <c:v>28.099999999999998</c:v>
                </c:pt>
                <c:pt idx="17" formatCode="General">
                  <c:v>24.7</c:v>
                </c:pt>
                <c:pt idx="18" formatCode="General">
                  <c:v>25.2</c:v>
                </c:pt>
                <c:pt idx="19" formatCode="General">
                  <c:v>24.6</c:v>
                </c:pt>
                <c:pt idx="20" formatCode="General">
                  <c:v>23.5</c:v>
                </c:pt>
                <c:pt idx="21" formatCode="General">
                  <c:v>24.1</c:v>
                </c:pt>
                <c:pt idx="22" formatCode="General">
                  <c:v>30</c:v>
                </c:pt>
                <c:pt idx="23" formatCode="General">
                  <c:v>29</c:v>
                </c:pt>
                <c:pt idx="24" formatCode="General">
                  <c:v>29</c:v>
                </c:pt>
                <c:pt idx="25" formatCode="General">
                  <c:v>29</c:v>
                </c:pt>
                <c:pt idx="26" formatCode="General">
                  <c:v>29</c:v>
                </c:pt>
                <c:pt idx="27" formatCode="General">
                  <c:v>29</c:v>
                </c:pt>
                <c:pt idx="28" formatCode="General">
                  <c:v>29</c:v>
                </c:pt>
                <c:pt idx="29" formatCode="General">
                  <c:v>29</c:v>
                </c:pt>
                <c:pt idx="30" formatCode="General">
                  <c:v>22</c:v>
                </c:pt>
                <c:pt idx="31" formatCode="General">
                  <c:v>21</c:v>
                </c:pt>
                <c:pt idx="32" formatCode="General">
                  <c:v>22</c:v>
                </c:pt>
                <c:pt idx="33" formatCode="General">
                  <c:v>29</c:v>
                </c:pt>
                <c:pt idx="34" formatCode="General">
                  <c:v>29</c:v>
                </c:pt>
                <c:pt idx="35" formatCode="General">
                  <c:v>28</c:v>
                </c:pt>
                <c:pt idx="36" formatCode="General">
                  <c:v>22</c:v>
                </c:pt>
                <c:pt idx="37" formatCode="General">
                  <c:v>21</c:v>
                </c:pt>
                <c:pt idx="38" formatCode="General">
                  <c:v>22</c:v>
                </c:pt>
                <c:pt idx="39" formatCode="General">
                  <c:v>21</c:v>
                </c:pt>
                <c:pt idx="40" formatCode="General">
                  <c:v>21</c:v>
                </c:pt>
                <c:pt idx="41" formatCode="General">
                  <c:v>22</c:v>
                </c:pt>
                <c:pt idx="42" formatCode="General">
                  <c:v>14</c:v>
                </c:pt>
                <c:pt idx="43" formatCode="General">
                  <c:v>15</c:v>
                </c:pt>
                <c:pt idx="44" formatCode="General">
                  <c:v>20</c:v>
                </c:pt>
                <c:pt idx="45" formatCode="General">
                  <c:v>15</c:v>
                </c:pt>
                <c:pt idx="46" formatCode="General">
                  <c:v>18</c:v>
                </c:pt>
                <c:pt idx="47" formatCode="General">
                  <c:v>21</c:v>
                </c:pt>
                <c:pt idx="48" formatCode="General">
                  <c:v>21</c:v>
                </c:pt>
                <c:pt idx="49" formatCode="General">
                  <c:v>20</c:v>
                </c:pt>
                <c:pt idx="50" formatCode="General">
                  <c:v>20</c:v>
                </c:pt>
                <c:pt idx="51" formatCode="General">
                  <c:v>21</c:v>
                </c:pt>
                <c:pt idx="52" formatCode="General">
                  <c:v>21</c:v>
                </c:pt>
                <c:pt idx="53" formatCode="General">
                  <c:v>21</c:v>
                </c:pt>
                <c:pt idx="54" formatCode="General">
                  <c:v>21</c:v>
                </c:pt>
                <c:pt idx="55" formatCode="General">
                  <c:v>15</c:v>
                </c:pt>
                <c:pt idx="56" formatCode="General">
                  <c:v>22</c:v>
                </c:pt>
                <c:pt idx="57" formatCode="General">
                  <c:v>21</c:v>
                </c:pt>
                <c:pt idx="58" formatCode="General">
                  <c:v>14</c:v>
                </c:pt>
                <c:pt idx="59" formatCode="General">
                  <c:v>14</c:v>
                </c:pt>
                <c:pt idx="60" formatCode="General">
                  <c:v>22</c:v>
                </c:pt>
                <c:pt idx="61" formatCode="General">
                  <c:v>23</c:v>
                </c:pt>
                <c:pt idx="62" formatCode="General">
                  <c:v>22</c:v>
                </c:pt>
                <c:pt idx="63" formatCode="General">
                  <c:v>23</c:v>
                </c:pt>
                <c:pt idx="64" formatCode="General">
                  <c:v>22</c:v>
                </c:pt>
                <c:pt idx="65" formatCode="General">
                  <c:v>15</c:v>
                </c:pt>
                <c:pt idx="66" formatCode="General">
                  <c:v>15</c:v>
                </c:pt>
                <c:pt idx="67" formatCode="General">
                  <c:v>14</c:v>
                </c:pt>
                <c:pt idx="68" formatCode="General">
                  <c:v>13</c:v>
                </c:pt>
                <c:pt idx="69" formatCode="General">
                  <c:v>13</c:v>
                </c:pt>
                <c:pt idx="70" formatCode="General">
                  <c:v>14</c:v>
                </c:pt>
                <c:pt idx="71" formatCode="General">
                  <c:v>14</c:v>
                </c:pt>
                <c:pt idx="72" formatCode="General">
                  <c:v>13</c:v>
                </c:pt>
                <c:pt idx="73" formatCode="General">
                  <c:v>14</c:v>
                </c:pt>
                <c:pt idx="74" formatCode="General">
                  <c:v>14</c:v>
                </c:pt>
                <c:pt idx="75" formatCode="General">
                  <c:v>14</c:v>
                </c:pt>
                <c:pt idx="76" formatCode="General">
                  <c:v>13</c:v>
                </c:pt>
                <c:pt idx="77" formatCode="General">
                  <c:v>13</c:v>
                </c:pt>
                <c:pt idx="78" formatCode="General">
                  <c:v>13</c:v>
                </c:pt>
                <c:pt idx="79" formatCode="General">
                  <c:v>12</c:v>
                </c:pt>
                <c:pt idx="80" formatCode="General">
                  <c:v>14</c:v>
                </c:pt>
                <c:pt idx="81" formatCode="General">
                  <c:v>13</c:v>
                </c:pt>
                <c:pt idx="82" formatCode="General">
                  <c:v>12</c:v>
                </c:pt>
                <c:pt idx="83" formatCode="General">
                  <c:v>13</c:v>
                </c:pt>
                <c:pt idx="84" formatCode="General">
                  <c:v>12.5</c:v>
                </c:pt>
                <c:pt idx="85" formatCode="General">
                  <c:v>12</c:v>
                </c:pt>
                <c:pt idx="86" formatCode="General">
                  <c:v>13.5</c:v>
                </c:pt>
                <c:pt idx="87" formatCode="General">
                  <c:v>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05-4F8F-A53E-B4A1DF8B0409}"/>
            </c:ext>
          </c:extLst>
        </c:ser>
        <c:ser>
          <c:idx val="8"/>
          <c:order val="8"/>
          <c:tx>
            <c:strRef>
              <c:f>'OPERACIÓN RO1'!$G$1:$G$70</c:f>
              <c:strCache>
                <c:ptCount val="70"/>
                <c:pt idx="0">
                  <c:v>Diferencial de Presión RO 1 ETAPA 1 ΔP</c:v>
                </c:pt>
                <c:pt idx="1">
                  <c:v>0</c:v>
                </c:pt>
                <c:pt idx="2">
                  <c:v>0</c:v>
                </c:pt>
                <c:pt idx="3">
                  <c:v>1,467</c:v>
                </c:pt>
                <c:pt idx="4">
                  <c:v>2,177</c:v>
                </c:pt>
                <c:pt idx="5">
                  <c:v>2,831</c:v>
                </c:pt>
                <c:pt idx="6">
                  <c:v>2,469</c:v>
                </c:pt>
                <c:pt idx="7">
                  <c:v>1,462</c:v>
                </c:pt>
                <c:pt idx="8">
                  <c:v>0</c:v>
                </c:pt>
                <c:pt idx="9">
                  <c:v>0</c:v>
                </c:pt>
                <c:pt idx="10">
                  <c:v>1,931</c:v>
                </c:pt>
                <c:pt idx="11">
                  <c:v>2,37</c:v>
                </c:pt>
                <c:pt idx="12">
                  <c:v>0</c:v>
                </c:pt>
                <c:pt idx="13">
                  <c:v>2,472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0,4</c:v>
                </c:pt>
                <c:pt idx="60">
                  <c:v>0,3</c:v>
                </c:pt>
                <c:pt idx="61">
                  <c:v>0,1</c:v>
                </c:pt>
                <c:pt idx="62">
                  <c:v>1,1</c:v>
                </c:pt>
                <c:pt idx="63">
                  <c:v>0,4</c:v>
                </c:pt>
                <c:pt idx="64">
                  <c:v>0,9</c:v>
                </c:pt>
                <c:pt idx="65">
                  <c:v>0,1</c:v>
                </c:pt>
                <c:pt idx="66">
                  <c:v>0,3</c:v>
                </c:pt>
                <c:pt idx="67">
                  <c:v>0,7</c:v>
                </c:pt>
                <c:pt idx="68">
                  <c:v>0,7</c:v>
                </c:pt>
                <c:pt idx="69">
                  <c:v>0,2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RO1'!$G$71:$G$243</c:f>
              <c:numCache>
                <c:formatCode>0.0</c:formatCode>
                <c:ptCount val="88"/>
                <c:pt idx="0">
                  <c:v>0.5</c:v>
                </c:pt>
                <c:pt idx="1">
                  <c:v>0.98000000000000043</c:v>
                </c:pt>
                <c:pt idx="2">
                  <c:v>0.56000000000000227</c:v>
                </c:pt>
                <c:pt idx="3">
                  <c:v>0.39999999999999858</c:v>
                </c:pt>
                <c:pt idx="4">
                  <c:v>0.80000000000000071</c:v>
                </c:pt>
                <c:pt idx="5">
                  <c:v>0.69999999999999929</c:v>
                </c:pt>
                <c:pt idx="6">
                  <c:v>0.89999999999999858</c:v>
                </c:pt>
                <c:pt idx="7">
                  <c:v>0.90000000000000213</c:v>
                </c:pt>
                <c:pt idx="8">
                  <c:v>0.19999999999999929</c:v>
                </c:pt>
                <c:pt idx="9">
                  <c:v>0.60000000000000142</c:v>
                </c:pt>
                <c:pt idx="10">
                  <c:v>0.80000000000000071</c:v>
                </c:pt>
                <c:pt idx="11">
                  <c:v>1.3000000000000007</c:v>
                </c:pt>
                <c:pt idx="12">
                  <c:v>0.5</c:v>
                </c:pt>
                <c:pt idx="13">
                  <c:v>0.39999999999999858</c:v>
                </c:pt>
                <c:pt idx="14">
                  <c:v>1.5</c:v>
                </c:pt>
                <c:pt idx="15">
                  <c:v>0.19999999999999929</c:v>
                </c:pt>
                <c:pt idx="16" formatCode="General">
                  <c:v>0.60000000000000142</c:v>
                </c:pt>
                <c:pt idx="17" formatCode="General">
                  <c:v>0.69999999999999929</c:v>
                </c:pt>
                <c:pt idx="18" formatCode="General">
                  <c:v>0.10000000000000142</c:v>
                </c:pt>
                <c:pt idx="19" formatCode="General">
                  <c:v>0.10000000000000142</c:v>
                </c:pt>
                <c:pt idx="20" formatCode="General">
                  <c:v>0.10000000000000142</c:v>
                </c:pt>
                <c:pt idx="21" formatCode="General">
                  <c:v>0.19999999999999929</c:v>
                </c:pt>
                <c:pt idx="22" formatCode="General">
                  <c:v>0.39999999999999858</c:v>
                </c:pt>
                <c:pt idx="23" formatCode="General">
                  <c:v>0.89999999999999858</c:v>
                </c:pt>
                <c:pt idx="24" formatCode="General">
                  <c:v>0</c:v>
                </c:pt>
                <c:pt idx="25" formatCode="General">
                  <c:v>0.69999999999999929</c:v>
                </c:pt>
                <c:pt idx="26" formatCode="General">
                  <c:v>0.89999999999999858</c:v>
                </c:pt>
                <c:pt idx="27" formatCode="General">
                  <c:v>0.30000000000000071</c:v>
                </c:pt>
                <c:pt idx="28" formatCode="General">
                  <c:v>0.69999999999999929</c:v>
                </c:pt>
                <c:pt idx="29" formatCode="General">
                  <c:v>0.19999999999999929</c:v>
                </c:pt>
                <c:pt idx="30" formatCode="General">
                  <c:v>0.10000000000000142</c:v>
                </c:pt>
                <c:pt idx="31" formatCode="General">
                  <c:v>0.39999999999999858</c:v>
                </c:pt>
                <c:pt idx="32" formatCode="General">
                  <c:v>0.19999999999999929</c:v>
                </c:pt>
                <c:pt idx="33" formatCode="General">
                  <c:v>0.10000000000000142</c:v>
                </c:pt>
                <c:pt idx="34" formatCode="General">
                  <c:v>0.30000000000000071</c:v>
                </c:pt>
                <c:pt idx="35" formatCode="General">
                  <c:v>0.5</c:v>
                </c:pt>
                <c:pt idx="36" formatCode="General">
                  <c:v>0.19999999999999929</c:v>
                </c:pt>
                <c:pt idx="37" formatCode="General">
                  <c:v>1.3999999999999986</c:v>
                </c:pt>
                <c:pt idx="38" formatCode="General">
                  <c:v>0.39999999999999858</c:v>
                </c:pt>
                <c:pt idx="39" formatCode="General">
                  <c:v>0.19999999999999929</c:v>
                </c:pt>
                <c:pt idx="40" formatCode="General">
                  <c:v>0.10000000000000142</c:v>
                </c:pt>
                <c:pt idx="41" formatCode="General">
                  <c:v>0.39999999999999858</c:v>
                </c:pt>
                <c:pt idx="42" formatCode="General">
                  <c:v>1.0999999999999996</c:v>
                </c:pt>
                <c:pt idx="43" formatCode="General">
                  <c:v>9.9999999999999645E-2</c:v>
                </c:pt>
                <c:pt idx="44" formatCode="General">
                  <c:v>-0.19999999999999929</c:v>
                </c:pt>
                <c:pt idx="45" formatCode="General">
                  <c:v>-0.19999999999999929</c:v>
                </c:pt>
                <c:pt idx="46" formatCode="General">
                  <c:v>-0.30000000000000071</c:v>
                </c:pt>
                <c:pt idx="47" formatCode="General">
                  <c:v>0.69999999999999929</c:v>
                </c:pt>
                <c:pt idx="48" formatCode="General">
                  <c:v>-9.9999999999999645E-2</c:v>
                </c:pt>
                <c:pt idx="49" formatCode="General">
                  <c:v>0.19999999999999929</c:v>
                </c:pt>
                <c:pt idx="50" formatCode="General">
                  <c:v>9.9999999999999645E-2</c:v>
                </c:pt>
                <c:pt idx="51" formatCode="General">
                  <c:v>9.9999999999999645E-2</c:v>
                </c:pt>
                <c:pt idx="52" formatCode="General">
                  <c:v>0.59999999999999964</c:v>
                </c:pt>
                <c:pt idx="53" formatCode="General">
                  <c:v>0.40000000000000036</c:v>
                </c:pt>
                <c:pt idx="54" formatCode="General">
                  <c:v>0.30000000000000071</c:v>
                </c:pt>
                <c:pt idx="55" formatCode="General">
                  <c:v>0.59999999999999964</c:v>
                </c:pt>
                <c:pt idx="56" formatCode="General">
                  <c:v>1.0999999999999996</c:v>
                </c:pt>
                <c:pt idx="57" formatCode="General">
                  <c:v>0.40000000000000036</c:v>
                </c:pt>
                <c:pt idx="58" formatCode="General">
                  <c:v>9.9999999999999645E-2</c:v>
                </c:pt>
                <c:pt idx="59" formatCode="General">
                  <c:v>0.90000000000000036</c:v>
                </c:pt>
                <c:pt idx="60" formatCode="General">
                  <c:v>0.69999999999999929</c:v>
                </c:pt>
                <c:pt idx="61" formatCode="General">
                  <c:v>0.80000000000000071</c:v>
                </c:pt>
                <c:pt idx="62" formatCode="General">
                  <c:v>0.5</c:v>
                </c:pt>
                <c:pt idx="63" formatCode="General">
                  <c:v>1</c:v>
                </c:pt>
                <c:pt idx="64" formatCode="General">
                  <c:v>0.19999999999999929</c:v>
                </c:pt>
                <c:pt idx="65" formatCode="General">
                  <c:v>0.5</c:v>
                </c:pt>
                <c:pt idx="66" formatCode="General">
                  <c:v>0.20000000000000018</c:v>
                </c:pt>
                <c:pt idx="67" formatCode="General">
                  <c:v>0.59999999999999964</c:v>
                </c:pt>
                <c:pt idx="68" formatCode="General">
                  <c:v>0.59999999999999964</c:v>
                </c:pt>
                <c:pt idx="69" formatCode="General">
                  <c:v>0.20000000000000018</c:v>
                </c:pt>
                <c:pt idx="70" formatCode="General">
                  <c:v>0.20000000000000018</c:v>
                </c:pt>
                <c:pt idx="71" formatCode="General">
                  <c:v>0.20000000000000018</c:v>
                </c:pt>
                <c:pt idx="72" formatCode="General">
                  <c:v>1.5</c:v>
                </c:pt>
                <c:pt idx="73" formatCode="General">
                  <c:v>0.70000000000000018</c:v>
                </c:pt>
                <c:pt idx="74" formatCode="General">
                  <c:v>1.2000000000000002</c:v>
                </c:pt>
                <c:pt idx="75" formatCode="General">
                  <c:v>1.2000000000000002</c:v>
                </c:pt>
                <c:pt idx="76" formatCode="General">
                  <c:v>0.70000000000000018</c:v>
                </c:pt>
                <c:pt idx="77" formatCode="General">
                  <c:v>1.2000000000000002</c:v>
                </c:pt>
                <c:pt idx="78" formatCode="General">
                  <c:v>0.90000000000000036</c:v>
                </c:pt>
                <c:pt idx="79" formatCode="General">
                  <c:v>0.90000000000000036</c:v>
                </c:pt>
                <c:pt idx="80" formatCode="General">
                  <c:v>1.2999999999999998</c:v>
                </c:pt>
                <c:pt idx="81" formatCode="General">
                  <c:v>0.90000000000000036</c:v>
                </c:pt>
                <c:pt idx="82" formatCode="General">
                  <c:v>0.29999999999999982</c:v>
                </c:pt>
                <c:pt idx="83" formatCode="General">
                  <c:v>0.5</c:v>
                </c:pt>
                <c:pt idx="84" formatCode="General">
                  <c:v>0.40000000000000036</c:v>
                </c:pt>
                <c:pt idx="85" formatCode="General">
                  <c:v>0.79999999999999982</c:v>
                </c:pt>
                <c:pt idx="86" formatCode="General">
                  <c:v>1.1000000000000005</c:v>
                </c:pt>
                <c:pt idx="87" formatCode="General">
                  <c:v>1.1000000000000005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05-4F8F-A53E-B4A1DF8B0409}"/>
            </c:ext>
          </c:extLst>
        </c:ser>
        <c:ser>
          <c:idx val="9"/>
          <c:order val="9"/>
          <c:tx>
            <c:strRef>
              <c:f>'OPERACIÓN RO1'!$K$1:$K$70</c:f>
              <c:strCache>
                <c:ptCount val="70"/>
                <c:pt idx="0">
                  <c:v>% EFICIENCIA ETAPA 1 RO1</c:v>
                </c:pt>
                <c:pt idx="1">
                  <c:v>#¡DIV/0!</c:v>
                </c:pt>
                <c:pt idx="2">
                  <c:v>#¡DIV/0!</c:v>
                </c:pt>
                <c:pt idx="3">
                  <c:v>51%</c:v>
                </c:pt>
                <c:pt idx="4">
                  <c:v>52%</c:v>
                </c:pt>
                <c:pt idx="5">
                  <c:v>53%</c:v>
                </c:pt>
                <c:pt idx="6">
                  <c:v>52%</c:v>
                </c:pt>
                <c:pt idx="7">
                  <c:v>37%</c:v>
                </c:pt>
                <c:pt idx="8">
                  <c:v>#¡DIV/0!</c:v>
                </c:pt>
                <c:pt idx="9">
                  <c:v>#¡DIV/0!</c:v>
                </c:pt>
                <c:pt idx="10">
                  <c:v>46%</c:v>
                </c:pt>
                <c:pt idx="11">
                  <c:v>41%</c:v>
                </c:pt>
                <c:pt idx="12">
                  <c:v>#¡DIV/0!</c:v>
                </c:pt>
                <c:pt idx="13">
                  <c:v>49%</c:v>
                </c:pt>
                <c:pt idx="14">
                  <c:v>#¡DIV/0!</c:v>
                </c:pt>
                <c:pt idx="15">
                  <c:v>#¡DIV/0!</c:v>
                </c:pt>
                <c:pt idx="16">
                  <c:v>#¡DIV/0!</c:v>
                </c:pt>
                <c:pt idx="17">
                  <c:v>#¡DIV/0!</c:v>
                </c:pt>
                <c:pt idx="18">
                  <c:v>#¡DIV/0!</c:v>
                </c:pt>
                <c:pt idx="19">
                  <c:v>#¡DIV/0!</c:v>
                </c:pt>
                <c:pt idx="20">
                  <c:v>#¡DIV/0!</c:v>
                </c:pt>
                <c:pt idx="21">
                  <c:v>#¡DIV/0!</c:v>
                </c:pt>
                <c:pt idx="22">
                  <c:v>#¡DIV/0!</c:v>
                </c:pt>
                <c:pt idx="23">
                  <c:v>#¡DIV/0!</c:v>
                </c:pt>
                <c:pt idx="24">
                  <c:v>#¡DIV/0!</c:v>
                </c:pt>
                <c:pt idx="25">
                  <c:v>#¡DIV/0!</c:v>
                </c:pt>
                <c:pt idx="26">
                  <c:v>#¡DIV/0!</c:v>
                </c:pt>
                <c:pt idx="27">
                  <c:v>#¡DIV/0!</c:v>
                </c:pt>
                <c:pt idx="28">
                  <c:v>#¡DIV/0!</c:v>
                </c:pt>
                <c:pt idx="29">
                  <c:v>#¡DIV/0!</c:v>
                </c:pt>
                <c:pt idx="30">
                  <c:v>#¡DIV/0!</c:v>
                </c:pt>
                <c:pt idx="31">
                  <c:v>#¡DIV/0!</c:v>
                </c:pt>
                <c:pt idx="32">
                  <c:v>#¡DIV/0!</c:v>
                </c:pt>
                <c:pt idx="33">
                  <c:v>#¡DIV/0!</c:v>
                </c:pt>
                <c:pt idx="34">
                  <c:v>#¡DIV/0!</c:v>
                </c:pt>
                <c:pt idx="35">
                  <c:v>#¡DIV/0!</c:v>
                </c:pt>
                <c:pt idx="36">
                  <c:v>#¡DIV/0!</c:v>
                </c:pt>
                <c:pt idx="37">
                  <c:v>#¡DIV/0!</c:v>
                </c:pt>
                <c:pt idx="38">
                  <c:v>#¡DIV/0!</c:v>
                </c:pt>
                <c:pt idx="39">
                  <c:v>#¡DIV/0!</c:v>
                </c:pt>
                <c:pt idx="40">
                  <c:v>#¡DIV/0!</c:v>
                </c:pt>
                <c:pt idx="41">
                  <c:v>#¡DIV/0!</c:v>
                </c:pt>
                <c:pt idx="42">
                  <c:v>#¡DIV/0!</c:v>
                </c:pt>
                <c:pt idx="43">
                  <c:v>#¡DIV/0!</c:v>
                </c:pt>
                <c:pt idx="44">
                  <c:v>#¡DIV/0!</c:v>
                </c:pt>
                <c:pt idx="45">
                  <c:v>#¡DIV/0!</c:v>
                </c:pt>
                <c:pt idx="46">
                  <c:v>#¡DIV/0!</c:v>
                </c:pt>
                <c:pt idx="47">
                  <c:v>#¡DIV/0!</c:v>
                </c:pt>
                <c:pt idx="48">
                  <c:v>#¡DIV/0!</c:v>
                </c:pt>
                <c:pt idx="49">
                  <c:v>#¡DIV/0!</c:v>
                </c:pt>
                <c:pt idx="50">
                  <c:v>#¡DIV/0!</c:v>
                </c:pt>
                <c:pt idx="51">
                  <c:v>#¡DIV/0!</c:v>
                </c:pt>
                <c:pt idx="52">
                  <c:v>#¡DIV/0!</c:v>
                </c:pt>
                <c:pt idx="53">
                  <c:v>#¡DIV/0!</c:v>
                </c:pt>
                <c:pt idx="54">
                  <c:v>#¡DIV/0!</c:v>
                </c:pt>
                <c:pt idx="55">
                  <c:v>#¡DIV/0!</c:v>
                </c:pt>
                <c:pt idx="56">
                  <c:v>#¡DIV/0!</c:v>
                </c:pt>
                <c:pt idx="57">
                  <c:v>#¡DIV/0!</c:v>
                </c:pt>
                <c:pt idx="58">
                  <c:v>#¡DIV/0!</c:v>
                </c:pt>
                <c:pt idx="59">
                  <c:v>53%</c:v>
                </c:pt>
                <c:pt idx="60">
                  <c:v>53%</c:v>
                </c:pt>
                <c:pt idx="61">
                  <c:v>55%</c:v>
                </c:pt>
                <c:pt idx="62">
                  <c:v>60%</c:v>
                </c:pt>
                <c:pt idx="63">
                  <c:v>57%</c:v>
                </c:pt>
                <c:pt idx="64">
                  <c:v>54%</c:v>
                </c:pt>
                <c:pt idx="65">
                  <c:v>53%</c:v>
                </c:pt>
                <c:pt idx="66">
                  <c:v>55%</c:v>
                </c:pt>
                <c:pt idx="67">
                  <c:v>25%</c:v>
                </c:pt>
                <c:pt idx="68">
                  <c:v>23%</c:v>
                </c:pt>
                <c:pt idx="69">
                  <c:v>22%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RO1'!$K$71:$K$243</c:f>
              <c:numCache>
                <c:formatCode>0%</c:formatCode>
                <c:ptCount val="88"/>
                <c:pt idx="0">
                  <c:v>0.21912350597609562</c:v>
                </c:pt>
                <c:pt idx="1">
                  <c:v>0.18016194331983804</c:v>
                </c:pt>
                <c:pt idx="2">
                  <c:v>0.1408730158730159</c:v>
                </c:pt>
                <c:pt idx="3">
                  <c:v>0.14371257485029945</c:v>
                </c:pt>
                <c:pt idx="4">
                  <c:v>0.17296222664015903</c:v>
                </c:pt>
                <c:pt idx="5">
                  <c:v>0.17142857142857146</c:v>
                </c:pt>
                <c:pt idx="6">
                  <c:v>8.6597938144329881E-2</c:v>
                </c:pt>
                <c:pt idx="7">
                  <c:v>0.16631578947368417</c:v>
                </c:pt>
                <c:pt idx="8">
                  <c:v>0.14519427402862989</c:v>
                </c:pt>
                <c:pt idx="9">
                  <c:v>0.29094412331406555</c:v>
                </c:pt>
                <c:pt idx="10">
                  <c:v>0.25352112676056338</c:v>
                </c:pt>
                <c:pt idx="11">
                  <c:v>0.28632478632478631</c:v>
                </c:pt>
                <c:pt idx="12">
                  <c:v>0.25851703406813631</c:v>
                </c:pt>
                <c:pt idx="13">
                  <c:v>0.22546972860125264</c:v>
                </c:pt>
                <c:pt idx="14">
                  <c:v>0.64052287581699341</c:v>
                </c:pt>
                <c:pt idx="15">
                  <c:v>0.52290076335877866</c:v>
                </c:pt>
                <c:pt idx="16">
                  <c:v>0.55533596837944654</c:v>
                </c:pt>
                <c:pt idx="17">
                  <c:v>0.50927835051546388</c:v>
                </c:pt>
                <c:pt idx="18">
                  <c:v>0.43298969072164945</c:v>
                </c:pt>
                <c:pt idx="19">
                  <c:v>0.42123287671232879</c:v>
                </c:pt>
                <c:pt idx="20">
                  <c:v>0.41083916083916083</c:v>
                </c:pt>
                <c:pt idx="21">
                  <c:v>0.4198606271777004</c:v>
                </c:pt>
                <c:pt idx="22">
                  <c:v>0.57034220532319391</c:v>
                </c:pt>
                <c:pt idx="23">
                  <c:v>0.54307116104868913</c:v>
                </c:pt>
                <c:pt idx="24">
                  <c:v>0.50610820244328103</c:v>
                </c:pt>
                <c:pt idx="25">
                  <c:v>0.59426229508196726</c:v>
                </c:pt>
                <c:pt idx="26">
                  <c:v>0.60542797494780798</c:v>
                </c:pt>
                <c:pt idx="27">
                  <c:v>0.61052631578947369</c:v>
                </c:pt>
                <c:pt idx="28">
                  <c:v>0.60041407867494823</c:v>
                </c:pt>
                <c:pt idx="29">
                  <c:v>0.53016453382084094</c:v>
                </c:pt>
                <c:pt idx="30">
                  <c:v>0.56122448979591832</c:v>
                </c:pt>
                <c:pt idx="31">
                  <c:v>0.71186440677966101</c:v>
                </c:pt>
                <c:pt idx="32">
                  <c:v>0.61281337047353768</c:v>
                </c:pt>
                <c:pt idx="33">
                  <c:v>0.86567164179104472</c:v>
                </c:pt>
                <c:pt idx="34">
                  <c:v>0.66974595842956119</c:v>
                </c:pt>
                <c:pt idx="35">
                  <c:v>0.76086956521739135</c:v>
                </c:pt>
                <c:pt idx="36">
                  <c:v>0.6875</c:v>
                </c:pt>
                <c:pt idx="37">
                  <c:v>0.73684210526315785</c:v>
                </c:pt>
                <c:pt idx="38">
                  <c:v>0.67901234567901236</c:v>
                </c:pt>
                <c:pt idx="39">
                  <c:v>0.6</c:v>
                </c:pt>
                <c:pt idx="40">
                  <c:v>0.68852459016393441</c:v>
                </c:pt>
                <c:pt idx="41">
                  <c:v>0.68111455108359142</c:v>
                </c:pt>
                <c:pt idx="42">
                  <c:v>0.43613707165109034</c:v>
                </c:pt>
                <c:pt idx="43">
                  <c:v>0.60728744939271262</c:v>
                </c:pt>
                <c:pt idx="44">
                  <c:v>0.77519379844961234</c:v>
                </c:pt>
                <c:pt idx="45">
                  <c:v>0.6198347107438017</c:v>
                </c:pt>
                <c:pt idx="46">
                  <c:v>0.759493670886076</c:v>
                </c:pt>
                <c:pt idx="47">
                  <c:v>0.54545454545454541</c:v>
                </c:pt>
                <c:pt idx="48">
                  <c:v>0.70469798657718119</c:v>
                </c:pt>
                <c:pt idx="49">
                  <c:v>0.77220077220077221</c:v>
                </c:pt>
                <c:pt idx="50">
                  <c:v>0.80321285140562249</c:v>
                </c:pt>
                <c:pt idx="51">
                  <c:v>0.73684210526315785</c:v>
                </c:pt>
                <c:pt idx="52">
                  <c:v>0.73684210526315785</c:v>
                </c:pt>
                <c:pt idx="53">
                  <c:v>0.64814814814814814</c:v>
                </c:pt>
                <c:pt idx="54">
                  <c:v>0.70707070707070707</c:v>
                </c:pt>
                <c:pt idx="55">
                  <c:v>0.66666666666666663</c:v>
                </c:pt>
                <c:pt idx="56">
                  <c:v>0.46610169491525422</c:v>
                </c:pt>
                <c:pt idx="57">
                  <c:v>0.58333333333333337</c:v>
                </c:pt>
                <c:pt idx="58">
                  <c:v>0.5</c:v>
                </c:pt>
                <c:pt idx="59">
                  <c:v>0.43076923076923079</c:v>
                </c:pt>
                <c:pt idx="60">
                  <c:v>0.52884615384615385</c:v>
                </c:pt>
                <c:pt idx="61">
                  <c:v>0.48832271762208068</c:v>
                </c:pt>
                <c:pt idx="62">
                  <c:v>0.57441253263707581</c:v>
                </c:pt>
                <c:pt idx="63">
                  <c:v>0.48625792811839325</c:v>
                </c:pt>
                <c:pt idx="64">
                  <c:v>0.51764705882352946</c:v>
                </c:pt>
                <c:pt idx="65">
                  <c:v>0.44378698224852076</c:v>
                </c:pt>
                <c:pt idx="66">
                  <c:v>0.49019607843137253</c:v>
                </c:pt>
                <c:pt idx="67">
                  <c:v>0.54263565891472865</c:v>
                </c:pt>
                <c:pt idx="68">
                  <c:v>0.38235294117647056</c:v>
                </c:pt>
                <c:pt idx="69">
                  <c:v>0.38235294117647056</c:v>
                </c:pt>
                <c:pt idx="70">
                  <c:v>0.43887147335423199</c:v>
                </c:pt>
                <c:pt idx="71">
                  <c:v>0.47781569965870307</c:v>
                </c:pt>
                <c:pt idx="72">
                  <c:v>0.38461538461538464</c:v>
                </c:pt>
                <c:pt idx="73">
                  <c:v>0.41791044776119401</c:v>
                </c:pt>
                <c:pt idx="74">
                  <c:v>0.51094890510948909</c:v>
                </c:pt>
                <c:pt idx="75">
                  <c:v>0.42424242424242425</c:v>
                </c:pt>
                <c:pt idx="76">
                  <c:v>0.40498442367601245</c:v>
                </c:pt>
                <c:pt idx="77">
                  <c:v>0.3987730061349693</c:v>
                </c:pt>
                <c:pt idx="78">
                  <c:v>0.44368600682593856</c:v>
                </c:pt>
                <c:pt idx="79">
                  <c:v>0.34482758620689657</c:v>
                </c:pt>
                <c:pt idx="80">
                  <c:v>0.45751633986928103</c:v>
                </c:pt>
                <c:pt idx="81">
                  <c:v>0.47619047619047616</c:v>
                </c:pt>
                <c:pt idx="82">
                  <c:v>0.50420168067226889</c:v>
                </c:pt>
                <c:pt idx="83">
                  <c:v>0.47970479704797048</c:v>
                </c:pt>
                <c:pt idx="84">
                  <c:v>0.64102564102564108</c:v>
                </c:pt>
                <c:pt idx="85">
                  <c:v>0.41095890410958907</c:v>
                </c:pt>
                <c:pt idx="86">
                  <c:v>0.44117647058823528</c:v>
                </c:pt>
                <c:pt idx="87">
                  <c:v>0.4208754208754209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05-4F8F-A53E-B4A1DF8B0409}"/>
            </c:ext>
          </c:extLst>
        </c:ser>
        <c:ser>
          <c:idx val="10"/>
          <c:order val="10"/>
          <c:tx>
            <c:strRef>
              <c:f>'OPERACIÓN RO1'!$L$1:$L$70</c:f>
              <c:strCache>
                <c:ptCount val="70"/>
                <c:pt idx="0">
                  <c:v>FACTOR DE CONCENTRACIÓN ETAPA 1</c:v>
                </c:pt>
                <c:pt idx="1">
                  <c:v>#¡DIV/0!</c:v>
                </c:pt>
                <c:pt idx="2">
                  <c:v>#¡DIV/0!</c:v>
                </c:pt>
                <c:pt idx="3">
                  <c:v>2,041877402</c:v>
                </c:pt>
                <c:pt idx="4">
                  <c:v>2,079687935</c:v>
                </c:pt>
                <c:pt idx="5">
                  <c:v>2,137915339</c:v>
                </c:pt>
                <c:pt idx="6">
                  <c:v>2,066181714</c:v>
                </c:pt>
                <c:pt idx="7">
                  <c:v>1,578863917</c:v>
                </c:pt>
                <c:pt idx="8">
                  <c:v>#¡DIV/0!</c:v>
                </c:pt>
                <c:pt idx="9">
                  <c:v>#¡DIV/0!</c:v>
                </c:pt>
                <c:pt idx="10">
                  <c:v>1,86164451</c:v>
                </c:pt>
                <c:pt idx="11">
                  <c:v>1,693321008</c:v>
                </c:pt>
                <c:pt idx="12">
                  <c:v>#¡DIV/0!</c:v>
                </c:pt>
                <c:pt idx="13">
                  <c:v>1,977558377</c:v>
                </c:pt>
                <c:pt idx="14">
                  <c:v>#¡DIV/0!</c:v>
                </c:pt>
                <c:pt idx="15">
                  <c:v>#¡DIV/0!</c:v>
                </c:pt>
                <c:pt idx="16">
                  <c:v>#¡DIV/0!</c:v>
                </c:pt>
                <c:pt idx="17">
                  <c:v>#¡DIV/0!</c:v>
                </c:pt>
                <c:pt idx="18">
                  <c:v>#¡DIV/0!</c:v>
                </c:pt>
                <c:pt idx="19">
                  <c:v>#¡DIV/0!</c:v>
                </c:pt>
                <c:pt idx="20">
                  <c:v>#¡DIV/0!</c:v>
                </c:pt>
                <c:pt idx="21">
                  <c:v>#¡DIV/0!</c:v>
                </c:pt>
                <c:pt idx="22">
                  <c:v>#¡DIV/0!</c:v>
                </c:pt>
                <c:pt idx="23">
                  <c:v>#¡DIV/0!</c:v>
                </c:pt>
                <c:pt idx="24">
                  <c:v>#¡DIV/0!</c:v>
                </c:pt>
                <c:pt idx="25">
                  <c:v>#¡DIV/0!</c:v>
                </c:pt>
                <c:pt idx="26">
                  <c:v>#¡DIV/0!</c:v>
                </c:pt>
                <c:pt idx="27">
                  <c:v>#¡DIV/0!</c:v>
                </c:pt>
                <c:pt idx="28">
                  <c:v>#¡DIV/0!</c:v>
                </c:pt>
                <c:pt idx="29">
                  <c:v>#¡DIV/0!</c:v>
                </c:pt>
                <c:pt idx="30">
                  <c:v>#¡DIV/0!</c:v>
                </c:pt>
                <c:pt idx="31">
                  <c:v>#¡DIV/0!</c:v>
                </c:pt>
                <c:pt idx="32">
                  <c:v>#¡DIV/0!</c:v>
                </c:pt>
                <c:pt idx="33">
                  <c:v>#¡DIV/0!</c:v>
                </c:pt>
                <c:pt idx="34">
                  <c:v>#¡DIV/0!</c:v>
                </c:pt>
                <c:pt idx="35">
                  <c:v>#¡DIV/0!</c:v>
                </c:pt>
                <c:pt idx="36">
                  <c:v>#¡DIV/0!</c:v>
                </c:pt>
                <c:pt idx="37">
                  <c:v>#¡DIV/0!</c:v>
                </c:pt>
                <c:pt idx="38">
                  <c:v>#¡DIV/0!</c:v>
                </c:pt>
                <c:pt idx="39">
                  <c:v>#¡DIV/0!</c:v>
                </c:pt>
                <c:pt idx="40">
                  <c:v>#¡DIV/0!</c:v>
                </c:pt>
                <c:pt idx="41">
                  <c:v>#¡DIV/0!</c:v>
                </c:pt>
                <c:pt idx="42">
                  <c:v>#¡DIV/0!</c:v>
                </c:pt>
                <c:pt idx="43">
                  <c:v>#¡DIV/0!</c:v>
                </c:pt>
                <c:pt idx="44">
                  <c:v>#¡DIV/0!</c:v>
                </c:pt>
                <c:pt idx="45">
                  <c:v>#¡DIV/0!</c:v>
                </c:pt>
                <c:pt idx="46">
                  <c:v>#¡DIV/0!</c:v>
                </c:pt>
                <c:pt idx="47">
                  <c:v>#¡DIV/0!</c:v>
                </c:pt>
                <c:pt idx="48">
                  <c:v>#¡DIV/0!</c:v>
                </c:pt>
                <c:pt idx="49">
                  <c:v>#¡DIV/0!</c:v>
                </c:pt>
                <c:pt idx="50">
                  <c:v>#¡DIV/0!</c:v>
                </c:pt>
                <c:pt idx="51">
                  <c:v>#¡DIV/0!</c:v>
                </c:pt>
                <c:pt idx="52">
                  <c:v>#¡DIV/0!</c:v>
                </c:pt>
                <c:pt idx="53">
                  <c:v>#¡DIV/0!</c:v>
                </c:pt>
                <c:pt idx="54">
                  <c:v>#¡DIV/0!</c:v>
                </c:pt>
                <c:pt idx="55">
                  <c:v>#¡DIV/0!</c:v>
                </c:pt>
                <c:pt idx="56">
                  <c:v>#¡DIV/0!</c:v>
                </c:pt>
                <c:pt idx="57">
                  <c:v>#¡DIV/0!</c:v>
                </c:pt>
                <c:pt idx="58">
                  <c:v>#¡DIV/0!</c:v>
                </c:pt>
                <c:pt idx="59">
                  <c:v>2,13</c:v>
                </c:pt>
                <c:pt idx="60">
                  <c:v>2,14</c:v>
                </c:pt>
                <c:pt idx="61">
                  <c:v>2,23</c:v>
                </c:pt>
                <c:pt idx="62">
                  <c:v>2,50</c:v>
                </c:pt>
                <c:pt idx="63">
                  <c:v>2,34</c:v>
                </c:pt>
                <c:pt idx="64">
                  <c:v>2,19</c:v>
                </c:pt>
                <c:pt idx="65">
                  <c:v>2,13</c:v>
                </c:pt>
                <c:pt idx="66">
                  <c:v>2,20</c:v>
                </c:pt>
                <c:pt idx="67">
                  <c:v>1,34</c:v>
                </c:pt>
                <c:pt idx="68">
                  <c:v>1,31</c:v>
                </c:pt>
                <c:pt idx="69">
                  <c:v>1,27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RO1'!$L$71:$L$243</c:f>
              <c:numCache>
                <c:formatCode>0.00</c:formatCode>
                <c:ptCount val="88"/>
                <c:pt idx="0">
                  <c:v>1.2806122448979593</c:v>
                </c:pt>
                <c:pt idx="1">
                  <c:v>1.219753086419753</c:v>
                </c:pt>
                <c:pt idx="2">
                  <c:v>1.163972286374134</c:v>
                </c:pt>
                <c:pt idx="3">
                  <c:v>1.1678321678321679</c:v>
                </c:pt>
                <c:pt idx="4">
                  <c:v>1.2091346153846154</c:v>
                </c:pt>
                <c:pt idx="5">
                  <c:v>1.2068965517241381</c:v>
                </c:pt>
                <c:pt idx="6">
                  <c:v>1.0948081264108351</c:v>
                </c:pt>
                <c:pt idx="7">
                  <c:v>1.1994949494949494</c:v>
                </c:pt>
                <c:pt idx="8">
                  <c:v>1.1698564593301435</c:v>
                </c:pt>
                <c:pt idx="9">
                  <c:v>1.4103260869565217</c:v>
                </c:pt>
                <c:pt idx="10">
                  <c:v>1.3396226415094339</c:v>
                </c:pt>
                <c:pt idx="11">
                  <c:v>1.4011976047904191</c:v>
                </c:pt>
                <c:pt idx="12">
                  <c:v>1.3486486486486486</c:v>
                </c:pt>
                <c:pt idx="13">
                  <c:v>1.2911051212938005</c:v>
                </c:pt>
                <c:pt idx="14">
                  <c:v>2.7818181818181813</c:v>
                </c:pt>
                <c:pt idx="15">
                  <c:v>2.0960000000000001</c:v>
                </c:pt>
                <c:pt idx="16">
                  <c:v>2.2488888888888883</c:v>
                </c:pt>
                <c:pt idx="17">
                  <c:v>2.03781512605042</c:v>
                </c:pt>
                <c:pt idx="18">
                  <c:v>1.7636363636363637</c:v>
                </c:pt>
                <c:pt idx="19">
                  <c:v>1.7278106508875741</c:v>
                </c:pt>
                <c:pt idx="20">
                  <c:v>1.6973293768545994</c:v>
                </c:pt>
                <c:pt idx="21">
                  <c:v>1.7237237237237237</c:v>
                </c:pt>
                <c:pt idx="22">
                  <c:v>2.3274336283185839</c:v>
                </c:pt>
                <c:pt idx="23">
                  <c:v>2.1885245901639343</c:v>
                </c:pt>
                <c:pt idx="24">
                  <c:v>2.0247349823321557</c:v>
                </c:pt>
                <c:pt idx="25">
                  <c:v>2.464646464646465</c:v>
                </c:pt>
                <c:pt idx="26">
                  <c:v>2.5343915343915349</c:v>
                </c:pt>
                <c:pt idx="27">
                  <c:v>2.5675675675675675</c:v>
                </c:pt>
                <c:pt idx="28">
                  <c:v>2.5025906735751295</c:v>
                </c:pt>
                <c:pt idx="29">
                  <c:v>2.1284046692607004</c:v>
                </c:pt>
                <c:pt idx="30">
                  <c:v>2.2790697674418601</c:v>
                </c:pt>
                <c:pt idx="31">
                  <c:v>3.4705882352941178</c:v>
                </c:pt>
                <c:pt idx="32">
                  <c:v>2.5827338129496407</c:v>
                </c:pt>
                <c:pt idx="33">
                  <c:v>7.4444444444444411</c:v>
                </c:pt>
                <c:pt idx="34">
                  <c:v>3.0279720279720279</c:v>
                </c:pt>
                <c:pt idx="35">
                  <c:v>4.1818181818181825</c:v>
                </c:pt>
                <c:pt idx="36">
                  <c:v>3.2</c:v>
                </c:pt>
                <c:pt idx="37">
                  <c:v>3.7999999999999994</c:v>
                </c:pt>
                <c:pt idx="38">
                  <c:v>3.1153846153846154</c:v>
                </c:pt>
                <c:pt idx="39">
                  <c:v>2.5</c:v>
                </c:pt>
                <c:pt idx="40">
                  <c:v>3.2105263157894735</c:v>
                </c:pt>
                <c:pt idx="41">
                  <c:v>3.1359223300970882</c:v>
                </c:pt>
                <c:pt idx="42">
                  <c:v>1.7734806629834257</c:v>
                </c:pt>
                <c:pt idx="43">
                  <c:v>2.5463917525773199</c:v>
                </c:pt>
                <c:pt idx="44">
                  <c:v>4.4482758620689644</c:v>
                </c:pt>
                <c:pt idx="45">
                  <c:v>2.6304347826086958</c:v>
                </c:pt>
                <c:pt idx="46">
                  <c:v>4.1578947368421062</c:v>
                </c:pt>
                <c:pt idx="47">
                  <c:v>2.1999999999999997</c:v>
                </c:pt>
                <c:pt idx="48">
                  <c:v>3.3863636363636362</c:v>
                </c:pt>
                <c:pt idx="49">
                  <c:v>4.3898305084745761</c:v>
                </c:pt>
                <c:pt idx="50">
                  <c:v>5.0816326530612246</c:v>
                </c:pt>
                <c:pt idx="51">
                  <c:v>3.7999999999999994</c:v>
                </c:pt>
                <c:pt idx="52">
                  <c:v>3.7999999999999994</c:v>
                </c:pt>
                <c:pt idx="53">
                  <c:v>2.8421052631578947</c:v>
                </c:pt>
                <c:pt idx="54">
                  <c:v>3.4137931034482758</c:v>
                </c:pt>
                <c:pt idx="55">
                  <c:v>2.9999999999999996</c:v>
                </c:pt>
                <c:pt idx="56">
                  <c:v>1.873015873015873</c:v>
                </c:pt>
                <c:pt idx="57">
                  <c:v>2.4000000000000004</c:v>
                </c:pt>
                <c:pt idx="58">
                  <c:v>2</c:v>
                </c:pt>
                <c:pt idx="59">
                  <c:v>1.7567567567567568</c:v>
                </c:pt>
                <c:pt idx="60">
                  <c:v>2.1224489795918369</c:v>
                </c:pt>
                <c:pt idx="61">
                  <c:v>1.954356846473029</c:v>
                </c:pt>
                <c:pt idx="62">
                  <c:v>2.349693251533743</c:v>
                </c:pt>
                <c:pt idx="63">
                  <c:v>1.9465020576131686</c:v>
                </c:pt>
                <c:pt idx="64">
                  <c:v>2.0731707317073171</c:v>
                </c:pt>
                <c:pt idx="65">
                  <c:v>1.7978723404255321</c:v>
                </c:pt>
                <c:pt idx="66">
                  <c:v>1.9615384615384617</c:v>
                </c:pt>
                <c:pt idx="67">
                  <c:v>2.1864406779661016</c:v>
                </c:pt>
                <c:pt idx="68">
                  <c:v>1.6190476190476191</c:v>
                </c:pt>
                <c:pt idx="69">
                  <c:v>1.6190476190476191</c:v>
                </c:pt>
                <c:pt idx="70">
                  <c:v>1.7821229050279332</c:v>
                </c:pt>
                <c:pt idx="71">
                  <c:v>1.9150326797385622</c:v>
                </c:pt>
                <c:pt idx="72">
                  <c:v>1.625</c:v>
                </c:pt>
                <c:pt idx="73">
                  <c:v>1.7179487179487178</c:v>
                </c:pt>
                <c:pt idx="74">
                  <c:v>2.0447761194029854</c:v>
                </c:pt>
                <c:pt idx="75">
                  <c:v>1.7368421052631582</c:v>
                </c:pt>
                <c:pt idx="76">
                  <c:v>1.6806282722513091</c:v>
                </c:pt>
                <c:pt idx="77">
                  <c:v>1.6632653061224487</c:v>
                </c:pt>
                <c:pt idx="78">
                  <c:v>1.7975460122699385</c:v>
                </c:pt>
                <c:pt idx="79">
                  <c:v>1.5263157894736843</c:v>
                </c:pt>
                <c:pt idx="80">
                  <c:v>1.8433734939759034</c:v>
                </c:pt>
                <c:pt idx="81">
                  <c:v>1.9090909090909089</c:v>
                </c:pt>
                <c:pt idx="82">
                  <c:v>2.0169491525423728</c:v>
                </c:pt>
                <c:pt idx="83">
                  <c:v>1.9219858156028367</c:v>
                </c:pt>
                <c:pt idx="84">
                  <c:v>2.785714285714286</c:v>
                </c:pt>
                <c:pt idx="85">
                  <c:v>1.6976744186046515</c:v>
                </c:pt>
                <c:pt idx="86">
                  <c:v>1.7894736842105263</c:v>
                </c:pt>
                <c:pt idx="87">
                  <c:v>1.7267441860465116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05-4F8F-A53E-B4A1DF8B0409}"/>
            </c:ext>
          </c:extLst>
        </c:ser>
        <c:ser>
          <c:idx val="11"/>
          <c:order val="11"/>
          <c:tx>
            <c:strRef>
              <c:f>'OPERACIÓN RO1'!$M$1:$M$70</c:f>
              <c:strCache>
                <c:ptCount val="70"/>
                <c:pt idx="0">
                  <c:v>Flujo normalizado reducido RO1 - ETAPA 1 ΔQ</c:v>
                </c:pt>
                <c:pt idx="1">
                  <c:v>#¡DIV/0!</c:v>
                </c:pt>
                <c:pt idx="2">
                  <c:v>100%</c:v>
                </c:pt>
                <c:pt idx="3">
                  <c:v>-1%</c:v>
                </c:pt>
                <c:pt idx="4">
                  <c:v>-6%</c:v>
                </c:pt>
                <c:pt idx="5">
                  <c:v>3%</c:v>
                </c:pt>
                <c:pt idx="6">
                  <c:v>8%</c:v>
                </c:pt>
                <c:pt idx="7">
                  <c:v>#¡DIV/0!</c:v>
                </c:pt>
                <c:pt idx="8">
                  <c:v>#¡DIV/0!</c:v>
                </c:pt>
                <c:pt idx="9">
                  <c:v>100%</c:v>
                </c:pt>
                <c:pt idx="10">
                  <c:v>-3%</c:v>
                </c:pt>
                <c:pt idx="11">
                  <c:v>#¡DIV/0!</c:v>
                </c:pt>
                <c:pt idx="12">
                  <c:v>100%</c:v>
                </c:pt>
                <c:pt idx="13">
                  <c:v>#¡DIV/0!</c:v>
                </c:pt>
                <c:pt idx="14">
                  <c:v>#¡DIV/0!</c:v>
                </c:pt>
                <c:pt idx="15">
                  <c:v>#¡DIV/0!</c:v>
                </c:pt>
                <c:pt idx="16">
                  <c:v>#¡DIV/0!</c:v>
                </c:pt>
                <c:pt idx="17">
                  <c:v>#¡DIV/0!</c:v>
                </c:pt>
                <c:pt idx="18">
                  <c:v>#¡DIV/0!</c:v>
                </c:pt>
                <c:pt idx="19">
                  <c:v>#¡DIV/0!</c:v>
                </c:pt>
                <c:pt idx="20">
                  <c:v>#¡DIV/0!</c:v>
                </c:pt>
                <c:pt idx="21">
                  <c:v>#¡DIV/0!</c:v>
                </c:pt>
                <c:pt idx="22">
                  <c:v>#¡DIV/0!</c:v>
                </c:pt>
                <c:pt idx="23">
                  <c:v>#¡DIV/0!</c:v>
                </c:pt>
                <c:pt idx="24">
                  <c:v>#¡DIV/0!</c:v>
                </c:pt>
                <c:pt idx="25">
                  <c:v>#¡DIV/0!</c:v>
                </c:pt>
                <c:pt idx="26">
                  <c:v>#¡DIV/0!</c:v>
                </c:pt>
                <c:pt idx="27">
                  <c:v>#¡DIV/0!</c:v>
                </c:pt>
                <c:pt idx="28">
                  <c:v>#¡DIV/0!</c:v>
                </c:pt>
                <c:pt idx="29">
                  <c:v>#¡DIV/0!</c:v>
                </c:pt>
                <c:pt idx="30">
                  <c:v>#¡DIV/0!</c:v>
                </c:pt>
                <c:pt idx="31">
                  <c:v>#¡DIV/0!</c:v>
                </c:pt>
                <c:pt idx="32">
                  <c:v>#¡DIV/0!</c:v>
                </c:pt>
                <c:pt idx="33">
                  <c:v>#¡DIV/0!</c:v>
                </c:pt>
                <c:pt idx="34">
                  <c:v>#¡DIV/0!</c:v>
                </c:pt>
                <c:pt idx="35">
                  <c:v>#¡DIV/0!</c:v>
                </c:pt>
                <c:pt idx="36">
                  <c:v>#¡DIV/0!</c:v>
                </c:pt>
                <c:pt idx="37">
                  <c:v>#¡DIV/0!</c:v>
                </c:pt>
                <c:pt idx="38">
                  <c:v>#¡DIV/0!</c:v>
                </c:pt>
                <c:pt idx="39">
                  <c:v>#¡DIV/0!</c:v>
                </c:pt>
                <c:pt idx="40">
                  <c:v>#¡DIV/0!</c:v>
                </c:pt>
                <c:pt idx="41">
                  <c:v>#¡DIV/0!</c:v>
                </c:pt>
                <c:pt idx="42">
                  <c:v>#¡DIV/0!</c:v>
                </c:pt>
                <c:pt idx="43">
                  <c:v>#¡DIV/0!</c:v>
                </c:pt>
                <c:pt idx="44">
                  <c:v>#¡DIV/0!</c:v>
                </c:pt>
                <c:pt idx="45">
                  <c:v>#¡DIV/0!</c:v>
                </c:pt>
                <c:pt idx="46">
                  <c:v>#¡DIV/0!</c:v>
                </c:pt>
                <c:pt idx="47">
                  <c:v>#¡DIV/0!</c:v>
                </c:pt>
                <c:pt idx="48">
                  <c:v>#¡DIV/0!</c:v>
                </c:pt>
                <c:pt idx="49">
                  <c:v>#¡DIV/0!</c:v>
                </c:pt>
                <c:pt idx="50">
                  <c:v>#¡DIV/0!</c:v>
                </c:pt>
                <c:pt idx="51">
                  <c:v>#¡DIV/0!</c:v>
                </c:pt>
                <c:pt idx="52">
                  <c:v>#¡DIV/0!</c:v>
                </c:pt>
                <c:pt idx="53">
                  <c:v>#¡DIV/0!</c:v>
                </c:pt>
                <c:pt idx="54">
                  <c:v>#¡DIV/0!</c:v>
                </c:pt>
                <c:pt idx="55">
                  <c:v>#¡DIV/0!</c:v>
                </c:pt>
                <c:pt idx="56">
                  <c:v>#¡DIV/0!</c:v>
                </c:pt>
                <c:pt idx="57">
                  <c:v>#¡DIV/0!</c:v>
                </c:pt>
                <c:pt idx="58">
                  <c:v>100%</c:v>
                </c:pt>
                <c:pt idx="59">
                  <c:v>-4%</c:v>
                </c:pt>
                <c:pt idx="60">
                  <c:v>-4%</c:v>
                </c:pt>
                <c:pt idx="61">
                  <c:v>-5%</c:v>
                </c:pt>
                <c:pt idx="62">
                  <c:v>-1%</c:v>
                </c:pt>
                <c:pt idx="63">
                  <c:v>2%</c:v>
                </c:pt>
                <c:pt idx="64">
                  <c:v>-5%</c:v>
                </c:pt>
                <c:pt idx="65">
                  <c:v>-1%</c:v>
                </c:pt>
                <c:pt idx="66">
                  <c:v>26%</c:v>
                </c:pt>
                <c:pt idx="67">
                  <c:v>1%</c:v>
                </c:pt>
                <c:pt idx="68">
                  <c:v>0%</c:v>
                </c:pt>
                <c:pt idx="69">
                  <c:v>-11%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RO1'!$M$71:$M$243</c:f>
              <c:numCache>
                <c:formatCode>0%</c:formatCode>
                <c:ptCount val="88"/>
                <c:pt idx="0">
                  <c:v>-1.6194331983805755E-2</c:v>
                </c:pt>
                <c:pt idx="1">
                  <c:v>1.984126984126984E-2</c:v>
                </c:pt>
                <c:pt idx="2">
                  <c:v>-5.9880239520957515E-3</c:v>
                </c:pt>
                <c:pt idx="3">
                  <c:v>3.976143141152997E-3</c:v>
                </c:pt>
                <c:pt idx="4">
                  <c:v>-0.10549450549450544</c:v>
                </c:pt>
                <c:pt idx="5">
                  <c:v>6.1855670103092786E-2</c:v>
                </c:pt>
                <c:pt idx="6">
                  <c:v>-2.1052631578947368E-2</c:v>
                </c:pt>
                <c:pt idx="7">
                  <c:v>2.8629856850715719E-2</c:v>
                </c:pt>
                <c:pt idx="8">
                  <c:v>5.7803468208092484E-2</c:v>
                </c:pt>
                <c:pt idx="9">
                  <c:v>-4.4265593561368118E-2</c:v>
                </c:pt>
                <c:pt idx="10">
                  <c:v>-6.1965811965812093E-2</c:v>
                </c:pt>
                <c:pt idx="11">
                  <c:v>-6.6239316239316268E-2</c:v>
                </c:pt>
                <c:pt idx="12">
                  <c:v>-4.1753653444676408E-2</c:v>
                </c:pt>
                <c:pt idx="13">
                  <c:v>-4.357298474945534E-2</c:v>
                </c:pt>
                <c:pt idx="14">
                  <c:v>0.12404580152671756</c:v>
                </c:pt>
                <c:pt idx="15">
                  <c:v>-3.5573122529644209E-2</c:v>
                </c:pt>
                <c:pt idx="16">
                  <c:v>-4.3298969072164975E-2</c:v>
                </c:pt>
                <c:pt idx="17">
                  <c:v>-0.20000000000000007</c:v>
                </c:pt>
                <c:pt idx="18">
                  <c:v>3.4246575342465023E-3</c:v>
                </c:pt>
                <c:pt idx="19">
                  <c:v>-2.0979020979020904E-2</c:v>
                </c:pt>
                <c:pt idx="20">
                  <c:v>3.484320557491215E-3</c:v>
                </c:pt>
                <c:pt idx="21">
                  <c:v>8.3623693379790892E-2</c:v>
                </c:pt>
                <c:pt idx="22">
                  <c:v>1.4981273408239647E-2</c:v>
                </c:pt>
                <c:pt idx="23">
                  <c:v>6.8062827225130865E-2</c:v>
                </c:pt>
                <c:pt idx="24">
                  <c:v>0.14834205933682373</c:v>
                </c:pt>
                <c:pt idx="25">
                  <c:v>-1.8789144050104355E-2</c:v>
                </c:pt>
                <c:pt idx="26">
                  <c:v>-8.4210526315789177E-3</c:v>
                </c:pt>
                <c:pt idx="27">
                  <c:v>1.6563146997929549E-2</c:v>
                </c:pt>
                <c:pt idx="28">
                  <c:v>-0.13250517598343697</c:v>
                </c:pt>
                <c:pt idx="29">
                  <c:v>-0.39540816326530609</c:v>
                </c:pt>
                <c:pt idx="30">
                  <c:v>-0.32881355932203399</c:v>
                </c:pt>
                <c:pt idx="31">
                  <c:v>0.17827298050139273</c:v>
                </c:pt>
                <c:pt idx="32">
                  <c:v>-7.1641791044776082E-2</c:v>
                </c:pt>
                <c:pt idx="34">
                  <c:v>-0.1766304347826087</c:v>
                </c:pt>
                <c:pt idx="36">
                  <c:v>-0.12280701754385964</c:v>
                </c:pt>
                <c:pt idx="38">
                  <c:v>7.428571428571433E-2</c:v>
                </c:pt>
                <c:pt idx="39">
                  <c:v>-0.14754098360655737</c:v>
                </c:pt>
                <c:pt idx="40">
                  <c:v>5.5727554179566478E-2</c:v>
                </c:pt>
                <c:pt idx="43">
                  <c:v>4.2635658914728737E-2</c:v>
                </c:pt>
                <c:pt idx="44">
                  <c:v>-6.61157024793389E-2</c:v>
                </c:pt>
                <c:pt idx="45">
                  <c:v>-2.1097046413502109E-2</c:v>
                </c:pt>
                <c:pt idx="47">
                  <c:v>-0.29194630872483218</c:v>
                </c:pt>
                <c:pt idx="48">
                  <c:v>-0.15057915057915067</c:v>
                </c:pt>
                <c:pt idx="49">
                  <c:v>-4.0160642570281124E-2</c:v>
                </c:pt>
                <c:pt idx="50">
                  <c:v>0.12631578947368427</c:v>
                </c:pt>
                <c:pt idx="52">
                  <c:v>0.12037037037037034</c:v>
                </c:pt>
                <c:pt idx="53">
                  <c:v>-9.0909090909090884E-2</c:v>
                </c:pt>
                <c:pt idx="54">
                  <c:v>-0.12500000000000003</c:v>
                </c:pt>
                <c:pt idx="56">
                  <c:v>-0.31111111111111117</c:v>
                </c:pt>
                <c:pt idx="57">
                  <c:v>-0.2857142857142857</c:v>
                </c:pt>
                <c:pt idx="58">
                  <c:v>0.13846153846153847</c:v>
                </c:pt>
                <c:pt idx="59">
                  <c:v>0.21875000000000003</c:v>
                </c:pt>
                <c:pt idx="60">
                  <c:v>0.11677282377919321</c:v>
                </c:pt>
                <c:pt idx="61">
                  <c:v>-0.22976501305483041</c:v>
                </c:pt>
                <c:pt idx="62">
                  <c:v>0.19027484143763215</c:v>
                </c:pt>
                <c:pt idx="63">
                  <c:v>-0.11294117647058817</c:v>
                </c:pt>
                <c:pt idx="64">
                  <c:v>-0.25739644970414211</c:v>
                </c:pt>
                <c:pt idx="65">
                  <c:v>-0.10457516339869266</c:v>
                </c:pt>
                <c:pt idx="66">
                  <c:v>-0.186046511627907</c:v>
                </c:pt>
                <c:pt idx="67">
                  <c:v>0.24117647058823527</c:v>
                </c:pt>
                <c:pt idx="68">
                  <c:v>0</c:v>
                </c:pt>
                <c:pt idx="69">
                  <c:v>-6.5830721003134848E-2</c:v>
                </c:pt>
                <c:pt idx="70">
                  <c:v>-8.8737201365187632E-2</c:v>
                </c:pt>
                <c:pt idx="71">
                  <c:v>0.13313609467455612</c:v>
                </c:pt>
                <c:pt idx="73">
                  <c:v>-0.22262773722627743</c:v>
                </c:pt>
                <c:pt idx="74">
                  <c:v>0.16969696969696973</c:v>
                </c:pt>
                <c:pt idx="75">
                  <c:v>-2.8037383177570048E-2</c:v>
                </c:pt>
                <c:pt idx="78">
                  <c:v>0.15804597701149417</c:v>
                </c:pt>
                <c:pt idx="80">
                  <c:v>-0.12087912087912091</c:v>
                </c:pt>
                <c:pt idx="81">
                  <c:v>-0.14705882352941177</c:v>
                </c:pt>
                <c:pt idx="82">
                  <c:v>0.12177121771217714</c:v>
                </c:pt>
                <c:pt idx="83">
                  <c:v>0.28044280442804431</c:v>
                </c:pt>
                <c:pt idx="84">
                  <c:v>0.3321917808219178</c:v>
                </c:pt>
                <c:pt idx="85">
                  <c:v>4.5751633986928171E-2</c:v>
                </c:pt>
                <c:pt idx="86">
                  <c:v>-3.0303030303030377E-2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05-4F8F-A53E-B4A1DF8B0409}"/>
            </c:ext>
          </c:extLst>
        </c:ser>
        <c:ser>
          <c:idx val="12"/>
          <c:order val="12"/>
          <c:tx>
            <c:strRef>
              <c:f>'OPERACIÓN RO1'!$E$1:$E$70</c:f>
              <c:strCache>
                <c:ptCount val="70"/>
                <c:pt idx="0">
                  <c:v>P Entrada RO 1 ETAPA 2 (Bar)</c:v>
                </c:pt>
                <c:pt idx="3">
                  <c:v>22,408</c:v>
                </c:pt>
                <c:pt idx="4">
                  <c:v>22,48</c:v>
                </c:pt>
                <c:pt idx="5">
                  <c:v>23,241</c:v>
                </c:pt>
                <c:pt idx="6">
                  <c:v>22,929</c:v>
                </c:pt>
                <c:pt idx="7">
                  <c:v>21,324</c:v>
                </c:pt>
                <c:pt idx="10">
                  <c:v>22,095</c:v>
                </c:pt>
                <c:pt idx="11">
                  <c:v>22,592</c:v>
                </c:pt>
                <c:pt idx="13">
                  <c:v>22,944</c:v>
                </c:pt>
                <c:pt idx="59">
                  <c:v>22,0</c:v>
                </c:pt>
                <c:pt idx="60">
                  <c:v>23,0</c:v>
                </c:pt>
                <c:pt idx="61">
                  <c:v>23,0</c:v>
                </c:pt>
                <c:pt idx="62">
                  <c:v>22,0</c:v>
                </c:pt>
                <c:pt idx="63">
                  <c:v>21,0</c:v>
                </c:pt>
                <c:pt idx="64">
                  <c:v>21,0</c:v>
                </c:pt>
                <c:pt idx="65">
                  <c:v>21,0</c:v>
                </c:pt>
                <c:pt idx="66">
                  <c:v>21,0</c:v>
                </c:pt>
                <c:pt idx="67">
                  <c:v>16,3</c:v>
                </c:pt>
                <c:pt idx="68">
                  <c:v>16,2</c:v>
                </c:pt>
                <c:pt idx="69">
                  <c:v>16,2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RO1'!$E$71:$E$243</c:f>
              <c:numCache>
                <c:formatCode>0.0</c:formatCode>
                <c:ptCount val="88"/>
                <c:pt idx="0">
                  <c:v>22.1</c:v>
                </c:pt>
                <c:pt idx="1">
                  <c:v>22.1</c:v>
                </c:pt>
                <c:pt idx="2">
                  <c:v>22.4</c:v>
                </c:pt>
                <c:pt idx="3">
                  <c:v>22.1</c:v>
                </c:pt>
                <c:pt idx="4">
                  <c:v>21.9</c:v>
                </c:pt>
                <c:pt idx="5">
                  <c:v>22.9</c:v>
                </c:pt>
                <c:pt idx="6">
                  <c:v>22.5</c:v>
                </c:pt>
                <c:pt idx="7">
                  <c:v>22.9</c:v>
                </c:pt>
                <c:pt idx="8">
                  <c:v>22.4</c:v>
                </c:pt>
                <c:pt idx="9">
                  <c:v>22.3</c:v>
                </c:pt>
                <c:pt idx="10">
                  <c:v>22.7</c:v>
                </c:pt>
                <c:pt idx="11">
                  <c:v>23.4</c:v>
                </c:pt>
                <c:pt idx="12">
                  <c:v>22.4</c:v>
                </c:pt>
                <c:pt idx="13">
                  <c:v>22.4</c:v>
                </c:pt>
                <c:pt idx="14">
                  <c:v>24.5</c:v>
                </c:pt>
                <c:pt idx="15">
                  <c:v>22.6</c:v>
                </c:pt>
                <c:pt idx="16" formatCode="General">
                  <c:v>23.2</c:v>
                </c:pt>
                <c:pt idx="17" formatCode="General">
                  <c:v>23.3</c:v>
                </c:pt>
                <c:pt idx="18" formatCode="General">
                  <c:v>22.3</c:v>
                </c:pt>
                <c:pt idx="19" formatCode="General">
                  <c:v>22.3</c:v>
                </c:pt>
                <c:pt idx="20" formatCode="General">
                  <c:v>22.4</c:v>
                </c:pt>
                <c:pt idx="21" formatCode="General">
                  <c:v>22.4</c:v>
                </c:pt>
                <c:pt idx="22" formatCode="General">
                  <c:v>24</c:v>
                </c:pt>
                <c:pt idx="23" formatCode="General">
                  <c:v>23.4</c:v>
                </c:pt>
                <c:pt idx="24" formatCode="General">
                  <c:v>22.2</c:v>
                </c:pt>
                <c:pt idx="25" formatCode="General">
                  <c:v>23.2</c:v>
                </c:pt>
                <c:pt idx="26" formatCode="General">
                  <c:v>23.6</c:v>
                </c:pt>
                <c:pt idx="27" formatCode="General">
                  <c:v>23.4</c:v>
                </c:pt>
                <c:pt idx="28" formatCode="General">
                  <c:v>23.3</c:v>
                </c:pt>
                <c:pt idx="29" formatCode="General">
                  <c:v>22.6</c:v>
                </c:pt>
                <c:pt idx="30" formatCode="General">
                  <c:v>22.5</c:v>
                </c:pt>
                <c:pt idx="31" formatCode="General">
                  <c:v>23</c:v>
                </c:pt>
                <c:pt idx="32" formatCode="General">
                  <c:v>23.1</c:v>
                </c:pt>
                <c:pt idx="33" formatCode="General">
                  <c:v>22.9</c:v>
                </c:pt>
                <c:pt idx="34" formatCode="General">
                  <c:v>22.1</c:v>
                </c:pt>
                <c:pt idx="35" formatCode="General">
                  <c:v>23</c:v>
                </c:pt>
                <c:pt idx="36" formatCode="General">
                  <c:v>23.3</c:v>
                </c:pt>
                <c:pt idx="37" formatCode="General">
                  <c:v>24.6</c:v>
                </c:pt>
                <c:pt idx="38" formatCode="General">
                  <c:v>24</c:v>
                </c:pt>
                <c:pt idx="39" formatCode="General">
                  <c:v>22.4</c:v>
                </c:pt>
                <c:pt idx="40" formatCode="General">
                  <c:v>24.1</c:v>
                </c:pt>
                <c:pt idx="41" formatCode="General">
                  <c:v>23.4</c:v>
                </c:pt>
                <c:pt idx="42" formatCode="General">
                  <c:v>16.100000000000001</c:v>
                </c:pt>
                <c:pt idx="43" formatCode="General">
                  <c:v>18.3</c:v>
                </c:pt>
                <c:pt idx="44" formatCode="General">
                  <c:v>18</c:v>
                </c:pt>
                <c:pt idx="45" formatCode="General">
                  <c:v>18</c:v>
                </c:pt>
                <c:pt idx="46" formatCode="General">
                  <c:v>17.899999999999999</c:v>
                </c:pt>
                <c:pt idx="47" formatCode="General">
                  <c:v>16.899999999999999</c:v>
                </c:pt>
                <c:pt idx="48" formatCode="General">
                  <c:v>17.899999999999999</c:v>
                </c:pt>
                <c:pt idx="49" formatCode="General">
                  <c:v>18.3</c:v>
                </c:pt>
                <c:pt idx="50" formatCode="General">
                  <c:v>18.899999999999999</c:v>
                </c:pt>
                <c:pt idx="51" formatCode="General">
                  <c:v>18.7</c:v>
                </c:pt>
                <c:pt idx="52" formatCode="General">
                  <c:v>18.7</c:v>
                </c:pt>
                <c:pt idx="53" formatCode="General">
                  <c:v>18.399999999999999</c:v>
                </c:pt>
                <c:pt idx="54" formatCode="General">
                  <c:v>28.4</c:v>
                </c:pt>
                <c:pt idx="55" formatCode="General">
                  <c:v>15.7</c:v>
                </c:pt>
                <c:pt idx="56" formatCode="General">
                  <c:v>15.7</c:v>
                </c:pt>
                <c:pt idx="57" formatCode="General">
                  <c:v>14.8</c:v>
                </c:pt>
                <c:pt idx="58" formatCode="General">
                  <c:v>13</c:v>
                </c:pt>
                <c:pt idx="59" formatCode="General">
                  <c:v>14.7</c:v>
                </c:pt>
                <c:pt idx="60" formatCode="General">
                  <c:v>17.399999999999999</c:v>
                </c:pt>
                <c:pt idx="61" formatCode="General">
                  <c:v>16.399999999999999</c:v>
                </c:pt>
                <c:pt idx="62" formatCode="General">
                  <c:v>16.3</c:v>
                </c:pt>
                <c:pt idx="63" formatCode="General">
                  <c:v>16.399999999999999</c:v>
                </c:pt>
                <c:pt idx="64" formatCode="General">
                  <c:v>15.8</c:v>
                </c:pt>
                <c:pt idx="65" formatCode="General">
                  <c:v>12.3</c:v>
                </c:pt>
                <c:pt idx="66" formatCode="General">
                  <c:v>12.1</c:v>
                </c:pt>
                <c:pt idx="67" formatCode="General">
                  <c:v>12.5</c:v>
                </c:pt>
                <c:pt idx="68" formatCode="General">
                  <c:v>11.2</c:v>
                </c:pt>
                <c:pt idx="69" formatCode="General">
                  <c:v>11.8</c:v>
                </c:pt>
                <c:pt idx="70" formatCode="General">
                  <c:v>11.8</c:v>
                </c:pt>
                <c:pt idx="71" formatCode="General">
                  <c:v>11.9</c:v>
                </c:pt>
                <c:pt idx="72" formatCode="General">
                  <c:v>10.9</c:v>
                </c:pt>
                <c:pt idx="73" formatCode="General">
                  <c:v>11.2</c:v>
                </c:pt>
                <c:pt idx="74" formatCode="General">
                  <c:v>11.2</c:v>
                </c:pt>
                <c:pt idx="75" formatCode="General">
                  <c:v>11.8</c:v>
                </c:pt>
                <c:pt idx="76" formatCode="General">
                  <c:v>11.2</c:v>
                </c:pt>
                <c:pt idx="77" formatCode="General">
                  <c:v>10.7</c:v>
                </c:pt>
                <c:pt idx="78" formatCode="General">
                  <c:v>11.6</c:v>
                </c:pt>
                <c:pt idx="79" formatCode="General">
                  <c:v>10.4</c:v>
                </c:pt>
                <c:pt idx="80" formatCode="General">
                  <c:v>12</c:v>
                </c:pt>
                <c:pt idx="81" formatCode="General">
                  <c:v>11.7</c:v>
                </c:pt>
                <c:pt idx="82" formatCode="General">
                  <c:v>11.1</c:v>
                </c:pt>
                <c:pt idx="83" formatCode="General">
                  <c:v>12.3</c:v>
                </c:pt>
                <c:pt idx="84" formatCode="General">
                  <c:v>12.5</c:v>
                </c:pt>
                <c:pt idx="85" formatCode="General">
                  <c:v>10.5</c:v>
                </c:pt>
                <c:pt idx="86" formatCode="General">
                  <c:v>11.9</c:v>
                </c:pt>
                <c:pt idx="87" formatCode="General">
                  <c:v>11.8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05-4F8F-A53E-B4A1DF8B0409}"/>
            </c:ext>
          </c:extLst>
        </c:ser>
        <c:ser>
          <c:idx val="13"/>
          <c:order val="13"/>
          <c:tx>
            <c:strRef>
              <c:f>'OPERACIÓN RO1'!$N$1:$N$70</c:f>
              <c:strCache>
                <c:ptCount val="70"/>
                <c:pt idx="0">
                  <c:v>Q Entrada RO 1 ETAPA 2 CALCULADO</c:v>
                </c:pt>
                <c:pt idx="59">
                  <c:v>23,1</c:v>
                </c:pt>
                <c:pt idx="60">
                  <c:v>22,0</c:v>
                </c:pt>
                <c:pt idx="61">
                  <c:v>20,4</c:v>
                </c:pt>
                <c:pt idx="62">
                  <c:v>17,3</c:v>
                </c:pt>
                <c:pt idx="63">
                  <c:v>18,3</c:v>
                </c:pt>
                <c:pt idx="64">
                  <c:v>19,9</c:v>
                </c:pt>
                <c:pt idx="65">
                  <c:v>19,6</c:v>
                </c:pt>
                <c:pt idx="66">
                  <c:v>18,7</c:v>
                </c:pt>
                <c:pt idx="67">
                  <c:v>41,2</c:v>
                </c:pt>
                <c:pt idx="68">
                  <c:v>42,6</c:v>
                </c:pt>
                <c:pt idx="69">
                  <c:v>43,7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RO1'!$N$71:$N$243</c:f>
              <c:numCache>
                <c:formatCode>0.0</c:formatCode>
                <c:ptCount val="88"/>
                <c:pt idx="0">
                  <c:v>39.200000000000003</c:v>
                </c:pt>
                <c:pt idx="1">
                  <c:v>40.5</c:v>
                </c:pt>
                <c:pt idx="2">
                  <c:v>43.3</c:v>
                </c:pt>
                <c:pt idx="3">
                  <c:v>42.9</c:v>
                </c:pt>
                <c:pt idx="4">
                  <c:v>41.599999999999994</c:v>
                </c:pt>
                <c:pt idx="5">
                  <c:v>37.700000000000003</c:v>
                </c:pt>
                <c:pt idx="6">
                  <c:v>44.3</c:v>
                </c:pt>
                <c:pt idx="7">
                  <c:v>39.6</c:v>
                </c:pt>
                <c:pt idx="8">
                  <c:v>41.8</c:v>
                </c:pt>
                <c:pt idx="9">
                  <c:v>36.799999999999997</c:v>
                </c:pt>
                <c:pt idx="10">
                  <c:v>37.1</c:v>
                </c:pt>
                <c:pt idx="11">
                  <c:v>33.4</c:v>
                </c:pt>
                <c:pt idx="12">
                  <c:v>37</c:v>
                </c:pt>
                <c:pt idx="13">
                  <c:v>37.099999999999994</c:v>
                </c:pt>
                <c:pt idx="14">
                  <c:v>16.5</c:v>
                </c:pt>
                <c:pt idx="15">
                  <c:v>25</c:v>
                </c:pt>
                <c:pt idx="16" formatCode="General">
                  <c:v>22.500000000000004</c:v>
                </c:pt>
                <c:pt idx="17" formatCode="General">
                  <c:v>23.8</c:v>
                </c:pt>
                <c:pt idx="18" formatCode="General">
                  <c:v>33</c:v>
                </c:pt>
                <c:pt idx="19" formatCode="General">
                  <c:v>33.799999999999997</c:v>
                </c:pt>
                <c:pt idx="20" formatCode="General">
                  <c:v>33.700000000000003</c:v>
                </c:pt>
                <c:pt idx="21" formatCode="General">
                  <c:v>33.299999999999997</c:v>
                </c:pt>
                <c:pt idx="22" formatCode="General">
                  <c:v>22.6</c:v>
                </c:pt>
                <c:pt idx="23" formatCode="General">
                  <c:v>24.4</c:v>
                </c:pt>
                <c:pt idx="24" formatCode="General">
                  <c:v>28.299999999999997</c:v>
                </c:pt>
                <c:pt idx="25" formatCode="General">
                  <c:v>19.799999999999997</c:v>
                </c:pt>
                <c:pt idx="26" formatCode="General">
                  <c:v>18.899999999999999</c:v>
                </c:pt>
                <c:pt idx="27" formatCode="General">
                  <c:v>18.5</c:v>
                </c:pt>
                <c:pt idx="28" formatCode="General">
                  <c:v>19.299999999999997</c:v>
                </c:pt>
                <c:pt idx="29" formatCode="General">
                  <c:v>25.700000000000003</c:v>
                </c:pt>
                <c:pt idx="30" formatCode="General">
                  <c:v>17.200000000000003</c:v>
                </c:pt>
                <c:pt idx="31" formatCode="General">
                  <c:v>8.5</c:v>
                </c:pt>
                <c:pt idx="32" formatCode="General">
                  <c:v>13.899999999999999</c:v>
                </c:pt>
                <c:pt idx="33" formatCode="General">
                  <c:v>4.5</c:v>
                </c:pt>
                <c:pt idx="34" formatCode="General">
                  <c:v>14.299999999999997</c:v>
                </c:pt>
                <c:pt idx="35" formatCode="General">
                  <c:v>8.7999999999999972</c:v>
                </c:pt>
                <c:pt idx="36" formatCode="General">
                  <c:v>10</c:v>
                </c:pt>
                <c:pt idx="37" formatCode="General">
                  <c:v>7.5</c:v>
                </c:pt>
                <c:pt idx="38" formatCode="General">
                  <c:v>10.399999999999999</c:v>
                </c:pt>
                <c:pt idx="39" formatCode="General">
                  <c:v>14</c:v>
                </c:pt>
                <c:pt idx="40" formatCode="General">
                  <c:v>9.5</c:v>
                </c:pt>
                <c:pt idx="41" formatCode="General">
                  <c:v>10.299999999999997</c:v>
                </c:pt>
                <c:pt idx="42" formatCode="General">
                  <c:v>18.100000000000001</c:v>
                </c:pt>
                <c:pt idx="43" formatCode="General">
                  <c:v>9.6999999999999993</c:v>
                </c:pt>
                <c:pt idx="44" formatCode="General">
                  <c:v>5.8000000000000007</c:v>
                </c:pt>
                <c:pt idx="45" formatCode="General">
                  <c:v>9.1999999999999993</c:v>
                </c:pt>
                <c:pt idx="46" formatCode="General">
                  <c:v>5.6999999999999993</c:v>
                </c:pt>
                <c:pt idx="47" formatCode="General">
                  <c:v>17.5</c:v>
                </c:pt>
                <c:pt idx="48" formatCode="General">
                  <c:v>8.8000000000000007</c:v>
                </c:pt>
                <c:pt idx="49" formatCode="General">
                  <c:v>5.8999999999999986</c:v>
                </c:pt>
                <c:pt idx="50" formatCode="General">
                  <c:v>4.8999999999999986</c:v>
                </c:pt>
                <c:pt idx="51" formatCode="General">
                  <c:v>7.5</c:v>
                </c:pt>
                <c:pt idx="52" formatCode="General">
                  <c:v>7.5</c:v>
                </c:pt>
                <c:pt idx="53" formatCode="General">
                  <c:v>11.399999999999999</c:v>
                </c:pt>
                <c:pt idx="54" formatCode="General">
                  <c:v>8.6999999999999993</c:v>
                </c:pt>
                <c:pt idx="55" formatCode="General">
                  <c:v>7.5</c:v>
                </c:pt>
                <c:pt idx="56" formatCode="General">
                  <c:v>25.200000000000003</c:v>
                </c:pt>
                <c:pt idx="57" formatCode="General">
                  <c:v>15</c:v>
                </c:pt>
                <c:pt idx="58" formatCode="General">
                  <c:v>14</c:v>
                </c:pt>
                <c:pt idx="59" formatCode="General">
                  <c:v>18.5</c:v>
                </c:pt>
                <c:pt idx="60" formatCode="General">
                  <c:v>19.600000000000001</c:v>
                </c:pt>
                <c:pt idx="61" formatCode="General">
                  <c:v>24.1</c:v>
                </c:pt>
                <c:pt idx="62" formatCode="General">
                  <c:v>16.299999999999997</c:v>
                </c:pt>
                <c:pt idx="63" formatCode="General">
                  <c:v>24.299999999999997</c:v>
                </c:pt>
                <c:pt idx="64" formatCode="General">
                  <c:v>20.5</c:v>
                </c:pt>
                <c:pt idx="65" formatCode="General">
                  <c:v>18.799999999999997</c:v>
                </c:pt>
                <c:pt idx="66" formatCode="General">
                  <c:v>15.600000000000001</c:v>
                </c:pt>
                <c:pt idx="67" formatCode="General">
                  <c:v>11.8</c:v>
                </c:pt>
                <c:pt idx="68" formatCode="General">
                  <c:v>21</c:v>
                </c:pt>
                <c:pt idx="69" formatCode="General">
                  <c:v>21</c:v>
                </c:pt>
                <c:pt idx="70" formatCode="General">
                  <c:v>17.899999999999999</c:v>
                </c:pt>
                <c:pt idx="71" formatCode="General">
                  <c:v>15.3</c:v>
                </c:pt>
                <c:pt idx="72" formatCode="General">
                  <c:v>20.799999999999997</c:v>
                </c:pt>
                <c:pt idx="73" formatCode="General">
                  <c:v>19.5</c:v>
                </c:pt>
                <c:pt idx="74" formatCode="General">
                  <c:v>13.399999999999999</c:v>
                </c:pt>
                <c:pt idx="75" formatCode="General">
                  <c:v>19</c:v>
                </c:pt>
                <c:pt idx="76" formatCode="General">
                  <c:v>19.100000000000001</c:v>
                </c:pt>
                <c:pt idx="77" formatCode="General">
                  <c:v>19.600000000000001</c:v>
                </c:pt>
                <c:pt idx="78" formatCode="General">
                  <c:v>16.3</c:v>
                </c:pt>
                <c:pt idx="79" formatCode="General">
                  <c:v>22.799999999999997</c:v>
                </c:pt>
                <c:pt idx="80" formatCode="General">
                  <c:v>16.600000000000001</c:v>
                </c:pt>
                <c:pt idx="81" formatCode="General">
                  <c:v>14.3</c:v>
                </c:pt>
                <c:pt idx="82" formatCode="General">
                  <c:v>11.8</c:v>
                </c:pt>
                <c:pt idx="83" formatCode="General">
                  <c:v>1</c:v>
                </c:pt>
                <c:pt idx="84" formatCode="General">
                  <c:v>7</c:v>
                </c:pt>
                <c:pt idx="85" formatCode="General">
                  <c:v>17.2</c:v>
                </c:pt>
                <c:pt idx="86" formatCode="General">
                  <c:v>17.100000000000001</c:v>
                </c:pt>
                <c:pt idx="87" formatCode="General">
                  <c:v>17.2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05-4F8F-A53E-B4A1DF8B0409}"/>
            </c:ext>
          </c:extLst>
        </c:ser>
        <c:ser>
          <c:idx val="14"/>
          <c:order val="14"/>
          <c:tx>
            <c:strRef>
              <c:f>'OPERACIÓN RO1'!$F$1:$F$70</c:f>
              <c:strCache>
                <c:ptCount val="70"/>
                <c:pt idx="0">
                  <c:v>P Salida RO 1 ETAPA 2 (Bar)</c:v>
                </c:pt>
                <c:pt idx="3">
                  <c:v>20,9</c:v>
                </c:pt>
                <c:pt idx="4">
                  <c:v>22</c:v>
                </c:pt>
                <c:pt idx="5">
                  <c:v>24</c:v>
                </c:pt>
                <c:pt idx="6">
                  <c:v>23</c:v>
                </c:pt>
                <c:pt idx="7">
                  <c:v>20,1</c:v>
                </c:pt>
                <c:pt idx="10">
                  <c:v>20,2</c:v>
                </c:pt>
                <c:pt idx="11">
                  <c:v>20,2</c:v>
                </c:pt>
                <c:pt idx="13">
                  <c:v>30,1</c:v>
                </c:pt>
                <c:pt idx="59">
                  <c:v>21,1</c:v>
                </c:pt>
                <c:pt idx="60">
                  <c:v>23,0</c:v>
                </c:pt>
                <c:pt idx="61">
                  <c:v>23,0</c:v>
                </c:pt>
                <c:pt idx="62">
                  <c:v>21,2</c:v>
                </c:pt>
                <c:pt idx="63">
                  <c:v>20,1</c:v>
                </c:pt>
                <c:pt idx="64">
                  <c:v>20,1</c:v>
                </c:pt>
                <c:pt idx="65">
                  <c:v>21,9</c:v>
                </c:pt>
                <c:pt idx="66">
                  <c:v>21,9</c:v>
                </c:pt>
                <c:pt idx="67">
                  <c:v>16,0</c:v>
                </c:pt>
                <c:pt idx="68">
                  <c:v>16,0</c:v>
                </c:pt>
                <c:pt idx="69">
                  <c:v>16,0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RO1'!$F$71:$F$243</c:f>
              <c:numCache>
                <c:formatCode>0.0</c:formatCode>
                <c:ptCount val="88"/>
                <c:pt idx="0">
                  <c:v>22</c:v>
                </c:pt>
                <c:pt idx="1">
                  <c:v>21.2</c:v>
                </c:pt>
                <c:pt idx="2">
                  <c:v>21.5</c:v>
                </c:pt>
                <c:pt idx="3">
                  <c:v>21.4</c:v>
                </c:pt>
                <c:pt idx="4">
                  <c:v>21.2</c:v>
                </c:pt>
                <c:pt idx="5">
                  <c:v>22.4</c:v>
                </c:pt>
                <c:pt idx="6">
                  <c:v>22</c:v>
                </c:pt>
                <c:pt idx="7">
                  <c:v>22.2</c:v>
                </c:pt>
                <c:pt idx="8">
                  <c:v>22.1</c:v>
                </c:pt>
                <c:pt idx="9">
                  <c:v>22</c:v>
                </c:pt>
                <c:pt idx="10" formatCode="General">
                  <c:v>22</c:v>
                </c:pt>
                <c:pt idx="11" formatCode="General">
                  <c:v>23</c:v>
                </c:pt>
                <c:pt idx="12" formatCode="General">
                  <c:v>22</c:v>
                </c:pt>
                <c:pt idx="13" formatCode="General">
                  <c:v>22</c:v>
                </c:pt>
                <c:pt idx="14" formatCode="General">
                  <c:v>24</c:v>
                </c:pt>
                <c:pt idx="15" formatCode="General">
                  <c:v>22</c:v>
                </c:pt>
                <c:pt idx="16" formatCode="General">
                  <c:v>23</c:v>
                </c:pt>
                <c:pt idx="17" formatCode="General">
                  <c:v>23</c:v>
                </c:pt>
                <c:pt idx="18" formatCode="General">
                  <c:v>23</c:v>
                </c:pt>
                <c:pt idx="19" formatCode="General">
                  <c:v>22</c:v>
                </c:pt>
                <c:pt idx="20" formatCode="General">
                  <c:v>22</c:v>
                </c:pt>
                <c:pt idx="21" formatCode="General">
                  <c:v>22</c:v>
                </c:pt>
                <c:pt idx="22" formatCode="General">
                  <c:v>24</c:v>
                </c:pt>
                <c:pt idx="23" formatCode="General">
                  <c:v>23</c:v>
                </c:pt>
                <c:pt idx="24" formatCode="General">
                  <c:v>22</c:v>
                </c:pt>
                <c:pt idx="25" formatCode="General">
                  <c:v>23</c:v>
                </c:pt>
                <c:pt idx="26" formatCode="General">
                  <c:v>23</c:v>
                </c:pt>
                <c:pt idx="27" formatCode="General">
                  <c:v>23</c:v>
                </c:pt>
                <c:pt idx="28" formatCode="General">
                  <c:v>23</c:v>
                </c:pt>
                <c:pt idx="29" formatCode="General">
                  <c:v>23</c:v>
                </c:pt>
                <c:pt idx="30" formatCode="General">
                  <c:v>22</c:v>
                </c:pt>
                <c:pt idx="31" formatCode="General">
                  <c:v>23</c:v>
                </c:pt>
                <c:pt idx="32" formatCode="General">
                  <c:v>23</c:v>
                </c:pt>
                <c:pt idx="33" formatCode="General">
                  <c:v>23</c:v>
                </c:pt>
                <c:pt idx="34" formatCode="General">
                  <c:v>23</c:v>
                </c:pt>
                <c:pt idx="35" formatCode="General">
                  <c:v>23</c:v>
                </c:pt>
                <c:pt idx="36" formatCode="General">
                  <c:v>23</c:v>
                </c:pt>
                <c:pt idx="37" formatCode="General">
                  <c:v>24</c:v>
                </c:pt>
                <c:pt idx="38" formatCode="General">
                  <c:v>24</c:v>
                </c:pt>
                <c:pt idx="39" formatCode="General">
                  <c:v>22</c:v>
                </c:pt>
                <c:pt idx="40" formatCode="General">
                  <c:v>24</c:v>
                </c:pt>
                <c:pt idx="41" formatCode="General">
                  <c:v>23</c:v>
                </c:pt>
                <c:pt idx="42" formatCode="General">
                  <c:v>16</c:v>
                </c:pt>
                <c:pt idx="43" formatCode="General">
                  <c:v>18</c:v>
                </c:pt>
                <c:pt idx="44" formatCode="General">
                  <c:v>18</c:v>
                </c:pt>
                <c:pt idx="45" formatCode="General">
                  <c:v>18</c:v>
                </c:pt>
                <c:pt idx="46" formatCode="General">
                  <c:v>18</c:v>
                </c:pt>
                <c:pt idx="47" formatCode="General">
                  <c:v>17</c:v>
                </c:pt>
                <c:pt idx="48" formatCode="General">
                  <c:v>18</c:v>
                </c:pt>
                <c:pt idx="49" formatCode="General">
                  <c:v>18</c:v>
                </c:pt>
                <c:pt idx="50" formatCode="General">
                  <c:v>18</c:v>
                </c:pt>
                <c:pt idx="51" formatCode="General">
                  <c:v>19</c:v>
                </c:pt>
                <c:pt idx="52" formatCode="General">
                  <c:v>19</c:v>
                </c:pt>
                <c:pt idx="53" formatCode="General">
                  <c:v>18</c:v>
                </c:pt>
                <c:pt idx="54" formatCode="General">
                  <c:v>18</c:v>
                </c:pt>
                <c:pt idx="55" formatCode="General">
                  <c:v>16</c:v>
                </c:pt>
                <c:pt idx="56" formatCode="General">
                  <c:v>15.5</c:v>
                </c:pt>
                <c:pt idx="57" formatCode="General">
                  <c:v>14.6</c:v>
                </c:pt>
                <c:pt idx="58" formatCode="General">
                  <c:v>13</c:v>
                </c:pt>
                <c:pt idx="59" formatCode="General">
                  <c:v>14</c:v>
                </c:pt>
                <c:pt idx="60" formatCode="General">
                  <c:v>17</c:v>
                </c:pt>
                <c:pt idx="61" formatCode="General">
                  <c:v>16</c:v>
                </c:pt>
                <c:pt idx="62" formatCode="General">
                  <c:v>16</c:v>
                </c:pt>
                <c:pt idx="63" formatCode="General">
                  <c:v>16</c:v>
                </c:pt>
                <c:pt idx="64" formatCode="General">
                  <c:v>15.5</c:v>
                </c:pt>
                <c:pt idx="65" formatCode="General">
                  <c:v>12</c:v>
                </c:pt>
                <c:pt idx="66" formatCode="General">
                  <c:v>12</c:v>
                </c:pt>
                <c:pt idx="67" formatCode="General">
                  <c:v>12</c:v>
                </c:pt>
                <c:pt idx="68" formatCode="General">
                  <c:v>11</c:v>
                </c:pt>
                <c:pt idx="69" formatCode="General">
                  <c:v>11</c:v>
                </c:pt>
                <c:pt idx="70" formatCode="General">
                  <c:v>11</c:v>
                </c:pt>
                <c:pt idx="71" formatCode="General">
                  <c:v>11</c:v>
                </c:pt>
                <c:pt idx="72" formatCode="General">
                  <c:v>10</c:v>
                </c:pt>
                <c:pt idx="73" formatCode="General">
                  <c:v>11</c:v>
                </c:pt>
                <c:pt idx="74" formatCode="General">
                  <c:v>10.5</c:v>
                </c:pt>
                <c:pt idx="75" formatCode="General">
                  <c:v>11</c:v>
                </c:pt>
                <c:pt idx="76" formatCode="General">
                  <c:v>11</c:v>
                </c:pt>
                <c:pt idx="77" formatCode="General">
                  <c:v>10</c:v>
                </c:pt>
                <c:pt idx="78" formatCode="General">
                  <c:v>11</c:v>
                </c:pt>
                <c:pt idx="79" formatCode="General">
                  <c:v>10</c:v>
                </c:pt>
                <c:pt idx="80" formatCode="General">
                  <c:v>11.1</c:v>
                </c:pt>
                <c:pt idx="81" formatCode="General">
                  <c:v>11</c:v>
                </c:pt>
                <c:pt idx="82" formatCode="General">
                  <c:v>11</c:v>
                </c:pt>
                <c:pt idx="83" formatCode="General">
                  <c:v>12</c:v>
                </c:pt>
                <c:pt idx="84" formatCode="General">
                  <c:v>12</c:v>
                </c:pt>
                <c:pt idx="85" formatCode="General">
                  <c:v>10</c:v>
                </c:pt>
                <c:pt idx="86" formatCode="General">
                  <c:v>11</c:v>
                </c:pt>
                <c:pt idx="87" formatCode="General">
                  <c:v>11.2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805-4F8F-A53E-B4A1DF8B0409}"/>
            </c:ext>
          </c:extLst>
        </c:ser>
        <c:ser>
          <c:idx val="15"/>
          <c:order val="15"/>
          <c:tx>
            <c:strRef>
              <c:f>'OPERACIÓN RO1'!$O$1:$O$70</c:f>
              <c:strCache>
                <c:ptCount val="70"/>
                <c:pt idx="0">
                  <c:v>Q Salida RO 1 ETAPA 2 CALCULADO</c:v>
                </c:pt>
                <c:pt idx="3">
                  <c:v>15,9</c:v>
                </c:pt>
                <c:pt idx="4">
                  <c:v>11,9</c:v>
                </c:pt>
                <c:pt idx="5">
                  <c:v>9,1</c:v>
                </c:pt>
                <c:pt idx="6">
                  <c:v>8,9</c:v>
                </c:pt>
                <c:pt idx="7">
                  <c:v>8,2</c:v>
                </c:pt>
                <c:pt idx="10">
                  <c:v>12,5</c:v>
                </c:pt>
                <c:pt idx="11">
                  <c:v>11,1</c:v>
                </c:pt>
                <c:pt idx="13">
                  <c:v>11,1</c:v>
                </c:pt>
                <c:pt idx="59">
                  <c:v>1,0</c:v>
                </c:pt>
                <c:pt idx="60">
                  <c:v>2,0</c:v>
                </c:pt>
                <c:pt idx="61">
                  <c:v>3,0</c:v>
                </c:pt>
                <c:pt idx="62">
                  <c:v>2,0</c:v>
                </c:pt>
                <c:pt idx="63">
                  <c:v>2,0</c:v>
                </c:pt>
                <c:pt idx="64">
                  <c:v>3,0</c:v>
                </c:pt>
                <c:pt idx="65">
                  <c:v>3,0</c:v>
                </c:pt>
                <c:pt idx="66">
                  <c:v>3,0</c:v>
                </c:pt>
                <c:pt idx="67">
                  <c:v>25,0</c:v>
                </c:pt>
                <c:pt idx="68">
                  <c:v>25,0</c:v>
                </c:pt>
                <c:pt idx="69">
                  <c:v>25,0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RO1'!$O$71:$O$243</c:f>
              <c:numCache>
                <c:formatCode>0.0</c:formatCode>
                <c:ptCount val="88"/>
                <c:pt idx="0">
                  <c:v>25</c:v>
                </c:pt>
                <c:pt idx="1">
                  <c:v>20</c:v>
                </c:pt>
                <c:pt idx="2">
                  <c:v>18</c:v>
                </c:pt>
                <c:pt idx="3">
                  <c:v>17.399999999999999</c:v>
                </c:pt>
                <c:pt idx="4">
                  <c:v>16.2</c:v>
                </c:pt>
                <c:pt idx="5">
                  <c:v>17.5</c:v>
                </c:pt>
                <c:pt idx="6">
                  <c:v>17.5</c:v>
                </c:pt>
                <c:pt idx="7">
                  <c:v>16</c:v>
                </c:pt>
                <c:pt idx="8">
                  <c:v>18</c:v>
                </c:pt>
                <c:pt idx="9">
                  <c:v>16</c:v>
                </c:pt>
                <c:pt idx="10">
                  <c:v>16</c:v>
                </c:pt>
                <c:pt idx="11">
                  <c:v>14</c:v>
                </c:pt>
                <c:pt idx="12">
                  <c:v>12.2</c:v>
                </c:pt>
                <c:pt idx="13">
                  <c:v>12.2</c:v>
                </c:pt>
                <c:pt idx="14">
                  <c:v>10</c:v>
                </c:pt>
                <c:pt idx="15">
                  <c:v>8</c:v>
                </c:pt>
                <c:pt idx="16" formatCode="General">
                  <c:v>5.2</c:v>
                </c:pt>
                <c:pt idx="17" formatCode="General">
                  <c:v>5</c:v>
                </c:pt>
                <c:pt idx="18" formatCode="General">
                  <c:v>5</c:v>
                </c:pt>
                <c:pt idx="19" formatCode="General">
                  <c:v>5</c:v>
                </c:pt>
                <c:pt idx="20" formatCode="General">
                  <c:v>5</c:v>
                </c:pt>
                <c:pt idx="21" formatCode="General">
                  <c:v>5</c:v>
                </c:pt>
                <c:pt idx="22" formatCode="General">
                  <c:v>5.8999999999999986</c:v>
                </c:pt>
                <c:pt idx="23" formatCode="General">
                  <c:v>2.8000000000000007</c:v>
                </c:pt>
                <c:pt idx="24" formatCode="General">
                  <c:v>1.5</c:v>
                </c:pt>
                <c:pt idx="25" formatCode="General">
                  <c:v>-0.39999999999999858</c:v>
                </c:pt>
                <c:pt idx="26" formatCode="General">
                  <c:v>-0.39999999999999858</c:v>
                </c:pt>
                <c:pt idx="27" formatCode="General">
                  <c:v>-1.6999999999999993</c:v>
                </c:pt>
                <c:pt idx="28" formatCode="General">
                  <c:v>-0.39999999999999858</c:v>
                </c:pt>
                <c:pt idx="29" formatCode="General">
                  <c:v>15.399999999999999</c:v>
                </c:pt>
                <c:pt idx="30" formatCode="General">
                  <c:v>6.1000000000000014</c:v>
                </c:pt>
                <c:pt idx="31" formatCode="General">
                  <c:v>3.1000000000000014</c:v>
                </c:pt>
                <c:pt idx="32" formatCode="General">
                  <c:v>2</c:v>
                </c:pt>
                <c:pt idx="33" formatCode="General">
                  <c:v>-7.1000000000000014</c:v>
                </c:pt>
                <c:pt idx="34" formatCode="General">
                  <c:v>7.8999999999999986</c:v>
                </c:pt>
                <c:pt idx="35" formatCode="General">
                  <c:v>2.8000000000000007</c:v>
                </c:pt>
                <c:pt idx="36" formatCode="General">
                  <c:v>3.8000000000000007</c:v>
                </c:pt>
                <c:pt idx="37" formatCode="General">
                  <c:v>2.8000000000000007</c:v>
                </c:pt>
                <c:pt idx="38" formatCode="General">
                  <c:v>6.1999999999999993</c:v>
                </c:pt>
                <c:pt idx="39" formatCode="General">
                  <c:v>3.8000000000000007</c:v>
                </c:pt>
                <c:pt idx="40" formatCode="General">
                  <c:v>1.6000000000000014</c:v>
                </c:pt>
                <c:pt idx="41" formatCode="General">
                  <c:v>1.6999999999999993</c:v>
                </c:pt>
                <c:pt idx="42" formatCode="General">
                  <c:v>6.5</c:v>
                </c:pt>
                <c:pt idx="43" formatCode="General">
                  <c:v>2.6000000000000014</c:v>
                </c:pt>
                <c:pt idx="44" formatCode="General">
                  <c:v>-1.3000000000000007</c:v>
                </c:pt>
                <c:pt idx="45" formatCode="General">
                  <c:v>2.1999999999999993</c:v>
                </c:pt>
                <c:pt idx="46" formatCode="General">
                  <c:v>-0.89999999999999858</c:v>
                </c:pt>
                <c:pt idx="47" formatCode="General">
                  <c:v>11.200000000000003</c:v>
                </c:pt>
                <c:pt idx="48" formatCode="General">
                  <c:v>2.5</c:v>
                </c:pt>
                <c:pt idx="49" formatCode="General">
                  <c:v>0.39999999999999858</c:v>
                </c:pt>
                <c:pt idx="50" formatCode="General">
                  <c:v>-1.1000000000000014</c:v>
                </c:pt>
                <c:pt idx="51" formatCode="General">
                  <c:v>-21</c:v>
                </c:pt>
                <c:pt idx="52" formatCode="General">
                  <c:v>0.39999999999999858</c:v>
                </c:pt>
                <c:pt idx="53" formatCode="General">
                  <c:v>0.60000000000000142</c:v>
                </c:pt>
                <c:pt idx="54" formatCode="General">
                  <c:v>0.39999999999999858</c:v>
                </c:pt>
                <c:pt idx="55" formatCode="General">
                  <c:v>0.69999999999999929</c:v>
                </c:pt>
                <c:pt idx="56" formatCode="General">
                  <c:v>12.899999999999999</c:v>
                </c:pt>
                <c:pt idx="57" formatCode="General">
                  <c:v>3.1999999999999993</c:v>
                </c:pt>
                <c:pt idx="58" formatCode="General">
                  <c:v>3.6000000000000014</c:v>
                </c:pt>
                <c:pt idx="59" formatCode="General">
                  <c:v>-14</c:v>
                </c:pt>
                <c:pt idx="60" formatCode="General">
                  <c:v>6.1000000000000014</c:v>
                </c:pt>
                <c:pt idx="61" formatCode="General">
                  <c:v>13.100000000000001</c:v>
                </c:pt>
                <c:pt idx="62" formatCode="General">
                  <c:v>7.8999999999999986</c:v>
                </c:pt>
                <c:pt idx="63" formatCode="General">
                  <c:v>13.700000000000003</c:v>
                </c:pt>
                <c:pt idx="64" formatCode="General">
                  <c:v>8.5</c:v>
                </c:pt>
                <c:pt idx="65" formatCode="General">
                  <c:v>7</c:v>
                </c:pt>
                <c:pt idx="66" formatCode="General">
                  <c:v>5.6000000000000014</c:v>
                </c:pt>
                <c:pt idx="67" formatCode="General">
                  <c:v>7.6999999999999993</c:v>
                </c:pt>
                <c:pt idx="68" formatCode="General">
                  <c:v>12.899999999999999</c:v>
                </c:pt>
                <c:pt idx="69" formatCode="General">
                  <c:v>15.2</c:v>
                </c:pt>
                <c:pt idx="70" formatCode="General">
                  <c:v>11.5</c:v>
                </c:pt>
                <c:pt idx="71" formatCode="General">
                  <c:v>9.1999999999999993</c:v>
                </c:pt>
                <c:pt idx="72" formatCode="General">
                  <c:v>8.3000000000000007</c:v>
                </c:pt>
                <c:pt idx="73" formatCode="General">
                  <c:v>12.600000000000001</c:v>
                </c:pt>
                <c:pt idx="74" formatCode="General">
                  <c:v>6.8000000000000007</c:v>
                </c:pt>
                <c:pt idx="75" formatCode="General">
                  <c:v>10.5</c:v>
                </c:pt>
                <c:pt idx="76" formatCode="General">
                  <c:v>10.399999999999999</c:v>
                </c:pt>
                <c:pt idx="77" formatCode="General">
                  <c:v>11.8</c:v>
                </c:pt>
                <c:pt idx="78" formatCode="General">
                  <c:v>9.8999999999999986</c:v>
                </c:pt>
                <c:pt idx="79" formatCode="General">
                  <c:v>5.3000000000000007</c:v>
                </c:pt>
                <c:pt idx="80" formatCode="General">
                  <c:v>11.399999999999999</c:v>
                </c:pt>
                <c:pt idx="81" formatCode="General">
                  <c:v>9.5</c:v>
                </c:pt>
                <c:pt idx="82" formatCode="General">
                  <c:v>6.8000000000000007</c:v>
                </c:pt>
                <c:pt idx="83" formatCode="General">
                  <c:v>6.5</c:v>
                </c:pt>
                <c:pt idx="84" formatCode="General">
                  <c:v>6.3000000000000007</c:v>
                </c:pt>
                <c:pt idx="85" formatCode="General">
                  <c:v>9.3999999999999986</c:v>
                </c:pt>
                <c:pt idx="86" formatCode="General">
                  <c:v>0</c:v>
                </c:pt>
                <c:pt idx="87" formatCode="General">
                  <c:v>11.5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805-4F8F-A53E-B4A1DF8B0409}"/>
            </c:ext>
          </c:extLst>
        </c:ser>
        <c:ser>
          <c:idx val="16"/>
          <c:order val="16"/>
          <c:tx>
            <c:strRef>
              <c:f>'OPERACIÓN RO1'!$H$1:$H$70</c:f>
              <c:strCache>
                <c:ptCount val="70"/>
                <c:pt idx="0">
                  <c:v>Diferencial de Presión RO 1 ETAPA 2 ΔP</c:v>
                </c:pt>
                <c:pt idx="1">
                  <c:v>0</c:v>
                </c:pt>
                <c:pt idx="2">
                  <c:v>0</c:v>
                </c:pt>
                <c:pt idx="3">
                  <c:v>1,508</c:v>
                </c:pt>
                <c:pt idx="4">
                  <c:v>0,48</c:v>
                </c:pt>
                <c:pt idx="5">
                  <c:v>-0,759</c:v>
                </c:pt>
                <c:pt idx="6">
                  <c:v>-0,071</c:v>
                </c:pt>
                <c:pt idx="7">
                  <c:v>1,224</c:v>
                </c:pt>
                <c:pt idx="8">
                  <c:v>0</c:v>
                </c:pt>
                <c:pt idx="9">
                  <c:v>0</c:v>
                </c:pt>
                <c:pt idx="10">
                  <c:v>1,895</c:v>
                </c:pt>
                <c:pt idx="11">
                  <c:v>2,392</c:v>
                </c:pt>
                <c:pt idx="12">
                  <c:v>0</c:v>
                </c:pt>
                <c:pt idx="13">
                  <c:v>-7,156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0,9</c:v>
                </c:pt>
                <c:pt idx="60">
                  <c:v>0,0</c:v>
                </c:pt>
                <c:pt idx="61">
                  <c:v>0,0</c:v>
                </c:pt>
                <c:pt idx="62">
                  <c:v>0,8</c:v>
                </c:pt>
                <c:pt idx="63">
                  <c:v>0,9</c:v>
                </c:pt>
                <c:pt idx="64">
                  <c:v>0,9</c:v>
                </c:pt>
                <c:pt idx="65">
                  <c:v>-0,9</c:v>
                </c:pt>
                <c:pt idx="66">
                  <c:v>-0,9</c:v>
                </c:pt>
                <c:pt idx="67">
                  <c:v>0,3</c:v>
                </c:pt>
                <c:pt idx="68">
                  <c:v>0,2</c:v>
                </c:pt>
                <c:pt idx="69">
                  <c:v>0,2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RO1'!$H$71:$H$243</c:f>
              <c:numCache>
                <c:formatCode>0.0</c:formatCode>
                <c:ptCount val="88"/>
                <c:pt idx="0">
                  <c:v>0.10000000000000142</c:v>
                </c:pt>
                <c:pt idx="1">
                  <c:v>0.90000000000000213</c:v>
                </c:pt>
                <c:pt idx="2">
                  <c:v>0.89999999999999858</c:v>
                </c:pt>
                <c:pt idx="3">
                  <c:v>0.70000000000000284</c:v>
                </c:pt>
                <c:pt idx="4">
                  <c:v>0.69999999999999929</c:v>
                </c:pt>
                <c:pt idx="5">
                  <c:v>0.5</c:v>
                </c:pt>
                <c:pt idx="6">
                  <c:v>0.5</c:v>
                </c:pt>
                <c:pt idx="7">
                  <c:v>0.69999999999999929</c:v>
                </c:pt>
                <c:pt idx="8">
                  <c:v>0.29999999999999716</c:v>
                </c:pt>
                <c:pt idx="9">
                  <c:v>0.30000000000000071</c:v>
                </c:pt>
                <c:pt idx="10">
                  <c:v>0.69999999999999929</c:v>
                </c:pt>
                <c:pt idx="11">
                  <c:v>0.39999999999999858</c:v>
                </c:pt>
                <c:pt idx="12">
                  <c:v>0.39999999999999858</c:v>
                </c:pt>
                <c:pt idx="13">
                  <c:v>0.39999999999999858</c:v>
                </c:pt>
                <c:pt idx="14">
                  <c:v>0.5</c:v>
                </c:pt>
                <c:pt idx="15">
                  <c:v>0.60000000000000142</c:v>
                </c:pt>
                <c:pt idx="16" formatCode="General">
                  <c:v>0.19999999999999929</c:v>
                </c:pt>
                <c:pt idx="17" formatCode="General">
                  <c:v>0.30000000000000071</c:v>
                </c:pt>
                <c:pt idx="18" formatCode="General">
                  <c:v>0</c:v>
                </c:pt>
                <c:pt idx="19" formatCode="General">
                  <c:v>0.30000000000000071</c:v>
                </c:pt>
                <c:pt idx="20" formatCode="General">
                  <c:v>0.39999999999999858</c:v>
                </c:pt>
                <c:pt idx="21" formatCode="General">
                  <c:v>0.39999999999999858</c:v>
                </c:pt>
                <c:pt idx="22" formatCode="General">
                  <c:v>0</c:v>
                </c:pt>
                <c:pt idx="23" formatCode="General">
                  <c:v>0.39999999999999858</c:v>
                </c:pt>
                <c:pt idx="24" formatCode="General">
                  <c:v>0.19999999999999929</c:v>
                </c:pt>
                <c:pt idx="25" formatCode="General">
                  <c:v>0.19999999999999929</c:v>
                </c:pt>
                <c:pt idx="26" formatCode="General">
                  <c:v>0.60000000000000142</c:v>
                </c:pt>
                <c:pt idx="27" formatCode="General">
                  <c:v>0.39999999999999858</c:v>
                </c:pt>
                <c:pt idx="28" formatCode="General">
                  <c:v>0.30000000000000071</c:v>
                </c:pt>
                <c:pt idx="29" formatCode="General">
                  <c:v>-0.39999999999999858</c:v>
                </c:pt>
                <c:pt idx="30" formatCode="General">
                  <c:v>0.5</c:v>
                </c:pt>
                <c:pt idx="31" formatCode="General">
                  <c:v>0</c:v>
                </c:pt>
                <c:pt idx="32" formatCode="General">
                  <c:v>0.10000000000000142</c:v>
                </c:pt>
                <c:pt idx="33" formatCode="General">
                  <c:v>-0.10000000000000142</c:v>
                </c:pt>
                <c:pt idx="34" formatCode="General">
                  <c:v>-0.89999999999999858</c:v>
                </c:pt>
                <c:pt idx="35" formatCode="General">
                  <c:v>0</c:v>
                </c:pt>
                <c:pt idx="36" formatCode="General">
                  <c:v>0.30000000000000071</c:v>
                </c:pt>
                <c:pt idx="37" formatCode="General">
                  <c:v>0.60000000000000142</c:v>
                </c:pt>
                <c:pt idx="38" formatCode="General">
                  <c:v>0</c:v>
                </c:pt>
                <c:pt idx="39" formatCode="General">
                  <c:v>0.39999999999999858</c:v>
                </c:pt>
                <c:pt idx="40" formatCode="General">
                  <c:v>0.10000000000000142</c:v>
                </c:pt>
                <c:pt idx="41" formatCode="General">
                  <c:v>0.39999999999999858</c:v>
                </c:pt>
                <c:pt idx="42" formatCode="General">
                  <c:v>0.10000000000000142</c:v>
                </c:pt>
                <c:pt idx="43" formatCode="General">
                  <c:v>0.30000000000000071</c:v>
                </c:pt>
                <c:pt idx="44" formatCode="General">
                  <c:v>0</c:v>
                </c:pt>
                <c:pt idx="45" formatCode="General">
                  <c:v>0</c:v>
                </c:pt>
                <c:pt idx="46" formatCode="General">
                  <c:v>-0.10000000000000142</c:v>
                </c:pt>
                <c:pt idx="47" formatCode="General">
                  <c:v>-0.10000000000000142</c:v>
                </c:pt>
                <c:pt idx="48" formatCode="General">
                  <c:v>-0.10000000000000142</c:v>
                </c:pt>
                <c:pt idx="49" formatCode="General">
                  <c:v>0.30000000000000071</c:v>
                </c:pt>
                <c:pt idx="50" formatCode="General">
                  <c:v>0.89999999999999858</c:v>
                </c:pt>
                <c:pt idx="51" formatCode="General">
                  <c:v>-0.30000000000000071</c:v>
                </c:pt>
                <c:pt idx="52" formatCode="General">
                  <c:v>-0.30000000000000071</c:v>
                </c:pt>
                <c:pt idx="53" formatCode="General">
                  <c:v>0.39999999999999858</c:v>
                </c:pt>
                <c:pt idx="54" formatCode="General">
                  <c:v>10.399999999999999</c:v>
                </c:pt>
                <c:pt idx="55" formatCode="General">
                  <c:v>-0.30000000000000071</c:v>
                </c:pt>
                <c:pt idx="56" formatCode="General">
                  <c:v>0.19999999999999929</c:v>
                </c:pt>
                <c:pt idx="57" formatCode="General">
                  <c:v>0.20000000000000107</c:v>
                </c:pt>
                <c:pt idx="58" formatCode="General">
                  <c:v>0</c:v>
                </c:pt>
                <c:pt idx="59" formatCode="General">
                  <c:v>0.69999999999999929</c:v>
                </c:pt>
                <c:pt idx="60" formatCode="General">
                  <c:v>0.39999999999999858</c:v>
                </c:pt>
                <c:pt idx="61" formatCode="General">
                  <c:v>0.39999999999999858</c:v>
                </c:pt>
                <c:pt idx="62" formatCode="General">
                  <c:v>0.30000000000000071</c:v>
                </c:pt>
                <c:pt idx="63" formatCode="General">
                  <c:v>0.39999999999999858</c:v>
                </c:pt>
                <c:pt idx="64" formatCode="General">
                  <c:v>0.30000000000000071</c:v>
                </c:pt>
                <c:pt idx="65" formatCode="General">
                  <c:v>0.30000000000000071</c:v>
                </c:pt>
                <c:pt idx="66" formatCode="General">
                  <c:v>9.9999999999999645E-2</c:v>
                </c:pt>
                <c:pt idx="67" formatCode="General">
                  <c:v>0.5</c:v>
                </c:pt>
                <c:pt idx="68" formatCode="General">
                  <c:v>0.19999999999999929</c:v>
                </c:pt>
                <c:pt idx="69" formatCode="General">
                  <c:v>0.80000000000000071</c:v>
                </c:pt>
                <c:pt idx="70" formatCode="General">
                  <c:v>0.80000000000000071</c:v>
                </c:pt>
                <c:pt idx="71" formatCode="General">
                  <c:v>0.90000000000000036</c:v>
                </c:pt>
                <c:pt idx="72" formatCode="General">
                  <c:v>0.90000000000000036</c:v>
                </c:pt>
                <c:pt idx="73" formatCode="General">
                  <c:v>0.19999999999999929</c:v>
                </c:pt>
                <c:pt idx="74" formatCode="General">
                  <c:v>0.69999999999999929</c:v>
                </c:pt>
                <c:pt idx="75" formatCode="General">
                  <c:v>0.80000000000000071</c:v>
                </c:pt>
                <c:pt idx="76" formatCode="General">
                  <c:v>0.19999999999999929</c:v>
                </c:pt>
                <c:pt idx="77" formatCode="General">
                  <c:v>0.69999999999999929</c:v>
                </c:pt>
                <c:pt idx="78" formatCode="General">
                  <c:v>0.59999999999999964</c:v>
                </c:pt>
                <c:pt idx="79" formatCode="General">
                  <c:v>0.40000000000000036</c:v>
                </c:pt>
                <c:pt idx="80" formatCode="General">
                  <c:v>0.90000000000000036</c:v>
                </c:pt>
                <c:pt idx="81" formatCode="General">
                  <c:v>0.69999999999999929</c:v>
                </c:pt>
                <c:pt idx="82" formatCode="General">
                  <c:v>9.9999999999999645E-2</c:v>
                </c:pt>
                <c:pt idx="83" formatCode="General">
                  <c:v>0.30000000000000071</c:v>
                </c:pt>
                <c:pt idx="84" formatCode="General">
                  <c:v>0.5</c:v>
                </c:pt>
                <c:pt idx="85" formatCode="General">
                  <c:v>0.5</c:v>
                </c:pt>
                <c:pt idx="86" formatCode="General">
                  <c:v>0.90000000000000036</c:v>
                </c:pt>
                <c:pt idx="87" formatCode="General">
                  <c:v>0.60000000000000142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805-4F8F-A53E-B4A1DF8B0409}"/>
            </c:ext>
          </c:extLst>
        </c:ser>
        <c:ser>
          <c:idx val="17"/>
          <c:order val="17"/>
          <c:tx>
            <c:strRef>
              <c:f>'OPERACIÓN RO1'!$Q$1:$Q$70</c:f>
              <c:strCache>
                <c:ptCount val="70"/>
                <c:pt idx="0">
                  <c:v>% EFICIENCIA ETAPA 2 RO1</c:v>
                </c:pt>
                <c:pt idx="1">
                  <c:v>#¡DIV/0!</c:v>
                </c:pt>
                <c:pt idx="2">
                  <c:v>#¡DIV/0!</c:v>
                </c:pt>
                <c:pt idx="3">
                  <c:v>#¡DIV/0!</c:v>
                </c:pt>
                <c:pt idx="4">
                  <c:v>#¡DIV/0!</c:v>
                </c:pt>
                <c:pt idx="5">
                  <c:v>#¡DIV/0!</c:v>
                </c:pt>
                <c:pt idx="6">
                  <c:v>#¡DIV/0!</c:v>
                </c:pt>
                <c:pt idx="7">
                  <c:v>#¡DIV/0!</c:v>
                </c:pt>
                <c:pt idx="8">
                  <c:v>#¡DIV/0!</c:v>
                </c:pt>
                <c:pt idx="9">
                  <c:v>#¡DIV/0!</c:v>
                </c:pt>
                <c:pt idx="10">
                  <c:v>#¡DIV/0!</c:v>
                </c:pt>
                <c:pt idx="11">
                  <c:v>#¡DIV/0!</c:v>
                </c:pt>
                <c:pt idx="12">
                  <c:v>#¡DIV/0!</c:v>
                </c:pt>
                <c:pt idx="13">
                  <c:v>#¡DIV/0!</c:v>
                </c:pt>
                <c:pt idx="14">
                  <c:v>#¡DIV/0!</c:v>
                </c:pt>
                <c:pt idx="15">
                  <c:v>#¡DIV/0!</c:v>
                </c:pt>
                <c:pt idx="16">
                  <c:v>#¡DIV/0!</c:v>
                </c:pt>
                <c:pt idx="17">
                  <c:v>#¡DIV/0!</c:v>
                </c:pt>
                <c:pt idx="18">
                  <c:v>#¡DIV/0!</c:v>
                </c:pt>
                <c:pt idx="19">
                  <c:v>#¡DIV/0!</c:v>
                </c:pt>
                <c:pt idx="20">
                  <c:v>#¡DIV/0!</c:v>
                </c:pt>
                <c:pt idx="21">
                  <c:v>#¡DIV/0!</c:v>
                </c:pt>
                <c:pt idx="22">
                  <c:v>#¡DIV/0!</c:v>
                </c:pt>
                <c:pt idx="23">
                  <c:v>#¡DIV/0!</c:v>
                </c:pt>
                <c:pt idx="24">
                  <c:v>#¡DIV/0!</c:v>
                </c:pt>
                <c:pt idx="25">
                  <c:v>#¡DIV/0!</c:v>
                </c:pt>
                <c:pt idx="26">
                  <c:v>#¡DIV/0!</c:v>
                </c:pt>
                <c:pt idx="27">
                  <c:v>#¡DIV/0!</c:v>
                </c:pt>
                <c:pt idx="28">
                  <c:v>#¡DIV/0!</c:v>
                </c:pt>
                <c:pt idx="29">
                  <c:v>#¡DIV/0!</c:v>
                </c:pt>
                <c:pt idx="30">
                  <c:v>#¡DIV/0!</c:v>
                </c:pt>
                <c:pt idx="31">
                  <c:v>#¡DIV/0!</c:v>
                </c:pt>
                <c:pt idx="32">
                  <c:v>#¡DIV/0!</c:v>
                </c:pt>
                <c:pt idx="33">
                  <c:v>#¡DIV/0!</c:v>
                </c:pt>
                <c:pt idx="34">
                  <c:v>#¡DIV/0!</c:v>
                </c:pt>
                <c:pt idx="35">
                  <c:v>#¡DIV/0!</c:v>
                </c:pt>
                <c:pt idx="36">
                  <c:v>#¡DIV/0!</c:v>
                </c:pt>
                <c:pt idx="37">
                  <c:v>#¡DIV/0!</c:v>
                </c:pt>
                <c:pt idx="38">
                  <c:v>#¡DIV/0!</c:v>
                </c:pt>
                <c:pt idx="39">
                  <c:v>#¡DIV/0!</c:v>
                </c:pt>
                <c:pt idx="40">
                  <c:v>#¡DIV/0!</c:v>
                </c:pt>
                <c:pt idx="41">
                  <c:v>#¡DIV/0!</c:v>
                </c:pt>
                <c:pt idx="42">
                  <c:v>#¡DIV/0!</c:v>
                </c:pt>
                <c:pt idx="43">
                  <c:v>#¡DIV/0!</c:v>
                </c:pt>
                <c:pt idx="44">
                  <c:v>#¡DIV/0!</c:v>
                </c:pt>
                <c:pt idx="45">
                  <c:v>#¡DIV/0!</c:v>
                </c:pt>
                <c:pt idx="46">
                  <c:v>#¡DIV/0!</c:v>
                </c:pt>
                <c:pt idx="47">
                  <c:v>#¡DIV/0!</c:v>
                </c:pt>
                <c:pt idx="48">
                  <c:v>#¡DIV/0!</c:v>
                </c:pt>
                <c:pt idx="49">
                  <c:v>#¡DIV/0!</c:v>
                </c:pt>
                <c:pt idx="50">
                  <c:v>#¡DIV/0!</c:v>
                </c:pt>
                <c:pt idx="51">
                  <c:v>#¡DIV/0!</c:v>
                </c:pt>
                <c:pt idx="52">
                  <c:v>#¡DIV/0!</c:v>
                </c:pt>
                <c:pt idx="53">
                  <c:v>#¡DIV/0!</c:v>
                </c:pt>
                <c:pt idx="54">
                  <c:v>#¡DIV/0!</c:v>
                </c:pt>
                <c:pt idx="55">
                  <c:v>#¡DIV/0!</c:v>
                </c:pt>
                <c:pt idx="56">
                  <c:v>#¡DIV/0!</c:v>
                </c:pt>
                <c:pt idx="57">
                  <c:v>#¡DIV/0!</c:v>
                </c:pt>
                <c:pt idx="58">
                  <c:v>#¡DIV/0!</c:v>
                </c:pt>
                <c:pt idx="59">
                  <c:v>4%</c:v>
                </c:pt>
                <c:pt idx="60">
                  <c:v>9%</c:v>
                </c:pt>
                <c:pt idx="61">
                  <c:v>15%</c:v>
                </c:pt>
                <c:pt idx="62">
                  <c:v>12%</c:v>
                </c:pt>
                <c:pt idx="63">
                  <c:v>11%</c:v>
                </c:pt>
                <c:pt idx="64">
                  <c:v>15%</c:v>
                </c:pt>
                <c:pt idx="65">
                  <c:v>15%</c:v>
                </c:pt>
                <c:pt idx="66">
                  <c:v>16%</c:v>
                </c:pt>
                <c:pt idx="67">
                  <c:v>61%</c:v>
                </c:pt>
                <c:pt idx="68">
                  <c:v>59%</c:v>
                </c:pt>
                <c:pt idx="69">
                  <c:v>57%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RO1'!$Q$71:$Q$243</c:f>
              <c:numCache>
                <c:formatCode>0%</c:formatCode>
                <c:ptCount val="88"/>
                <c:pt idx="0">
                  <c:v>0.63775510204081631</c:v>
                </c:pt>
                <c:pt idx="1">
                  <c:v>0.49382716049382713</c:v>
                </c:pt>
                <c:pt idx="2">
                  <c:v>0.41570438799076215</c:v>
                </c:pt>
                <c:pt idx="3">
                  <c:v>0.40559440559440557</c:v>
                </c:pt>
                <c:pt idx="4">
                  <c:v>0.38942307692307698</c:v>
                </c:pt>
                <c:pt idx="5">
                  <c:v>0.46419098143236071</c:v>
                </c:pt>
                <c:pt idx="6">
                  <c:v>0.39503386004514673</c:v>
                </c:pt>
                <c:pt idx="7">
                  <c:v>0.40404040404040403</c:v>
                </c:pt>
                <c:pt idx="8">
                  <c:v>0.43062200956937802</c:v>
                </c:pt>
                <c:pt idx="9">
                  <c:v>0.43478260869565222</c:v>
                </c:pt>
                <c:pt idx="10">
                  <c:v>0.43126684636118595</c:v>
                </c:pt>
                <c:pt idx="11">
                  <c:v>0.41916167664670662</c:v>
                </c:pt>
                <c:pt idx="12">
                  <c:v>0.32972972972972969</c:v>
                </c:pt>
                <c:pt idx="13">
                  <c:v>0.32884097035040433</c:v>
                </c:pt>
                <c:pt idx="14">
                  <c:v>0.60606060606060608</c:v>
                </c:pt>
                <c:pt idx="15">
                  <c:v>0.32</c:v>
                </c:pt>
                <c:pt idx="16">
                  <c:v>0.23111111111111107</c:v>
                </c:pt>
                <c:pt idx="17">
                  <c:v>0.21008403361344538</c:v>
                </c:pt>
                <c:pt idx="18">
                  <c:v>0.15151515151515152</c:v>
                </c:pt>
                <c:pt idx="19">
                  <c:v>0.14792899408284024</c:v>
                </c:pt>
                <c:pt idx="20">
                  <c:v>0.14836795252225518</c:v>
                </c:pt>
                <c:pt idx="21">
                  <c:v>0.15015015015015015</c:v>
                </c:pt>
                <c:pt idx="22">
                  <c:v>0.26106194690265477</c:v>
                </c:pt>
                <c:pt idx="23">
                  <c:v>0.11475409836065577</c:v>
                </c:pt>
                <c:pt idx="24">
                  <c:v>5.3003533568904596E-2</c:v>
                </c:pt>
                <c:pt idx="25">
                  <c:v>-2.0202020202020134E-2</c:v>
                </c:pt>
                <c:pt idx="26">
                  <c:v>-2.116402116402109E-2</c:v>
                </c:pt>
                <c:pt idx="27">
                  <c:v>-9.1891891891891855E-2</c:v>
                </c:pt>
                <c:pt idx="28">
                  <c:v>-2.0725388601036197E-2</c:v>
                </c:pt>
                <c:pt idx="29">
                  <c:v>0.59922178988326835</c:v>
                </c:pt>
                <c:pt idx="30">
                  <c:v>0.35465116279069769</c:v>
                </c:pt>
                <c:pt idx="31">
                  <c:v>0.36470588235294132</c:v>
                </c:pt>
                <c:pt idx="32">
                  <c:v>0.14388489208633096</c:v>
                </c:pt>
                <c:pt idx="33">
                  <c:v>-1.5777777777777782</c:v>
                </c:pt>
                <c:pt idx="34">
                  <c:v>0.5524475524475525</c:v>
                </c:pt>
                <c:pt idx="35">
                  <c:v>0.31818181818181834</c:v>
                </c:pt>
                <c:pt idx="36">
                  <c:v>0.38000000000000006</c:v>
                </c:pt>
                <c:pt idx="37">
                  <c:v>0.37333333333333341</c:v>
                </c:pt>
                <c:pt idx="38">
                  <c:v>0.59615384615384615</c:v>
                </c:pt>
                <c:pt idx="39">
                  <c:v>0.27142857142857146</c:v>
                </c:pt>
                <c:pt idx="40">
                  <c:v>0.16842105263157911</c:v>
                </c:pt>
                <c:pt idx="41">
                  <c:v>0.16504854368932037</c:v>
                </c:pt>
                <c:pt idx="42">
                  <c:v>0.35911602209944748</c:v>
                </c:pt>
                <c:pt idx="43">
                  <c:v>0.26804123711340222</c:v>
                </c:pt>
                <c:pt idx="44">
                  <c:v>-0.22413793103448285</c:v>
                </c:pt>
                <c:pt idx="45">
                  <c:v>0.23913043478260865</c:v>
                </c:pt>
                <c:pt idx="46">
                  <c:v>-0.15789473684210503</c:v>
                </c:pt>
                <c:pt idx="47">
                  <c:v>0.64000000000000012</c:v>
                </c:pt>
                <c:pt idx="48">
                  <c:v>0.28409090909090906</c:v>
                </c:pt>
                <c:pt idx="49">
                  <c:v>6.7796610169491303E-2</c:v>
                </c:pt>
                <c:pt idx="50">
                  <c:v>-0.22448979591836771</c:v>
                </c:pt>
                <c:pt idx="51">
                  <c:v>-2.8</c:v>
                </c:pt>
                <c:pt idx="52">
                  <c:v>5.3333333333333142E-2</c:v>
                </c:pt>
                <c:pt idx="53">
                  <c:v>5.263157894736855E-2</c:v>
                </c:pt>
                <c:pt idx="54">
                  <c:v>4.5977011494252713E-2</c:v>
                </c:pt>
                <c:pt idx="55">
                  <c:v>9.333333333333324E-2</c:v>
                </c:pt>
                <c:pt idx="56">
                  <c:v>0.51190476190476175</c:v>
                </c:pt>
                <c:pt idx="57">
                  <c:v>0.21333333333333329</c:v>
                </c:pt>
                <c:pt idx="58">
                  <c:v>0.25714285714285723</c:v>
                </c:pt>
                <c:pt idx="59">
                  <c:v>-0.7567567567567568</c:v>
                </c:pt>
                <c:pt idx="60">
                  <c:v>0.31122448979591844</c:v>
                </c:pt>
                <c:pt idx="61">
                  <c:v>0.54356846473029052</c:v>
                </c:pt>
                <c:pt idx="62">
                  <c:v>0.48466257668711654</c:v>
                </c:pt>
                <c:pt idx="63">
                  <c:v>0.56378600823045288</c:v>
                </c:pt>
                <c:pt idx="64">
                  <c:v>0.41463414634146339</c:v>
                </c:pt>
                <c:pt idx="65">
                  <c:v>0.37234042553191493</c:v>
                </c:pt>
                <c:pt idx="66">
                  <c:v>0.35897435897435903</c:v>
                </c:pt>
                <c:pt idx="67">
                  <c:v>0.65254237288135586</c:v>
                </c:pt>
                <c:pt idx="68">
                  <c:v>0.61428571428571421</c:v>
                </c:pt>
                <c:pt idx="69">
                  <c:v>0.72380952380952379</c:v>
                </c:pt>
                <c:pt idx="70">
                  <c:v>0.64245810055865926</c:v>
                </c:pt>
                <c:pt idx="71">
                  <c:v>0.60130718954248363</c:v>
                </c:pt>
                <c:pt idx="72">
                  <c:v>0.39903846153846162</c:v>
                </c:pt>
                <c:pt idx="73">
                  <c:v>0.64615384615384619</c:v>
                </c:pt>
                <c:pt idx="74">
                  <c:v>0.50746268656716431</c:v>
                </c:pt>
                <c:pt idx="75">
                  <c:v>0.55263157894736847</c:v>
                </c:pt>
                <c:pt idx="76">
                  <c:v>0.54450261780104703</c:v>
                </c:pt>
                <c:pt idx="77">
                  <c:v>0.60204081632653061</c:v>
                </c:pt>
                <c:pt idx="78">
                  <c:v>0.60736196319018398</c:v>
                </c:pt>
                <c:pt idx="79">
                  <c:v>0.23245614035087725</c:v>
                </c:pt>
                <c:pt idx="80">
                  <c:v>0.68674698795180711</c:v>
                </c:pt>
                <c:pt idx="81">
                  <c:v>0.66433566433566427</c:v>
                </c:pt>
                <c:pt idx="82">
                  <c:v>0.57627118644067798</c:v>
                </c:pt>
                <c:pt idx="84">
                  <c:v>0.90000000000000013</c:v>
                </c:pt>
                <c:pt idx="85">
                  <c:v>0.54651162790697672</c:v>
                </c:pt>
                <c:pt idx="86">
                  <c:v>0</c:v>
                </c:pt>
                <c:pt idx="87">
                  <c:v>0.66860465116279078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805-4F8F-A53E-B4A1DF8B0409}"/>
            </c:ext>
          </c:extLst>
        </c:ser>
        <c:ser>
          <c:idx val="18"/>
          <c:order val="18"/>
          <c:tx>
            <c:strRef>
              <c:f>'OPERACIÓN RO1'!$R$1:$R$70</c:f>
              <c:strCache>
                <c:ptCount val="70"/>
                <c:pt idx="0">
                  <c:v>FACTOR DE CONCENTRACIÓN RO1 ETAPA 2</c:v>
                </c:pt>
                <c:pt idx="1">
                  <c:v>#¡DIV/0!</c:v>
                </c:pt>
                <c:pt idx="2">
                  <c:v>#¡DIV/0!</c:v>
                </c:pt>
                <c:pt idx="3">
                  <c:v>#¡DIV/0!</c:v>
                </c:pt>
                <c:pt idx="4">
                  <c:v>#¡DIV/0!</c:v>
                </c:pt>
                <c:pt idx="5">
                  <c:v>#¡DIV/0!</c:v>
                </c:pt>
                <c:pt idx="6">
                  <c:v>#¡DIV/0!</c:v>
                </c:pt>
                <c:pt idx="7">
                  <c:v>#¡DIV/0!</c:v>
                </c:pt>
                <c:pt idx="8">
                  <c:v>#¡DIV/0!</c:v>
                </c:pt>
                <c:pt idx="9">
                  <c:v>#¡DIV/0!</c:v>
                </c:pt>
                <c:pt idx="10">
                  <c:v>#¡DIV/0!</c:v>
                </c:pt>
                <c:pt idx="11">
                  <c:v>#¡DIV/0!</c:v>
                </c:pt>
                <c:pt idx="12">
                  <c:v>#¡DIV/0!</c:v>
                </c:pt>
                <c:pt idx="13">
                  <c:v>#¡DIV/0!</c:v>
                </c:pt>
                <c:pt idx="14">
                  <c:v>#¡DIV/0!</c:v>
                </c:pt>
                <c:pt idx="15">
                  <c:v>#¡DIV/0!</c:v>
                </c:pt>
                <c:pt idx="16">
                  <c:v>#¡DIV/0!</c:v>
                </c:pt>
                <c:pt idx="17">
                  <c:v>#¡DIV/0!</c:v>
                </c:pt>
                <c:pt idx="18">
                  <c:v>#¡DIV/0!</c:v>
                </c:pt>
                <c:pt idx="19">
                  <c:v>#¡DIV/0!</c:v>
                </c:pt>
                <c:pt idx="20">
                  <c:v>#¡DIV/0!</c:v>
                </c:pt>
                <c:pt idx="21">
                  <c:v>#¡DIV/0!</c:v>
                </c:pt>
                <c:pt idx="22">
                  <c:v>#¡DIV/0!</c:v>
                </c:pt>
                <c:pt idx="23">
                  <c:v>#¡DIV/0!</c:v>
                </c:pt>
                <c:pt idx="24">
                  <c:v>#¡DIV/0!</c:v>
                </c:pt>
                <c:pt idx="25">
                  <c:v>#¡DIV/0!</c:v>
                </c:pt>
                <c:pt idx="26">
                  <c:v>#¡DIV/0!</c:v>
                </c:pt>
                <c:pt idx="27">
                  <c:v>#¡DIV/0!</c:v>
                </c:pt>
                <c:pt idx="28">
                  <c:v>#¡DIV/0!</c:v>
                </c:pt>
                <c:pt idx="29">
                  <c:v>#¡DIV/0!</c:v>
                </c:pt>
                <c:pt idx="30">
                  <c:v>#¡DIV/0!</c:v>
                </c:pt>
                <c:pt idx="31">
                  <c:v>#¡DIV/0!</c:v>
                </c:pt>
                <c:pt idx="32">
                  <c:v>#¡DIV/0!</c:v>
                </c:pt>
                <c:pt idx="33">
                  <c:v>#¡DIV/0!</c:v>
                </c:pt>
                <c:pt idx="34">
                  <c:v>#¡DIV/0!</c:v>
                </c:pt>
                <c:pt idx="35">
                  <c:v>#¡DIV/0!</c:v>
                </c:pt>
                <c:pt idx="36">
                  <c:v>#¡DIV/0!</c:v>
                </c:pt>
                <c:pt idx="37">
                  <c:v>#¡DIV/0!</c:v>
                </c:pt>
                <c:pt idx="38">
                  <c:v>#¡DIV/0!</c:v>
                </c:pt>
                <c:pt idx="39">
                  <c:v>#¡DIV/0!</c:v>
                </c:pt>
                <c:pt idx="40">
                  <c:v>#¡DIV/0!</c:v>
                </c:pt>
                <c:pt idx="41">
                  <c:v>#¡DIV/0!</c:v>
                </c:pt>
                <c:pt idx="42">
                  <c:v>#¡DIV/0!</c:v>
                </c:pt>
                <c:pt idx="43">
                  <c:v>#¡DIV/0!</c:v>
                </c:pt>
                <c:pt idx="44">
                  <c:v>#¡DIV/0!</c:v>
                </c:pt>
                <c:pt idx="45">
                  <c:v>#¡DIV/0!</c:v>
                </c:pt>
                <c:pt idx="46">
                  <c:v>#¡DIV/0!</c:v>
                </c:pt>
                <c:pt idx="47">
                  <c:v>#¡DIV/0!</c:v>
                </c:pt>
                <c:pt idx="48">
                  <c:v>#¡DIV/0!</c:v>
                </c:pt>
                <c:pt idx="49">
                  <c:v>#¡DIV/0!</c:v>
                </c:pt>
                <c:pt idx="50">
                  <c:v>#¡DIV/0!</c:v>
                </c:pt>
                <c:pt idx="51">
                  <c:v>#¡DIV/0!</c:v>
                </c:pt>
                <c:pt idx="52">
                  <c:v>#¡DIV/0!</c:v>
                </c:pt>
                <c:pt idx="53">
                  <c:v>#¡DIV/0!</c:v>
                </c:pt>
                <c:pt idx="54">
                  <c:v>#¡DIV/0!</c:v>
                </c:pt>
                <c:pt idx="55">
                  <c:v>#¡DIV/0!</c:v>
                </c:pt>
                <c:pt idx="56">
                  <c:v>#¡DIV/0!</c:v>
                </c:pt>
                <c:pt idx="57">
                  <c:v>#¡DIV/0!</c:v>
                </c:pt>
                <c:pt idx="58">
                  <c:v>#¡DIV/0!</c:v>
                </c:pt>
                <c:pt idx="59">
                  <c:v>1,05</c:v>
                </c:pt>
                <c:pt idx="60">
                  <c:v>1,10</c:v>
                </c:pt>
                <c:pt idx="61">
                  <c:v>1,17</c:v>
                </c:pt>
                <c:pt idx="62">
                  <c:v>1,13</c:v>
                </c:pt>
                <c:pt idx="63">
                  <c:v>1,12</c:v>
                </c:pt>
                <c:pt idx="64">
                  <c:v>1,18</c:v>
                </c:pt>
                <c:pt idx="65">
                  <c:v>1,18</c:v>
                </c:pt>
                <c:pt idx="66">
                  <c:v>1,19</c:v>
                </c:pt>
                <c:pt idx="67">
                  <c:v>2,54</c:v>
                </c:pt>
                <c:pt idx="68">
                  <c:v>2,42</c:v>
                </c:pt>
                <c:pt idx="69">
                  <c:v>2,34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RO1'!$R$71:$R$243</c:f>
              <c:numCache>
                <c:formatCode>0.00</c:formatCode>
                <c:ptCount val="88"/>
                <c:pt idx="0">
                  <c:v>2.76056338028169</c:v>
                </c:pt>
                <c:pt idx="1">
                  <c:v>1.975609756097561</c:v>
                </c:pt>
                <c:pt idx="2">
                  <c:v>1.7114624505928855</c:v>
                </c:pt>
                <c:pt idx="3">
                  <c:v>1.6823529411764706</c:v>
                </c:pt>
                <c:pt idx="4">
                  <c:v>1.6377952755905514</c:v>
                </c:pt>
                <c:pt idx="5">
                  <c:v>1.8663366336633662</c:v>
                </c:pt>
                <c:pt idx="6">
                  <c:v>1.6529850746268657</c:v>
                </c:pt>
                <c:pt idx="7">
                  <c:v>1.677966101694915</c:v>
                </c:pt>
                <c:pt idx="8">
                  <c:v>1.7563025210084033</c:v>
                </c:pt>
                <c:pt idx="9">
                  <c:v>1.7692307692307694</c:v>
                </c:pt>
                <c:pt idx="10">
                  <c:v>1.7582938388625591</c:v>
                </c:pt>
                <c:pt idx="11">
                  <c:v>1.7216494845360824</c:v>
                </c:pt>
                <c:pt idx="12">
                  <c:v>1.4919354838709677</c:v>
                </c:pt>
                <c:pt idx="13">
                  <c:v>1.4899598393574296</c:v>
                </c:pt>
                <c:pt idx="14">
                  <c:v>2.5384615384615388</c:v>
                </c:pt>
                <c:pt idx="15">
                  <c:v>1.4705882352941178</c:v>
                </c:pt>
                <c:pt idx="16">
                  <c:v>1.3005780346820808</c:v>
                </c:pt>
                <c:pt idx="17">
                  <c:v>1.2659574468085106</c:v>
                </c:pt>
                <c:pt idx="18">
                  <c:v>1.1785714285714286</c:v>
                </c:pt>
                <c:pt idx="19">
                  <c:v>1.1736111111111112</c:v>
                </c:pt>
                <c:pt idx="20">
                  <c:v>1.1742160278745646</c:v>
                </c:pt>
                <c:pt idx="21">
                  <c:v>1.1766784452296819</c:v>
                </c:pt>
                <c:pt idx="22">
                  <c:v>1.3532934131736525</c:v>
                </c:pt>
                <c:pt idx="23">
                  <c:v>1.1296296296296298</c:v>
                </c:pt>
                <c:pt idx="24">
                  <c:v>1.0559701492537314</c:v>
                </c:pt>
                <c:pt idx="25">
                  <c:v>0.98019801980198029</c:v>
                </c:pt>
                <c:pt idx="26">
                  <c:v>0.97927461139896377</c:v>
                </c:pt>
                <c:pt idx="27">
                  <c:v>0.91584158415841588</c:v>
                </c:pt>
                <c:pt idx="28">
                  <c:v>0.97969543147208138</c:v>
                </c:pt>
                <c:pt idx="29">
                  <c:v>2.4951456310679605</c:v>
                </c:pt>
                <c:pt idx="30">
                  <c:v>1.5495495495495495</c:v>
                </c:pt>
                <c:pt idx="31">
                  <c:v>1.5740740740740744</c:v>
                </c:pt>
                <c:pt idx="32">
                  <c:v>1.1680672268907564</c:v>
                </c:pt>
                <c:pt idx="33">
                  <c:v>0.38793103448275851</c:v>
                </c:pt>
                <c:pt idx="34">
                  <c:v>2.2343750000000004</c:v>
                </c:pt>
                <c:pt idx="35">
                  <c:v>1.466666666666667</c:v>
                </c:pt>
                <c:pt idx="36">
                  <c:v>1.612903225806452</c:v>
                </c:pt>
                <c:pt idx="37">
                  <c:v>1.595744680851064</c:v>
                </c:pt>
                <c:pt idx="38">
                  <c:v>2.4761904761904763</c:v>
                </c:pt>
                <c:pt idx="39">
                  <c:v>1.3725490196078431</c:v>
                </c:pt>
                <c:pt idx="40">
                  <c:v>1.2025316455696204</c:v>
                </c:pt>
                <c:pt idx="41">
                  <c:v>1.1976744186046511</c:v>
                </c:pt>
                <c:pt idx="42">
                  <c:v>1.5603448275862069</c:v>
                </c:pt>
                <c:pt idx="43">
                  <c:v>1.3661971830985919</c:v>
                </c:pt>
                <c:pt idx="44">
                  <c:v>0.81690140845070414</c:v>
                </c:pt>
                <c:pt idx="45">
                  <c:v>1.3142857142857143</c:v>
                </c:pt>
                <c:pt idx="46">
                  <c:v>0.86363636363636376</c:v>
                </c:pt>
                <c:pt idx="47">
                  <c:v>2.7777777777777786</c:v>
                </c:pt>
                <c:pt idx="48">
                  <c:v>1.3968253968253967</c:v>
                </c:pt>
                <c:pt idx="49">
                  <c:v>1.0727272727272725</c:v>
                </c:pt>
                <c:pt idx="50">
                  <c:v>0.81666666666666632</c:v>
                </c:pt>
                <c:pt idx="51">
                  <c:v>0.26315789473684209</c:v>
                </c:pt>
                <c:pt idx="52">
                  <c:v>1.0563380281690138</c:v>
                </c:pt>
                <c:pt idx="53">
                  <c:v>1.0555555555555558</c:v>
                </c:pt>
                <c:pt idx="54">
                  <c:v>1.0481927710843371</c:v>
                </c:pt>
                <c:pt idx="55">
                  <c:v>1.1029411764705881</c:v>
                </c:pt>
                <c:pt idx="56">
                  <c:v>2.0487804878048772</c:v>
                </c:pt>
                <c:pt idx="57">
                  <c:v>1.271186440677966</c:v>
                </c:pt>
                <c:pt idx="58">
                  <c:v>1.3461538461538463</c:v>
                </c:pt>
                <c:pt idx="59">
                  <c:v>0.56923076923076921</c:v>
                </c:pt>
                <c:pt idx="60">
                  <c:v>1.4518518518518519</c:v>
                </c:pt>
                <c:pt idx="61">
                  <c:v>2.1909090909090914</c:v>
                </c:pt>
                <c:pt idx="62">
                  <c:v>1.9404761904761905</c:v>
                </c:pt>
                <c:pt idx="63">
                  <c:v>2.2924528301886804</c:v>
                </c:pt>
                <c:pt idx="64">
                  <c:v>1.708333333333333</c:v>
                </c:pt>
                <c:pt idx="65">
                  <c:v>1.593220338983051</c:v>
                </c:pt>
                <c:pt idx="66">
                  <c:v>1.56</c:v>
                </c:pt>
                <c:pt idx="67">
                  <c:v>2.8780487804878043</c:v>
                </c:pt>
                <c:pt idx="68">
                  <c:v>2.5925925925925921</c:v>
                </c:pt>
                <c:pt idx="69">
                  <c:v>3.6206896551724137</c:v>
                </c:pt>
                <c:pt idx="70">
                  <c:v>2.7968750000000004</c:v>
                </c:pt>
                <c:pt idx="71">
                  <c:v>2.5081967213114753</c:v>
                </c:pt>
                <c:pt idx="72">
                  <c:v>1.6640000000000004</c:v>
                </c:pt>
                <c:pt idx="73">
                  <c:v>2.8260869565217392</c:v>
                </c:pt>
                <c:pt idx="74">
                  <c:v>2.0303030303030307</c:v>
                </c:pt>
                <c:pt idx="75">
                  <c:v>2.2352941176470589</c:v>
                </c:pt>
                <c:pt idx="76">
                  <c:v>2.1954022988505741</c:v>
                </c:pt>
                <c:pt idx="77">
                  <c:v>2.5128205128205128</c:v>
                </c:pt>
                <c:pt idx="78">
                  <c:v>2.5468749999999996</c:v>
                </c:pt>
                <c:pt idx="79">
                  <c:v>1.3028571428571429</c:v>
                </c:pt>
                <c:pt idx="80">
                  <c:v>3.1923076923076912</c:v>
                </c:pt>
                <c:pt idx="81">
                  <c:v>2.9791666666666661</c:v>
                </c:pt>
                <c:pt idx="82" formatCode="General">
                  <c:v>2.3600000000000003</c:v>
                </c:pt>
                <c:pt idx="85">
                  <c:v>2.2051282051282048</c:v>
                </c:pt>
                <c:pt idx="86" formatCode="General">
                  <c:v>0</c:v>
                </c:pt>
                <c:pt idx="87">
                  <c:v>3.0175438596491233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805-4F8F-A53E-B4A1DF8B0409}"/>
            </c:ext>
          </c:extLst>
        </c:ser>
        <c:ser>
          <c:idx val="19"/>
          <c:order val="19"/>
          <c:tx>
            <c:strRef>
              <c:f>'OPERACIÓN RO1'!$S$1:$S$70</c:f>
              <c:strCache>
                <c:ptCount val="70"/>
                <c:pt idx="0">
                  <c:v>Flujo normalizado reducido RO1 ETAPA 2 ΔQ</c:v>
                </c:pt>
                <c:pt idx="1">
                  <c:v>#¡DIV/0!</c:v>
                </c:pt>
                <c:pt idx="2">
                  <c:v>#¡DIV/0!</c:v>
                </c:pt>
                <c:pt idx="3">
                  <c:v>#¡DIV/0!</c:v>
                </c:pt>
                <c:pt idx="4">
                  <c:v>#¡DIV/0!</c:v>
                </c:pt>
                <c:pt idx="5">
                  <c:v>#¡DIV/0!</c:v>
                </c:pt>
                <c:pt idx="6">
                  <c:v>#¡DIV/0!</c:v>
                </c:pt>
                <c:pt idx="7">
                  <c:v>#¡DIV/0!</c:v>
                </c:pt>
                <c:pt idx="8">
                  <c:v>#¡DIV/0!</c:v>
                </c:pt>
                <c:pt idx="9">
                  <c:v>#¡DIV/0!</c:v>
                </c:pt>
                <c:pt idx="10">
                  <c:v>#¡DIV/0!</c:v>
                </c:pt>
                <c:pt idx="11">
                  <c:v>#¡DIV/0!</c:v>
                </c:pt>
                <c:pt idx="12">
                  <c:v>#¡DIV/0!</c:v>
                </c:pt>
                <c:pt idx="13">
                  <c:v>#¡DIV/0!</c:v>
                </c:pt>
                <c:pt idx="14">
                  <c:v>#¡DIV/0!</c:v>
                </c:pt>
                <c:pt idx="15">
                  <c:v>#¡DIV/0!</c:v>
                </c:pt>
                <c:pt idx="16">
                  <c:v>#¡DIV/0!</c:v>
                </c:pt>
                <c:pt idx="17">
                  <c:v>#¡DIV/0!</c:v>
                </c:pt>
                <c:pt idx="18">
                  <c:v>#¡DIV/0!</c:v>
                </c:pt>
                <c:pt idx="19">
                  <c:v>#¡DIV/0!</c:v>
                </c:pt>
                <c:pt idx="20">
                  <c:v>#¡DIV/0!</c:v>
                </c:pt>
                <c:pt idx="21">
                  <c:v>#¡DIV/0!</c:v>
                </c:pt>
                <c:pt idx="22">
                  <c:v>#¡DIV/0!</c:v>
                </c:pt>
                <c:pt idx="23">
                  <c:v>#¡DIV/0!</c:v>
                </c:pt>
                <c:pt idx="24">
                  <c:v>#¡DIV/0!</c:v>
                </c:pt>
                <c:pt idx="25">
                  <c:v>#¡DIV/0!</c:v>
                </c:pt>
                <c:pt idx="26">
                  <c:v>#¡DIV/0!</c:v>
                </c:pt>
                <c:pt idx="27">
                  <c:v>#¡DIV/0!</c:v>
                </c:pt>
                <c:pt idx="28">
                  <c:v>#¡DIV/0!</c:v>
                </c:pt>
                <c:pt idx="29">
                  <c:v>#¡DIV/0!</c:v>
                </c:pt>
                <c:pt idx="30">
                  <c:v>#¡DIV/0!</c:v>
                </c:pt>
                <c:pt idx="31">
                  <c:v>#¡DIV/0!</c:v>
                </c:pt>
                <c:pt idx="32">
                  <c:v>#¡DIV/0!</c:v>
                </c:pt>
                <c:pt idx="33">
                  <c:v>#¡DIV/0!</c:v>
                </c:pt>
                <c:pt idx="34">
                  <c:v>#¡DIV/0!</c:v>
                </c:pt>
                <c:pt idx="35">
                  <c:v>#¡DIV/0!</c:v>
                </c:pt>
                <c:pt idx="36">
                  <c:v>#¡DIV/0!</c:v>
                </c:pt>
                <c:pt idx="37">
                  <c:v>#¡DIV/0!</c:v>
                </c:pt>
                <c:pt idx="38">
                  <c:v>#¡DIV/0!</c:v>
                </c:pt>
                <c:pt idx="39">
                  <c:v>#¡DIV/0!</c:v>
                </c:pt>
                <c:pt idx="40">
                  <c:v>#¡DIV/0!</c:v>
                </c:pt>
                <c:pt idx="41">
                  <c:v>#¡DIV/0!</c:v>
                </c:pt>
                <c:pt idx="42">
                  <c:v>#¡DIV/0!</c:v>
                </c:pt>
                <c:pt idx="43">
                  <c:v>#¡DIV/0!</c:v>
                </c:pt>
                <c:pt idx="44">
                  <c:v>#¡DIV/0!</c:v>
                </c:pt>
                <c:pt idx="45">
                  <c:v>#¡DIV/0!</c:v>
                </c:pt>
                <c:pt idx="46">
                  <c:v>#¡DIV/0!</c:v>
                </c:pt>
                <c:pt idx="47">
                  <c:v>#¡DIV/0!</c:v>
                </c:pt>
                <c:pt idx="48">
                  <c:v>#¡DIV/0!</c:v>
                </c:pt>
                <c:pt idx="49">
                  <c:v>#¡DIV/0!</c:v>
                </c:pt>
                <c:pt idx="50">
                  <c:v>#¡DIV/0!</c:v>
                </c:pt>
                <c:pt idx="51">
                  <c:v>#¡DIV/0!</c:v>
                </c:pt>
                <c:pt idx="52">
                  <c:v>#¡DIV/0!</c:v>
                </c:pt>
                <c:pt idx="53">
                  <c:v>#¡DIV/0!</c:v>
                </c:pt>
                <c:pt idx="54">
                  <c:v>#¡DIV/0!</c:v>
                </c:pt>
                <c:pt idx="55">
                  <c:v>#¡DIV/0!</c:v>
                </c:pt>
                <c:pt idx="56">
                  <c:v>#¡DIV/0!</c:v>
                </c:pt>
                <c:pt idx="57">
                  <c:v>#¡DIV/0!</c:v>
                </c:pt>
                <c:pt idx="58">
                  <c:v>100%</c:v>
                </c:pt>
                <c:pt idx="59">
                  <c:v>-5%</c:v>
                </c:pt>
                <c:pt idx="60">
                  <c:v>-8%</c:v>
                </c:pt>
                <c:pt idx="61">
                  <c:v>-18%</c:v>
                </c:pt>
                <c:pt idx="62">
                  <c:v>5%</c:v>
                </c:pt>
                <c:pt idx="63">
                  <c:v>8%</c:v>
                </c:pt>
                <c:pt idx="64">
                  <c:v>-2%</c:v>
                </c:pt>
                <c:pt idx="65">
                  <c:v>-5%</c:v>
                </c:pt>
                <c:pt idx="66">
                  <c:v>55%</c:v>
                </c:pt>
                <c:pt idx="67">
                  <c:v>3%</c:v>
                </c:pt>
                <c:pt idx="68">
                  <c:v>3%</c:v>
                </c:pt>
                <c:pt idx="69">
                  <c:v>-11%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RO1'!$S$71:$S$243</c:f>
              <c:numCache>
                <c:formatCode>0%</c:formatCode>
                <c:ptCount val="88"/>
                <c:pt idx="0">
                  <c:v>3.2098765432098698E-2</c:v>
                </c:pt>
                <c:pt idx="1">
                  <c:v>6.4665127020785154E-2</c:v>
                </c:pt>
                <c:pt idx="2">
                  <c:v>-9.324009324009291E-3</c:v>
                </c:pt>
                <c:pt idx="3">
                  <c:v>-3.1250000000000104E-2</c:v>
                </c:pt>
                <c:pt idx="4">
                  <c:v>-0.10344827586206873</c:v>
                </c:pt>
                <c:pt idx="5">
                  <c:v>0.14898419864559809</c:v>
                </c:pt>
                <c:pt idx="6">
                  <c:v>-0.11868686868686858</c:v>
                </c:pt>
                <c:pt idx="7">
                  <c:v>0</c:v>
                </c:pt>
                <c:pt idx="8">
                  <c:v>0</c:v>
                </c:pt>
                <c:pt idx="9">
                  <c:v>8.0862533692723521E-3</c:v>
                </c:pt>
                <c:pt idx="10">
                  <c:v>-0.11077844311377255</c:v>
                </c:pt>
                <c:pt idx="11">
                  <c:v>0</c:v>
                </c:pt>
                <c:pt idx="12">
                  <c:v>2.6954177897572595E-3</c:v>
                </c:pt>
                <c:pt idx="13">
                  <c:v>0</c:v>
                </c:pt>
                <c:pt idx="14">
                  <c:v>0.34</c:v>
                </c:pt>
                <c:pt idx="15">
                  <c:v>-0.11111111111111094</c:v>
                </c:pt>
                <c:pt idx="16">
                  <c:v>5.4621848739495681E-2</c:v>
                </c:pt>
                <c:pt idx="17">
                  <c:v>0</c:v>
                </c:pt>
                <c:pt idx="18">
                  <c:v>2.3668639053254354E-2</c:v>
                </c:pt>
                <c:pt idx="19">
                  <c:v>-2.9673590504449348E-3</c:v>
                </c:pt>
                <c:pt idx="20">
                  <c:v>-1.2012012012012184E-2</c:v>
                </c:pt>
                <c:pt idx="21">
                  <c:v>0</c:v>
                </c:pt>
                <c:pt idx="22">
                  <c:v>7.3770491803278576E-2</c:v>
                </c:pt>
                <c:pt idx="23">
                  <c:v>0.1378091872791519</c:v>
                </c:pt>
                <c:pt idx="24">
                  <c:v>0</c:v>
                </c:pt>
                <c:pt idx="25">
                  <c:v>-4.7619047619047547E-2</c:v>
                </c:pt>
                <c:pt idx="26">
                  <c:v>-2.1621621621621546E-2</c:v>
                </c:pt>
                <c:pt idx="27">
                  <c:v>4.1450777202072395E-2</c:v>
                </c:pt>
                <c:pt idx="28">
                  <c:v>0</c:v>
                </c:pt>
                <c:pt idx="29">
                  <c:v>-0.49418604651162784</c:v>
                </c:pt>
                <c:pt idx="30">
                  <c:v>-1.0235294117647062</c:v>
                </c:pt>
                <c:pt idx="31">
                  <c:v>0.38848920863309344</c:v>
                </c:pt>
                <c:pt idx="32">
                  <c:v>-2.0888888888888886</c:v>
                </c:pt>
                <c:pt idx="33">
                  <c:v>0</c:v>
                </c:pt>
                <c:pt idx="34">
                  <c:v>-0.62500000000000022</c:v>
                </c:pt>
                <c:pt idx="35">
                  <c:v>0</c:v>
                </c:pt>
                <c:pt idx="36">
                  <c:v>-0.33333333333333331</c:v>
                </c:pt>
                <c:pt idx="37">
                  <c:v>0</c:v>
                </c:pt>
                <c:pt idx="38">
                  <c:v>0.25714285714285723</c:v>
                </c:pt>
                <c:pt idx="39">
                  <c:v>-0.47368421052631576</c:v>
                </c:pt>
                <c:pt idx="40">
                  <c:v>7.7669902912621103E-2</c:v>
                </c:pt>
                <c:pt idx="41">
                  <c:v>0</c:v>
                </c:pt>
                <c:pt idx="42">
                  <c:v>0</c:v>
                </c:pt>
                <c:pt idx="43">
                  <c:v>-0.67241379310344795</c:v>
                </c:pt>
                <c:pt idx="44">
                  <c:v>0.36956521739130421</c:v>
                </c:pt>
                <c:pt idx="45">
                  <c:v>-0.61403508771929827</c:v>
                </c:pt>
                <c:pt idx="46">
                  <c:v>0</c:v>
                </c:pt>
                <c:pt idx="47">
                  <c:v>-0.98863636363636342</c:v>
                </c:pt>
                <c:pt idx="48">
                  <c:v>-0.49152542372881403</c:v>
                </c:pt>
                <c:pt idx="49">
                  <c:v>-0.20408163265306128</c:v>
                </c:pt>
                <c:pt idx="50">
                  <c:v>0.34666666666666685</c:v>
                </c:pt>
                <c:pt idx="51">
                  <c:v>0</c:v>
                </c:pt>
                <c:pt idx="52">
                  <c:v>0.34210526315789463</c:v>
                </c:pt>
                <c:pt idx="53">
                  <c:v>-0.31034482758620685</c:v>
                </c:pt>
                <c:pt idx="54">
                  <c:v>0.67045454545454541</c:v>
                </c:pt>
                <c:pt idx="55">
                  <c:v>0</c:v>
                </c:pt>
                <c:pt idx="56">
                  <c:v>-0.68000000000000016</c:v>
                </c:pt>
                <c:pt idx="57">
                  <c:v>-7.1428571428571425E-2</c:v>
                </c:pt>
                <c:pt idx="58">
                  <c:v>0.24324324324324326</c:v>
                </c:pt>
                <c:pt idx="59">
                  <c:v>5.6122448979591906E-2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-0.20512820512820484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-0.17318435754189954</c:v>
                </c:pt>
                <c:pt idx="70">
                  <c:v>-0.16993464052287566</c:v>
                </c:pt>
                <c:pt idx="71">
                  <c:v>0.26442307692307676</c:v>
                </c:pt>
                <c:pt idx="72">
                  <c:v>0</c:v>
                </c:pt>
                <c:pt idx="73">
                  <c:v>-0.45522388059701507</c:v>
                </c:pt>
                <c:pt idx="74">
                  <c:v>0.29473684210526324</c:v>
                </c:pt>
                <c:pt idx="75">
                  <c:v>5.2356020942409117E-3</c:v>
                </c:pt>
                <c:pt idx="76">
                  <c:v>0</c:v>
                </c:pt>
                <c:pt idx="77">
                  <c:v>0</c:v>
                </c:pt>
                <c:pt idx="78">
                  <c:v>0.2850877192982455</c:v>
                </c:pt>
                <c:pt idx="79">
                  <c:v>0</c:v>
                </c:pt>
                <c:pt idx="80">
                  <c:v>-0.16083916083916089</c:v>
                </c:pt>
                <c:pt idx="81">
                  <c:v>-0.21186440677966101</c:v>
                </c:pt>
                <c:pt idx="82">
                  <c:v>-10.8</c:v>
                </c:pt>
                <c:pt idx="83">
                  <c:v>0</c:v>
                </c:pt>
                <c:pt idx="84">
                  <c:v>0.59302325581395343</c:v>
                </c:pt>
                <c:pt idx="85">
                  <c:v>-5.8479532163741438E-3</c:v>
                </c:pt>
                <c:pt idx="86">
                  <c:v>5.8139534883719689E-3</c:v>
                </c:pt>
                <c:pt idx="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805-4F8F-A53E-B4A1DF8B0409}"/>
            </c:ext>
          </c:extLst>
        </c:ser>
        <c:ser>
          <c:idx val="20"/>
          <c:order val="20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805-4F8F-A53E-B4A1DF8B0409}"/>
            </c:ext>
          </c:extLst>
        </c:ser>
        <c:ser>
          <c:idx val="21"/>
          <c:order val="21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805-4F8F-A53E-B4A1DF8B0409}"/>
            </c:ext>
          </c:extLst>
        </c:ser>
        <c:ser>
          <c:idx val="22"/>
          <c:order val="22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805-4F8F-A53E-B4A1DF8B0409}"/>
            </c:ext>
          </c:extLst>
        </c:ser>
        <c:ser>
          <c:idx val="23"/>
          <c:order val="23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805-4F8F-A53E-B4A1DF8B0409}"/>
            </c:ext>
          </c:extLst>
        </c:ser>
        <c:ser>
          <c:idx val="24"/>
          <c:order val="24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805-4F8F-A53E-B4A1DF8B0409}"/>
            </c:ext>
          </c:extLst>
        </c:ser>
        <c:ser>
          <c:idx val="25"/>
          <c:order val="25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805-4F8F-A53E-B4A1DF8B0409}"/>
            </c:ext>
          </c:extLst>
        </c:ser>
        <c:ser>
          <c:idx val="26"/>
          <c:order val="26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805-4F8F-A53E-B4A1DF8B0409}"/>
            </c:ext>
          </c:extLst>
        </c:ser>
        <c:ser>
          <c:idx val="27"/>
          <c:order val="27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805-4F8F-A53E-B4A1DF8B0409}"/>
            </c:ext>
          </c:extLst>
        </c:ser>
        <c:ser>
          <c:idx val="28"/>
          <c:order val="28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805-4F8F-A53E-B4A1DF8B0409}"/>
            </c:ext>
          </c:extLst>
        </c:ser>
        <c:ser>
          <c:idx val="29"/>
          <c:order val="29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805-4F8F-A53E-B4A1DF8B0409}"/>
            </c:ext>
          </c:extLst>
        </c:ser>
        <c:ser>
          <c:idx val="30"/>
          <c:order val="30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805-4F8F-A53E-B4A1DF8B0409}"/>
            </c:ext>
          </c:extLst>
        </c:ser>
        <c:ser>
          <c:idx val="31"/>
          <c:order val="31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805-4F8F-A53E-B4A1DF8B0409}"/>
            </c:ext>
          </c:extLst>
        </c:ser>
        <c:ser>
          <c:idx val="32"/>
          <c:order val="32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805-4F8F-A53E-B4A1DF8B0409}"/>
            </c:ext>
          </c:extLst>
        </c:ser>
        <c:ser>
          <c:idx val="33"/>
          <c:order val="33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805-4F8F-A53E-B4A1DF8B0409}"/>
            </c:ext>
          </c:extLst>
        </c:ser>
        <c:ser>
          <c:idx val="34"/>
          <c:order val="34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805-4F8F-A53E-B4A1DF8B0409}"/>
            </c:ext>
          </c:extLst>
        </c:ser>
        <c:ser>
          <c:idx val="35"/>
          <c:order val="35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805-4F8F-A53E-B4A1DF8B0409}"/>
            </c:ext>
          </c:extLst>
        </c:ser>
        <c:ser>
          <c:idx val="36"/>
          <c:order val="36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805-4F8F-A53E-B4A1DF8B0409}"/>
            </c:ext>
          </c:extLst>
        </c:ser>
        <c:ser>
          <c:idx val="37"/>
          <c:order val="37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805-4F8F-A53E-B4A1DF8B0409}"/>
            </c:ext>
          </c:extLst>
        </c:ser>
        <c:ser>
          <c:idx val="38"/>
          <c:order val="38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805-4F8F-A53E-B4A1DF8B0409}"/>
            </c:ext>
          </c:extLst>
        </c:ser>
        <c:ser>
          <c:idx val="39"/>
          <c:order val="39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805-4F8F-A53E-B4A1DF8B0409}"/>
            </c:ext>
          </c:extLst>
        </c:ser>
        <c:ser>
          <c:idx val="40"/>
          <c:order val="40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6805-4F8F-A53E-B4A1DF8B0409}"/>
            </c:ext>
          </c:extLst>
        </c:ser>
        <c:ser>
          <c:idx val="41"/>
          <c:order val="41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6805-4F8F-A53E-B4A1DF8B0409}"/>
            </c:ext>
          </c:extLst>
        </c:ser>
        <c:ser>
          <c:idx val="42"/>
          <c:order val="42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6805-4F8F-A53E-B4A1DF8B0409}"/>
            </c:ext>
          </c:extLst>
        </c:ser>
        <c:ser>
          <c:idx val="43"/>
          <c:order val="43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6805-4F8F-A53E-B4A1DF8B0409}"/>
            </c:ext>
          </c:extLst>
        </c:ser>
        <c:ser>
          <c:idx val="44"/>
          <c:order val="44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6805-4F8F-A53E-B4A1DF8B0409}"/>
            </c:ext>
          </c:extLst>
        </c:ser>
        <c:ser>
          <c:idx val="45"/>
          <c:order val="45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6805-4F8F-A53E-B4A1DF8B0409}"/>
            </c:ext>
          </c:extLst>
        </c:ser>
        <c:ser>
          <c:idx val="46"/>
          <c:order val="46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6805-4F8F-A53E-B4A1DF8B0409}"/>
            </c:ext>
          </c:extLst>
        </c:ser>
        <c:ser>
          <c:idx val="47"/>
          <c:order val="47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6805-4F8F-A53E-B4A1DF8B0409}"/>
            </c:ext>
          </c:extLst>
        </c:ser>
        <c:ser>
          <c:idx val="48"/>
          <c:order val="48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6805-4F8F-A53E-B4A1DF8B0409}"/>
            </c:ext>
          </c:extLst>
        </c:ser>
        <c:ser>
          <c:idx val="49"/>
          <c:order val="49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6805-4F8F-A53E-B4A1DF8B0409}"/>
            </c:ext>
          </c:extLst>
        </c:ser>
        <c:ser>
          <c:idx val="50"/>
          <c:order val="50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6805-4F8F-A53E-B4A1DF8B0409}"/>
            </c:ext>
          </c:extLst>
        </c:ser>
        <c:ser>
          <c:idx val="51"/>
          <c:order val="51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6805-4F8F-A53E-B4A1DF8B0409}"/>
            </c:ext>
          </c:extLst>
        </c:ser>
        <c:ser>
          <c:idx val="52"/>
          <c:order val="52"/>
          <c:tx>
            <c:strRef>
              <c:f>'OPERACIÓN RO1'!#REF!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6805-4F8F-A53E-B4A1DF8B0409}"/>
            </c:ext>
          </c:extLst>
        </c:ser>
        <c:ser>
          <c:idx val="53"/>
          <c:order val="53"/>
          <c:tx>
            <c:strRef>
              <c:f>'OPERACIÓN RO1'!$Y$1:$Y$70</c:f>
              <c:strCache>
                <c:ptCount val="70"/>
                <c:pt idx="0">
                  <c:v>PRESION F1</c:v>
                </c:pt>
                <c:pt idx="4">
                  <c:v>4,7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10">
                  <c:v>4,4</c:v>
                </c:pt>
                <c:pt idx="11">
                  <c:v>4,4</c:v>
                </c:pt>
                <c:pt idx="13">
                  <c:v>4,3</c:v>
                </c:pt>
                <c:pt idx="59">
                  <c:v>5,4</c:v>
                </c:pt>
                <c:pt idx="60">
                  <c:v>5,5</c:v>
                </c:pt>
                <c:pt idx="61">
                  <c:v>5,5</c:v>
                </c:pt>
                <c:pt idx="62">
                  <c:v>5,5</c:v>
                </c:pt>
                <c:pt idx="63">
                  <c:v>5,4</c:v>
                </c:pt>
                <c:pt idx="64">
                  <c:v>5,5</c:v>
                </c:pt>
                <c:pt idx="65">
                  <c:v>5,5</c:v>
                </c:pt>
                <c:pt idx="66">
                  <c:v>5,4</c:v>
                </c:pt>
                <c:pt idx="67">
                  <c:v>5,0</c:v>
                </c:pt>
                <c:pt idx="68">
                  <c:v>5,1</c:v>
                </c:pt>
                <c:pt idx="69">
                  <c:v>5,0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RO1'!$Y$71:$Y$243</c:f>
              <c:numCache>
                <c:formatCode>0.0</c:formatCode>
                <c:ptCount val="88"/>
                <c:pt idx="0">
                  <c:v>5.4</c:v>
                </c:pt>
                <c:pt idx="1">
                  <c:v>5.3</c:v>
                </c:pt>
                <c:pt idx="2">
                  <c:v>5.2</c:v>
                </c:pt>
                <c:pt idx="3">
                  <c:v>5.4</c:v>
                </c:pt>
                <c:pt idx="4">
                  <c:v>5.2</c:v>
                </c:pt>
                <c:pt idx="5">
                  <c:v>5.3</c:v>
                </c:pt>
                <c:pt idx="6">
                  <c:v>5.2</c:v>
                </c:pt>
                <c:pt idx="7">
                  <c:v>5.2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>
                  <c:v>5.3</c:v>
                </c:pt>
                <c:pt idx="15" formatCode="General">
                  <c:v>5.2</c:v>
                </c:pt>
                <c:pt idx="16" formatCode="General">
                  <c:v>5.3</c:v>
                </c:pt>
                <c:pt idx="17" formatCode="General">
                  <c:v>5.0999999999999996</c:v>
                </c:pt>
                <c:pt idx="18" formatCode="General">
                  <c:v>4.4000000000000004</c:v>
                </c:pt>
                <c:pt idx="19" formatCode="General">
                  <c:v>5</c:v>
                </c:pt>
                <c:pt idx="20" formatCode="General">
                  <c:v>4.3</c:v>
                </c:pt>
                <c:pt idx="21" formatCode="General">
                  <c:v>5.0999999999999996</c:v>
                </c:pt>
                <c:pt idx="22" formatCode="General">
                  <c:v>5.0999999999999996</c:v>
                </c:pt>
                <c:pt idx="23" formatCode="General">
                  <c:v>5</c:v>
                </c:pt>
                <c:pt idx="24" formatCode="General">
                  <c:v>4.4000000000000004</c:v>
                </c:pt>
                <c:pt idx="25" formatCode="General">
                  <c:v>4.2</c:v>
                </c:pt>
                <c:pt idx="26" formatCode="General">
                  <c:v>4.2</c:v>
                </c:pt>
                <c:pt idx="27" formatCode="General">
                  <c:v>4.0999999999999996</c:v>
                </c:pt>
                <c:pt idx="28" formatCode="General">
                  <c:v>4.0999999999999996</c:v>
                </c:pt>
                <c:pt idx="29" formatCode="General">
                  <c:v>4.3</c:v>
                </c:pt>
                <c:pt idx="30" formatCode="General">
                  <c:v>6</c:v>
                </c:pt>
                <c:pt idx="31" formatCode="General">
                  <c:v>6.1</c:v>
                </c:pt>
                <c:pt idx="32" formatCode="General">
                  <c:v>6</c:v>
                </c:pt>
                <c:pt idx="33" formatCode="General">
                  <c:v>6.1</c:v>
                </c:pt>
                <c:pt idx="34" formatCode="General">
                  <c:v>5.2</c:v>
                </c:pt>
                <c:pt idx="35" formatCode="General">
                  <c:v>5.0999999999999996</c:v>
                </c:pt>
                <c:pt idx="36" formatCode="General">
                  <c:v>6.1</c:v>
                </c:pt>
                <c:pt idx="37" formatCode="General">
                  <c:v>6.1</c:v>
                </c:pt>
                <c:pt idx="38" formatCode="General">
                  <c:v>6.1</c:v>
                </c:pt>
                <c:pt idx="39" formatCode="General">
                  <c:v>5.4</c:v>
                </c:pt>
                <c:pt idx="40" formatCode="General">
                  <c:v>5.4</c:v>
                </c:pt>
                <c:pt idx="41" formatCode="General">
                  <c:v>6</c:v>
                </c:pt>
                <c:pt idx="42" formatCode="General">
                  <c:v>6</c:v>
                </c:pt>
                <c:pt idx="43" formatCode="General">
                  <c:v>6.1</c:v>
                </c:pt>
                <c:pt idx="44" formatCode="General">
                  <c:v>6.1</c:v>
                </c:pt>
                <c:pt idx="45" formatCode="General">
                  <c:v>6.1</c:v>
                </c:pt>
                <c:pt idx="46" formatCode="General">
                  <c:v>6</c:v>
                </c:pt>
                <c:pt idx="47" formatCode="General">
                  <c:v>6</c:v>
                </c:pt>
                <c:pt idx="48" formatCode="General">
                  <c:v>6</c:v>
                </c:pt>
                <c:pt idx="49" formatCode="General">
                  <c:v>6</c:v>
                </c:pt>
                <c:pt idx="50" formatCode="General">
                  <c:v>6</c:v>
                </c:pt>
                <c:pt idx="52" formatCode="General">
                  <c:v>5.3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 formatCode="General">
                  <c:v>0</c:v>
                </c:pt>
                <c:pt idx="82" formatCode="General">
                  <c:v>0</c:v>
                </c:pt>
                <c:pt idx="83" formatCode="General">
                  <c:v>0</c:v>
                </c:pt>
                <c:pt idx="84" formatCode="General">
                  <c:v>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6805-4F8F-A53E-B4A1DF8B0409}"/>
            </c:ext>
          </c:extLst>
        </c:ser>
        <c:ser>
          <c:idx val="54"/>
          <c:order val="54"/>
          <c:tx>
            <c:strRef>
              <c:f>'OPERACIÓN RO1'!$Z$1:$Z$70</c:f>
              <c:strCache>
                <c:ptCount val="70"/>
                <c:pt idx="0">
                  <c:v>Aumento de presión de F1</c:v>
                </c:pt>
                <c:pt idx="59">
                  <c:v>0,1</c:v>
                </c:pt>
                <c:pt idx="60">
                  <c:v>0,1</c:v>
                </c:pt>
                <c:pt idx="61">
                  <c:v>0</c:v>
                </c:pt>
                <c:pt idx="62">
                  <c:v>-0,1</c:v>
                </c:pt>
                <c:pt idx="63">
                  <c:v>0,1</c:v>
                </c:pt>
                <c:pt idx="64">
                  <c:v>0,1</c:v>
                </c:pt>
                <c:pt idx="65">
                  <c:v>0</c:v>
                </c:pt>
                <c:pt idx="66">
                  <c:v>-0,1</c:v>
                </c:pt>
                <c:pt idx="67">
                  <c:v>0,1</c:v>
                </c:pt>
                <c:pt idx="68">
                  <c:v>0,1</c:v>
                </c:pt>
                <c:pt idx="69">
                  <c:v>-0,1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RO1'!$Z$71:$Z$243</c:f>
            </c:numRef>
          </c:val>
          <c:extLst>
            <c:ext xmlns:c16="http://schemas.microsoft.com/office/drawing/2014/chart" uri="{C3380CC4-5D6E-409C-BE32-E72D297353CC}">
              <c16:uniqueId val="{00000036-6805-4F8F-A53E-B4A1DF8B0409}"/>
            </c:ext>
          </c:extLst>
        </c:ser>
        <c:ser>
          <c:idx val="55"/>
          <c:order val="55"/>
          <c:tx>
            <c:strRef>
              <c:f>'OPERACIÓN RO1'!$AA$1:$AA$70</c:f>
              <c:strCache>
                <c:ptCount val="70"/>
                <c:pt idx="0">
                  <c:v>PRESION F2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59">
                  <c:v>OFF</c:v>
                </c:pt>
                <c:pt idx="60">
                  <c:v>OFF</c:v>
                </c:pt>
                <c:pt idx="61">
                  <c:v>OFF</c:v>
                </c:pt>
                <c:pt idx="62">
                  <c:v>OFF</c:v>
                </c:pt>
                <c:pt idx="63">
                  <c:v>OFF</c:v>
                </c:pt>
                <c:pt idx="64">
                  <c:v>OFF</c:v>
                </c:pt>
                <c:pt idx="65">
                  <c:v>OFF</c:v>
                </c:pt>
                <c:pt idx="66">
                  <c:v>OFF</c:v>
                </c:pt>
                <c:pt idx="67">
                  <c:v>OFF</c:v>
                </c:pt>
                <c:pt idx="68">
                  <c:v>OFF</c:v>
                </c:pt>
                <c:pt idx="69">
                  <c:v>OFF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RO1'!$AA$71:$AA$243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6805-4F8F-A53E-B4A1DF8B0409}"/>
            </c:ext>
          </c:extLst>
        </c:ser>
        <c:ser>
          <c:idx val="56"/>
          <c:order val="56"/>
          <c:tx>
            <c:strRef>
              <c:f>'OPERACIÓN RO1'!$AB$1:$AB$70</c:f>
              <c:strCache>
                <c:ptCount val="70"/>
                <c:pt idx="0">
                  <c:v>Aumento de presión de F2</c:v>
                </c:pt>
                <c:pt idx="59">
                  <c:v>OFF</c:v>
                </c:pt>
                <c:pt idx="60">
                  <c:v>OFF</c:v>
                </c:pt>
                <c:pt idx="61">
                  <c:v>OFF</c:v>
                </c:pt>
                <c:pt idx="62">
                  <c:v>OFF</c:v>
                </c:pt>
                <c:pt idx="63">
                  <c:v>OFF</c:v>
                </c:pt>
                <c:pt idx="64">
                  <c:v>OFF</c:v>
                </c:pt>
                <c:pt idx="65">
                  <c:v>OFF</c:v>
                </c:pt>
                <c:pt idx="66">
                  <c:v>OFF</c:v>
                </c:pt>
                <c:pt idx="67">
                  <c:v>OFF</c:v>
                </c:pt>
                <c:pt idx="68">
                  <c:v>OFF</c:v>
                </c:pt>
                <c:pt idx="69">
                  <c:v>OFF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RO1'!$AB$71:$AB$243</c:f>
            </c:numRef>
          </c:val>
          <c:extLst>
            <c:ext xmlns:c16="http://schemas.microsoft.com/office/drawing/2014/chart" uri="{C3380CC4-5D6E-409C-BE32-E72D297353CC}">
              <c16:uniqueId val="{00000038-6805-4F8F-A53E-B4A1DF8B0409}"/>
            </c:ext>
          </c:extLst>
        </c:ser>
        <c:ser>
          <c:idx val="57"/>
          <c:order val="57"/>
          <c:tx>
            <c:strRef>
              <c:f>'OPERACIÓN RO1'!$AC$1:$AC$70</c:f>
              <c:strCache>
                <c:ptCount val="70"/>
                <c:pt idx="0">
                  <c:v>PRESION F3</c:v>
                </c:pt>
                <c:pt idx="4">
                  <c:v>4,7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  <c:pt idx="10">
                  <c:v>5</c:v>
                </c:pt>
                <c:pt idx="11">
                  <c:v>5</c:v>
                </c:pt>
                <c:pt idx="13">
                  <c:v>4,3</c:v>
                </c:pt>
                <c:pt idx="59">
                  <c:v>5,4</c:v>
                </c:pt>
                <c:pt idx="60">
                  <c:v>5,6</c:v>
                </c:pt>
                <c:pt idx="61">
                  <c:v>5,5</c:v>
                </c:pt>
                <c:pt idx="62">
                  <c:v>5,5</c:v>
                </c:pt>
                <c:pt idx="63">
                  <c:v>5.4</c:v>
                </c:pt>
                <c:pt idx="64">
                  <c:v>5,5</c:v>
                </c:pt>
                <c:pt idx="65">
                  <c:v>5,5</c:v>
                </c:pt>
                <c:pt idx="66">
                  <c:v>5,4</c:v>
                </c:pt>
                <c:pt idx="67">
                  <c:v>5,0</c:v>
                </c:pt>
                <c:pt idx="68">
                  <c:v>5,0</c:v>
                </c:pt>
                <c:pt idx="69">
                  <c:v>5,0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RO1'!$AC$71:$AC$243</c:f>
              <c:numCache>
                <c:formatCode>0.0</c:formatCode>
                <c:ptCount val="88"/>
                <c:pt idx="0">
                  <c:v>5.4</c:v>
                </c:pt>
                <c:pt idx="1">
                  <c:v>5.3</c:v>
                </c:pt>
                <c:pt idx="2">
                  <c:v>5.2</c:v>
                </c:pt>
                <c:pt idx="3">
                  <c:v>5.4</c:v>
                </c:pt>
                <c:pt idx="4">
                  <c:v>5.2</c:v>
                </c:pt>
                <c:pt idx="5">
                  <c:v>5.3</c:v>
                </c:pt>
                <c:pt idx="6">
                  <c:v>5.2</c:v>
                </c:pt>
                <c:pt idx="7">
                  <c:v>5.2</c:v>
                </c:pt>
                <c:pt idx="8">
                  <c:v>5.0999999999999996</c:v>
                </c:pt>
                <c:pt idx="9">
                  <c:v>5.0999999999999996</c:v>
                </c:pt>
                <c:pt idx="10">
                  <c:v>5.2</c:v>
                </c:pt>
                <c:pt idx="11">
                  <c:v>5.2</c:v>
                </c:pt>
                <c:pt idx="12">
                  <c:v>5.2</c:v>
                </c:pt>
                <c:pt idx="13">
                  <c:v>5.2</c:v>
                </c:pt>
                <c:pt idx="14" formatCode="General">
                  <c:v>5.3</c:v>
                </c:pt>
                <c:pt idx="15" formatCode="General">
                  <c:v>5.2</c:v>
                </c:pt>
                <c:pt idx="16" formatCode="General">
                  <c:v>5.3</c:v>
                </c:pt>
                <c:pt idx="17" formatCode="General">
                  <c:v>5.0999999999999996</c:v>
                </c:pt>
                <c:pt idx="18" formatCode="General">
                  <c:v>4.4000000000000004</c:v>
                </c:pt>
                <c:pt idx="19" formatCode="General">
                  <c:v>5</c:v>
                </c:pt>
                <c:pt idx="20" formatCode="General">
                  <c:v>4.3</c:v>
                </c:pt>
                <c:pt idx="21" formatCode="General">
                  <c:v>5.0999999999999996</c:v>
                </c:pt>
                <c:pt idx="22" formatCode="General">
                  <c:v>5.0999999999999996</c:v>
                </c:pt>
                <c:pt idx="23" formatCode="General">
                  <c:v>5</c:v>
                </c:pt>
                <c:pt idx="24" formatCode="General">
                  <c:v>4.4000000000000004</c:v>
                </c:pt>
                <c:pt idx="25" formatCode="General">
                  <c:v>4.2</c:v>
                </c:pt>
                <c:pt idx="26" formatCode="General">
                  <c:v>4.2</c:v>
                </c:pt>
                <c:pt idx="27" formatCode="General">
                  <c:v>4.0999999999999996</c:v>
                </c:pt>
                <c:pt idx="28" formatCode="General">
                  <c:v>4.0999999999999996</c:v>
                </c:pt>
                <c:pt idx="29" formatCode="General">
                  <c:v>4.3</c:v>
                </c:pt>
                <c:pt idx="30" formatCode="General">
                  <c:v>6</c:v>
                </c:pt>
                <c:pt idx="31" formatCode="General">
                  <c:v>6.1</c:v>
                </c:pt>
                <c:pt idx="32" formatCode="General">
                  <c:v>6</c:v>
                </c:pt>
                <c:pt idx="33" formatCode="General">
                  <c:v>6.1</c:v>
                </c:pt>
                <c:pt idx="34" formatCode="General">
                  <c:v>5.2</c:v>
                </c:pt>
                <c:pt idx="35" formatCode="General">
                  <c:v>5.0999999999999996</c:v>
                </c:pt>
                <c:pt idx="36" formatCode="General">
                  <c:v>6.1</c:v>
                </c:pt>
                <c:pt idx="37" formatCode="General">
                  <c:v>6.1</c:v>
                </c:pt>
                <c:pt idx="38" formatCode="General">
                  <c:v>6.1</c:v>
                </c:pt>
                <c:pt idx="39" formatCode="General">
                  <c:v>5.4</c:v>
                </c:pt>
                <c:pt idx="40" formatCode="General">
                  <c:v>5.4</c:v>
                </c:pt>
                <c:pt idx="41" formatCode="General">
                  <c:v>6</c:v>
                </c:pt>
                <c:pt idx="42" formatCode="General">
                  <c:v>6</c:v>
                </c:pt>
                <c:pt idx="43" formatCode="General">
                  <c:v>6.1</c:v>
                </c:pt>
                <c:pt idx="44" formatCode="General">
                  <c:v>6.1</c:v>
                </c:pt>
                <c:pt idx="45" formatCode="General">
                  <c:v>6.1</c:v>
                </c:pt>
                <c:pt idx="46" formatCode="General">
                  <c:v>6</c:v>
                </c:pt>
                <c:pt idx="47" formatCode="General">
                  <c:v>6</c:v>
                </c:pt>
                <c:pt idx="48" formatCode="General">
                  <c:v>6</c:v>
                </c:pt>
                <c:pt idx="49" formatCode="General">
                  <c:v>6</c:v>
                </c:pt>
                <c:pt idx="50" formatCode="General">
                  <c:v>6</c:v>
                </c:pt>
                <c:pt idx="52" formatCode="General">
                  <c:v>5.3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General">
                  <c:v>0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General">
                  <c:v>0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General">
                  <c:v>0</c:v>
                </c:pt>
                <c:pt idx="62" formatCode="General">
                  <c:v>0</c:v>
                </c:pt>
                <c:pt idx="63" formatCode="General">
                  <c:v>0</c:v>
                </c:pt>
                <c:pt idx="64" formatCode="General">
                  <c:v>0</c:v>
                </c:pt>
                <c:pt idx="65" formatCode="General">
                  <c:v>0</c:v>
                </c:pt>
                <c:pt idx="66" formatCode="General">
                  <c:v>0</c:v>
                </c:pt>
                <c:pt idx="67" formatCode="General">
                  <c:v>0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General">
                  <c:v>0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General">
                  <c:v>0</c:v>
                </c:pt>
                <c:pt idx="76" formatCode="General">
                  <c:v>0</c:v>
                </c:pt>
                <c:pt idx="77" formatCode="General">
                  <c:v>0</c:v>
                </c:pt>
                <c:pt idx="78" formatCode="General">
                  <c:v>0</c:v>
                </c:pt>
                <c:pt idx="79" formatCode="General">
                  <c:v>0</c:v>
                </c:pt>
                <c:pt idx="80" formatCode="General">
                  <c:v>0</c:v>
                </c:pt>
                <c:pt idx="81" formatCode="General">
                  <c:v>0</c:v>
                </c:pt>
                <c:pt idx="82" formatCode="General">
                  <c:v>0</c:v>
                </c:pt>
                <c:pt idx="83" formatCode="General">
                  <c:v>0</c:v>
                </c:pt>
                <c:pt idx="84" formatCode="General">
                  <c:v>0</c:v>
                </c:pt>
                <c:pt idx="85" formatCode="General">
                  <c:v>0</c:v>
                </c:pt>
                <c:pt idx="86" formatCode="General">
                  <c:v>0</c:v>
                </c:pt>
                <c:pt idx="87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6805-4F8F-A53E-B4A1DF8B0409}"/>
            </c:ext>
          </c:extLst>
        </c:ser>
        <c:ser>
          <c:idx val="58"/>
          <c:order val="58"/>
          <c:tx>
            <c:strRef>
              <c:f>'OPERACIÓN RO1'!$AD$1:$AD$70</c:f>
              <c:strCache>
                <c:ptCount val="70"/>
                <c:pt idx="0">
                  <c:v>Aumento de presión de F3</c:v>
                </c:pt>
                <c:pt idx="59">
                  <c:v>0,2</c:v>
                </c:pt>
                <c:pt idx="60">
                  <c:v>0,2</c:v>
                </c:pt>
                <c:pt idx="61">
                  <c:v>-0,1</c:v>
                </c:pt>
                <c:pt idx="62">
                  <c:v>0,2</c:v>
                </c:pt>
                <c:pt idx="63">
                  <c:v>0,2</c:v>
                </c:pt>
                <c:pt idx="64">
                  <c:v>0,2</c:v>
                </c:pt>
                <c:pt idx="65">
                  <c:v>0,1</c:v>
                </c:pt>
                <c:pt idx="66">
                  <c:v>-0,1</c:v>
                </c:pt>
                <c:pt idx="67">
                  <c:v>0,0</c:v>
                </c:pt>
                <c:pt idx="68">
                  <c:v>0,0</c:v>
                </c:pt>
                <c:pt idx="69">
                  <c:v>0,0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RO1'!$AD$71:$AD$243</c:f>
            </c:numRef>
          </c:val>
          <c:extLst>
            <c:ext xmlns:c16="http://schemas.microsoft.com/office/drawing/2014/chart" uri="{C3380CC4-5D6E-409C-BE32-E72D297353CC}">
              <c16:uniqueId val="{0000003A-6805-4F8F-A53E-B4A1DF8B0409}"/>
            </c:ext>
          </c:extLst>
        </c:ser>
        <c:ser>
          <c:idx val="59"/>
          <c:order val="59"/>
          <c:tx>
            <c:strRef>
              <c:f>'OPERACIÓN RO1'!$AE$1:$AE$70</c:f>
              <c:strCache>
                <c:ptCount val="70"/>
                <c:pt idx="0">
                  <c:v>PRESION
FTP.5.01A  RO1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59">
                  <c:v>2,1</c:v>
                </c:pt>
                <c:pt idx="60">
                  <c:v>3.0</c:v>
                </c:pt>
                <c:pt idx="61">
                  <c:v>2,2</c:v>
                </c:pt>
                <c:pt idx="62">
                  <c:v>2,5</c:v>
                </c:pt>
                <c:pt idx="63">
                  <c:v>2,1</c:v>
                </c:pt>
                <c:pt idx="64">
                  <c:v>2,7</c:v>
                </c:pt>
                <c:pt idx="65">
                  <c:v>3,1</c:v>
                </c:pt>
                <c:pt idx="66">
                  <c:v>4.0</c:v>
                </c:pt>
                <c:pt idx="67">
                  <c:v>3,9</c:v>
                </c:pt>
                <c:pt idx="68">
                  <c:v>2,2</c:v>
                </c:pt>
                <c:pt idx="69">
                  <c:v>2,2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RO1'!$AE$71:$AE$243</c:f>
              <c:numCache>
                <c:formatCode>General</c:formatCode>
                <c:ptCount val="88"/>
                <c:pt idx="0">
                  <c:v>2.7</c:v>
                </c:pt>
                <c:pt idx="1">
                  <c:v>2.2999999999999998</c:v>
                </c:pt>
                <c:pt idx="2">
                  <c:v>2.2999999999999998</c:v>
                </c:pt>
                <c:pt idx="3">
                  <c:v>2.2000000000000002</c:v>
                </c:pt>
                <c:pt idx="4">
                  <c:v>1.6</c:v>
                </c:pt>
                <c:pt idx="5">
                  <c:v>2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2.2999999999999998</c:v>
                </c:pt>
                <c:pt idx="9">
                  <c:v>3</c:v>
                </c:pt>
                <c:pt idx="10">
                  <c:v>3</c:v>
                </c:pt>
                <c:pt idx="11">
                  <c:v>3.1</c:v>
                </c:pt>
                <c:pt idx="12">
                  <c:v>2.2999999999999998</c:v>
                </c:pt>
                <c:pt idx="13">
                  <c:v>2.2000000000000002</c:v>
                </c:pt>
                <c:pt idx="14">
                  <c:v>3.2</c:v>
                </c:pt>
                <c:pt idx="15">
                  <c:v>2.2999999999999998</c:v>
                </c:pt>
                <c:pt idx="16">
                  <c:v>2.4</c:v>
                </c:pt>
                <c:pt idx="17">
                  <c:v>2.4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3.3</c:v>
                </c:pt>
                <c:pt idx="23">
                  <c:v>3.1</c:v>
                </c:pt>
                <c:pt idx="24">
                  <c:v>3.1</c:v>
                </c:pt>
                <c:pt idx="25">
                  <c:v>1</c:v>
                </c:pt>
                <c:pt idx="26">
                  <c:v>3.1</c:v>
                </c:pt>
                <c:pt idx="27">
                  <c:v>1</c:v>
                </c:pt>
                <c:pt idx="28">
                  <c:v>1</c:v>
                </c:pt>
                <c:pt idx="29">
                  <c:v>2.2999999999999998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3.1</c:v>
                </c:pt>
                <c:pt idx="35">
                  <c:v>4</c:v>
                </c:pt>
                <c:pt idx="36">
                  <c:v>4</c:v>
                </c:pt>
                <c:pt idx="37">
                  <c:v>4.2</c:v>
                </c:pt>
                <c:pt idx="38">
                  <c:v>4.4000000000000004</c:v>
                </c:pt>
                <c:pt idx="39">
                  <c:v>4.0999999999999996</c:v>
                </c:pt>
                <c:pt idx="40">
                  <c:v>4.2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4.3</c:v>
                </c:pt>
                <c:pt idx="45">
                  <c:v>4.2</c:v>
                </c:pt>
                <c:pt idx="46">
                  <c:v>4.2</c:v>
                </c:pt>
                <c:pt idx="47">
                  <c:v>3.3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2">
                  <c:v>4.3</c:v>
                </c:pt>
                <c:pt idx="53">
                  <c:v>4.4000000000000004</c:v>
                </c:pt>
                <c:pt idx="54">
                  <c:v>5.2</c:v>
                </c:pt>
                <c:pt idx="55">
                  <c:v>5.2</c:v>
                </c:pt>
                <c:pt idx="56">
                  <c:v>5.2</c:v>
                </c:pt>
                <c:pt idx="57">
                  <c:v>5.4</c:v>
                </c:pt>
                <c:pt idx="58">
                  <c:v>5.4</c:v>
                </c:pt>
                <c:pt idx="59">
                  <c:v>5</c:v>
                </c:pt>
                <c:pt idx="60">
                  <c:v>5</c:v>
                </c:pt>
                <c:pt idx="61">
                  <c:v>4.0999999999999996</c:v>
                </c:pt>
                <c:pt idx="62">
                  <c:v>4.3</c:v>
                </c:pt>
                <c:pt idx="63">
                  <c:v>5</c:v>
                </c:pt>
                <c:pt idx="64">
                  <c:v>5.0999999999999996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4.4000000000000004</c:v>
                </c:pt>
                <c:pt idx="69">
                  <c:v>5.3</c:v>
                </c:pt>
                <c:pt idx="70">
                  <c:v>5.3</c:v>
                </c:pt>
                <c:pt idx="71">
                  <c:v>5.3</c:v>
                </c:pt>
                <c:pt idx="72">
                  <c:v>5.3</c:v>
                </c:pt>
                <c:pt idx="73">
                  <c:v>5.2</c:v>
                </c:pt>
                <c:pt idx="74">
                  <c:v>4.3</c:v>
                </c:pt>
                <c:pt idx="75">
                  <c:v>4.2</c:v>
                </c:pt>
                <c:pt idx="76">
                  <c:v>5</c:v>
                </c:pt>
                <c:pt idx="77">
                  <c:v>5</c:v>
                </c:pt>
                <c:pt idx="78">
                  <c:v>5.4</c:v>
                </c:pt>
                <c:pt idx="79">
                  <c:v>5.0999999999999996</c:v>
                </c:pt>
                <c:pt idx="80">
                  <c:v>5.2</c:v>
                </c:pt>
                <c:pt idx="81">
                  <c:v>4.3</c:v>
                </c:pt>
                <c:pt idx="82">
                  <c:v>4.3</c:v>
                </c:pt>
                <c:pt idx="83">
                  <c:v>5.4</c:v>
                </c:pt>
                <c:pt idx="84">
                  <c:v>6</c:v>
                </c:pt>
                <c:pt idx="8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6805-4F8F-A53E-B4A1DF8B0409}"/>
            </c:ext>
          </c:extLst>
        </c:ser>
        <c:ser>
          <c:idx val="60"/>
          <c:order val="60"/>
          <c:tx>
            <c:strRef>
              <c:f>'OPERACIÓN RO1'!$AF$1:$AF$70</c:f>
              <c:strCache>
                <c:ptCount val="70"/>
                <c:pt idx="0">
                  <c:v>PRESION
FTP.5.01B  RO1</c:v>
                </c:pt>
                <c:pt idx="4">
                  <c:v>3,3</c:v>
                </c:pt>
                <c:pt idx="5">
                  <c:v>3,9</c:v>
                </c:pt>
                <c:pt idx="6">
                  <c:v>3,3</c:v>
                </c:pt>
                <c:pt idx="7">
                  <c:v>0</c:v>
                </c:pt>
                <c:pt idx="10">
                  <c:v>3,2</c:v>
                </c:pt>
                <c:pt idx="11">
                  <c:v>3,4</c:v>
                </c:pt>
                <c:pt idx="13">
                  <c:v>3,1</c:v>
                </c:pt>
                <c:pt idx="59">
                  <c:v>DERECHA</c:v>
                </c:pt>
                <c:pt idx="60">
                  <c:v>DERECHA</c:v>
                </c:pt>
                <c:pt idx="61">
                  <c:v>DERECHA</c:v>
                </c:pt>
                <c:pt idx="62">
                  <c:v>DERECHA</c:v>
                </c:pt>
                <c:pt idx="63">
                  <c:v>DERECHA</c:v>
                </c:pt>
                <c:pt idx="64">
                  <c:v>DERECHA</c:v>
                </c:pt>
                <c:pt idx="65">
                  <c:v>DERECHA</c:v>
                </c:pt>
                <c:pt idx="66">
                  <c:v>DERECHA</c:v>
                </c:pt>
                <c:pt idx="67">
                  <c:v>DERECHA</c:v>
                </c:pt>
                <c:pt idx="68">
                  <c:v>DERECHA</c:v>
                </c:pt>
                <c:pt idx="69">
                  <c:v>DERECHA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RO1'!$AF$71:$AF$243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6805-4F8F-A53E-B4A1DF8B0409}"/>
            </c:ext>
          </c:extLst>
        </c:ser>
        <c:ser>
          <c:idx val="61"/>
          <c:order val="61"/>
          <c:tx>
            <c:strRef>
              <c:f>'OPERACIÓN RO1'!$AG$1:$AG$70</c:f>
              <c:strCache>
                <c:ptCount val="70"/>
                <c:pt idx="0">
                  <c:v>PRESION
FTP.5.07   RO2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59">
                  <c:v>OFF</c:v>
                </c:pt>
                <c:pt idx="60">
                  <c:v>OFF</c:v>
                </c:pt>
                <c:pt idx="61">
                  <c:v>OFF</c:v>
                </c:pt>
                <c:pt idx="62">
                  <c:v>OFF</c:v>
                </c:pt>
                <c:pt idx="63">
                  <c:v>OFF</c:v>
                </c:pt>
                <c:pt idx="64">
                  <c:v>OFF</c:v>
                </c:pt>
                <c:pt idx="65">
                  <c:v>OFF</c:v>
                </c:pt>
                <c:pt idx="66">
                  <c:v>OFF</c:v>
                </c:pt>
                <c:pt idx="67">
                  <c:v>OFF</c:v>
                </c:pt>
                <c:pt idx="68">
                  <c:v>OFF</c:v>
                </c:pt>
                <c:pt idx="69">
                  <c:v>OFF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RO1'!$AG$71:$AG$243</c:f>
            </c:numRef>
          </c:val>
          <c:extLst>
            <c:ext xmlns:c16="http://schemas.microsoft.com/office/drawing/2014/chart" uri="{C3380CC4-5D6E-409C-BE32-E72D297353CC}">
              <c16:uniqueId val="{0000003D-6805-4F8F-A53E-B4A1DF8B0409}"/>
            </c:ext>
          </c:extLst>
        </c:ser>
        <c:ser>
          <c:idx val="62"/>
          <c:order val="62"/>
          <c:tx>
            <c:strRef>
              <c:f>'OPERACIÓN RO1'!$AH$1:$AH$70</c:f>
              <c:strCache>
                <c:ptCount val="70"/>
                <c:pt idx="0">
                  <c:v>SE REALIZA CIP</c:v>
                </c:pt>
                <c:pt idx="1">
                  <c:v>-</c:v>
                </c:pt>
                <c:pt idx="59">
                  <c:v>NO</c:v>
                </c:pt>
                <c:pt idx="60">
                  <c:v>NO</c:v>
                </c:pt>
                <c:pt idx="61">
                  <c:v>NO</c:v>
                </c:pt>
                <c:pt idx="62">
                  <c:v>NO</c:v>
                </c:pt>
                <c:pt idx="63">
                  <c:v>NO</c:v>
                </c:pt>
                <c:pt idx="64">
                  <c:v>NO</c:v>
                </c:pt>
                <c:pt idx="65">
                  <c:v>NO</c:v>
                </c:pt>
                <c:pt idx="66">
                  <c:v>NO</c:v>
                </c:pt>
                <c:pt idx="67">
                  <c:v>NO</c:v>
                </c:pt>
                <c:pt idx="68">
                  <c:v>NO</c:v>
                </c:pt>
                <c:pt idx="69">
                  <c:v>NO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RO1'!$AH$71:$AH$243</c:f>
              <c:numCache>
                <c:formatCode>General</c:formatCode>
                <c:ptCount val="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6805-4F8F-A53E-B4A1DF8B0409}"/>
            </c:ext>
          </c:extLst>
        </c:ser>
        <c:ser>
          <c:idx val="63"/>
          <c:order val="63"/>
          <c:tx>
            <c:strRef>
              <c:f>'OPERACIÓN RO1'!$AI$1:$AI$70</c:f>
              <c:strCache>
                <c:ptCount val="70"/>
                <c:pt idx="0">
                  <c:v>OBSERVACIONES</c:v>
                </c:pt>
                <c:pt idx="67">
                  <c:v>BOMBA RO 2 DESHABILITADA Y CAMBIO DE MEMBRANAS</c:v>
                </c:pt>
                <c:pt idx="68">
                  <c:v>BOMBA RO 2 DESHABILITADA Y CAMBIO DE MEMBRANAS</c:v>
                </c:pt>
                <c:pt idx="69">
                  <c:v>BOMBA RO 2 DESHABILITADA Y CAMBIO DE MEMBRANAS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'OPERACIÓN RO1'!$A$71:$A$243</c:f>
              <c:numCache>
                <c:formatCode>m/d/yyyy</c:formatCode>
                <c:ptCount val="88"/>
                <c:pt idx="0">
                  <c:v>45799</c:v>
                </c:pt>
                <c:pt idx="1">
                  <c:v>45800</c:v>
                </c:pt>
                <c:pt idx="2">
                  <c:v>45803</c:v>
                </c:pt>
                <c:pt idx="3">
                  <c:v>45804</c:v>
                </c:pt>
                <c:pt idx="4">
                  <c:v>45805</c:v>
                </c:pt>
                <c:pt idx="5">
                  <c:v>45806</c:v>
                </c:pt>
                <c:pt idx="6">
                  <c:v>45811</c:v>
                </c:pt>
                <c:pt idx="7">
                  <c:v>45812</c:v>
                </c:pt>
                <c:pt idx="8">
                  <c:v>45814</c:v>
                </c:pt>
                <c:pt idx="9">
                  <c:v>45817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  <c:pt idx="13">
                  <c:v>45821</c:v>
                </c:pt>
                <c:pt idx="14">
                  <c:v>45824</c:v>
                </c:pt>
                <c:pt idx="15">
                  <c:v>45825</c:v>
                </c:pt>
                <c:pt idx="16">
                  <c:v>45826</c:v>
                </c:pt>
                <c:pt idx="17">
                  <c:v>45827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45840</c:v>
                </c:pt>
                <c:pt idx="23">
                  <c:v>45841</c:v>
                </c:pt>
                <c:pt idx="24">
                  <c:v>45842</c:v>
                </c:pt>
                <c:pt idx="25">
                  <c:v>45845</c:v>
                </c:pt>
                <c:pt idx="26">
                  <c:v>45846</c:v>
                </c:pt>
                <c:pt idx="27">
                  <c:v>45847</c:v>
                </c:pt>
                <c:pt idx="28">
                  <c:v>45848</c:v>
                </c:pt>
                <c:pt idx="29">
                  <c:v>45852</c:v>
                </c:pt>
                <c:pt idx="30">
                  <c:v>45853</c:v>
                </c:pt>
                <c:pt idx="31">
                  <c:v>45854</c:v>
                </c:pt>
                <c:pt idx="32">
                  <c:v>45855</c:v>
                </c:pt>
                <c:pt idx="33">
                  <c:v>45856</c:v>
                </c:pt>
                <c:pt idx="34">
                  <c:v>45859</c:v>
                </c:pt>
                <c:pt idx="35">
                  <c:v>45860</c:v>
                </c:pt>
                <c:pt idx="36">
                  <c:v>45862</c:v>
                </c:pt>
                <c:pt idx="37">
                  <c:v>45863</c:v>
                </c:pt>
                <c:pt idx="38">
                  <c:v>45866</c:v>
                </c:pt>
                <c:pt idx="39">
                  <c:v>45867</c:v>
                </c:pt>
                <c:pt idx="40">
                  <c:v>45868</c:v>
                </c:pt>
                <c:pt idx="41">
                  <c:v>45869</c:v>
                </c:pt>
                <c:pt idx="42">
                  <c:v>45873</c:v>
                </c:pt>
                <c:pt idx="43">
                  <c:v>45881</c:v>
                </c:pt>
                <c:pt idx="44">
                  <c:v>45882</c:v>
                </c:pt>
                <c:pt idx="45">
                  <c:v>45883</c:v>
                </c:pt>
                <c:pt idx="46">
                  <c:v>45884</c:v>
                </c:pt>
                <c:pt idx="47">
                  <c:v>45888</c:v>
                </c:pt>
                <c:pt idx="48">
                  <c:v>45889</c:v>
                </c:pt>
                <c:pt idx="49">
                  <c:v>45890</c:v>
                </c:pt>
                <c:pt idx="50">
                  <c:v>45891</c:v>
                </c:pt>
                <c:pt idx="51">
                  <c:v>45892</c:v>
                </c:pt>
                <c:pt idx="52">
                  <c:v>45894</c:v>
                </c:pt>
                <c:pt idx="53">
                  <c:v>45895</c:v>
                </c:pt>
                <c:pt idx="54">
                  <c:v>45896</c:v>
                </c:pt>
                <c:pt idx="55">
                  <c:v>45898</c:v>
                </c:pt>
                <c:pt idx="56">
                  <c:v>45901</c:v>
                </c:pt>
                <c:pt idx="57">
                  <c:v>45902</c:v>
                </c:pt>
                <c:pt idx="58">
                  <c:v>45903</c:v>
                </c:pt>
                <c:pt idx="59">
                  <c:v>45904</c:v>
                </c:pt>
                <c:pt idx="60">
                  <c:v>45905</c:v>
                </c:pt>
                <c:pt idx="61">
                  <c:v>45909</c:v>
                </c:pt>
                <c:pt idx="62">
                  <c:v>45911</c:v>
                </c:pt>
                <c:pt idx="63">
                  <c:v>45917</c:v>
                </c:pt>
                <c:pt idx="64">
                  <c:v>45919</c:v>
                </c:pt>
                <c:pt idx="65">
                  <c:v>45922</c:v>
                </c:pt>
                <c:pt idx="66">
                  <c:v>45923</c:v>
                </c:pt>
                <c:pt idx="67">
                  <c:v>45926</c:v>
                </c:pt>
                <c:pt idx="68">
                  <c:v>45929</c:v>
                </c:pt>
                <c:pt idx="69">
                  <c:v>45937</c:v>
                </c:pt>
                <c:pt idx="70">
                  <c:v>45938</c:v>
                </c:pt>
                <c:pt idx="71">
                  <c:v>45939</c:v>
                </c:pt>
                <c:pt idx="72">
                  <c:v>45940</c:v>
                </c:pt>
                <c:pt idx="73">
                  <c:v>45944</c:v>
                </c:pt>
                <c:pt idx="74">
                  <c:v>45945</c:v>
                </c:pt>
                <c:pt idx="75">
                  <c:v>45946</c:v>
                </c:pt>
                <c:pt idx="76">
                  <c:v>45947</c:v>
                </c:pt>
                <c:pt idx="77">
                  <c:v>45950</c:v>
                </c:pt>
                <c:pt idx="78">
                  <c:v>45953</c:v>
                </c:pt>
                <c:pt idx="79">
                  <c:v>45954</c:v>
                </c:pt>
                <c:pt idx="80">
                  <c:v>45957</c:v>
                </c:pt>
                <c:pt idx="81">
                  <c:v>45958</c:v>
                </c:pt>
                <c:pt idx="82">
                  <c:v>45959</c:v>
                </c:pt>
                <c:pt idx="83">
                  <c:v>45960</c:v>
                </c:pt>
                <c:pt idx="84">
                  <c:v>45965</c:v>
                </c:pt>
                <c:pt idx="85">
                  <c:v>45966</c:v>
                </c:pt>
                <c:pt idx="86">
                  <c:v>45967</c:v>
                </c:pt>
                <c:pt idx="87">
                  <c:v>45968</c:v>
                </c:pt>
              </c:numCache>
            </c:numRef>
          </c:cat>
          <c:val>
            <c:numRef>
              <c:f>'OPERACIÓN RO1'!$AI$71:$AI$243</c:f>
              <c:numCache>
                <c:formatCode>General</c:formatCode>
                <c:ptCount val="88"/>
                <c:pt idx="14">
                  <c:v>0</c:v>
                </c:pt>
                <c:pt idx="29">
                  <c:v>0</c:v>
                </c:pt>
                <c:pt idx="31">
                  <c:v>0</c:v>
                </c:pt>
                <c:pt idx="32">
                  <c:v>0</c:v>
                </c:pt>
                <c:pt idx="34">
                  <c:v>0</c:v>
                </c:pt>
                <c:pt idx="39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7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9">
                  <c:v>0</c:v>
                </c:pt>
                <c:pt idx="70">
                  <c:v>0</c:v>
                </c:pt>
                <c:pt idx="72">
                  <c:v>0</c:v>
                </c:pt>
                <c:pt idx="73">
                  <c:v>0</c:v>
                </c:pt>
                <c:pt idx="81">
                  <c:v>0</c:v>
                </c:pt>
                <c:pt idx="84">
                  <c:v>0</c:v>
                </c:pt>
                <c:pt idx="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6805-4F8F-A53E-B4A1DF8B0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5966544"/>
        <c:axId val="495967024"/>
      </c:barChart>
      <c:dateAx>
        <c:axId val="4959665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5967024"/>
        <c:crosses val="autoZero"/>
        <c:auto val="1"/>
        <c:lblOffset val="100"/>
        <c:baseTimeUnit val="days"/>
      </c:dateAx>
      <c:valAx>
        <c:axId val="49596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9596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EBD615-618F-4803-BECB-5E7534F67E88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1200149</xdr:colOff>
      <xdr:row>36</xdr:row>
      <xdr:rowOff>161924</xdr:rowOff>
    </xdr:from>
    <xdr:to>
      <xdr:col>10</xdr:col>
      <xdr:colOff>274327</xdr:colOff>
      <xdr:row>57</xdr:row>
      <xdr:rowOff>9524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01A8A65-50F0-02E3-8DA3-91558E2D4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219075</xdr:colOff>
      <xdr:row>39</xdr:row>
      <xdr:rowOff>57150</xdr:rowOff>
    </xdr:from>
    <xdr:to>
      <xdr:col>1</xdr:col>
      <xdr:colOff>855924</xdr:colOff>
      <xdr:row>54</xdr:row>
      <xdr:rowOff>9524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Fecha">
              <a:extLst>
                <a:ext uri="{FF2B5EF4-FFF2-40B4-BE49-F238E27FC236}">
                  <a16:creationId xmlns:a16="http://schemas.microsoft.com/office/drawing/2014/main" id="{37E95C94-A74B-5C79-880F-BA170B877D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075" y="7051221"/>
              <a:ext cx="1835604" cy="24016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1200832</xdr:colOff>
      <xdr:row>58</xdr:row>
      <xdr:rowOff>70075</xdr:rowOff>
    </xdr:from>
    <xdr:to>
      <xdr:col>10</xdr:col>
      <xdr:colOff>244394</xdr:colOff>
      <xdr:row>81</xdr:row>
      <xdr:rowOff>70075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59ED0DF-B2B7-1561-58DA-5083C80F9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556531</xdr:colOff>
      <xdr:row>58</xdr:row>
      <xdr:rowOff>67354</xdr:rowOff>
    </xdr:from>
    <xdr:to>
      <xdr:col>17</xdr:col>
      <xdr:colOff>933594</xdr:colOff>
      <xdr:row>81</xdr:row>
      <xdr:rowOff>46943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936D548-92CF-CFD0-9345-F8A606F166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503461</xdr:colOff>
      <xdr:row>83</xdr:row>
      <xdr:rowOff>36741</xdr:rowOff>
    </xdr:from>
    <xdr:to>
      <xdr:col>17</xdr:col>
      <xdr:colOff>880524</xdr:colOff>
      <xdr:row>108</xdr:row>
      <xdr:rowOff>40820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0E00E43-FF8C-1A32-D2D9-B270618FC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1153206</xdr:colOff>
      <xdr:row>83</xdr:row>
      <xdr:rowOff>23131</xdr:rowOff>
    </xdr:from>
    <xdr:to>
      <xdr:col>10</xdr:col>
      <xdr:colOff>196768</xdr:colOff>
      <xdr:row>108</xdr:row>
      <xdr:rowOff>98650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0F227A3-FA8B-FCB5-0DD7-CEEE080AA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530679</xdr:colOff>
      <xdr:row>37</xdr:row>
      <xdr:rowOff>36738</xdr:rowOff>
    </xdr:from>
    <xdr:to>
      <xdr:col>17</xdr:col>
      <xdr:colOff>938358</xdr:colOff>
      <xdr:row>57</xdr:row>
      <xdr:rowOff>40821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CD34E15-2121-22AD-6572-DC45C4CE6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72187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FA290DF-D6FC-2438-1A0F-69E08628A80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A2893ADB-BFCD-4252-BB4E-594D8AF02945}" userId="S::lunaop@permoda.com.co::af63ba30-af35-4c92-aa54-7fc9b1eb4e4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na Sofia Osorio Parra" refreshedDate="45960.420234143516" createdVersion="8" refreshedVersion="8" minRefreshableVersion="3" recordCount="242" xr:uid="{738F7015-8EBF-4A7C-B5BF-FEA2BDC07528}">
  <cacheSource type="worksheet">
    <worksheetSource ref="A1:AH243" sheet="OPERACIÓN RO1"/>
  </cacheSource>
  <cacheFields count="34">
    <cacheField name="Fecha" numFmtId="14">
      <sharedItems containsNonDate="0" containsDate="1" containsString="0" containsBlank="1" minDate="2025-03-01T00:00:00" maxDate="2025-11-16T00:00:00" count="256"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2T00:00:00"/>
        <d v="2025-05-05T00:00:00"/>
        <d v="2025-05-06T00:00:00"/>
        <d v="2025-05-07T00:00:00"/>
        <d v="2025-05-08T00:00:00"/>
        <d v="2025-05-19T00:00:00"/>
        <d v="2025-05-20T00:00:00"/>
        <d v="2025-05-21T00:00:00"/>
        <d v="2025-05-22T00:00:00"/>
        <d v="2025-05-23T00:00:00"/>
        <d v="2025-05-26T00:00:00"/>
        <d v="2025-05-27T00:00:00"/>
        <d v="2025-05-28T00:00:00"/>
        <d v="2025-05-29T00:00:00"/>
        <d v="2025-06-03T00:00:00"/>
        <d v="2025-06-04T00:00:00"/>
        <d v="2025-06-06T00:00:00"/>
        <d v="2025-06-09T00:00:00"/>
        <d v="2025-06-10T00:00:00"/>
        <d v="2025-06-11T00:00:00"/>
        <m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6-05T00:00:00" u="1"/>
        <d v="2025-06-07T00:00:00" u="1"/>
        <d v="2025-06-08T00:00:00" u="1"/>
        <d v="2025-05-30T00:00:00" u="1"/>
        <d v="2025-05-31T00:00:00" u="1"/>
        <d v="2025-06-01T00:00:00" u="1"/>
        <d v="2025-06-02T00:00:00" u="1"/>
        <d v="2025-05-24T00:00:00" u="1"/>
        <d v="2025-05-25T00:00:00" u="1"/>
      </sharedItems>
    </cacheField>
    <cacheField name="HORA" numFmtId="164">
      <sharedItems containsDate="1" containsBlank="1" containsMixedTypes="1" minDate="1899-12-30T07:45:00" maxDate="1900-10-26T12:00:00"/>
    </cacheField>
    <cacheField name="P Entrada RO 1 ETAPA 1(Bar)" numFmtId="0">
      <sharedItems containsString="0" containsBlank="1" containsNumber="1" minValue="4.9000000000000004" maxValue="18.7"/>
    </cacheField>
    <cacheField name="P Salida RO 1 ETAPA 1(Bar)" numFmtId="0">
      <sharedItems containsString="0" containsBlank="1" containsNumber="1" minValue="4" maxValue="18"/>
    </cacheField>
    <cacheField name="P Entrada RO 1 ETAPA 2 (Bar)" numFmtId="0">
      <sharedItems containsString="0" containsBlank="1" containsNumber="1" minValue="10.4" maxValue="28.4"/>
    </cacheField>
    <cacheField name="P Salida RO 1 ETAPA 2 (Bar)" numFmtId="0">
      <sharedItems containsString="0" containsBlank="1" containsNumber="1" minValue="10" maxValue="30.1"/>
    </cacheField>
    <cacheField name="Diferencial de Presión RO 1 ETAPA 1 ΔP" numFmtId="0">
      <sharedItems containsString="0" containsBlank="1" containsNumber="1" minValue="-6" maxValue="2.8309999999999995"/>
    </cacheField>
    <cacheField name="Diferencial de Presión RO 1 ETAPA 2 ΔP" numFmtId="0">
      <sharedItems containsString="0" containsBlank="1" containsNumber="1" minValue="-7.1560000000000024" maxValue="10.399999999999999"/>
    </cacheField>
    <cacheField name="Q Entrada RO 1 ETAPA 1" numFmtId="0">
      <sharedItems containsString="0" containsBlank="1" containsNumber="1" minValue="22.5" maxValue="62.732999999999997"/>
    </cacheField>
    <cacheField name="Q Salida RO 1 ETAPA 1 ROT A" numFmtId="0">
      <sharedItems containsString="0" containsBlank="1" containsNumber="1" minValue="-5" maxValue="31"/>
    </cacheField>
    <cacheField name="% EFICIENCIA ETAPA 1 RO1" numFmtId="9">
      <sharedItems containsBlank="1" containsMixedTypes="1" containsNumber="1" minValue="0" maxValue="0.86567164179104472" count="102">
        <e v="#DIV/0!"/>
        <n v="0.51025463192311504"/>
        <n v="0.51915862808145763"/>
        <n v="0.53225463061528633"/>
        <n v="0.5160154632058539"/>
        <n v="0.36663319146222884"/>
        <n v="0.46284051838138057"/>
        <n v="0.40944452026750378"/>
        <n v="0.49432592665582764"/>
        <n v="0.52953156822810588"/>
        <n v="0.53191489361702127"/>
        <n v="0.55066079295154191"/>
        <n v="0.60046189376443426"/>
        <n v="0.57242990654205617"/>
        <n v="0.54357798165137616"/>
        <n v="0.52997601918465231"/>
        <n v="0.54501216545012166"/>
        <n v="0.25362318840579706"/>
        <n v="0.23381294964028776"/>
        <n v="0.21543985637342908"/>
        <n v="0.21912350597609562"/>
        <n v="0.18016194331983804"/>
        <n v="0.1408730158730159"/>
        <n v="0.14371257485029945"/>
        <n v="0.17296222664015903"/>
        <n v="0.17142857142857146"/>
        <n v="8.6597938144329881E-2"/>
        <n v="0.16631578947368417"/>
        <n v="0.14519427402862989"/>
        <n v="0.29094412331406555"/>
        <n v="0.25352112676056338"/>
        <n v="0.28632478632478631"/>
        <n v="0.25851703406813631"/>
        <n v="0.22546972860125264"/>
        <n v="0.64052287581699341"/>
        <n v="0.52290076335877866"/>
        <n v="0.55533596837944654"/>
        <n v="0.50927835051546388"/>
        <n v="0.43298969072164945"/>
        <n v="0.42123287671232879"/>
        <n v="0.41083916083916083"/>
        <n v="0.4198606271777004"/>
        <n v="0.57034220532319391"/>
        <n v="0.54307116104868913"/>
        <n v="0.50610820244328103"/>
        <n v="0.59426229508196726"/>
        <n v="0.60542797494780798"/>
        <n v="0.61052631578947369"/>
        <n v="0.60041407867494823"/>
        <n v="0.53016453382084094"/>
        <n v="0.56122448979591832"/>
        <n v="0.71186440677966101"/>
        <n v="0.61281337047353768"/>
        <n v="0.86567164179104472"/>
        <n v="0.66974595842956119"/>
        <n v="0.76086956521739135"/>
        <n v="0.6875"/>
        <n v="0.73684210526315785"/>
        <n v="0.67901234567901236"/>
        <n v="0.6"/>
        <n v="0.68852459016393441"/>
        <n v="0.68111455108359142"/>
        <n v="0.43613707165109034"/>
        <n v="0.60728744939271262"/>
        <n v="0.77519379844961234"/>
        <n v="0.6198347107438017"/>
        <n v="0.759493670886076"/>
        <n v="0.54545454545454541"/>
        <n v="0.70469798657718119"/>
        <n v="0.77220077220077221"/>
        <n v="0.80321285140562249"/>
        <n v="0.64814814814814814"/>
        <n v="0.70707070707070707"/>
        <n v="0"/>
        <n v="0.66666666666666663"/>
        <n v="0.46610169491525422"/>
        <n v="0.58333333333333337"/>
        <n v="0.5"/>
        <n v="0.43076923076923079"/>
        <n v="0.52884615384615385"/>
        <m/>
        <n v="0.48832271762208068"/>
        <n v="0.57441253263707581"/>
        <n v="0.48625792811839325"/>
        <n v="0.51764705882352946"/>
        <n v="0.44378698224852076"/>
        <n v="0.49019607843137253"/>
        <n v="0.54263565891472865"/>
        <n v="0.38235294117647056"/>
        <n v="0.43887147335423199"/>
        <n v="0.47781569965870307"/>
        <n v="0.38461538461538464"/>
        <n v="0.41791044776119401"/>
        <n v="0.51094890510948909"/>
        <n v="0.42424242424242425"/>
        <n v="0.40498442367601245"/>
        <n v="0.3987730061349693"/>
        <n v="0.44368600682593856"/>
        <n v="0.34482758620689657"/>
        <n v="0.45751633986928103"/>
        <n v="0.47619047619047616"/>
        <n v="0.50420168067226889"/>
      </sharedItems>
    </cacheField>
    <cacheField name="FACTOR DE CONCENTRACIÓN ETAPA 1" numFmtId="0">
      <sharedItems containsBlank="1" containsMixedTypes="1" containsNumber="1" minValue="1" maxValue="7.4444444444444411"/>
    </cacheField>
    <cacheField name="Flujo normalizado reducido RO1 - ETAPA 1 ΔQ" numFmtId="9">
      <sharedItems containsBlank="1" containsMixedTypes="1" containsNumber="1" minValue="-0.39540816326530609" maxValue="1"/>
    </cacheField>
    <cacheField name="Q Entrada RO 1 ETAPA 2 CALCULADO" numFmtId="0">
      <sharedItems containsString="0" containsBlank="1" containsNumber="1" minValue="0" maxValue="44.3"/>
    </cacheField>
    <cacheField name="Q Salida RO 1 ETAPA 2 CALCULADO" numFmtId="0">
      <sharedItems containsString="0" containsBlank="1" containsNumber="1" minValue="-21" maxValue="25"/>
    </cacheField>
    <cacheField name="Q Salida RO 1 ETAPA 2 ROTAMETRO B" numFmtId="0">
      <sharedItems containsString="0" containsBlank="1" containsNumber="1" containsInteger="1" minValue="10" maxValue="10"/>
    </cacheField>
    <cacheField name="% EFICIENCIA ETAPA 2 RO1" numFmtId="9">
      <sharedItems containsBlank="1" containsMixedTypes="1" containsNumber="1" minValue="-2.8" maxValue="1" count="98">
        <e v="#DIV/0!"/>
        <n v="4.3290043290043288E-2"/>
        <n v="9.0909090909090912E-2"/>
        <n v="0.14705882352941177"/>
        <n v="0.115606936416185"/>
        <n v="0.10928961748633881"/>
        <n v="0.15075376884422109"/>
        <n v="0.15306122448979589"/>
        <n v="0.16042780748663099"/>
        <n v="0.60679611650485432"/>
        <n v="0.58685446009389675"/>
        <n v="0.57208237986270016"/>
        <n v="0.63775510204081631"/>
        <n v="0.49382716049382713"/>
        <n v="0.41570438799076215"/>
        <n v="0.40559440559440557"/>
        <n v="0.38942307692307698"/>
        <n v="0.46419098143236071"/>
        <n v="0.39503386004514673"/>
        <n v="0.40404040404040403"/>
        <n v="0.43062200956937802"/>
        <n v="0.43478260869565222"/>
        <n v="0.43126684636118595"/>
        <n v="0.41916167664670662"/>
        <n v="0.32972972972972969"/>
        <n v="0.32884097035040433"/>
        <n v="0.60606060606060608"/>
        <n v="0.32"/>
        <n v="0.23111111111111107"/>
        <n v="0.21008403361344538"/>
        <n v="1"/>
        <n v="0.15151515151515152"/>
        <n v="0.14792899408284024"/>
        <n v="0.14836795252225518"/>
        <n v="0.15015015015015015"/>
        <n v="0.26106194690265477"/>
        <n v="0.11475409836065577"/>
        <n v="5.3003533568904596E-2"/>
        <n v="-2.0202020202020134E-2"/>
        <n v="-2.116402116402109E-2"/>
        <n v="-9.1891891891891855E-2"/>
        <n v="-2.0725388601036197E-2"/>
        <n v="0.59922178988326835"/>
        <n v="0.35465116279069769"/>
        <n v="0.36470588235294132"/>
        <n v="0.14388489208633096"/>
        <n v="-1.5777777777777782"/>
        <n v="0.5524475524475525"/>
        <n v="0.31818181818181834"/>
        <n v="0.38000000000000006"/>
        <n v="0.37333333333333341"/>
        <n v="0.59615384615384615"/>
        <n v="0.27142857142857146"/>
        <n v="0.16842105263157911"/>
        <n v="0.16504854368932037"/>
        <n v="0.35911602209944748"/>
        <n v="0.26804123711340222"/>
        <n v="-0.22413793103448285"/>
        <n v="0.23913043478260865"/>
        <n v="0"/>
        <n v="0.64000000000000012"/>
        <n v="0.28409090909090906"/>
        <n v="6.7796610169491303E-2"/>
        <n v="-0.22448979591836771"/>
        <n v="-2.8"/>
        <n v="5.3333333333333142E-2"/>
        <n v="5.263157894736855E-2"/>
        <n v="4.5977011494252713E-2"/>
        <n v="0.70833333333333337"/>
        <n v="9.333333333333324E-2"/>
        <n v="0.51190476190476175"/>
        <n v="0.21333333333333329"/>
        <n v="0.25714285714285723"/>
        <n v="-0.7567567567567568"/>
        <n v="0.31122448979591844"/>
        <n v="0.54356846473029052"/>
        <n v="0.48466257668711654"/>
        <n v="0.56378600823045288"/>
        <n v="0.41463414634146339"/>
        <n v="0.37234042553191493"/>
        <n v="0.35897435897435903"/>
        <n v="0.65254237288135586"/>
        <n v="0.61428571428571421"/>
        <n v="0.72380952380952379"/>
        <n v="0.64245810055865926"/>
        <n v="0.60130718954248363"/>
        <n v="0.39903846153846162"/>
        <m/>
        <n v="0.64615384615384619"/>
        <n v="0.50746268656716431"/>
        <n v="0.55263157894736847"/>
        <n v="0.54450261780104703"/>
        <n v="0.60204081632653061"/>
        <n v="0.60736196319018398"/>
        <n v="0.23245614035087725"/>
        <n v="0.68674698795180711"/>
        <n v="0.66433566433566427"/>
        <n v="0.57627118644067798"/>
      </sharedItems>
    </cacheField>
    <cacheField name="FACTOR DE CONCENTRACIÓN RO1 ETAPA 2" numFmtId="0">
      <sharedItems containsBlank="1" containsMixedTypes="1" containsNumber="1" minValue="0.26315789473684209" maxValue="3.6206896551724137"/>
    </cacheField>
    <cacheField name="Flujo normalizado reducido RO1 ETAPA 2 ΔQ" numFmtId="9">
      <sharedItems containsBlank="1" containsMixedTypes="1" containsNumber="1" minValue="-5.6599999999999993" maxValue="1"/>
    </cacheField>
    <cacheField name="Q PERMEADO RO1 MEDIDOR DIGITAL" numFmtId="0">
      <sharedItems containsString="0" containsBlank="1" containsNumber="1" minValue="15.7" maxValue="44.4"/>
    </cacheField>
    <cacheField name="Q RECHAZO RO1 CALCULADO" numFmtId="0">
      <sharedItems containsString="0" containsBlank="1" containsNumber="1" minValue="0" maxValue="32.5"/>
    </cacheField>
    <cacheField name="EFICIENCIA RO1" numFmtId="0">
      <sharedItems containsBlank="1" containsMixedTypes="1" containsNumber="1" minValue="0" maxValue="0.87037037037037035"/>
    </cacheField>
    <cacheField name="Q TOTAL PERMEADO CALCULADO" numFmtId="0">
      <sharedItems containsString="0" containsBlank="1" containsNumber="1" containsInteger="1" minValue="0" maxValue="22"/>
    </cacheField>
    <cacheField name="Q RECHAZO ROTAMETRO" numFmtId="0">
      <sharedItems containsString="0" containsBlank="1" containsNumber="1" containsInteger="1" minValue="5" maxValue="5"/>
    </cacheField>
    <cacheField name="PRESION F1" numFmtId="0">
      <sharedItems containsString="0" containsBlank="1" containsNumber="1" minValue="0" maxValue="6.1"/>
    </cacheField>
    <cacheField name="Aumento de presión de F1" numFmtId="0">
      <sharedItems containsBlank="1" containsMixedTypes="1" containsNumber="1" minValue="-6.1" maxValue="6.1"/>
    </cacheField>
    <cacheField name="PRESION F2" numFmtId="0">
      <sharedItems containsBlank="1" containsMixedTypes="1" containsNumber="1" containsInteger="1" minValue="0" maxValue="0"/>
    </cacheField>
    <cacheField name="Aumento de presión de F2" numFmtId="0">
      <sharedItems containsBlank="1"/>
    </cacheField>
    <cacheField name="PRESION F3" numFmtId="0">
      <sharedItems containsBlank="1" containsMixedTypes="1" containsNumber="1" minValue="0" maxValue="6.1"/>
    </cacheField>
    <cacheField name="Aumento de presión de F3" numFmtId="0">
      <sharedItems containsBlank="1" containsMixedTypes="1" containsNumber="1" minValue="-6.1" maxValue="6.1"/>
    </cacheField>
    <cacheField name="PRESION_x000a_FTP.5.01A  RO1" numFmtId="0">
      <sharedItems containsBlank="1" containsMixedTypes="1" containsNumber="1" minValue="0" maxValue="5.4"/>
    </cacheField>
    <cacheField name="PRESION_x000a_FTP.5.01B  RO1" numFmtId="0">
      <sharedItems containsBlank="1" containsMixedTypes="1" containsNumber="1" minValue="0" maxValue="3.9"/>
    </cacheField>
    <cacheField name="PRESION_x000a_FTP.5.07   RO2" numFmtId="0">
      <sharedItems containsBlank="1" containsMixedTypes="1" containsNumber="1" containsInteger="1" minValue="0" maxValue="0"/>
    </cacheField>
    <cacheField name="SE REALIZA CIP" numFmtId="0">
      <sharedItems containsBlank="1"/>
    </cacheField>
  </cacheFields>
  <extLst>
    <ext xmlns:x14="http://schemas.microsoft.com/office/spreadsheetml/2009/9/main" uri="{725AE2AE-9491-48be-B2B4-4EB974FC3084}">
      <x14:pivotCacheDefinition pivotCacheId="112410262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s v="-"/>
  </r>
  <r>
    <x v="1"/>
    <m/>
    <m/>
    <m/>
    <m/>
    <m/>
    <n v="0"/>
    <n v="0"/>
    <m/>
    <m/>
    <x v="0"/>
    <e v="#DIV/0!"/>
    <n v="1"/>
    <m/>
    <m/>
    <m/>
    <x v="0"/>
    <e v="#DIV/0!"/>
    <e v="#DIV/0!"/>
    <m/>
    <m/>
    <m/>
    <m/>
    <m/>
    <m/>
    <m/>
    <m/>
    <m/>
    <m/>
    <m/>
    <m/>
    <m/>
    <m/>
    <m/>
  </r>
  <r>
    <x v="2"/>
    <d v="1899-12-30T16:00:00"/>
    <n v="17.367000000000001"/>
    <n v="15.9"/>
    <n v="22.408000000000001"/>
    <n v="20.9"/>
    <n v="1.4670000000000005"/>
    <n v="1.5080000000000027"/>
    <n v="60.558"/>
    <n v="30.9"/>
    <x v="1"/>
    <n v="2.0418774023872142"/>
    <n v="-1.4168006430868109E-2"/>
    <m/>
    <n v="15.9"/>
    <m/>
    <x v="0"/>
    <e v="#DIV/0!"/>
    <e v="#DIV/0!"/>
    <m/>
    <m/>
    <m/>
    <m/>
    <m/>
    <m/>
    <m/>
    <m/>
    <m/>
    <m/>
    <m/>
    <m/>
    <m/>
    <m/>
    <m/>
  </r>
  <r>
    <x v="3"/>
    <d v="1899-12-30T11:29:00"/>
    <n v="17.376999999999999"/>
    <n v="15.2"/>
    <n v="22.48"/>
    <n v="22"/>
    <n v="2.1769999999999996"/>
    <n v="0.48000000000000043"/>
    <n v="59.712000000000003"/>
    <n v="31"/>
    <x v="2"/>
    <n v="2.0796879353580384"/>
    <n v="-5.9399616776666067E-2"/>
    <m/>
    <n v="11.9"/>
    <m/>
    <x v="0"/>
    <e v="#DIV/0!"/>
    <e v="#DIV/0!"/>
    <m/>
    <m/>
    <m/>
    <m/>
    <m/>
    <n v="4.7"/>
    <m/>
    <n v="0"/>
    <m/>
    <n v="4.7"/>
    <m/>
    <n v="0"/>
    <n v="3.3"/>
    <n v="0"/>
    <m/>
  </r>
  <r>
    <x v="4"/>
    <d v="1899-12-30T11:10:00"/>
    <n v="18.030999999999999"/>
    <n v="15.2"/>
    <n v="23.241"/>
    <n v="24"/>
    <n v="2.8309999999999995"/>
    <n v="-0.75900000000000034"/>
    <n v="56.363999999999997"/>
    <n v="30"/>
    <x v="3"/>
    <n v="2.1379153390987709"/>
    <n v="2.7267706751346221E-2"/>
    <m/>
    <n v="9.1"/>
    <m/>
    <x v="0"/>
    <e v="#DIV/0!"/>
    <e v="#DIV/0!"/>
    <m/>
    <m/>
    <m/>
    <m/>
    <m/>
    <n v="5"/>
    <m/>
    <n v="0"/>
    <m/>
    <n v="5"/>
    <m/>
    <n v="0"/>
    <n v="3.9"/>
    <n v="0"/>
    <m/>
  </r>
  <r>
    <x v="5"/>
    <d v="1899-12-30T11:24:00"/>
    <n v="17.768999999999998"/>
    <n v="15.3"/>
    <n v="22.928999999999998"/>
    <n v="23"/>
    <n v="2.4689999999999976"/>
    <n v="-7.1000000000001506E-2"/>
    <n v="57.944000000000003"/>
    <n v="29.9"/>
    <x v="4"/>
    <n v="2.0661817144487231"/>
    <n v="7.6339406691852685E-2"/>
    <m/>
    <n v="8.9"/>
    <m/>
    <x v="0"/>
    <e v="#DIV/0!"/>
    <e v="#DIV/0!"/>
    <m/>
    <m/>
    <m/>
    <m/>
    <m/>
    <n v="5"/>
    <m/>
    <n v="0"/>
    <m/>
    <n v="5"/>
    <m/>
    <n v="0"/>
    <n v="3.3"/>
    <n v="0"/>
    <m/>
  </r>
  <r>
    <x v="6"/>
    <d v="1899-12-30T13:48:00"/>
    <n v="16.562000000000001"/>
    <n v="15.1"/>
    <n v="21.324000000000002"/>
    <n v="20.100000000000001"/>
    <n v="1.4620000000000015"/>
    <n v="1.2240000000000002"/>
    <n v="62.732999999999997"/>
    <n v="23"/>
    <x v="5"/>
    <n v="1.578863916643596"/>
    <e v="#DIV/0!"/>
    <m/>
    <n v="8.1999999999999993"/>
    <m/>
    <x v="0"/>
    <e v="#DIV/0!"/>
    <e v="#DIV/0!"/>
    <m/>
    <m/>
    <m/>
    <m/>
    <m/>
    <n v="0"/>
    <m/>
    <n v="0"/>
    <m/>
    <n v="0"/>
    <m/>
    <n v="0"/>
    <n v="0"/>
    <n v="0"/>
    <m/>
  </r>
  <r>
    <x v="7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8"/>
    <m/>
    <m/>
    <m/>
    <m/>
    <m/>
    <n v="0"/>
    <n v="0"/>
    <m/>
    <m/>
    <x v="0"/>
    <e v="#DIV/0!"/>
    <n v="1"/>
    <m/>
    <m/>
    <m/>
    <x v="0"/>
    <e v="#DIV/0!"/>
    <e v="#DIV/0!"/>
    <m/>
    <m/>
    <m/>
    <m/>
    <m/>
    <m/>
    <m/>
    <m/>
    <m/>
    <m/>
    <m/>
    <m/>
    <m/>
    <m/>
    <m/>
  </r>
  <r>
    <x v="9"/>
    <d v="1899-12-30T11:31:00"/>
    <n v="17.131"/>
    <n v="15.2"/>
    <n v="22.094999999999999"/>
    <n v="20.2"/>
    <n v="1.9310000000000009"/>
    <n v="1.8949999999999996"/>
    <n v="60.496000000000002"/>
    <n v="28"/>
    <x v="6"/>
    <n v="1.8616445100935501"/>
    <n v="-3.2073154087621174E-2"/>
    <m/>
    <n v="12.5"/>
    <m/>
    <x v="0"/>
    <e v="#DIV/0!"/>
    <e v="#DIV/0!"/>
    <m/>
    <m/>
    <m/>
    <m/>
    <m/>
    <n v="4.4000000000000004"/>
    <m/>
    <n v="0"/>
    <m/>
    <n v="5"/>
    <m/>
    <n v="0"/>
    <n v="3.2"/>
    <n v="0"/>
    <m/>
  </r>
  <r>
    <x v="10"/>
    <d v="1899-12-30T14:00:00"/>
    <n v="17.57"/>
    <n v="15.2"/>
    <n v="22.591999999999999"/>
    <n v="20.2"/>
    <n v="2.370000000000001"/>
    <n v="2.3919999999999995"/>
    <n v="58.616"/>
    <n v="24"/>
    <x v="7"/>
    <n v="1.693321007626531"/>
    <e v="#DIV/0!"/>
    <m/>
    <n v="11.1"/>
    <m/>
    <x v="0"/>
    <e v="#DIV/0!"/>
    <e v="#DIV/0!"/>
    <m/>
    <m/>
    <m/>
    <m/>
    <m/>
    <n v="4.4000000000000004"/>
    <m/>
    <n v="0"/>
    <m/>
    <n v="5"/>
    <m/>
    <n v="0"/>
    <n v="3.4"/>
    <n v="0"/>
    <m/>
  </r>
  <r>
    <x v="11"/>
    <m/>
    <m/>
    <m/>
    <m/>
    <m/>
    <n v="0"/>
    <n v="0"/>
    <m/>
    <m/>
    <x v="0"/>
    <e v="#DIV/0!"/>
    <n v="1"/>
    <m/>
    <m/>
    <m/>
    <x v="0"/>
    <e v="#DIV/0!"/>
    <e v="#DIV/0!"/>
    <m/>
    <m/>
    <m/>
    <m/>
    <m/>
    <m/>
    <m/>
    <m/>
    <m/>
    <m/>
    <m/>
    <m/>
    <m/>
    <m/>
    <m/>
  </r>
  <r>
    <x v="12"/>
    <d v="1899-12-30T14:01:00"/>
    <n v="17.672000000000001"/>
    <n v="15.2"/>
    <n v="22.943999999999999"/>
    <n v="30.1"/>
    <n v="2.4720000000000013"/>
    <n v="-7.1560000000000024"/>
    <n v="60.890999999999998"/>
    <n v="30.1"/>
    <x v="8"/>
    <n v="1.9775583774479557"/>
    <e v="#DIV/0!"/>
    <m/>
    <n v="11.1"/>
    <m/>
    <x v="0"/>
    <e v="#DIV/0!"/>
    <e v="#DIV/0!"/>
    <m/>
    <m/>
    <m/>
    <m/>
    <m/>
    <n v="4.3"/>
    <m/>
    <n v="0"/>
    <m/>
    <n v="4.3"/>
    <m/>
    <n v="0"/>
    <n v="3.1"/>
    <n v="0"/>
    <m/>
  </r>
  <r>
    <x v="13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14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15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16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17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18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19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0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1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2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3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4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5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6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7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8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29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0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1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2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3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4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5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6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7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8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39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0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1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2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3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4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5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6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7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8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49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0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1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2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3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4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5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6"/>
    <m/>
    <m/>
    <m/>
    <m/>
    <m/>
    <n v="0"/>
    <n v="0"/>
    <m/>
    <m/>
    <x v="0"/>
    <e v="#DIV/0!"/>
    <e v="#DIV/0!"/>
    <m/>
    <m/>
    <m/>
    <x v="0"/>
    <e v="#DIV/0!"/>
    <e v="#DIV/0!"/>
    <m/>
    <m/>
    <m/>
    <m/>
    <m/>
    <m/>
    <m/>
    <m/>
    <m/>
    <m/>
    <m/>
    <m/>
    <m/>
    <m/>
    <m/>
  </r>
  <r>
    <x v="57"/>
    <m/>
    <m/>
    <m/>
    <m/>
    <m/>
    <n v="0"/>
    <n v="0"/>
    <m/>
    <m/>
    <x v="0"/>
    <e v="#DIV/0!"/>
    <n v="1"/>
    <m/>
    <m/>
    <m/>
    <x v="0"/>
    <e v="#DIV/0!"/>
    <n v="1"/>
    <m/>
    <m/>
    <m/>
    <m/>
    <m/>
    <m/>
    <m/>
    <m/>
    <m/>
    <m/>
    <m/>
    <m/>
    <m/>
    <m/>
    <m/>
  </r>
  <r>
    <x v="58"/>
    <d v="1899-12-30T13:01:00"/>
    <n v="17.399999999999999"/>
    <n v="17"/>
    <n v="22"/>
    <n v="21"/>
    <n v="0.39999999999999858"/>
    <n v="1"/>
    <n v="49.1"/>
    <n v="26"/>
    <x v="9"/>
    <n v="2.1255411255411256"/>
    <n v="-4.4680851063829817E-2"/>
    <n v="23.1"/>
    <n v="1"/>
    <m/>
    <x v="1"/>
    <n v="1.0452488687782806"/>
    <n v="-5.0000000000000065E-2"/>
    <n v="27"/>
    <n v="22.1"/>
    <n v="0.54989816700610994"/>
    <m/>
    <m/>
    <n v="5.4"/>
    <n v="0.1"/>
    <s v="OFF"/>
    <s v="OFF"/>
    <n v="5.4"/>
    <n v="0.2"/>
    <n v="2.1"/>
    <s v="DERECHA"/>
    <s v="OFF"/>
    <s v="NO"/>
  </r>
  <r>
    <x v="59"/>
    <d v="1899-12-30T12:00:00"/>
    <n v="17.3"/>
    <n v="17"/>
    <n v="23"/>
    <n v="23"/>
    <n v="0.30000000000000071"/>
    <n v="0"/>
    <n v="47"/>
    <n v="25"/>
    <x v="10"/>
    <n v="2.1363636363636362"/>
    <n v="-3.5242290748898709E-2"/>
    <n v="22"/>
    <n v="2"/>
    <m/>
    <x v="2"/>
    <n v="1.1000000000000001"/>
    <n v="-7.8431372549019676E-2"/>
    <n v="27"/>
    <n v="20"/>
    <n v="0.57446808510638303"/>
    <m/>
    <m/>
    <n v="5.5"/>
    <n v="9.9999999999999645E-2"/>
    <s v="OFF"/>
    <s v="OFF"/>
    <n v="5.6"/>
    <n v="0.19999999999999929"/>
    <s v="3.0"/>
    <s v="DERECHA"/>
    <s v="OFF"/>
    <s v="NO"/>
  </r>
  <r>
    <x v="60"/>
    <d v="1899-12-30T12:00:00"/>
    <n v="17.100000000000001"/>
    <n v="17"/>
    <n v="23"/>
    <n v="23"/>
    <n v="0.10000000000000142"/>
    <n v="0"/>
    <n v="45.4"/>
    <n v="25"/>
    <x v="11"/>
    <n v="2.2254901960784315"/>
    <n v="-4.8498845265588952E-2"/>
    <n v="20.399999999999999"/>
    <n v="3"/>
    <m/>
    <x v="3"/>
    <n v="1.1724137931034484"/>
    <n v="-0.17919075144508681"/>
    <n v="28"/>
    <n v="17.399999999999999"/>
    <n v="0.61674008810572689"/>
    <m/>
    <m/>
    <n v="5.5"/>
    <n v="0"/>
    <s v="OFF"/>
    <s v="OFF"/>
    <n v="5.5"/>
    <n v="-9.9999999999999645E-2"/>
    <n v="2.2000000000000002"/>
    <s v="DERECHA"/>
    <s v="OFF"/>
    <s v="NO"/>
  </r>
  <r>
    <x v="61"/>
    <d v="1899-12-30T12:00:00"/>
    <n v="18.100000000000001"/>
    <n v="17"/>
    <n v="22"/>
    <n v="23"/>
    <n v="1.1000000000000014"/>
    <n v="-1"/>
    <n v="43.3"/>
    <n v="26"/>
    <x v="12"/>
    <n v="2.502890173410405"/>
    <n v="-1.1682242990654207E-2"/>
    <n v="17.299999999999997"/>
    <n v="2"/>
    <m/>
    <x v="4"/>
    <n v="1.130718954248366"/>
    <n v="5.4644808743169404E-2"/>
    <n v="28"/>
    <n v="15.299999999999997"/>
    <n v="0.64665127020785229"/>
    <m/>
    <m/>
    <n v="5.5"/>
    <n v="-9.9999999999999645E-2"/>
    <s v="OFF"/>
    <s v="OFF"/>
    <n v="5.5"/>
    <n v="0.2"/>
    <n v="2.5"/>
    <s v="DERECHA"/>
    <s v="OFF"/>
    <s v="NO"/>
  </r>
  <r>
    <x v="62"/>
    <d v="1899-12-30T12:00:00"/>
    <n v="17.399999999999999"/>
    <n v="17"/>
    <n v="21"/>
    <n v="23"/>
    <n v="0.39999999999999858"/>
    <n v="-2"/>
    <n v="42.8"/>
    <n v="24.5"/>
    <x v="13"/>
    <n v="2.3387978142076506"/>
    <n v="1.8348623853211107E-2"/>
    <n v="18.299999999999997"/>
    <n v="2"/>
    <m/>
    <x v="5"/>
    <n v="1.1226993865030674"/>
    <n v="8.0402010050251493E-2"/>
    <n v="26.5"/>
    <n v="16.299999999999997"/>
    <n v="0.61915887850467299"/>
    <m/>
    <m/>
    <n v="5.4"/>
    <n v="9.9999999999999645E-2"/>
    <s v="OFF"/>
    <s v="OFF"/>
    <s v="5.4"/>
    <n v="0.2"/>
    <n v="2.1"/>
    <s v="DERECHA"/>
    <s v="OFF"/>
    <s v="NO"/>
  </r>
  <r>
    <x v="63"/>
    <s v="  13:50:00 p.m."/>
    <n v="17.899999999999999"/>
    <n v="17"/>
    <n v="21"/>
    <n v="23.7"/>
    <n v="0.89999999999999858"/>
    <n v="-2.6999999999999993"/>
    <n v="43.6"/>
    <n v="23.7"/>
    <x v="14"/>
    <n v="2.1909547738693469"/>
    <n v="-4.5563549160671422E-2"/>
    <n v="19.900000000000002"/>
    <n v="3"/>
    <m/>
    <x v="6"/>
    <n v="1.1775147928994083"/>
    <n v="-1.5306122448979626E-2"/>
    <n v="26.7"/>
    <n v="16.900000000000002"/>
    <n v="0.61238532110091737"/>
    <m/>
    <m/>
    <n v="5.5"/>
    <n v="9.9999999999999645E-2"/>
    <s v="OFF"/>
    <s v="OFF"/>
    <n v="5.5"/>
    <n v="0.2"/>
    <n v="2.7"/>
    <s v="DERECHA"/>
    <s v="OFF"/>
    <s v="NO"/>
  </r>
  <r>
    <x v="64"/>
    <s v="13:38:00 pm"/>
    <n v="16.600000000000001"/>
    <n v="16.5"/>
    <n v="21"/>
    <n v="22.8"/>
    <n v="0.10000000000000142"/>
    <n v="-1.8000000000000007"/>
    <n v="41.7"/>
    <n v="22.1"/>
    <x v="15"/>
    <n v="2.1275510204081636"/>
    <n v="-1.4598540145985436E-2"/>
    <n v="19.600000000000001"/>
    <n v="3"/>
    <m/>
    <x v="7"/>
    <n v="1.1807228915662651"/>
    <n v="-4.812834224598922E-2"/>
    <n v="25.1"/>
    <n v="16.600000000000001"/>
    <n v="0.60191846522781778"/>
    <m/>
    <m/>
    <n v="5.5"/>
    <n v="0"/>
    <s v="OFF"/>
    <s v="OFF"/>
    <n v="5.5"/>
    <n v="0.1"/>
    <n v="3.1"/>
    <s v="DERECHA"/>
    <s v="OFF"/>
    <s v="NO"/>
  </r>
  <r>
    <x v="65"/>
    <d v="1899-12-30T12:30:00"/>
    <n v="16.8"/>
    <n v="16.5"/>
    <n v="21"/>
    <n v="22.8"/>
    <n v="0.30000000000000071"/>
    <n v="-1.8000000000000007"/>
    <n v="41.1"/>
    <n v="22.4"/>
    <x v="16"/>
    <n v="2.1978609625668448"/>
    <n v="0.25543478260869568"/>
    <n v="18.700000000000003"/>
    <n v="3"/>
    <m/>
    <x v="8"/>
    <n v="1.1910828025477707"/>
    <n v="0.54611650485436891"/>
    <n v="25.4"/>
    <n v="15.700000000000003"/>
    <n v="0.61800486618004857"/>
    <m/>
    <m/>
    <n v="5.4"/>
    <n v="-9.9999999999999645E-2"/>
    <s v="OFF"/>
    <s v="OFF"/>
    <n v="5.4"/>
    <n v="-9.9999999999999645E-2"/>
    <s v="4.0"/>
    <s v="DERECHA"/>
    <s v="OFF"/>
    <s v="NO"/>
  </r>
  <r>
    <x v="66"/>
    <s v="2:30:00 PM."/>
    <n v="17.399999999999999"/>
    <n v="16.7"/>
    <n v="16.3"/>
    <n v="16"/>
    <n v="0.69999999999999929"/>
    <n v="0.30000000000000071"/>
    <n v="55.2"/>
    <n v="14"/>
    <x v="17"/>
    <n v="1.3398058252427185"/>
    <n v="7.1942446043165211E-3"/>
    <n v="41.2"/>
    <n v="25"/>
    <m/>
    <x v="9"/>
    <n v="2.5432098765432096"/>
    <n v="3.2863849765258184E-2"/>
    <n v="39"/>
    <n v="16.200000000000003"/>
    <n v="0.7065217391304347"/>
    <m/>
    <m/>
    <n v="5"/>
    <n v="9.9999999999999645E-2"/>
    <s v="OFF"/>
    <s v="OFF"/>
    <n v="5"/>
    <n v="0"/>
    <n v="3.9"/>
    <s v="DERECHA"/>
    <s v="OFF"/>
    <s v="NO"/>
  </r>
  <r>
    <x v="67"/>
    <d v="1899-12-30T13:00:00"/>
    <n v="17.8"/>
    <n v="17.100000000000001"/>
    <n v="16.2"/>
    <n v="16"/>
    <n v="0.69999999999999929"/>
    <n v="0.19999999999999929"/>
    <n v="55.6"/>
    <n v="13"/>
    <x v="18"/>
    <n v="1.3051643192488263"/>
    <n v="1.7953321364452678E-3"/>
    <n v="42.6"/>
    <n v="25"/>
    <m/>
    <x v="10"/>
    <n v="2.4204545454545459"/>
    <n v="2.517162471395884E-2"/>
    <n v="38"/>
    <n v="17.600000000000001"/>
    <n v="0.68345323741007191"/>
    <m/>
    <m/>
    <n v="5.0999999999999996"/>
    <n v="9.9999999999999645E-2"/>
    <s v="OFF"/>
    <s v="OFF"/>
    <n v="5"/>
    <n v="0"/>
    <n v="2.2000000000000002"/>
    <s v="DERECHA"/>
    <s v="OFF"/>
    <s v="NO"/>
  </r>
  <r>
    <x v="68"/>
    <s v="10:20:00p´m"/>
    <n v="17.3"/>
    <n v="17.100000000000001"/>
    <n v="16.2"/>
    <n v="16"/>
    <n v="0.19999999999999929"/>
    <n v="0.19999999999999929"/>
    <n v="55.7"/>
    <n v="12"/>
    <x v="19"/>
    <n v="1.2745995423340961"/>
    <n v="-0.10956175298804781"/>
    <n v="43.7"/>
    <n v="25"/>
    <m/>
    <x v="11"/>
    <n v="2.3368983957219247"/>
    <n v="-0.11479591836734693"/>
    <n v="37"/>
    <n v="18.700000000000003"/>
    <n v="0.6642728904847397"/>
    <m/>
    <m/>
    <n v="5"/>
    <n v="-9.9999999999999645E-2"/>
    <s v="OFF"/>
    <s v="OFF"/>
    <n v="5"/>
    <n v="0"/>
    <n v="2.2000000000000002"/>
    <s v="DERECHA"/>
    <s v="OFF"/>
    <s v="NO"/>
  </r>
  <r>
    <x v="69"/>
    <d v="1899-12-30T08:30:00"/>
    <n v="18.3"/>
    <n v="17.8"/>
    <n v="22.1"/>
    <n v="22"/>
    <n v="0.5"/>
    <n v="0.10000000000000142"/>
    <n v="50.2"/>
    <n v="11"/>
    <x v="20"/>
    <n v="1.2806122448979593"/>
    <n v="-1.6194331983805755E-2"/>
    <n v="39.200000000000003"/>
    <n v="25"/>
    <m/>
    <x v="12"/>
    <n v="2.76056338028169"/>
    <n v="3.2098765432098698E-2"/>
    <n v="36"/>
    <n v="14.200000000000003"/>
    <n v="0.71713147410358558"/>
    <m/>
    <m/>
    <n v="5.4"/>
    <n v="0.40000000000000036"/>
    <s v="OFF"/>
    <s v="OFF"/>
    <n v="5.4"/>
    <n v="0.40000000000000036"/>
    <n v="2.7"/>
    <s v="DERECHA"/>
    <s v="OFF"/>
    <s v="NO"/>
  </r>
  <r>
    <x v="70"/>
    <d v="1899-12-30T09:30:00"/>
    <n v="18.18"/>
    <n v="17.2"/>
    <n v="22.1"/>
    <n v="21.2"/>
    <n v="0.98000000000000043"/>
    <n v="0.90000000000000213"/>
    <n v="49.4"/>
    <n v="8.8999999999999986"/>
    <x v="21"/>
    <n v="1.219753086419753"/>
    <n v="1.984126984126984E-2"/>
    <n v="40.5"/>
    <n v="20"/>
    <m/>
    <x v="13"/>
    <n v="1.975609756097561"/>
    <n v="6.4665127020785154E-2"/>
    <n v="28.9"/>
    <n v="20.5"/>
    <n v="0.58502024291497978"/>
    <m/>
    <m/>
    <n v="5.3"/>
    <n v="-0.10000000000000053"/>
    <s v="N/A"/>
    <s v="OFF"/>
    <n v="5.3"/>
    <n v="-0.10000000000000053"/>
    <n v="2.2999999999999998"/>
    <s v="DERECHA"/>
    <s v="OFF"/>
    <s v="NO"/>
  </r>
  <r>
    <x v="71"/>
    <d v="1899-12-30T09:30:00"/>
    <n v="17.760000000000002"/>
    <n v="17.2"/>
    <n v="22.4"/>
    <n v="21.4"/>
    <n v="0.56000000000000227"/>
    <n v="1"/>
    <n v="50.4"/>
    <n v="7.1000000000000014"/>
    <x v="22"/>
    <n v="1.163972286374134"/>
    <n v="-5.9880239520957515E-3"/>
    <n v="43.3"/>
    <n v="18"/>
    <m/>
    <x v="14"/>
    <n v="1.7114624505928855"/>
    <n v="-9.324009324009291E-3"/>
    <n v="25.1"/>
    <n v="25.299999999999997"/>
    <n v="0.49801587301587308"/>
    <m/>
    <m/>
    <n v="5.2"/>
    <n v="-9.9999999999999645E-2"/>
    <s v="N/A"/>
    <s v="OFF"/>
    <n v="5.2"/>
    <n v="-9.9999999999999645E-2"/>
    <n v="2.2999999999999998"/>
    <s v="DERECHA"/>
    <s v="OFF"/>
    <s v="NO"/>
  </r>
  <r>
    <x v="72"/>
    <d v="1899-12-30T11:00:00"/>
    <n v="17.399999999999999"/>
    <n v="17"/>
    <n v="22.1"/>
    <n v="21.4"/>
    <n v="0.39999999999999858"/>
    <n v="0.70000000000000284"/>
    <n v="50.1"/>
    <n v="7.2000000000000028"/>
    <x v="23"/>
    <n v="1.1678321678321679"/>
    <n v="3.976143141152997E-3"/>
    <n v="42.9"/>
    <n v="17.399999999999999"/>
    <m/>
    <x v="15"/>
    <n v="1.6823529411764706"/>
    <n v="-3.1250000000000104E-2"/>
    <n v="24.6"/>
    <n v="25.5"/>
    <n v="0.49101796407185633"/>
    <m/>
    <m/>
    <n v="5.4"/>
    <n v="0.20000000000000018"/>
    <s v="N/A"/>
    <s v="OFF"/>
    <n v="5.4"/>
    <n v="0.20000000000000018"/>
    <n v="2.2000000000000002"/>
    <s v="DERECHA"/>
    <s v="OFF"/>
    <s v="NO"/>
  </r>
  <r>
    <x v="73"/>
    <d v="1899-12-30T08:50:00"/>
    <n v="17.2"/>
    <n v="16.399999999999999"/>
    <n v="21.9"/>
    <n v="21.2"/>
    <n v="0.80000000000000071"/>
    <n v="0.69999999999999929"/>
    <n v="50.3"/>
    <n v="8.6999999999999993"/>
    <x v="24"/>
    <n v="1.2091346153846154"/>
    <n v="-0.10549450549450544"/>
    <n v="41.599999999999994"/>
    <n v="16.2"/>
    <m/>
    <x v="16"/>
    <n v="1.6377952755905514"/>
    <n v="-0.10344827586206873"/>
    <n v="24.9"/>
    <n v="25.399999999999995"/>
    <n v="0.49502982107355864"/>
    <m/>
    <m/>
    <n v="5.2"/>
    <n v="-0.20000000000000018"/>
    <s v="N/A"/>
    <s v="OFF"/>
    <n v="5.2"/>
    <n v="-0.20000000000000018"/>
    <n v="1.6"/>
    <s v="DERECHA"/>
    <s v="OFF"/>
    <s v="NO"/>
  </r>
  <r>
    <x v="74"/>
    <d v="1899-12-30T09:30:00"/>
    <n v="17.899999999999999"/>
    <n v="17.2"/>
    <n v="22.9"/>
    <n v="22.4"/>
    <n v="0.69999999999999929"/>
    <n v="0.5"/>
    <n v="45.5"/>
    <n v="7.8000000000000007"/>
    <x v="25"/>
    <n v="1.2068965517241381"/>
    <n v="6.1855670103092786E-2"/>
    <n v="37.700000000000003"/>
    <n v="17.5"/>
    <m/>
    <x v="17"/>
    <n v="1.8663366336633662"/>
    <n v="0.14898419864559809"/>
    <n v="25.3"/>
    <n v="20.200000000000003"/>
    <n v="0.55604395604395607"/>
    <m/>
    <m/>
    <n v="5.3"/>
    <n v="9.9999999999999645E-2"/>
    <s v="N/A"/>
    <s v="OFF"/>
    <n v="5.3"/>
    <n v="9.9999999999999645E-2"/>
    <n v="2"/>
    <s v="DERECHA"/>
    <s v="OFF"/>
    <s v="NO"/>
  </r>
  <r>
    <x v="75"/>
    <d v="1899-12-30T12:00:00"/>
    <n v="17.899999999999999"/>
    <n v="17"/>
    <n v="22.5"/>
    <n v="22"/>
    <n v="0.89999999999999858"/>
    <n v="0.5"/>
    <n v="48.5"/>
    <n v="4.1999999999999993"/>
    <x v="26"/>
    <n v="1.0948081264108351"/>
    <n v="-2.1052631578947368E-2"/>
    <n v="44.3"/>
    <n v="17.5"/>
    <m/>
    <x v="18"/>
    <n v="1.6529850746268657"/>
    <n v="-0.11868686868686858"/>
    <n v="21.7"/>
    <n v="26.799999999999997"/>
    <n v="0.4474226804123711"/>
    <m/>
    <m/>
    <n v="5.2"/>
    <n v="-9.9999999999999645E-2"/>
    <s v="N/A"/>
    <s v="OFF"/>
    <n v="5.2"/>
    <n v="-9.9999999999999645E-2"/>
    <n v="2.2000000000000002"/>
    <s v="DERECHA"/>
    <s v="OFF"/>
    <s v="NO"/>
  </r>
  <r>
    <x v="76"/>
    <d v="1899-12-30T09:14:00"/>
    <n v="18.100000000000001"/>
    <n v="17.2"/>
    <n v="22.9"/>
    <n v="22.2"/>
    <n v="0.90000000000000213"/>
    <n v="0.69999999999999929"/>
    <n v="47.5"/>
    <n v="7.8999999999999986"/>
    <x v="27"/>
    <n v="1.1994949494949494"/>
    <n v="2.8629856850715719E-2"/>
    <n v="39.6"/>
    <n v="16"/>
    <m/>
    <x v="19"/>
    <n v="1.677966101694915"/>
    <e v="#REF!"/>
    <n v="23.9"/>
    <n v="23.6"/>
    <n v="0.50315789473684203"/>
    <m/>
    <m/>
    <n v="5.2"/>
    <n v="0"/>
    <s v="N/A"/>
    <s v="OFF"/>
    <n v="5.2"/>
    <n v="0"/>
    <n v="2.2000000000000002"/>
    <s v="DERECHA"/>
    <s v="OFF"/>
    <s v="NO"/>
  </r>
  <r>
    <x v="77"/>
    <d v="1899-12-30T09:30:00"/>
    <n v="17.3"/>
    <n v="17.100000000000001"/>
    <n v="22.4"/>
    <n v="22.1"/>
    <n v="0.19999999999999929"/>
    <n v="0.29999999999999716"/>
    <n v="48.9"/>
    <n v="7.1000000000000014"/>
    <x v="28"/>
    <n v="1.1698564593301435"/>
    <n v="5.7803468208092484E-2"/>
    <n v="41.8"/>
    <n v="18"/>
    <m/>
    <x v="20"/>
    <n v="1.7563025210084033"/>
    <e v="#REF!"/>
    <n v="25.1"/>
    <n v="23.799999999999997"/>
    <n v="0.51329243353783238"/>
    <m/>
    <m/>
    <n v="5.0999999999999996"/>
    <e v="#REF!"/>
    <s v="N/A"/>
    <s v="OFF"/>
    <n v="5.0999999999999996"/>
    <e v="#REF!"/>
    <n v="2.2999999999999998"/>
    <s v="DERECHA"/>
    <s v="OFF"/>
    <s v="NO"/>
  </r>
  <r>
    <x v="78"/>
    <d v="1899-12-30T08:30:00"/>
    <n v="17.600000000000001"/>
    <n v="17"/>
    <n v="22.3"/>
    <n v="22"/>
    <n v="0.60000000000000142"/>
    <n v="0.30000000000000071"/>
    <n v="51.9"/>
    <n v="15.100000000000001"/>
    <x v="29"/>
    <n v="1.4103260869565217"/>
    <n v="-4.4265593561368118E-2"/>
    <n v="36.799999999999997"/>
    <n v="16"/>
    <m/>
    <x v="21"/>
    <n v="1.7692307692307694"/>
    <n v="8.0862533692723521E-3"/>
    <n v="31.1"/>
    <n v="20.799999999999997"/>
    <n v="0.59922928709055878"/>
    <m/>
    <m/>
    <n v="5.0999999999999996"/>
    <e v="#REF!"/>
    <s v="N/A"/>
    <s v="OFF"/>
    <n v="5.0999999999999996"/>
    <e v="#REF!"/>
    <n v="3"/>
    <s v="DERECHA"/>
    <s v="OFF"/>
    <s v="NO"/>
  </r>
  <r>
    <x v="79"/>
    <d v="1899-12-30T10:00:00"/>
    <n v="17.8"/>
    <n v="17"/>
    <n v="22.7"/>
    <n v="22"/>
    <n v="0.80000000000000071"/>
    <n v="0.69999999999999929"/>
    <n v="49.7"/>
    <n v="12.600000000000001"/>
    <x v="30"/>
    <n v="1.3396226415094339"/>
    <n v="-6.1965811965812093E-2"/>
    <n v="37.1"/>
    <n v="16"/>
    <m/>
    <x v="22"/>
    <n v="1.7582938388625591"/>
    <n v="-0.11077844311377255"/>
    <n v="28.6"/>
    <n v="21.1"/>
    <n v="0.57545271629778671"/>
    <m/>
    <m/>
    <n v="5.2"/>
    <n v="0.10000000000000053"/>
    <s v="N/A"/>
    <s v="OFF"/>
    <n v="5.2"/>
    <n v="0.10000000000000053"/>
    <n v="3"/>
    <s v="DERECHA"/>
    <s v="OFF"/>
    <s v="NO"/>
  </r>
  <r>
    <x v="80"/>
    <d v="1899-12-30T08:30:00"/>
    <n v="18.3"/>
    <n v="17"/>
    <n v="23.4"/>
    <n v="23"/>
    <n v="1.3000000000000007"/>
    <n v="0.39999999999999858"/>
    <n v="46.8"/>
    <n v="13.399999999999999"/>
    <x v="31"/>
    <n v="1.4011976047904191"/>
    <e v="#DIV/0!"/>
    <n v="33.4"/>
    <n v="14"/>
    <m/>
    <x v="23"/>
    <n v="1.7216494845360824"/>
    <e v="#DIV/0!"/>
    <n v="27.4"/>
    <n v="19.399999999999999"/>
    <n v="0.5854700854700855"/>
    <m/>
    <m/>
    <n v="5.2"/>
    <n v="0"/>
    <s v="N/A"/>
    <s v="OFF"/>
    <n v="5.2"/>
    <n v="0"/>
    <n v="3.1"/>
    <s v="DERECHA"/>
    <s v="OFF"/>
    <s v="NO"/>
  </r>
  <r>
    <x v="81"/>
    <m/>
    <m/>
    <m/>
    <m/>
    <m/>
    <n v="0"/>
    <n v="0"/>
    <m/>
    <n v="0"/>
    <x v="0"/>
    <e v="#DIV/0!"/>
    <e v="#DIV/0!"/>
    <n v="0"/>
    <m/>
    <m/>
    <x v="0"/>
    <e v="#DIV/0!"/>
    <e v="#DIV/0!"/>
    <m/>
    <n v="0"/>
    <e v="#DIV/0!"/>
    <m/>
    <m/>
    <m/>
    <n v="-5.2"/>
    <s v="N/A"/>
    <s v="OFF"/>
    <m/>
    <n v="-5.2"/>
    <m/>
    <m/>
    <s v="OFF"/>
    <s v="NO"/>
  </r>
  <r>
    <x v="81"/>
    <m/>
    <m/>
    <m/>
    <m/>
    <m/>
    <n v="0"/>
    <n v="0"/>
    <m/>
    <n v="0"/>
    <x v="0"/>
    <e v="#DIV/0!"/>
    <e v="#DIV/0!"/>
    <n v="0"/>
    <m/>
    <m/>
    <x v="0"/>
    <e v="#DIV/0!"/>
    <e v="#DIV/0!"/>
    <m/>
    <n v="0"/>
    <e v="#DIV/0!"/>
    <m/>
    <m/>
    <m/>
    <n v="0"/>
    <s v="N/A"/>
    <s v="OFF"/>
    <m/>
    <n v="0"/>
    <m/>
    <m/>
    <s v="OFF"/>
    <s v="NO"/>
  </r>
  <r>
    <x v="81"/>
    <m/>
    <m/>
    <m/>
    <m/>
    <m/>
    <n v="0"/>
    <n v="0"/>
    <m/>
    <n v="0"/>
    <x v="0"/>
    <e v="#DIV/0!"/>
    <e v="#DIV/0!"/>
    <n v="0"/>
    <m/>
    <m/>
    <x v="0"/>
    <e v="#DIV/0!"/>
    <e v="#DIV/0!"/>
    <m/>
    <n v="0"/>
    <e v="#DIV/0!"/>
    <m/>
    <m/>
    <m/>
    <n v="0"/>
    <s v="N/A"/>
    <s v="OFF"/>
    <m/>
    <n v="0"/>
    <m/>
    <m/>
    <s v="OFF"/>
    <s v="NO"/>
  </r>
  <r>
    <x v="81"/>
    <m/>
    <m/>
    <m/>
    <m/>
    <m/>
    <n v="0"/>
    <n v="0"/>
    <m/>
    <n v="0"/>
    <x v="0"/>
    <e v="#DIV/0!"/>
    <n v="1"/>
    <n v="0"/>
    <m/>
    <m/>
    <x v="0"/>
    <e v="#DIV/0!"/>
    <n v="1"/>
    <m/>
    <n v="0"/>
    <e v="#DIV/0!"/>
    <m/>
    <m/>
    <m/>
    <n v="0"/>
    <s v="N/A"/>
    <s v="OFF"/>
    <m/>
    <n v="0"/>
    <m/>
    <m/>
    <s v="OFF"/>
    <s v="NO"/>
  </r>
  <r>
    <x v="82"/>
    <d v="1899-12-30T09:30:00"/>
    <n v="17.5"/>
    <n v="17"/>
    <n v="22.4"/>
    <n v="22"/>
    <n v="0.5"/>
    <n v="0.39999999999999858"/>
    <n v="49.9"/>
    <n v="12.900000000000002"/>
    <x v="32"/>
    <n v="1.3486486486486486"/>
    <n v="-4.1753653444676408E-2"/>
    <n v="37"/>
    <n v="12.2"/>
    <m/>
    <x v="24"/>
    <n v="1.4919354838709677"/>
    <n v="2.6954177897572595E-3"/>
    <n v="25.1"/>
    <n v="24.8"/>
    <n v="0.50300601202404815"/>
    <m/>
    <m/>
    <n v="5.2"/>
    <n v="5.2"/>
    <s v="N/A"/>
    <s v="OFF"/>
    <n v="5.2"/>
    <n v="5.2"/>
    <n v="2.2999999999999998"/>
    <s v="IZQUIERDA"/>
    <s v="OFF"/>
    <s v="NO"/>
  </r>
  <r>
    <x v="83"/>
    <d v="1899-12-30T08:30:00"/>
    <n v="17.399999999999999"/>
    <n v="17"/>
    <n v="22.4"/>
    <n v="22"/>
    <n v="0.39999999999999858"/>
    <n v="0.39999999999999858"/>
    <n v="47.9"/>
    <n v="10.8"/>
    <x v="33"/>
    <n v="1.2911051212938005"/>
    <e v="#DIV/0!"/>
    <n v="37.099999999999994"/>
    <n v="12.2"/>
    <m/>
    <x v="25"/>
    <n v="1.4899598393574296"/>
    <e v="#DIV/0!"/>
    <n v="23"/>
    <n v="24.899999999999995"/>
    <n v="0.4801670146137787"/>
    <m/>
    <m/>
    <n v="5.2"/>
    <n v="0"/>
    <s v="N/A"/>
    <s v="OFF"/>
    <n v="5.2"/>
    <n v="0"/>
    <n v="2.2000000000000002"/>
    <s v="IZQUIERDA"/>
    <s v="OFF"/>
    <m/>
  </r>
  <r>
    <x v="84"/>
    <m/>
    <m/>
    <m/>
    <m/>
    <m/>
    <n v="0"/>
    <n v="0"/>
    <m/>
    <n v="0"/>
    <x v="0"/>
    <e v="#DIV/0!"/>
    <e v="#DIV/0!"/>
    <n v="0"/>
    <m/>
    <m/>
    <x v="0"/>
    <e v="#DIV/0!"/>
    <e v="#DIV/0!"/>
    <m/>
    <n v="0"/>
    <e v="#DIV/0!"/>
    <m/>
    <m/>
    <m/>
    <n v="-5.2"/>
    <s v="N/A"/>
    <s v="OFF"/>
    <m/>
    <n v="-5.2"/>
    <m/>
    <s v="IZQUIERDA"/>
    <s v="OFF"/>
    <m/>
  </r>
  <r>
    <x v="85"/>
    <m/>
    <m/>
    <m/>
    <m/>
    <m/>
    <n v="0"/>
    <n v="0"/>
    <m/>
    <n v="0"/>
    <x v="0"/>
    <e v="#DIV/0!"/>
    <n v="1"/>
    <n v="0"/>
    <m/>
    <m/>
    <x v="0"/>
    <e v="#DIV/0!"/>
    <n v="1"/>
    <m/>
    <n v="0"/>
    <e v="#DIV/0!"/>
    <m/>
    <m/>
    <m/>
    <n v="0"/>
    <s v="N/A"/>
    <m/>
    <m/>
    <n v="0"/>
    <m/>
    <s v="IZQUIERDA"/>
    <s v="OFF"/>
    <m/>
  </r>
  <r>
    <x v="86"/>
    <d v="1899-12-30T08:00:00"/>
    <n v="18.7"/>
    <n v="17.2"/>
    <n v="24.5"/>
    <n v="24"/>
    <n v="1.5"/>
    <n v="0.5"/>
    <n v="45.9"/>
    <n v="29.4"/>
    <x v="34"/>
    <n v="2.7818181818181813"/>
    <n v="0.12404580152671756"/>
    <n v="16.5"/>
    <n v="10"/>
    <m/>
    <x v="26"/>
    <n v="2.5384615384615388"/>
    <n v="0.34"/>
    <n v="39.4"/>
    <n v="6.5"/>
    <n v="0.85838779956427014"/>
    <m/>
    <m/>
    <n v="5.3"/>
    <n v="5.3"/>
    <s v="N/A"/>
    <s v="OFF"/>
    <n v="5.3"/>
    <n v="5.3"/>
    <n v="3.2"/>
    <s v="IZQUIERDA"/>
    <s v="OFF"/>
    <s v="SI "/>
  </r>
  <r>
    <x v="87"/>
    <d v="1899-12-30T08:30:00"/>
    <n v="17.2"/>
    <n v="17"/>
    <n v="22.6"/>
    <n v="22"/>
    <n v="0.19999999999999929"/>
    <n v="0.60000000000000142"/>
    <n v="52.4"/>
    <n v="27.4"/>
    <x v="35"/>
    <n v="2.0960000000000001"/>
    <n v="-3.5573122529644209E-2"/>
    <n v="25"/>
    <n v="8"/>
    <m/>
    <x v="27"/>
    <n v="1.4705882352941178"/>
    <n v="-0.11111111111111094"/>
    <n v="35.4"/>
    <n v="17"/>
    <n v="0.67557251908396942"/>
    <m/>
    <m/>
    <n v="5.2"/>
    <n v="-9.9999999999999645E-2"/>
    <s v="N/A"/>
    <s v="OFF"/>
    <n v="5.2"/>
    <n v="-9.9999999999999645E-2"/>
    <n v="2.2999999999999998"/>
    <s v="IZQUIERDA"/>
    <s v="OFF"/>
    <s v="NO"/>
  </r>
  <r>
    <x v="88"/>
    <d v="1899-12-30T10:30:00"/>
    <n v="17.600000000000001"/>
    <n v="17"/>
    <n v="23.2"/>
    <n v="23"/>
    <n v="0.60000000000000142"/>
    <n v="0.19999999999999929"/>
    <n v="50.6"/>
    <n v="28.099999999999998"/>
    <x v="36"/>
    <n v="2.2488888888888883"/>
    <n v="-4.3298969072164975E-2"/>
    <n v="22.500000000000004"/>
    <n v="5.2"/>
    <m/>
    <x v="28"/>
    <n v="1.3005780346820808"/>
    <n v="5.4621848739495681E-2"/>
    <n v="33.299999999999997"/>
    <n v="17.300000000000004"/>
    <n v="0.65810276679841895"/>
    <m/>
    <m/>
    <n v="5.3"/>
    <n v="9.9999999999999645E-2"/>
    <s v="N/A"/>
    <s v="OFF"/>
    <n v="5.3"/>
    <n v="9.9999999999999645E-2"/>
    <n v="2.4"/>
    <s v="IZQUIERDA"/>
    <s v="OFF"/>
    <s v="NO"/>
  </r>
  <r>
    <x v="89"/>
    <d v="1899-12-30T10:00:00"/>
    <n v="17.7"/>
    <n v="17"/>
    <n v="23.3"/>
    <n v="23"/>
    <n v="0.69999999999999929"/>
    <n v="0.30000000000000071"/>
    <n v="48.5"/>
    <n v="24.7"/>
    <x v="37"/>
    <n v="2.03781512605042"/>
    <e v="#DIV/0!"/>
    <n v="23.8"/>
    <n v="5"/>
    <m/>
    <x v="29"/>
    <n v="1.2659574468085106"/>
    <n v="-3.7600000000000002"/>
    <n v="29.7"/>
    <n v="18.8"/>
    <n v="0.61237113402061849"/>
    <m/>
    <m/>
    <n v="5.0999999999999996"/>
    <n v="-0.20000000000000018"/>
    <s v="N/A"/>
    <s v="OFF"/>
    <n v="5.0999999999999996"/>
    <n v="-0.20000000000000018"/>
    <n v="2.4"/>
    <s v="IZQUIERDA"/>
    <s v="OFF"/>
    <s v="NO"/>
  </r>
  <r>
    <x v="90"/>
    <d v="1899-12-30T08:30:00"/>
    <m/>
    <m/>
    <m/>
    <m/>
    <n v="0"/>
    <n v="0"/>
    <m/>
    <n v="-5"/>
    <x v="0"/>
    <e v="#DIV/0!"/>
    <e v="#DIV/0!"/>
    <n v="5"/>
    <n v="5"/>
    <m/>
    <x v="30"/>
    <e v="#DIV/0!"/>
    <n v="0"/>
    <m/>
    <n v="0"/>
    <e v="#DIV/0!"/>
    <m/>
    <m/>
    <m/>
    <n v="-5.0999999999999996"/>
    <s v="N/A"/>
    <s v="OFF"/>
    <m/>
    <n v="-5.0999999999999996"/>
    <m/>
    <m/>
    <s v="OFF"/>
    <s v="NO"/>
  </r>
  <r>
    <x v="91"/>
    <m/>
    <m/>
    <m/>
    <m/>
    <m/>
    <n v="0"/>
    <n v="0"/>
    <m/>
    <n v="-5"/>
    <x v="0"/>
    <e v="#DIV/0!"/>
    <e v="#DIV/0!"/>
    <n v="5"/>
    <n v="5"/>
    <m/>
    <x v="30"/>
    <e v="#DIV/0!"/>
    <n v="0"/>
    <m/>
    <n v="0"/>
    <e v="#DIV/0!"/>
    <m/>
    <m/>
    <m/>
    <n v="0"/>
    <s v="N/A"/>
    <s v="OFF"/>
    <m/>
    <n v="0"/>
    <m/>
    <m/>
    <s v="OFF"/>
    <s v="NO"/>
  </r>
  <r>
    <x v="92"/>
    <m/>
    <m/>
    <m/>
    <m/>
    <m/>
    <n v="0"/>
    <n v="0"/>
    <m/>
    <n v="-5"/>
    <x v="0"/>
    <e v="#DIV/0!"/>
    <e v="#DIV/0!"/>
    <n v="5"/>
    <n v="5"/>
    <m/>
    <x v="30"/>
    <e v="#DIV/0!"/>
    <n v="0"/>
    <m/>
    <n v="0"/>
    <e v="#DIV/0!"/>
    <m/>
    <m/>
    <m/>
    <n v="0"/>
    <s v="N/A"/>
    <s v="OFF"/>
    <m/>
    <n v="0"/>
    <m/>
    <m/>
    <s v="OFF"/>
    <s v="NO"/>
  </r>
  <r>
    <x v="93"/>
    <m/>
    <m/>
    <m/>
    <m/>
    <m/>
    <n v="0"/>
    <n v="0"/>
    <m/>
    <n v="-5"/>
    <x v="0"/>
    <e v="#DIV/0!"/>
    <n v="1"/>
    <n v="5"/>
    <n v="5"/>
    <m/>
    <x v="30"/>
    <e v="#DIV/0!"/>
    <n v="0.84848484848484851"/>
    <m/>
    <n v="0"/>
    <e v="#DIV/0!"/>
    <m/>
    <m/>
    <m/>
    <n v="0"/>
    <m/>
    <s v="OFF"/>
    <m/>
    <n v="0"/>
    <m/>
    <m/>
    <s v="OFF"/>
    <s v="NO"/>
  </r>
  <r>
    <x v="94"/>
    <d v="1899-12-30T08:30:00"/>
    <n v="17.100000000000001"/>
    <n v="17"/>
    <n v="22.3"/>
    <n v="23"/>
    <n v="0.10000000000000142"/>
    <n v="-0.69999999999999929"/>
    <n v="58.2"/>
    <n v="25.2"/>
    <x v="38"/>
    <n v="1.7636363636363637"/>
    <n v="3.4246575342465023E-3"/>
    <n v="33"/>
    <n v="5"/>
    <m/>
    <x v="31"/>
    <n v="1.1785714285714286"/>
    <n v="2.3668639053254354E-2"/>
    <n v="30.2"/>
    <n v="28"/>
    <n v="0.51890034364261162"/>
    <m/>
    <m/>
    <n v="4.4000000000000004"/>
    <n v="4.4000000000000004"/>
    <s v="N/A"/>
    <s v="OFF"/>
    <n v="4.4000000000000004"/>
    <n v="4.4000000000000004"/>
    <n v="3.1"/>
    <s v="IZQUIERDA"/>
    <s v="OFF"/>
    <s v="NO"/>
  </r>
  <r>
    <x v="95"/>
    <d v="1899-12-30T09:00:00"/>
    <n v="17.100000000000001"/>
    <n v="17"/>
    <n v="22.3"/>
    <n v="22"/>
    <n v="0.10000000000000142"/>
    <n v="0.30000000000000071"/>
    <n v="58.4"/>
    <n v="24.6"/>
    <x v="39"/>
    <n v="1.7278106508875741"/>
    <n v="-2.0979020979020904E-2"/>
    <n v="33.799999999999997"/>
    <n v="5"/>
    <m/>
    <x v="32"/>
    <n v="1.1736111111111112"/>
    <n v="-2.9673590504449348E-3"/>
    <n v="29.6"/>
    <n v="28.799999999999997"/>
    <n v="0.50684931506849318"/>
    <m/>
    <m/>
    <n v="5"/>
    <n v="0.59999999999999964"/>
    <s v="N/A"/>
    <s v="OFF"/>
    <n v="5"/>
    <n v="0.59999999999999964"/>
    <n v="3.1"/>
    <s v="IZQUIERDA"/>
    <s v="OFF"/>
    <s v="NO"/>
  </r>
  <r>
    <x v="96"/>
    <d v="1899-12-30T09:00:00"/>
    <n v="17.100000000000001"/>
    <n v="17"/>
    <n v="22.4"/>
    <n v="22"/>
    <n v="0.10000000000000142"/>
    <n v="0.39999999999999858"/>
    <n v="57.2"/>
    <n v="23.5"/>
    <x v="40"/>
    <n v="1.6973293768545994"/>
    <n v="3.484320557491215E-3"/>
    <n v="33.700000000000003"/>
    <n v="5"/>
    <m/>
    <x v="33"/>
    <n v="1.1742160278745646"/>
    <n v="-1.2012012012012184E-2"/>
    <n v="28.5"/>
    <n v="28.700000000000003"/>
    <n v="0.49825174825174823"/>
    <m/>
    <m/>
    <n v="4.3"/>
    <n v="-0.70000000000000018"/>
    <s v="N/A"/>
    <s v="OFF"/>
    <n v="4.3"/>
    <n v="-0.70000000000000018"/>
    <n v="3.1"/>
    <s v="IZQUIERDA"/>
    <s v="OFF"/>
    <s v="NO"/>
  </r>
  <r>
    <x v="97"/>
    <d v="1899-12-30T10:00:00"/>
    <n v="17.2"/>
    <n v="17"/>
    <n v="22.4"/>
    <n v="22"/>
    <n v="0.19999999999999929"/>
    <n v="0.39999999999999858"/>
    <n v="57.4"/>
    <n v="24.1"/>
    <x v="41"/>
    <n v="1.7237237237237237"/>
    <e v="#DIV/0!"/>
    <n v="33.299999999999997"/>
    <n v="5"/>
    <m/>
    <x v="34"/>
    <n v="1.1766784452296819"/>
    <n v="-5.6599999999999993"/>
    <n v="29.1"/>
    <n v="28.299999999999997"/>
    <n v="0.50696864111498263"/>
    <m/>
    <m/>
    <n v="5.0999999999999996"/>
    <n v="0.79999999999999982"/>
    <s v="N/A"/>
    <s v="OFF"/>
    <n v="5.0999999999999996"/>
    <n v="0.79999999999999982"/>
    <n v="3.1"/>
    <s v="IZQUIERDA"/>
    <s v="OFF"/>
    <s v="NO"/>
  </r>
  <r>
    <x v="98"/>
    <m/>
    <m/>
    <m/>
    <m/>
    <m/>
    <n v="0"/>
    <n v="0"/>
    <m/>
    <n v="-5"/>
    <x v="0"/>
    <e v="#DIV/0!"/>
    <e v="#DIV/0!"/>
    <n v="5"/>
    <n v="5"/>
    <m/>
    <x v="30"/>
    <e v="#DIV/0!"/>
    <n v="0"/>
    <m/>
    <n v="0"/>
    <e v="#DIV/0!"/>
    <m/>
    <m/>
    <m/>
    <n v="-5.0999999999999996"/>
    <s v="N/A"/>
    <s v="OFF"/>
    <m/>
    <n v="-5.0999999999999996"/>
    <m/>
    <m/>
    <s v="OFF"/>
    <m/>
  </r>
  <r>
    <x v="99"/>
    <m/>
    <m/>
    <m/>
    <m/>
    <m/>
    <n v="0"/>
    <n v="0"/>
    <m/>
    <n v="-5"/>
    <x v="0"/>
    <e v="#DIV/0!"/>
    <e v="#DIV/0!"/>
    <n v="5"/>
    <n v="5"/>
    <m/>
    <x v="30"/>
    <e v="#DIV/0!"/>
    <n v="0"/>
    <m/>
    <n v="0"/>
    <e v="#DIV/0!"/>
    <m/>
    <m/>
    <m/>
    <n v="0"/>
    <s v="N/A"/>
    <s v="OFF"/>
    <m/>
    <n v="0"/>
    <m/>
    <m/>
    <s v="OFF"/>
    <m/>
  </r>
  <r>
    <x v="100"/>
    <m/>
    <m/>
    <m/>
    <m/>
    <m/>
    <n v="0"/>
    <n v="0"/>
    <m/>
    <n v="-5"/>
    <x v="0"/>
    <e v="#DIV/0!"/>
    <e v="#DIV/0!"/>
    <n v="5"/>
    <n v="5"/>
    <m/>
    <x v="30"/>
    <e v="#DIV/0!"/>
    <n v="0"/>
    <m/>
    <n v="0"/>
    <e v="#DIV/0!"/>
    <m/>
    <m/>
    <m/>
    <n v="0"/>
    <s v="N/A"/>
    <s v="OFF"/>
    <m/>
    <n v="0"/>
    <m/>
    <m/>
    <s v="OFF"/>
    <m/>
  </r>
  <r>
    <x v="101"/>
    <m/>
    <m/>
    <m/>
    <m/>
    <m/>
    <n v="0"/>
    <n v="0"/>
    <m/>
    <n v="-5"/>
    <x v="0"/>
    <e v="#DIV/0!"/>
    <n v="1"/>
    <n v="5"/>
    <n v="5"/>
    <m/>
    <x v="30"/>
    <e v="#DIV/0!"/>
    <n v="0.77876106194690264"/>
    <m/>
    <n v="0"/>
    <e v="#DIV/0!"/>
    <m/>
    <m/>
    <m/>
    <n v="0"/>
    <s v="N/A"/>
    <s v="OFF"/>
    <m/>
    <n v="0"/>
    <m/>
    <m/>
    <m/>
    <m/>
  </r>
  <r>
    <x v="102"/>
    <d v="1899-12-30T08:30:00"/>
    <n v="18.399999999999999"/>
    <n v="18"/>
    <n v="24"/>
    <n v="24"/>
    <n v="0.39999999999999858"/>
    <n v="0"/>
    <n v="52.6"/>
    <n v="30"/>
    <x v="42"/>
    <n v="2.3274336283185839"/>
    <n v="1.4981273408239647E-2"/>
    <n v="22.6"/>
    <n v="5.8999999999999986"/>
    <m/>
    <x v="35"/>
    <n v="1.3532934131736525"/>
    <n v="7.3770491803278576E-2"/>
    <n v="35.9"/>
    <n v="16.700000000000003"/>
    <n v="0.68250950570342206"/>
    <m/>
    <m/>
    <n v="5.0999999999999996"/>
    <n v="5.0999999999999996"/>
    <s v="N/A"/>
    <s v="OFF"/>
    <n v="5.0999999999999996"/>
    <n v="5.0999999999999996"/>
    <n v="3.3"/>
    <s v="IZQUIERDA"/>
    <s v="OFF"/>
    <s v="NO"/>
  </r>
  <r>
    <x v="103"/>
    <d v="1899-12-30T09:00:00"/>
    <n v="17.899999999999999"/>
    <n v="17"/>
    <n v="23.4"/>
    <n v="23"/>
    <n v="0.89999999999999858"/>
    <n v="0.39999999999999858"/>
    <n v="53.4"/>
    <n v="29"/>
    <x v="43"/>
    <n v="2.1885245901639343"/>
    <n v="6.8062827225130865E-2"/>
    <n v="24.4"/>
    <n v="2.8000000000000007"/>
    <m/>
    <x v="36"/>
    <n v="1.1296296296296298"/>
    <n v="0.1378091872791519"/>
    <n v="31.8"/>
    <n v="21.599999999999998"/>
    <n v="0.5955056179775281"/>
    <m/>
    <m/>
    <n v="5"/>
    <n v="-9.9999999999999645E-2"/>
    <s v="N/A"/>
    <s v="OFF"/>
    <n v="5"/>
    <n v="-9.9999999999999645E-2"/>
    <n v="3.1"/>
    <s v="IZQUIERDA"/>
    <s v="OFF"/>
    <s v="NO"/>
  </r>
  <r>
    <x v="104"/>
    <d v="1899-12-30T08:30:00"/>
    <n v="17"/>
    <n v="17"/>
    <n v="22.2"/>
    <n v="22"/>
    <n v="0"/>
    <n v="0.19999999999999929"/>
    <n v="57.3"/>
    <n v="29"/>
    <x v="44"/>
    <n v="2.0247349823321557"/>
    <e v="#DIV/0!"/>
    <n v="28.299999999999997"/>
    <n v="1.5"/>
    <m/>
    <x v="37"/>
    <n v="1.0559701492537314"/>
    <e v="#DIV/0!"/>
    <n v="30.5"/>
    <n v="26.799999999999997"/>
    <n v="0.53228621291448519"/>
    <m/>
    <m/>
    <n v="4.4000000000000004"/>
    <n v="-0.59999999999999964"/>
    <s v="N/A"/>
    <s v="OFF"/>
    <n v="4.4000000000000004"/>
    <n v="-0.59999999999999964"/>
    <n v="3.1"/>
    <s v="IZQUIERDA"/>
    <s v="OFF"/>
    <s v="NO"/>
  </r>
  <r>
    <x v="105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-4.4000000000000004"/>
    <s v="N/A"/>
    <s v="OFF"/>
    <m/>
    <n v="-4.4000000000000004"/>
    <m/>
    <m/>
    <s v="OFF"/>
    <s v="NO"/>
  </r>
  <r>
    <x v="106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s v="NO"/>
  </r>
  <r>
    <x v="107"/>
    <d v="1899-12-30T10:00:00"/>
    <n v="17.7"/>
    <n v="17"/>
    <n v="23.2"/>
    <n v="23"/>
    <n v="0.69999999999999929"/>
    <n v="0.19999999999999929"/>
    <n v="48.8"/>
    <n v="29"/>
    <x v="45"/>
    <n v="2.464646464646465"/>
    <n v="-1.8789144050104355E-2"/>
    <n v="19.799999999999997"/>
    <n v="-0.39999999999999858"/>
    <m/>
    <x v="38"/>
    <n v="0.98019801980198029"/>
    <n v="-4.7619047619047547E-2"/>
    <n v="28.6"/>
    <n v="20.199999999999996"/>
    <n v="0.58606557377049184"/>
    <m/>
    <m/>
    <n v="4.2"/>
    <n v="4.2"/>
    <s v="N/A"/>
    <s v="OFF"/>
    <n v="4.2"/>
    <n v="4.2"/>
    <n v="1"/>
    <s v="IZQUIERDA"/>
    <s v="OFF"/>
    <s v="NO"/>
  </r>
  <r>
    <x v="108"/>
    <d v="1899-12-30T08:00:00"/>
    <n v="17.899999999999999"/>
    <n v="17"/>
    <n v="23.6"/>
    <n v="23"/>
    <n v="0.89999999999999858"/>
    <n v="0.60000000000000142"/>
    <n v="47.9"/>
    <n v="29"/>
    <x v="46"/>
    <n v="2.5343915343915349"/>
    <n v="-8.4210526315789177E-3"/>
    <n v="18.899999999999999"/>
    <n v="-0.39999999999999858"/>
    <m/>
    <x v="39"/>
    <n v="0.97927461139896377"/>
    <n v="-2.1621621621621546E-2"/>
    <n v="28.6"/>
    <n v="19.299999999999997"/>
    <n v="0.59707724425887265"/>
    <m/>
    <m/>
    <n v="4.2"/>
    <n v="0"/>
    <s v="N/A"/>
    <s v="OFF"/>
    <n v="4.2"/>
    <n v="0"/>
    <n v="3.1"/>
    <s v="IZQUIERDA"/>
    <s v="OFF"/>
    <s v="NO"/>
  </r>
  <r>
    <x v="109"/>
    <d v="1899-12-30T09:00:00"/>
    <n v="17.3"/>
    <n v="17"/>
    <n v="23.4"/>
    <n v="23"/>
    <n v="0.30000000000000071"/>
    <n v="0.39999999999999858"/>
    <n v="47.5"/>
    <n v="29"/>
    <x v="47"/>
    <n v="2.5675675675675675"/>
    <n v="1.6563146997929549E-2"/>
    <n v="18.5"/>
    <n v="-1.6999999999999993"/>
    <m/>
    <x v="40"/>
    <n v="0.91584158415841588"/>
    <n v="4.1450777202072395E-2"/>
    <n v="27.3"/>
    <n v="20.2"/>
    <n v="0.57473684210526321"/>
    <m/>
    <m/>
    <n v="4.0999999999999996"/>
    <n v="-0.10000000000000053"/>
    <s v="N/A"/>
    <s v="OFF"/>
    <n v="4.0999999999999996"/>
    <n v="-0.10000000000000053"/>
    <n v="1"/>
    <s v="IZQUIERDA"/>
    <s v="OFF"/>
    <s v="NO"/>
  </r>
  <r>
    <x v="110"/>
    <d v="1899-12-30T09:30:00"/>
    <n v="17.7"/>
    <n v="17"/>
    <n v="23.3"/>
    <n v="23"/>
    <n v="0.69999999999999929"/>
    <n v="0.30000000000000071"/>
    <n v="48.3"/>
    <n v="29"/>
    <x v="48"/>
    <n v="2.5025906735751295"/>
    <e v="#DIV/0!"/>
    <n v="19.299999999999997"/>
    <n v="-0.39999999999999858"/>
    <m/>
    <x v="41"/>
    <n v="0.97969543147208138"/>
    <e v="#DIV/0!"/>
    <n v="28.6"/>
    <n v="19.699999999999996"/>
    <n v="0.59213250517598348"/>
    <m/>
    <m/>
    <n v="4.0999999999999996"/>
    <n v="0"/>
    <s v="N/A"/>
    <s v="OFF"/>
    <n v="4.0999999999999996"/>
    <n v="0"/>
    <n v="1"/>
    <s v="IZQUIERDA"/>
    <s v="OFF"/>
    <s v="NO"/>
  </r>
  <r>
    <x v="111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-4.0999999999999996"/>
    <s v="N/A"/>
    <s v="OFF"/>
    <m/>
    <n v="-4.0999999999999996"/>
    <m/>
    <m/>
    <s v="OFF"/>
    <m/>
  </r>
  <r>
    <x v="112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m/>
  </r>
  <r>
    <x v="113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m/>
  </r>
  <r>
    <x v="114"/>
    <d v="1899-12-30T08:30:00"/>
    <n v="17.2"/>
    <n v="17"/>
    <n v="22.6"/>
    <n v="23"/>
    <n v="0.19999999999999929"/>
    <n v="-0.39999999999999858"/>
    <n v="54.7"/>
    <n v="29"/>
    <x v="49"/>
    <n v="2.1284046692607004"/>
    <n v="-0.39540816326530609"/>
    <n v="25.700000000000003"/>
    <n v="15.399999999999999"/>
    <m/>
    <x v="42"/>
    <n v="2.4951456310679605"/>
    <n v="-0.49418604651162784"/>
    <n v="44.4"/>
    <n v="10.300000000000004"/>
    <n v="0.81170018281535639"/>
    <m/>
    <m/>
    <n v="4.3"/>
    <n v="4.3"/>
    <s v="N/A"/>
    <s v="OFF"/>
    <n v="4.3"/>
    <n v="4.3"/>
    <n v="2.2999999999999998"/>
    <s v="DERECHA"/>
    <s v="OFF"/>
    <s v="SI "/>
  </r>
  <r>
    <x v="115"/>
    <d v="1899-12-30T08:30:00"/>
    <n v="16.600000000000001"/>
    <n v="16.5"/>
    <n v="22.5"/>
    <n v="22"/>
    <n v="0.10000000000000142"/>
    <n v="0.5"/>
    <n v="39.200000000000003"/>
    <n v="22"/>
    <x v="50"/>
    <n v="2.2790697674418601"/>
    <n v="-0.32881355932203399"/>
    <n v="17.200000000000003"/>
    <n v="6.1000000000000014"/>
    <m/>
    <x v="43"/>
    <n v="1.5495495495495495"/>
    <n v="-1.0235294117647062"/>
    <n v="28.1"/>
    <n v="11.100000000000001"/>
    <n v="0.71683673469387754"/>
    <m/>
    <m/>
    <n v="6"/>
    <n v="1.7000000000000002"/>
    <s v="N/A"/>
    <s v="OFF"/>
    <n v="6"/>
    <n v="1.7000000000000002"/>
    <n v="1"/>
    <s v="IZQUIERDA"/>
    <s v="OFF"/>
    <s v="NO"/>
  </r>
  <r>
    <x v="116"/>
    <d v="1899-12-30T09:00:00"/>
    <n v="16.899999999999999"/>
    <n v="16.5"/>
    <n v="23"/>
    <n v="23"/>
    <n v="0.39999999999999858"/>
    <n v="0"/>
    <n v="29.5"/>
    <n v="21"/>
    <x v="51"/>
    <n v="3.4705882352941178"/>
    <n v="0.17827298050139273"/>
    <n v="8.5"/>
    <n v="3.1000000000000014"/>
    <m/>
    <x v="44"/>
    <n v="1.5740740740740744"/>
    <n v="0.38848920863309344"/>
    <n v="24.1"/>
    <n v="5.3999999999999986"/>
    <n v="0.81694915254237288"/>
    <m/>
    <m/>
    <n v="6.1"/>
    <n v="9.9999999999999645E-2"/>
    <s v="N/A"/>
    <s v="OFF"/>
    <n v="6.1"/>
    <n v="9.9999999999999645E-2"/>
    <n v="1"/>
    <s v="IZQUIERDA"/>
    <s v="OFF"/>
    <s v="NO"/>
  </r>
  <r>
    <x v="117"/>
    <d v="1899-12-30T09:00:00"/>
    <n v="17.2"/>
    <n v="17"/>
    <n v="23.1"/>
    <n v="23"/>
    <n v="0.19999999999999929"/>
    <n v="0.10000000000000142"/>
    <n v="35.9"/>
    <n v="22"/>
    <x v="52"/>
    <n v="2.5827338129496407"/>
    <n v="-7.1641791044776082E-2"/>
    <n v="13.899999999999999"/>
    <n v="2"/>
    <m/>
    <x v="45"/>
    <n v="1.1680672268907564"/>
    <n v="-2.0888888888888886"/>
    <n v="24"/>
    <n v="11.899999999999999"/>
    <n v="0.66852367688022285"/>
    <m/>
    <m/>
    <n v="6"/>
    <n v="-9.9999999999999645E-2"/>
    <s v="N/A"/>
    <s v="OFF"/>
    <n v="6"/>
    <n v="-9.9999999999999645E-2"/>
    <n v="2"/>
    <s v="IZQUIERDA"/>
    <s v="OFF"/>
    <s v="NO"/>
  </r>
  <r>
    <x v="118"/>
    <d v="1899-12-30T08:30:00"/>
    <n v="16.100000000000001"/>
    <n v="16"/>
    <n v="22.9"/>
    <n v="23"/>
    <n v="0.10000000000000142"/>
    <n v="-0.10000000000000142"/>
    <n v="33.5"/>
    <n v="29"/>
    <x v="53"/>
    <n v="7.4444444444444411"/>
    <e v="#DIV/0!"/>
    <n v="4.5"/>
    <n v="-7.1000000000000014"/>
    <m/>
    <x v="46"/>
    <n v="0.38793103448275851"/>
    <e v="#DIV/0!"/>
    <n v="21.9"/>
    <n v="11.600000000000001"/>
    <n v="0.65373134328358207"/>
    <m/>
    <m/>
    <n v="6.1"/>
    <n v="9.9999999999999645E-2"/>
    <s v="N/A"/>
    <s v="OFF"/>
    <n v="6.1"/>
    <n v="9.9999999999999645E-2"/>
    <n v="3"/>
    <s v="IZQUIERDA"/>
    <s v="OFF"/>
    <s v="NO"/>
  </r>
  <r>
    <x v="119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-6.1"/>
    <s v="N/A"/>
    <s v="OFF"/>
    <m/>
    <n v="-6.1"/>
    <m/>
    <s v="IZQUIERDA"/>
    <s v="OFF"/>
    <m/>
  </r>
  <r>
    <x v="120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s v="IZQUIERDA"/>
    <s v="OFF"/>
    <s v="SI "/>
  </r>
  <r>
    <x v="121"/>
    <d v="1899-12-30T08:30:00"/>
    <n v="16.3"/>
    <n v="16"/>
    <n v="22.1"/>
    <n v="23"/>
    <n v="0.30000000000000071"/>
    <n v="-0.89999999999999858"/>
    <n v="43.3"/>
    <n v="29"/>
    <x v="54"/>
    <n v="3.0279720279720279"/>
    <n v="-0.1766304347826087"/>
    <n v="14.299999999999997"/>
    <n v="7.8999999999999986"/>
    <m/>
    <x v="47"/>
    <n v="2.2343750000000004"/>
    <n v="-0.62500000000000022"/>
    <n v="36.9"/>
    <n v="6.3999999999999986"/>
    <n v="0.85219399538106233"/>
    <m/>
    <m/>
    <n v="5.2"/>
    <n v="5.2"/>
    <s v="N/A"/>
    <s v="OFF"/>
    <n v="5.2"/>
    <n v="5.2"/>
    <n v="3.1"/>
    <s v="IZQUIERDA"/>
    <s v="OFF"/>
    <s v="SI "/>
  </r>
  <r>
    <x v="122"/>
    <d v="1899-12-30T08:30:00"/>
    <n v="17.5"/>
    <n v="17"/>
    <n v="23"/>
    <n v="23"/>
    <n v="0.5"/>
    <n v="0"/>
    <n v="36.799999999999997"/>
    <n v="28"/>
    <x v="55"/>
    <n v="4.1818181818181825"/>
    <e v="#DIV/0!"/>
    <n v="8.7999999999999972"/>
    <n v="2.8000000000000007"/>
    <m/>
    <x v="48"/>
    <n v="1.466666666666667"/>
    <e v="#DIV/0!"/>
    <n v="30.8"/>
    <n v="5.9999999999999964"/>
    <n v="0.83695652173913049"/>
    <m/>
    <m/>
    <n v="5.0999999999999996"/>
    <n v="-0.10000000000000053"/>
    <s v="N/A"/>
    <s v="OFF"/>
    <n v="5.0999999999999996"/>
    <n v="-0.10000000000000053"/>
    <n v="4"/>
    <s v="IZQUIERDA"/>
    <s v="OFF"/>
    <s v="NO"/>
  </r>
  <r>
    <x v="123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-5.0999999999999996"/>
    <s v="N/A"/>
    <s v="OFF"/>
    <m/>
    <n v="-5.0999999999999996"/>
    <m/>
    <m/>
    <s v="OFF"/>
    <m/>
  </r>
  <r>
    <x v="124"/>
    <d v="1899-12-30T09:00:00"/>
    <n v="17.2"/>
    <n v="17"/>
    <n v="23.3"/>
    <n v="23"/>
    <n v="0.19999999999999929"/>
    <n v="0.30000000000000071"/>
    <n v="32"/>
    <n v="22"/>
    <x v="56"/>
    <n v="3.2"/>
    <n v="-0.12280701754385964"/>
    <n v="10"/>
    <n v="3.8000000000000007"/>
    <m/>
    <x v="49"/>
    <n v="1.612903225806452"/>
    <n v="-0.33333333333333331"/>
    <n v="25.8"/>
    <n v="6.1999999999999993"/>
    <n v="0.80625000000000002"/>
    <m/>
    <m/>
    <n v="6.1"/>
    <n v="6.1"/>
    <s v="N/A"/>
    <s v="OFF"/>
    <n v="6.1"/>
    <n v="6.1"/>
    <n v="4"/>
    <s v="IZQUIERDA"/>
    <s v="OFF"/>
    <s v="NO"/>
  </r>
  <r>
    <x v="125"/>
    <d v="1899-12-30T08:30:00"/>
    <n v="18.399999999999999"/>
    <n v="17"/>
    <n v="24.6"/>
    <n v="24"/>
    <n v="1.3999999999999986"/>
    <n v="0.60000000000000142"/>
    <n v="28.5"/>
    <n v="21"/>
    <x v="57"/>
    <n v="3.7999999999999994"/>
    <e v="#DIV/0!"/>
    <n v="7.5"/>
    <n v="2.8000000000000007"/>
    <m/>
    <x v="50"/>
    <n v="1.595744680851064"/>
    <e v="#DIV/0!"/>
    <n v="23.8"/>
    <n v="4.6999999999999993"/>
    <n v="0.83508771929824566"/>
    <m/>
    <m/>
    <n v="6.1"/>
    <n v="0"/>
    <s v="N/A"/>
    <s v="OFF"/>
    <n v="6.1"/>
    <n v="0"/>
    <n v="4.2"/>
    <s v="IZQUIERDA"/>
    <s v="OFF"/>
    <s v="NO"/>
  </r>
  <r>
    <x v="126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-6.1"/>
    <s v="N/A"/>
    <s v="OFF"/>
    <m/>
    <n v="-6.1"/>
    <m/>
    <m/>
    <s v="OFF"/>
    <m/>
  </r>
  <r>
    <x v="127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s v="SI "/>
  </r>
  <r>
    <x v="128"/>
    <d v="1899-12-30T11:00:00"/>
    <n v="18.399999999999999"/>
    <n v="18"/>
    <n v="24"/>
    <n v="24"/>
    <n v="0.39999999999999858"/>
    <n v="0"/>
    <n v="32.4"/>
    <n v="22"/>
    <x v="58"/>
    <n v="3.1153846153846154"/>
    <n v="7.428571428571433E-2"/>
    <n v="10.399999999999999"/>
    <n v="6.1999999999999993"/>
    <m/>
    <x v="51"/>
    <n v="2.4761904761904763"/>
    <n v="0.25714285714285723"/>
    <n v="28.2"/>
    <n v="4.1999999999999993"/>
    <n v="0.87037037037037035"/>
    <m/>
    <m/>
    <n v="6.1"/>
    <n v="6.1"/>
    <s v="N/A"/>
    <s v="OFF"/>
    <n v="6.1"/>
    <n v="6.1"/>
    <n v="4.4000000000000004"/>
    <s v="IZQUIERDA"/>
    <s v="OFF"/>
    <s v="SI "/>
  </r>
  <r>
    <x v="129"/>
    <d v="1899-12-30T08:30:00"/>
    <n v="16.5"/>
    <n v="16.3"/>
    <n v="22.4"/>
    <n v="22"/>
    <n v="0.19999999999999929"/>
    <n v="0.39999999999999858"/>
    <n v="35"/>
    <n v="21"/>
    <x v="59"/>
    <n v="2.5"/>
    <n v="-0.14754098360655737"/>
    <n v="14"/>
    <n v="3.8000000000000007"/>
    <m/>
    <x v="52"/>
    <n v="1.3725490196078431"/>
    <n v="-0.47368421052631576"/>
    <n v="24.8"/>
    <n v="10.199999999999999"/>
    <n v="0.70857142857142863"/>
    <m/>
    <m/>
    <n v="5.4"/>
    <n v="-0.69999999999999929"/>
    <s v="N/A"/>
    <s v="OFF"/>
    <n v="5.4"/>
    <n v="-0.69999999999999929"/>
    <n v="4.0999999999999996"/>
    <s v="IZQUIERDA"/>
    <s v="OFF"/>
    <s v="NO"/>
  </r>
  <r>
    <x v="130"/>
    <d v="1899-12-30T09:00:00"/>
    <n v="18.100000000000001"/>
    <n v="18"/>
    <n v="24.1"/>
    <n v="24"/>
    <n v="0.10000000000000142"/>
    <n v="0.10000000000000142"/>
    <n v="30.5"/>
    <n v="21"/>
    <x v="60"/>
    <n v="3.2105263157894735"/>
    <n v="5.5727554179566478E-2"/>
    <n v="9.5"/>
    <n v="1.6000000000000014"/>
    <m/>
    <x v="53"/>
    <n v="1.2025316455696204"/>
    <n v="7.7669902912621103E-2"/>
    <n v="22.6"/>
    <n v="7.8999999999999986"/>
    <n v="0.74098360655737705"/>
    <m/>
    <m/>
    <n v="5.4"/>
    <n v="0"/>
    <s v="N/A"/>
    <s v="OFF"/>
    <n v="5.4"/>
    <n v="0"/>
    <n v="4.2"/>
    <s v="IZQUIERDA"/>
    <s v="OFF"/>
    <s v="NO"/>
  </r>
  <r>
    <x v="131"/>
    <d v="1899-12-30T08:30:00"/>
    <n v="17.399999999999999"/>
    <n v="17"/>
    <n v="23.4"/>
    <n v="23"/>
    <n v="0.39999999999999858"/>
    <n v="0.39999999999999858"/>
    <n v="32.299999999999997"/>
    <n v="22"/>
    <x v="61"/>
    <n v="3.1359223300970882"/>
    <e v="#DIV/0!"/>
    <n v="10.299999999999997"/>
    <n v="1.6999999999999993"/>
    <m/>
    <x v="54"/>
    <n v="1.1976744186046511"/>
    <e v="#DIV/0!"/>
    <n v="23.7"/>
    <n v="8.5999999999999979"/>
    <n v="0.73374613003095979"/>
    <m/>
    <m/>
    <n v="6"/>
    <n v="0.59999999999999964"/>
    <s v="N/A"/>
    <s v="OFF"/>
    <n v="6"/>
    <n v="0.59999999999999964"/>
    <n v="4.2"/>
    <s v="IZQUIERDA"/>
    <s v="OFF"/>
    <s v="NO"/>
  </r>
  <r>
    <x v="132"/>
    <d v="1899-12-30T10:00:00"/>
    <m/>
    <m/>
    <m/>
    <m/>
    <n v="0"/>
    <n v="0"/>
    <m/>
    <m/>
    <x v="0"/>
    <e v="#DIV/0!"/>
    <e v="#DIV/0!"/>
    <m/>
    <n v="0"/>
    <m/>
    <x v="0"/>
    <e v="#DIV/0!"/>
    <e v="#DIV/0!"/>
    <m/>
    <n v="0"/>
    <e v="#DIV/0!"/>
    <m/>
    <m/>
    <m/>
    <n v="-6"/>
    <s v="N/A"/>
    <s v="OFF"/>
    <m/>
    <n v="-6"/>
    <m/>
    <m/>
    <s v="OFF"/>
    <m/>
  </r>
  <r>
    <x v="133"/>
    <m/>
    <m/>
    <m/>
    <m/>
    <m/>
    <n v="0"/>
    <n v="0"/>
    <m/>
    <m/>
    <x v="0"/>
    <e v="#DIV/0!"/>
    <e v="#DIV/0!"/>
    <m/>
    <n v="0"/>
    <m/>
    <x v="0"/>
    <e v="#DIV/0!"/>
    <e v="#DIV/0!"/>
    <m/>
    <n v="0"/>
    <e v="#DIV/0!"/>
    <m/>
    <m/>
    <m/>
    <n v="0"/>
    <s v="N/A"/>
    <s v="OFF"/>
    <m/>
    <n v="0"/>
    <m/>
    <m/>
    <s v="OFF"/>
    <m/>
  </r>
  <r>
    <x v="134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m/>
  </r>
  <r>
    <x v="135"/>
    <d v="1899-12-30T10:00:00"/>
    <n v="10.1"/>
    <n v="9"/>
    <n v="16.100000000000001"/>
    <n v="16"/>
    <n v="1.0999999999999996"/>
    <n v="0.10000000000000142"/>
    <n v="32.1"/>
    <n v="14"/>
    <x v="62"/>
    <n v="1.7734806629834257"/>
    <e v="#DIV/0!"/>
    <n v="18.100000000000001"/>
    <n v="6.5"/>
    <m/>
    <x v="55"/>
    <n v="1.5603448275862069"/>
    <e v="#DIV/0!"/>
    <n v="20.5"/>
    <n v="11.600000000000001"/>
    <n v="0.63862928348909653"/>
    <m/>
    <m/>
    <n v="6"/>
    <n v="6"/>
    <s v="N/A"/>
    <s v="OFF"/>
    <n v="6"/>
    <n v="6"/>
    <n v="4.3"/>
    <s v="IZQUIERDA"/>
    <s v="OFF"/>
    <s v="NO"/>
  </r>
  <r>
    <x v="136"/>
    <s v="APAGADA "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-6"/>
    <s v="N/A"/>
    <s v="OFF"/>
    <m/>
    <n v="-6"/>
    <m/>
    <m/>
    <s v="OFF"/>
    <s v="NO"/>
  </r>
  <r>
    <x v="137"/>
    <s v="APAGADA POR  BOMBA "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s v="NO"/>
  </r>
  <r>
    <x v="138"/>
    <s v="APAGADA "/>
    <m/>
    <m/>
    <m/>
    <m/>
    <n v="0"/>
    <n v="0"/>
    <m/>
    <m/>
    <x v="0"/>
    <e v="#DIV/0!"/>
    <e v="#DIV/0!"/>
    <m/>
    <n v="0"/>
    <m/>
    <x v="0"/>
    <e v="#DIV/0!"/>
    <e v="#DIV/0!"/>
    <m/>
    <n v="0"/>
    <e v="#DIV/0!"/>
    <m/>
    <m/>
    <m/>
    <n v="0"/>
    <s v="N/A"/>
    <s v="OFF"/>
    <m/>
    <n v="0"/>
    <m/>
    <m/>
    <s v="OFF"/>
    <s v="NO"/>
  </r>
  <r>
    <x v="139"/>
    <s v="APAGADA "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s v="NO"/>
  </r>
  <r>
    <x v="140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m/>
  </r>
  <r>
    <x v="141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m/>
  </r>
  <r>
    <x v="142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m/>
    <s v="OFF"/>
    <m/>
    <n v="0"/>
    <m/>
    <m/>
    <s v="OFF"/>
    <m/>
  </r>
  <r>
    <x v="143"/>
    <s v="3:00:00 p.m "/>
    <n v="12.1"/>
    <n v="12"/>
    <n v="18.3"/>
    <n v="18"/>
    <n v="9.9999999999999645E-2"/>
    <n v="0.30000000000000071"/>
    <n v="24.7"/>
    <n v="15"/>
    <x v="63"/>
    <n v="2.5463917525773199"/>
    <n v="4.2635658914728737E-2"/>
    <n v="9.6999999999999993"/>
    <n v="2.6000000000000014"/>
    <m/>
    <x v="56"/>
    <n v="1.3661971830985919"/>
    <n v="-0.67241379310344795"/>
    <n v="17.600000000000001"/>
    <n v="7.0999999999999979"/>
    <n v="0.71255060728744946"/>
    <m/>
    <m/>
    <n v="6.1"/>
    <n v="6.1"/>
    <s v="N/A"/>
    <s v="OFF"/>
    <n v="6.1"/>
    <n v="6.1"/>
    <n v="4.4000000000000004"/>
    <s v="IZQUIERDA"/>
    <s v="OFF"/>
    <s v="NO"/>
  </r>
  <r>
    <x v="144"/>
    <d v="1899-12-30T15:30:00"/>
    <n v="11.8"/>
    <n v="12"/>
    <n v="18"/>
    <n v="18"/>
    <n v="-0.19999999999999929"/>
    <n v="0"/>
    <n v="25.8"/>
    <n v="20"/>
    <x v="64"/>
    <n v="4.4482758620689644"/>
    <n v="-6.61157024793389E-2"/>
    <n v="5.8000000000000007"/>
    <n v="-1.3000000000000007"/>
    <m/>
    <x v="57"/>
    <n v="0.81690140845070414"/>
    <n v="0.36956521739130421"/>
    <n v="18.7"/>
    <n v="7.1000000000000014"/>
    <n v="0.72480620155038755"/>
    <m/>
    <m/>
    <n v="6.1"/>
    <n v="0"/>
    <s v="N/A"/>
    <s v="OFF"/>
    <n v="6.1"/>
    <n v="0"/>
    <n v="4.3"/>
    <s v="IZQUIERDA"/>
    <s v="OFF"/>
    <s v="NO"/>
  </r>
  <r>
    <x v="145"/>
    <d v="1899-12-30T16:22:00"/>
    <n v="11.8"/>
    <n v="12"/>
    <n v="18"/>
    <n v="18"/>
    <n v="-0.19999999999999929"/>
    <n v="0"/>
    <n v="24.2"/>
    <n v="15"/>
    <x v="65"/>
    <n v="2.6304347826086958"/>
    <n v="-2.1097046413502109E-2"/>
    <n v="9.1999999999999993"/>
    <n v="2.1999999999999993"/>
    <m/>
    <x v="58"/>
    <n v="1.3142857142857143"/>
    <n v="-0.61403508771929827"/>
    <n v="17.2"/>
    <n v="7"/>
    <n v="0.71074380165289253"/>
    <m/>
    <m/>
    <n v="6.1"/>
    <n v="0"/>
    <s v="N/A"/>
    <s v="OFF"/>
    <n v="6.1"/>
    <n v="0"/>
    <n v="4.2"/>
    <s v="IZQUIERDA"/>
    <s v="OFF"/>
    <s v="NO"/>
  </r>
  <r>
    <x v="146"/>
    <d v="1899-12-30T14:38:00"/>
    <n v="11.7"/>
    <n v="12"/>
    <n v="17.899999999999999"/>
    <n v="18"/>
    <n v="-0.30000000000000071"/>
    <n v="-0.10000000000000142"/>
    <n v="23.7"/>
    <n v="18"/>
    <x v="66"/>
    <n v="4.1578947368421062"/>
    <e v="#DIV/0!"/>
    <n v="5.6999999999999993"/>
    <m/>
    <m/>
    <x v="59"/>
    <n v="1"/>
    <e v="#DIV/0!"/>
    <n v="17.100000000000001"/>
    <n v="5.6999999999999993"/>
    <n v="0.72151898734177222"/>
    <m/>
    <m/>
    <n v="6"/>
    <n v="-9.9999999999999645E-2"/>
    <s v="N/A"/>
    <s v="OFF"/>
    <n v="6"/>
    <n v="-9.9999999999999645E-2"/>
    <n v="4.2"/>
    <s v="IZQUIERDA"/>
    <s v="OFF"/>
    <m/>
  </r>
  <r>
    <x v="147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-6"/>
    <s v="N/A"/>
    <s v="OFF"/>
    <m/>
    <n v="-6"/>
    <m/>
    <m/>
    <s v="OFF"/>
    <m/>
  </r>
  <r>
    <x v="148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s v="SI "/>
  </r>
  <r>
    <x v="149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m/>
  </r>
  <r>
    <x v="150"/>
    <d v="1899-12-30T09:00:00"/>
    <n v="11.7"/>
    <n v="11"/>
    <n v="16.899999999999999"/>
    <n v="17"/>
    <n v="0.69999999999999929"/>
    <n v="-0.10000000000000142"/>
    <n v="38.5"/>
    <n v="21"/>
    <x v="67"/>
    <n v="2.1999999999999997"/>
    <n v="-0.29194630872483218"/>
    <n v="17.5"/>
    <n v="11.200000000000003"/>
    <m/>
    <x v="60"/>
    <n v="2.7777777777777786"/>
    <n v="-0.98863636363636342"/>
    <n v="32.200000000000003"/>
    <n v="6.2999999999999972"/>
    <n v="0.83636363636363642"/>
    <m/>
    <m/>
    <n v="6"/>
    <n v="6"/>
    <s v="N/A"/>
    <s v="OFF"/>
    <n v="6"/>
    <n v="6"/>
    <n v="3.3"/>
    <s v="DERECHA"/>
    <s v="OFF"/>
    <m/>
  </r>
  <r>
    <x v="151"/>
    <d v="1899-12-30T15:35:00"/>
    <n v="11.9"/>
    <n v="12"/>
    <n v="17.899999999999999"/>
    <n v="18"/>
    <n v="-9.9999999999999645E-2"/>
    <n v="-0.10000000000000142"/>
    <n v="29.8"/>
    <n v="21"/>
    <x v="68"/>
    <n v="3.3863636363636362"/>
    <n v="-0.15057915057915067"/>
    <n v="8.8000000000000007"/>
    <n v="2.5"/>
    <m/>
    <x v="61"/>
    <n v="1.3968253968253967"/>
    <n v="-0.49152542372881403"/>
    <n v="23.5"/>
    <n v="6.3000000000000007"/>
    <n v="0.78859060402684567"/>
    <m/>
    <m/>
    <n v="6"/>
    <n v="0"/>
    <s v="N/A"/>
    <s v="OFF"/>
    <n v="6"/>
    <n v="0"/>
    <n v="4"/>
    <s v="DERECHA"/>
    <s v="OFF"/>
    <s v="NO"/>
  </r>
  <r>
    <x v="152"/>
    <s v="3:27:00 p m."/>
    <n v="12.2"/>
    <n v="12"/>
    <n v="18.3"/>
    <n v="18"/>
    <n v="0.19999999999999929"/>
    <n v="0.30000000000000071"/>
    <n v="25.9"/>
    <n v="20"/>
    <x v="69"/>
    <n v="4.3898305084745761"/>
    <n v="-4.0160642570281124E-2"/>
    <n v="5.8999999999999986"/>
    <n v="0.39999999999999858"/>
    <m/>
    <x v="62"/>
    <n v="1.0727272727272725"/>
    <n v="-0.20408163265306128"/>
    <n v="20.399999999999999"/>
    <n v="5.5"/>
    <n v="0.78764478764478763"/>
    <m/>
    <m/>
    <n v="6"/>
    <n v="0"/>
    <s v="N/A"/>
    <s v="OFF"/>
    <n v="6"/>
    <n v="0"/>
    <n v="4"/>
    <s v="DERECHA"/>
    <s v="OFF"/>
    <s v="NO"/>
  </r>
  <r>
    <x v="153"/>
    <d v="1899-12-30T16:00:00"/>
    <n v="12.1"/>
    <n v="12"/>
    <n v="18.899999999999999"/>
    <n v="18"/>
    <n v="9.9999999999999645E-2"/>
    <n v="0.89999999999999858"/>
    <n v="24.9"/>
    <n v="20"/>
    <x v="70"/>
    <n v="5.0816326530612246"/>
    <n v="0.12631578947368427"/>
    <n v="4.8999999999999986"/>
    <n v="-1.1000000000000014"/>
    <m/>
    <x v="63"/>
    <n v="0.81666666666666632"/>
    <n v="0.34666666666666685"/>
    <n v="18.899999999999999"/>
    <n v="6"/>
    <n v="0.75903614457831325"/>
    <m/>
    <m/>
    <n v="6"/>
    <n v="0"/>
    <s v="N/A"/>
    <s v="OFF"/>
    <n v="6"/>
    <n v="0"/>
    <n v="4"/>
    <s v="DERECHA"/>
    <s v="OFF"/>
    <s v="NO"/>
  </r>
  <r>
    <x v="154"/>
    <d v="1899-12-30T15:35:00"/>
    <n v="12.6"/>
    <n v="12.5"/>
    <n v="18.7"/>
    <n v="19"/>
    <n v="9.9999999999999645E-2"/>
    <n v="-0.30000000000000071"/>
    <n v="28.5"/>
    <n v="21"/>
    <x v="57"/>
    <n v="3.7999999999999994"/>
    <e v="#DIV/0!"/>
    <n v="7.5"/>
    <n v="-21"/>
    <m/>
    <x v="64"/>
    <n v="0.26315789473684209"/>
    <e v="#DIV/0!"/>
    <m/>
    <n v="28.5"/>
    <n v="0"/>
    <m/>
    <m/>
    <m/>
    <n v="-6"/>
    <s v="N/A"/>
    <s v="OFF"/>
    <m/>
    <n v="-6"/>
    <m/>
    <s v="DERECHA"/>
    <s v="OFF"/>
    <m/>
  </r>
  <r>
    <x v="155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s v="SI "/>
  </r>
  <r>
    <x v="156"/>
    <d v="1899-12-30T15:28:00"/>
    <n v="12.6"/>
    <n v="12"/>
    <n v="18.7"/>
    <n v="19"/>
    <n v="0.59999999999999964"/>
    <n v="-0.30000000000000071"/>
    <n v="28.5"/>
    <n v="21"/>
    <x v="57"/>
    <n v="3.7999999999999994"/>
    <n v="0.12037037037037034"/>
    <n v="7.5"/>
    <n v="0.39999999999999858"/>
    <m/>
    <x v="65"/>
    <n v="1.0563380281690138"/>
    <n v="0.34210526315789463"/>
    <n v="21.4"/>
    <n v="7.1000000000000014"/>
    <n v="0.75087719298245614"/>
    <m/>
    <m/>
    <n v="5.3"/>
    <n v="0"/>
    <s v="N/A"/>
    <s v="OFF"/>
    <n v="5.3"/>
    <n v="0"/>
    <n v="4.3"/>
    <s v="IZQUIERDA"/>
    <s v="OFF"/>
    <s v="NO"/>
  </r>
  <r>
    <x v="157"/>
    <d v="1899-12-30T08:30:00"/>
    <n v="12.4"/>
    <n v="12"/>
    <n v="18.399999999999999"/>
    <n v="18"/>
    <n v="0.40000000000000036"/>
    <n v="0.39999999999999858"/>
    <n v="32.4"/>
    <n v="21"/>
    <x v="71"/>
    <n v="2.8421052631578947"/>
    <n v="-9.0909090909090884E-2"/>
    <n v="11.399999999999999"/>
    <n v="0.60000000000000142"/>
    <m/>
    <x v="66"/>
    <n v="1.0555555555555558"/>
    <n v="-0.31034482758620685"/>
    <n v="21.6"/>
    <n v="10.799999999999997"/>
    <n v="0.66666666666666674"/>
    <m/>
    <m/>
    <n v="0"/>
    <n v="0"/>
    <s v="N/A"/>
    <s v="OFF"/>
    <n v="0"/>
    <n v="0"/>
    <n v="4.4000000000000004"/>
    <s v="IZQUIERDA"/>
    <s v="OFF"/>
    <s v="NO"/>
  </r>
  <r>
    <x v="158"/>
    <d v="1899-12-30T12:01:00"/>
    <n v="12.3"/>
    <n v="12"/>
    <n v="28.4"/>
    <n v="18"/>
    <n v="0.30000000000000071"/>
    <n v="10.399999999999999"/>
    <n v="29.7"/>
    <n v="21"/>
    <x v="72"/>
    <n v="3.4137931034482758"/>
    <n v="-0.12500000000000003"/>
    <n v="8.6999999999999993"/>
    <n v="0.39999999999999858"/>
    <m/>
    <x v="67"/>
    <n v="1.0481927710843371"/>
    <n v="0.67045454545454541"/>
    <n v="21.4"/>
    <n v="8.3000000000000007"/>
    <n v="0.72053872053872048"/>
    <m/>
    <m/>
    <n v="0"/>
    <n v="0"/>
    <s v="N/A"/>
    <s v="OFF"/>
    <n v="0"/>
    <n v="0"/>
    <n v="5.2"/>
    <s v="DERECHA"/>
    <s v="OFF"/>
    <s v="NO"/>
  </r>
  <r>
    <x v="159"/>
    <d v="1900-01-11T00:00:00"/>
    <m/>
    <m/>
    <m/>
    <m/>
    <n v="0"/>
    <n v="0"/>
    <n v="26.4"/>
    <m/>
    <x v="73"/>
    <n v="1"/>
    <n v="-0.17333333333333328"/>
    <n v="26.4"/>
    <n v="18.7"/>
    <m/>
    <x v="68"/>
    <n v="3.4285714285714288"/>
    <n v="-2.52"/>
    <n v="18.7"/>
    <n v="7.6999999999999993"/>
    <n v="0.70833333333333337"/>
    <m/>
    <m/>
    <m/>
    <n v="0"/>
    <s v="N/A"/>
    <s v="OFF"/>
    <m/>
    <n v="0"/>
    <m/>
    <m/>
    <s v="OFF"/>
    <m/>
  </r>
  <r>
    <x v="160"/>
    <d v="1899-12-30T12:38:00"/>
    <n v="9.6"/>
    <n v="9"/>
    <n v="15.7"/>
    <n v="16"/>
    <n v="0.59999999999999964"/>
    <n v="-0.30000000000000071"/>
    <n v="22.5"/>
    <n v="15"/>
    <x v="74"/>
    <n v="2.9999999999999996"/>
    <e v="#DIV/0!"/>
    <n v="7.5"/>
    <n v="0.69999999999999929"/>
    <m/>
    <x v="69"/>
    <n v="1.1029411764705881"/>
    <e v="#DIV/0!"/>
    <n v="15.7"/>
    <n v="6.8000000000000007"/>
    <n v="0.69777777777777772"/>
    <m/>
    <m/>
    <n v="0"/>
    <n v="0"/>
    <s v="N/A"/>
    <s v="OFF"/>
    <n v="0"/>
    <n v="0"/>
    <n v="5.2"/>
    <s v="IZQUIERDA"/>
    <s v="OFF"/>
    <s v="NO"/>
  </r>
  <r>
    <x v="161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m/>
  </r>
  <r>
    <x v="162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m/>
    <n v="0"/>
    <s v="N/A"/>
    <s v="OFF"/>
    <m/>
    <n v="0"/>
    <m/>
    <m/>
    <s v="OFF"/>
    <m/>
  </r>
  <r>
    <x v="163"/>
    <d v="1900-01-02T00:00:00"/>
    <n v="10.1"/>
    <n v="9"/>
    <n v="15.7"/>
    <n v="15.5"/>
    <n v="1.0999999999999996"/>
    <n v="0.19999999999999929"/>
    <n v="47.2"/>
    <n v="22"/>
    <x v="75"/>
    <n v="1.873015873015873"/>
    <n v="-0.31111111111111117"/>
    <n v="25.200000000000003"/>
    <n v="12.899999999999999"/>
    <m/>
    <x v="70"/>
    <n v="2.0487804878048772"/>
    <n v="-0.68000000000000016"/>
    <n v="34.9"/>
    <n v="12.300000000000004"/>
    <n v="0.73940677966101687"/>
    <m/>
    <m/>
    <n v="0"/>
    <n v="0"/>
    <s v="N/A"/>
    <s v="OFF"/>
    <n v="0"/>
    <n v="0"/>
    <n v="5.2"/>
    <s v="IZQUIERDA"/>
    <s v="OFF"/>
    <s v="NO"/>
  </r>
  <r>
    <x v="164"/>
    <d v="1899-12-30T09:00:00"/>
    <n v="8.9"/>
    <n v="8.5"/>
    <n v="14.8"/>
    <n v="14.6"/>
    <n v="0.40000000000000036"/>
    <n v="0.20000000000000107"/>
    <n v="36"/>
    <n v="21"/>
    <x v="76"/>
    <n v="2.4000000000000004"/>
    <n v="-0.2857142857142857"/>
    <n v="15"/>
    <n v="3.1999999999999993"/>
    <m/>
    <x v="71"/>
    <n v="1.271186440677966"/>
    <n v="-7.1428571428571425E-2"/>
    <n v="24.2"/>
    <n v="11.8"/>
    <n v="0.67222222222222217"/>
    <m/>
    <m/>
    <n v="0"/>
    <n v="0"/>
    <s v="N/A"/>
    <s v="OFF"/>
    <n v="0"/>
    <n v="0"/>
    <n v="5.4"/>
    <s v="IZQUIERDA"/>
    <s v="OFF"/>
    <s v="NO"/>
  </r>
  <r>
    <x v="165"/>
    <d v="1899-12-30T14:00:00"/>
    <n v="7.1"/>
    <n v="7"/>
    <n v="13"/>
    <n v="13"/>
    <n v="9.9999999999999645E-2"/>
    <n v="0"/>
    <n v="28"/>
    <n v="14"/>
    <x v="77"/>
    <n v="2"/>
    <n v="0.13846153846153847"/>
    <n v="14"/>
    <n v="3.6000000000000014"/>
    <m/>
    <x v="72"/>
    <n v="1.3461538461538463"/>
    <n v="0.24324324324324326"/>
    <n v="17.600000000000001"/>
    <n v="10.399999999999999"/>
    <n v="0.62857142857142867"/>
    <m/>
    <m/>
    <n v="0"/>
    <n v="0"/>
    <s v="N/A"/>
    <s v="OFF"/>
    <n v="0"/>
    <n v="0"/>
    <n v="5.4"/>
    <s v="IZQUIERDA"/>
    <s v="OFF"/>
    <s v="NO"/>
  </r>
  <r>
    <x v="166"/>
    <d v="1899-12-30T08:30:00"/>
    <n v="9.9"/>
    <n v="9"/>
    <n v="14.7"/>
    <n v="14"/>
    <n v="0.90000000000000036"/>
    <n v="0.69999999999999929"/>
    <n v="32.5"/>
    <n v="14"/>
    <x v="78"/>
    <n v="1.7567567567567568"/>
    <n v="0.21875000000000003"/>
    <n v="18.5"/>
    <n v="-14"/>
    <m/>
    <x v="73"/>
    <n v="0.56923076923076921"/>
    <n v="5.6122448979591906E-2"/>
    <m/>
    <n v="32.5"/>
    <n v="0"/>
    <m/>
    <m/>
    <n v="0"/>
    <n v="0"/>
    <s v="N/A"/>
    <s v="OFF"/>
    <n v="0"/>
    <n v="0"/>
    <n v="5"/>
    <s v="IZQUIERDA"/>
    <s v="OFF"/>
    <s v="NO"/>
  </r>
  <r>
    <x v="167"/>
    <d v="1899-12-30T09:30:00"/>
    <n v="11.7"/>
    <n v="11"/>
    <n v="17.399999999999999"/>
    <n v="17"/>
    <n v="0.69999999999999929"/>
    <n v="0.39999999999999858"/>
    <n v="41.6"/>
    <n v="22"/>
    <x v="79"/>
    <n v="2.1224489795918369"/>
    <n v="0.11677282377919321"/>
    <n v="19.600000000000001"/>
    <n v="6.1000000000000014"/>
    <m/>
    <x v="74"/>
    <n v="1.4518518518518519"/>
    <e v="#DIV/0!"/>
    <n v="28.1"/>
    <n v="13.5"/>
    <n v="0.67548076923076927"/>
    <m/>
    <m/>
    <n v="0"/>
    <n v="0"/>
    <s v="N/A"/>
    <s v="OFF"/>
    <n v="0"/>
    <n v="0"/>
    <n v="5"/>
    <s v="IZQUIERDA"/>
    <s v="OFF"/>
    <s v="NO"/>
  </r>
  <r>
    <x v="168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s v="OFF"/>
    <m/>
  </r>
  <r>
    <x v="169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m/>
    <n v="0"/>
    <m/>
    <m/>
    <s v="OFF"/>
    <m/>
  </r>
  <r>
    <x v="170"/>
    <m/>
    <m/>
    <m/>
    <m/>
    <m/>
    <n v="0"/>
    <n v="0"/>
    <m/>
    <m/>
    <x v="80"/>
    <m/>
    <m/>
    <n v="0"/>
    <n v="0"/>
    <m/>
    <x v="0"/>
    <e v="#DIV/0!"/>
    <n v="1"/>
    <m/>
    <n v="0"/>
    <e v="#DIV/0!"/>
    <m/>
    <m/>
    <m/>
    <n v="0"/>
    <s v="N/A"/>
    <s v="OFF"/>
    <m/>
    <n v="0"/>
    <m/>
    <m/>
    <s v="OFF"/>
    <m/>
  </r>
  <r>
    <x v="171"/>
    <d v="1900-01-02T12:00:00"/>
    <n v="10.8"/>
    <n v="10"/>
    <n v="16.399999999999999"/>
    <n v="16"/>
    <n v="0.80000000000000071"/>
    <n v="0.39999999999999858"/>
    <n v="47.1"/>
    <n v="23"/>
    <x v="81"/>
    <n v="1.954356846473029"/>
    <n v="-0.22976501305483041"/>
    <n v="24.1"/>
    <n v="13.100000000000001"/>
    <m/>
    <x v="75"/>
    <n v="2.1909090909090914"/>
    <e v="#DIV/0!"/>
    <n v="36.1"/>
    <n v="11"/>
    <n v="0.76645435244161364"/>
    <m/>
    <m/>
    <n v="0"/>
    <n v="0"/>
    <s v="N/A"/>
    <s v="OFF"/>
    <n v="0"/>
    <n v="0"/>
    <n v="4.0999999999999996"/>
    <s v="IZQUIERDA"/>
    <s v="OFF"/>
    <s v="NO"/>
  </r>
  <r>
    <x v="172"/>
    <m/>
    <m/>
    <m/>
    <m/>
    <m/>
    <n v="0"/>
    <n v="0"/>
    <m/>
    <m/>
    <x v="80"/>
    <m/>
    <m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m/>
  </r>
  <r>
    <x v="173"/>
    <d v="1900-01-01T14:00:00"/>
    <n v="10.5"/>
    <n v="10"/>
    <n v="16.3"/>
    <n v="16"/>
    <n v="0.5"/>
    <n v="0.30000000000000071"/>
    <n v="38.299999999999997"/>
    <n v="22"/>
    <x v="82"/>
    <n v="2.349693251533743"/>
    <n v="0.19027484143763215"/>
    <n v="16.299999999999997"/>
    <n v="7.8999999999999986"/>
    <m/>
    <x v="76"/>
    <n v="1.9404761904761905"/>
    <e v="#DIV/0!"/>
    <n v="29.9"/>
    <n v="8.3999999999999986"/>
    <n v="0.78067885117493474"/>
    <m/>
    <m/>
    <n v="0"/>
    <n v="0"/>
    <s v="N/A"/>
    <s v="OFF"/>
    <n v="0"/>
    <n v="0"/>
    <n v="4.3"/>
    <s v="IZQUIERDA"/>
    <s v="OFF"/>
    <s v="NO"/>
  </r>
  <r>
    <x v="174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m/>
    <m/>
  </r>
  <r>
    <x v="175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m/>
    <m/>
  </r>
  <r>
    <x v="176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m/>
    <m/>
  </r>
  <r>
    <x v="177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m/>
    <m/>
  </r>
  <r>
    <x v="178"/>
    <d v="1899-12-30T08:00:00"/>
    <m/>
    <m/>
    <m/>
    <m/>
    <n v="0"/>
    <n v="0"/>
    <m/>
    <m/>
    <x v="80"/>
    <m/>
    <m/>
    <n v="0"/>
    <n v="0"/>
    <m/>
    <x v="0"/>
    <e v="#DIV/0!"/>
    <n v="1"/>
    <m/>
    <n v="0"/>
    <e v="#DIV/0!"/>
    <m/>
    <m/>
    <n v="0"/>
    <n v="0"/>
    <s v="N/A"/>
    <s v="OFF"/>
    <n v="0"/>
    <n v="0"/>
    <m/>
    <m/>
    <m/>
    <m/>
  </r>
  <r>
    <x v="179"/>
    <d v="1899-12-30T12:48:00"/>
    <n v="11"/>
    <n v="10"/>
    <n v="16.399999999999999"/>
    <n v="16"/>
    <n v="1"/>
    <n v="0.39999999999999858"/>
    <n v="47.3"/>
    <n v="23"/>
    <x v="83"/>
    <n v="1.9465020576131686"/>
    <n v="-0.11294117647058817"/>
    <n v="24.299999999999997"/>
    <n v="13.700000000000003"/>
    <m/>
    <x v="77"/>
    <n v="2.2924528301886804"/>
    <e v="#DIV/0!"/>
    <n v="36.700000000000003"/>
    <n v="10.599999999999994"/>
    <n v="0.77589852008456672"/>
    <m/>
    <m/>
    <n v="0"/>
    <n v="0"/>
    <s v="N/A"/>
    <s v="OFF"/>
    <n v="0"/>
    <n v="0"/>
    <n v="5"/>
    <s v="DERECHA"/>
    <s v="OFF"/>
    <s v="NO"/>
  </r>
  <r>
    <x v="180"/>
    <m/>
    <m/>
    <m/>
    <m/>
    <m/>
    <n v="0"/>
    <n v="0"/>
    <m/>
    <m/>
    <x v="80"/>
    <m/>
    <m/>
    <n v="0"/>
    <n v="0"/>
    <m/>
    <x v="0"/>
    <e v="#DIV/0!"/>
    <n v="1"/>
    <m/>
    <n v="0"/>
    <e v="#DIV/0!"/>
    <m/>
    <m/>
    <m/>
    <m/>
    <s v="N/A"/>
    <s v="OFF"/>
    <m/>
    <m/>
    <m/>
    <m/>
    <s v="OFF"/>
    <m/>
  </r>
  <r>
    <x v="181"/>
    <d v="1899-12-30T12:11:00"/>
    <n v="10.199999999999999"/>
    <n v="10"/>
    <n v="15.8"/>
    <n v="15.5"/>
    <n v="0.19999999999999929"/>
    <n v="0.30000000000000071"/>
    <n v="42.5"/>
    <n v="22"/>
    <x v="84"/>
    <n v="2.0731707317073171"/>
    <n v="-0.25739644970414211"/>
    <n v="20.5"/>
    <n v="8.5"/>
    <m/>
    <x v="78"/>
    <n v="1.708333333333333"/>
    <e v="#DIV/0!"/>
    <n v="30.5"/>
    <n v="12"/>
    <n v="0.71764705882352942"/>
    <m/>
    <m/>
    <n v="0"/>
    <n v="0"/>
    <s v="N/A"/>
    <s v="OFF"/>
    <n v="0"/>
    <n v="0"/>
    <n v="5.0999999999999996"/>
    <s v="DERECHA"/>
    <s v="OFF"/>
    <s v="NO"/>
  </r>
  <r>
    <x v="182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s v="OFF"/>
    <m/>
  </r>
  <r>
    <x v="183"/>
    <m/>
    <m/>
    <m/>
    <m/>
    <m/>
    <n v="0"/>
    <n v="0"/>
    <m/>
    <m/>
    <x v="80"/>
    <m/>
    <m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m/>
  </r>
  <r>
    <x v="184"/>
    <d v="1899-12-30T15:49:00"/>
    <n v="6.5"/>
    <n v="6"/>
    <n v="12.3"/>
    <n v="12"/>
    <n v="0.5"/>
    <n v="0.30000000000000071"/>
    <n v="33.799999999999997"/>
    <n v="15"/>
    <x v="85"/>
    <n v="1.7978723404255321"/>
    <n v="-0.10457516339869266"/>
    <n v="18.799999999999997"/>
    <n v="7"/>
    <m/>
    <x v="79"/>
    <n v="1.593220338983051"/>
    <n v="-0.20512820512820484"/>
    <n v="22"/>
    <n v="11.799999999999997"/>
    <n v="0.65088757396449715"/>
    <m/>
    <m/>
    <n v="0"/>
    <n v="0"/>
    <s v="N/A"/>
    <s v="OFF"/>
    <n v="0"/>
    <n v="0"/>
    <n v="5"/>
    <s v="DERECHA"/>
    <s v="OFF"/>
    <s v="NO"/>
  </r>
  <r>
    <x v="185"/>
    <d v="1900-01-09T12:00:00"/>
    <n v="6.2"/>
    <n v="6"/>
    <n v="12.1"/>
    <n v="12"/>
    <n v="0.20000000000000018"/>
    <n v="9.9999999999999645E-2"/>
    <n v="30.6"/>
    <n v="15"/>
    <x v="86"/>
    <n v="1.9615384615384617"/>
    <n v="-0.186046511627907"/>
    <n v="15.600000000000001"/>
    <n v="5.6000000000000014"/>
    <m/>
    <x v="80"/>
    <n v="1.56"/>
    <e v="#DIV/0!"/>
    <n v="20.6"/>
    <n v="10"/>
    <n v="0.67320261437908502"/>
    <m/>
    <m/>
    <n v="0"/>
    <n v="0"/>
    <s v="N/A"/>
    <s v="OFF"/>
    <n v="0"/>
    <n v="0"/>
    <n v="5"/>
    <s v="DERECHA"/>
    <s v="OFF"/>
    <s v="NO"/>
  </r>
  <r>
    <x v="186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s v="OFF"/>
    <m/>
  </r>
  <r>
    <x v="187"/>
    <m/>
    <m/>
    <m/>
    <m/>
    <m/>
    <n v="0"/>
    <n v="0"/>
    <m/>
    <m/>
    <x v="80"/>
    <m/>
    <m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m/>
  </r>
  <r>
    <x v="188"/>
    <d v="1899-12-30T14:42:00"/>
    <n v="6.6"/>
    <n v="6"/>
    <n v="12.5"/>
    <n v="12"/>
    <n v="0.59999999999999964"/>
    <n v="0.5"/>
    <n v="25.8"/>
    <n v="14"/>
    <x v="87"/>
    <n v="2.1864406779661016"/>
    <n v="0.24117647058823527"/>
    <n v="11.8"/>
    <n v="7.6999999999999993"/>
    <m/>
    <x v="81"/>
    <n v="2.8780487804878043"/>
    <e v="#DIV/0!"/>
    <n v="21.7"/>
    <n v="4.1000000000000014"/>
    <n v="0.8410852713178294"/>
    <m/>
    <m/>
    <n v="0"/>
    <n v="0"/>
    <s v="N/A"/>
    <s v="OFF"/>
    <n v="0"/>
    <n v="0"/>
    <n v="5"/>
    <s v="DERECHA"/>
    <s v="OFF"/>
    <s v="NO"/>
  </r>
  <r>
    <x v="189"/>
    <m/>
    <m/>
    <n v="6"/>
    <m/>
    <m/>
    <n v="-6"/>
    <n v="0"/>
    <m/>
    <m/>
    <x v="80"/>
    <m/>
    <m/>
    <n v="0"/>
    <n v="0"/>
    <m/>
    <x v="0"/>
    <e v="#DIV/0!"/>
    <e v="#DIV/0!"/>
    <m/>
    <n v="0"/>
    <e v="#DIV/0!"/>
    <m/>
    <m/>
    <n v="0"/>
    <n v="0"/>
    <s v="N/A"/>
    <s v="OFF"/>
    <n v="0"/>
    <n v="0"/>
    <m/>
    <m/>
    <s v="OFF"/>
    <m/>
  </r>
  <r>
    <x v="190"/>
    <m/>
    <m/>
    <n v="6"/>
    <m/>
    <m/>
    <n v="-6"/>
    <n v="0"/>
    <m/>
    <m/>
    <x v="80"/>
    <m/>
    <m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m/>
  </r>
  <r>
    <x v="191"/>
    <d v="1899-12-30T16:30:00"/>
    <n v="5.6"/>
    <n v="5"/>
    <n v="11.2"/>
    <n v="11"/>
    <n v="0.59999999999999964"/>
    <n v="0.19999999999999929"/>
    <n v="34"/>
    <n v="13"/>
    <x v="88"/>
    <n v="1.6190476190476191"/>
    <n v="0"/>
    <n v="21"/>
    <n v="12.899999999999999"/>
    <m/>
    <x v="82"/>
    <n v="2.5925925925925921"/>
    <e v="#DIV/0!"/>
    <n v="25.9"/>
    <n v="8.1000000000000014"/>
    <n v="0.7617647058823529"/>
    <m/>
    <m/>
    <n v="0"/>
    <n v="0"/>
    <s v="N/A"/>
    <s v="OFF"/>
    <n v="0"/>
    <n v="0"/>
    <n v="4.4000000000000004"/>
    <s v="DERECHA"/>
    <s v="OFF"/>
    <s v="NO"/>
  </r>
  <r>
    <x v="192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m/>
    <m/>
  </r>
  <r>
    <x v="193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m/>
    <m/>
  </r>
  <r>
    <x v="194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m/>
    <m/>
  </r>
  <r>
    <x v="195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m/>
    <m/>
  </r>
  <r>
    <x v="196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m/>
    <m/>
  </r>
  <r>
    <x v="197"/>
    <m/>
    <m/>
    <m/>
    <m/>
    <m/>
    <n v="0"/>
    <n v="0"/>
    <m/>
    <m/>
    <x v="80"/>
    <m/>
    <m/>
    <n v="0"/>
    <n v="0"/>
    <m/>
    <x v="0"/>
    <e v="#DIV/0!"/>
    <e v="#DIV/0!"/>
    <m/>
    <n v="0"/>
    <e v="#DIV/0!"/>
    <m/>
    <m/>
    <m/>
    <n v="0"/>
    <s v="N/A"/>
    <s v="OFF"/>
    <n v="0"/>
    <n v="0"/>
    <m/>
    <m/>
    <m/>
    <m/>
  </r>
  <r>
    <x v="198"/>
    <m/>
    <m/>
    <m/>
    <m/>
    <m/>
    <n v="0"/>
    <n v="0"/>
    <m/>
    <m/>
    <x v="80"/>
    <m/>
    <m/>
    <n v="0"/>
    <n v="0"/>
    <m/>
    <x v="0"/>
    <e v="#DIV/0!"/>
    <n v="1"/>
    <m/>
    <n v="0"/>
    <e v="#DIV/0!"/>
    <m/>
    <m/>
    <m/>
    <n v="0"/>
    <s v="N/A"/>
    <s v="OFF"/>
    <n v="0"/>
    <n v="0"/>
    <m/>
    <m/>
    <m/>
    <m/>
  </r>
  <r>
    <x v="199"/>
    <d v="1899-12-30T16:39:00"/>
    <n v="6.2"/>
    <n v="6"/>
    <n v="11.8"/>
    <n v="11"/>
    <n v="0.20000000000000018"/>
    <n v="0.80000000000000071"/>
    <n v="34"/>
    <n v="13"/>
    <x v="88"/>
    <n v="1.6190476190476191"/>
    <n v="-6.5830721003134848E-2"/>
    <n v="21"/>
    <n v="15.2"/>
    <m/>
    <x v="83"/>
    <n v="3.6206896551724137"/>
    <n v="-0.17318435754189954"/>
    <n v="28.2"/>
    <n v="5.8000000000000007"/>
    <n v="0.82941176470588229"/>
    <m/>
    <m/>
    <n v="0"/>
    <n v="0"/>
    <s v="N/A"/>
    <s v="OFF"/>
    <n v="0"/>
    <n v="0"/>
    <n v="5.3"/>
    <s v="DERECHA"/>
    <s v="OFF"/>
    <s v="NO"/>
  </r>
  <r>
    <x v="200"/>
    <d v="1899-12-30T07:45:00"/>
    <n v="6.2"/>
    <n v="6"/>
    <n v="11.8"/>
    <n v="11"/>
    <n v="0.20000000000000018"/>
    <n v="0.80000000000000071"/>
    <n v="31.9"/>
    <n v="14"/>
    <x v="89"/>
    <n v="1.7821229050279332"/>
    <n v="-8.8737201365187632E-2"/>
    <n v="17.899999999999999"/>
    <n v="11.5"/>
    <m/>
    <x v="84"/>
    <n v="2.7968750000000004"/>
    <n v="-0.16993464052287566"/>
    <n v="25.5"/>
    <n v="6.3999999999999986"/>
    <n v="0.79937304075235116"/>
    <m/>
    <m/>
    <n v="0"/>
    <n v="0"/>
    <s v="N/A"/>
    <s v="OFF"/>
    <n v="0"/>
    <n v="0"/>
    <n v="5.3"/>
    <s v="DERECHA"/>
    <s v="OFF"/>
    <s v="NO"/>
  </r>
  <r>
    <x v="201"/>
    <d v="1899-12-30T13:22:00"/>
    <n v="6.2"/>
    <n v="6"/>
    <n v="11.9"/>
    <n v="11"/>
    <n v="0.20000000000000018"/>
    <n v="0.90000000000000036"/>
    <n v="29.3"/>
    <n v="14"/>
    <x v="90"/>
    <n v="1.9150326797385622"/>
    <n v="0.13313609467455612"/>
    <n v="15.3"/>
    <n v="9.1999999999999993"/>
    <m/>
    <x v="85"/>
    <n v="2.5081967213114753"/>
    <n v="0.26442307692307676"/>
    <n v="23.2"/>
    <n v="6.1000000000000014"/>
    <n v="0.79180887372013653"/>
    <m/>
    <m/>
    <n v="0"/>
    <n v="0"/>
    <s v="N/A"/>
    <s v="OFF"/>
    <n v="0"/>
    <n v="0"/>
    <n v="5.3"/>
    <s v="DERECHA"/>
    <s v="OFF"/>
    <s v="NO"/>
  </r>
  <r>
    <x v="202"/>
    <d v="1900-10-26T12:00:00"/>
    <n v="5.5"/>
    <n v="4"/>
    <n v="10.9"/>
    <n v="10"/>
    <n v="1.5"/>
    <n v="0.90000000000000036"/>
    <n v="33.799999999999997"/>
    <n v="13"/>
    <x v="91"/>
    <n v="1.625"/>
    <e v="#DIV/0!"/>
    <n v="20.799999999999997"/>
    <n v="8.3000000000000007"/>
    <m/>
    <x v="86"/>
    <n v="1.6640000000000004"/>
    <e v="#DIV/0!"/>
    <n v="21.3"/>
    <n v="12.499999999999996"/>
    <n v="0.63017751479289952"/>
    <m/>
    <m/>
    <n v="0"/>
    <n v="0"/>
    <s v="N/A"/>
    <s v="OFF"/>
    <n v="0"/>
    <n v="0"/>
    <n v="5.3"/>
    <s v="DERECHA"/>
    <s v="OFF"/>
    <s v="NO"/>
  </r>
  <r>
    <x v="203"/>
    <m/>
    <m/>
    <m/>
    <m/>
    <m/>
    <m/>
    <m/>
    <m/>
    <m/>
    <x v="80"/>
    <m/>
    <m/>
    <m/>
    <m/>
    <m/>
    <x v="87"/>
    <m/>
    <m/>
    <m/>
    <m/>
    <m/>
    <m/>
    <m/>
    <m/>
    <m/>
    <m/>
    <m/>
    <m/>
    <m/>
    <m/>
    <m/>
    <m/>
    <m/>
  </r>
  <r>
    <x v="204"/>
    <m/>
    <m/>
    <m/>
    <m/>
    <m/>
    <m/>
    <m/>
    <m/>
    <m/>
    <x v="80"/>
    <m/>
    <m/>
    <m/>
    <m/>
    <m/>
    <x v="87"/>
    <m/>
    <m/>
    <m/>
    <m/>
    <m/>
    <m/>
    <m/>
    <m/>
    <m/>
    <m/>
    <m/>
    <m/>
    <m/>
    <m/>
    <m/>
    <m/>
    <m/>
  </r>
  <r>
    <x v="205"/>
    <m/>
    <m/>
    <m/>
    <m/>
    <m/>
    <m/>
    <m/>
    <m/>
    <m/>
    <x v="80"/>
    <m/>
    <m/>
    <m/>
    <m/>
    <m/>
    <x v="87"/>
    <m/>
    <m/>
    <m/>
    <m/>
    <m/>
    <m/>
    <m/>
    <m/>
    <m/>
    <m/>
    <m/>
    <m/>
    <m/>
    <m/>
    <m/>
    <m/>
    <m/>
  </r>
  <r>
    <x v="206"/>
    <d v="1899-12-30T14:18:00"/>
    <n v="5.7"/>
    <n v="5"/>
    <n v="11.2"/>
    <n v="11"/>
    <n v="0.70000000000000018"/>
    <n v="0.19999999999999929"/>
    <n v="33.5"/>
    <n v="14"/>
    <x v="92"/>
    <n v="1.7179487179487178"/>
    <n v="-0.22262773722627743"/>
    <n v="19.5"/>
    <n v="12.600000000000001"/>
    <m/>
    <x v="88"/>
    <n v="2.8260869565217392"/>
    <n v="-0.45522388059701507"/>
    <n v="26.6"/>
    <n v="6.8999999999999986"/>
    <n v="0.79402985074626875"/>
    <m/>
    <m/>
    <n v="0"/>
    <n v="0"/>
    <s v="N/A"/>
    <s v="OFF"/>
    <n v="0"/>
    <n v="0"/>
    <n v="5.2"/>
    <s v="DERECHA"/>
    <s v="OFF"/>
    <s v="NO"/>
  </r>
  <r>
    <x v="207"/>
    <d v="1899-12-30T14:50:00"/>
    <n v="6.2"/>
    <n v="5"/>
    <n v="11.2"/>
    <n v="10"/>
    <n v="1.2000000000000002"/>
    <n v="1.1999999999999993"/>
    <n v="27.4"/>
    <n v="14"/>
    <x v="93"/>
    <n v="2.0447761194029854"/>
    <n v="0.16969696969696973"/>
    <n v="13.399999999999999"/>
    <n v="6.8000000000000007"/>
    <m/>
    <x v="89"/>
    <n v="2.0303030303030307"/>
    <n v="0.29473684210526324"/>
    <n v="20.8"/>
    <n v="6.5999999999999979"/>
    <n v="0.75912408759124095"/>
    <m/>
    <m/>
    <n v="0"/>
    <n v="0"/>
    <s v="N/A"/>
    <s v="OFF"/>
    <n v="0"/>
    <n v="0"/>
    <n v="4.3"/>
    <s v="IZQUIERDA"/>
    <s v="OFF"/>
    <s v="NO"/>
  </r>
  <r>
    <x v="208"/>
    <d v="1899-12-30T10:40:00"/>
    <n v="6.2"/>
    <n v="5"/>
    <n v="11.8"/>
    <n v="11"/>
    <n v="1.2000000000000002"/>
    <n v="0.80000000000000071"/>
    <n v="33"/>
    <n v="14"/>
    <x v="94"/>
    <n v="1.7368421052631582"/>
    <n v="-2.8037383177570048E-2"/>
    <n v="19"/>
    <n v="10.5"/>
    <m/>
    <x v="90"/>
    <n v="2.2352941176470589"/>
    <n v="5.2356020942409117E-3"/>
    <n v="24.5"/>
    <n v="8.5"/>
    <n v="0.74242424242424243"/>
    <m/>
    <m/>
    <n v="0"/>
    <n v="0"/>
    <s v="N/A"/>
    <s v="OFF"/>
    <n v="0"/>
    <n v="0"/>
    <n v="4.2"/>
    <s v="IZQUIERDA"/>
    <s v="OFF"/>
    <s v="NO"/>
  </r>
  <r>
    <x v="209"/>
    <d v="1899-12-30T13:30:00"/>
    <n v="5.7"/>
    <n v="5"/>
    <n v="11.2"/>
    <n v="11"/>
    <n v="0.70000000000000018"/>
    <n v="0.19999999999999929"/>
    <n v="32.1"/>
    <n v="13"/>
    <x v="95"/>
    <n v="1.6806282722513091"/>
    <e v="#DIV/0!"/>
    <n v="19.100000000000001"/>
    <n v="10.399999999999999"/>
    <m/>
    <x v="91"/>
    <n v="2.1954022988505741"/>
    <e v="#DIV/0!"/>
    <n v="23.4"/>
    <n v="8.7000000000000028"/>
    <n v="0.7289719626168224"/>
    <m/>
    <m/>
    <n v="0"/>
    <n v="0"/>
    <s v="N/A"/>
    <s v="OFF"/>
    <n v="0"/>
    <n v="0"/>
    <n v="5"/>
    <s v="IZQUIERDA"/>
    <s v="OFF"/>
    <s v="NO"/>
  </r>
  <r>
    <x v="210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n v="0"/>
    <n v="0"/>
    <s v="N/A"/>
    <s v="OFF"/>
    <n v="0"/>
    <n v="0"/>
    <m/>
    <m/>
    <s v="OFF"/>
    <s v="SI"/>
  </r>
  <r>
    <x v="211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s v="SI"/>
  </r>
  <r>
    <x v="212"/>
    <d v="1899-12-30T17:07:00"/>
    <n v="5.2"/>
    <n v="4"/>
    <n v="10.7"/>
    <n v="10"/>
    <n v="1.2000000000000002"/>
    <n v="0.69999999999999929"/>
    <n v="32.6"/>
    <n v="13"/>
    <x v="96"/>
    <n v="1.6632653061224487"/>
    <e v="#DIV/0!"/>
    <n v="19.600000000000001"/>
    <n v="11.8"/>
    <m/>
    <x v="92"/>
    <n v="2.5128205128205128"/>
    <e v="#DIV/0!"/>
    <n v="24.8"/>
    <n v="7.8000000000000007"/>
    <n v="0.76073619631901834"/>
    <m/>
    <m/>
    <n v="0"/>
    <n v="0"/>
    <s v="N/A"/>
    <s v="OFF"/>
    <n v="0"/>
    <n v="0"/>
    <n v="5"/>
    <s v="IZQUIERDA"/>
    <s v="OFF"/>
    <s v="NO"/>
  </r>
  <r>
    <x v="213"/>
    <m/>
    <m/>
    <m/>
    <m/>
    <m/>
    <n v="0"/>
    <n v="0"/>
    <m/>
    <m/>
    <x v="0"/>
    <e v="#DIV/0!"/>
    <e v="#DIV/0!"/>
    <m/>
    <n v="0"/>
    <m/>
    <x v="0"/>
    <e v="#DIV/0!"/>
    <e v="#DIV/0!"/>
    <m/>
    <n v="0"/>
    <e v="#DIV/0!"/>
    <m/>
    <m/>
    <n v="0"/>
    <n v="0"/>
    <s v="N/A"/>
    <s v="OFF"/>
    <n v="0"/>
    <n v="0"/>
    <m/>
    <m/>
    <s v="OFF"/>
    <m/>
  </r>
  <r>
    <x v="214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m/>
  </r>
  <r>
    <x v="215"/>
    <d v="1900-01-01T12:00:00"/>
    <n v="5.9"/>
    <n v="5"/>
    <n v="11.6"/>
    <n v="11"/>
    <n v="0.90000000000000036"/>
    <n v="0.59999999999999964"/>
    <n v="29.3"/>
    <n v="13"/>
    <x v="97"/>
    <n v="1.7975460122699385"/>
    <n v="0.15804597701149417"/>
    <n v="16.3"/>
    <n v="9.8999999999999986"/>
    <m/>
    <x v="93"/>
    <n v="2.5468749999999996"/>
    <n v="0.2850877192982455"/>
    <n v="22.9"/>
    <n v="6.4000000000000021"/>
    <n v="0.78156996587030714"/>
    <m/>
    <m/>
    <n v="0"/>
    <n v="0"/>
    <s v="N/A"/>
    <s v="OFF"/>
    <n v="0"/>
    <n v="0"/>
    <n v="5.4"/>
    <s v="DERECHA"/>
    <s v="OFF"/>
    <s v="NO"/>
  </r>
  <r>
    <x v="216"/>
    <d v="1899-12-30T08:30:00"/>
    <n v="4.9000000000000004"/>
    <n v="4"/>
    <n v="10.4"/>
    <n v="10"/>
    <n v="0.90000000000000036"/>
    <n v="0.40000000000000036"/>
    <n v="34.799999999999997"/>
    <n v="12"/>
    <x v="98"/>
    <n v="1.5263157894736843"/>
    <e v="#DIV/0!"/>
    <n v="22.799999999999997"/>
    <n v="5.3000000000000007"/>
    <m/>
    <x v="94"/>
    <n v="1.3028571428571429"/>
    <e v="#DIV/0!"/>
    <n v="17.3"/>
    <n v="17.499999999999996"/>
    <n v="0.49712643678160928"/>
    <m/>
    <m/>
    <n v="0"/>
    <n v="0"/>
    <s v="N/A"/>
    <s v="OFF"/>
    <n v="0"/>
    <n v="0"/>
    <n v="5.0999999999999996"/>
    <s v="DERECHA"/>
    <s v="OFF"/>
    <s v="NO"/>
  </r>
  <r>
    <x v="217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m/>
    <m/>
    <n v="0"/>
    <n v="0"/>
    <s v="N/A"/>
    <s v="OFF"/>
    <n v="0"/>
    <n v="0"/>
    <m/>
    <m/>
    <s v="OFF"/>
    <s v="SI"/>
  </r>
  <r>
    <x v="218"/>
    <m/>
    <m/>
    <m/>
    <m/>
    <m/>
    <n v="0"/>
    <n v="0"/>
    <m/>
    <m/>
    <x v="0"/>
    <e v="#DIV/0!"/>
    <n v="1"/>
    <n v="0"/>
    <n v="0"/>
    <m/>
    <x v="0"/>
    <e v="#DIV/0!"/>
    <n v="1"/>
    <m/>
    <n v="0"/>
    <e v="#DIV/0!"/>
    <m/>
    <m/>
    <n v="0"/>
    <n v="0"/>
    <s v="N/A"/>
    <s v="OFF"/>
    <n v="0"/>
    <n v="0"/>
    <m/>
    <m/>
    <s v="OFF"/>
    <s v="SI"/>
  </r>
  <r>
    <x v="219"/>
    <d v="1899-12-30T15:00:00"/>
    <n v="6.3"/>
    <n v="5"/>
    <n v="12"/>
    <n v="11.5"/>
    <n v="1.2999999999999998"/>
    <n v="0.5"/>
    <n v="30.6"/>
    <n v="14"/>
    <x v="99"/>
    <n v="1.8433734939759034"/>
    <n v="-0.12087912087912091"/>
    <n v="16.600000000000001"/>
    <n v="11.399999999999999"/>
    <m/>
    <x v="95"/>
    <n v="3.1923076923076912"/>
    <n v="-0.16083916083916089"/>
    <n v="25.4"/>
    <n v="5.2000000000000028"/>
    <n v="0.83006535947712412"/>
    <m/>
    <m/>
    <n v="0"/>
    <n v="0"/>
    <s v="N/A"/>
    <s v="OFF"/>
    <n v="0"/>
    <n v="0"/>
    <n v="5.2"/>
    <s v="IZQUIERDA"/>
    <s v="OFF"/>
    <s v="NO"/>
  </r>
  <r>
    <x v="220"/>
    <d v="1899-12-30T14:30:00"/>
    <n v="5.9"/>
    <n v="5"/>
    <n v="11.7"/>
    <n v="11"/>
    <n v="0.90000000000000036"/>
    <n v="0.69999999999999929"/>
    <n v="27.3"/>
    <n v="13"/>
    <x v="100"/>
    <n v="1.9090909090909089"/>
    <n v="-0.14705882352941177"/>
    <n v="14.3"/>
    <n v="9.5"/>
    <m/>
    <x v="96"/>
    <n v="2.9791666666666661"/>
    <n v="-0.21186440677966101"/>
    <n v="22.5"/>
    <n v="4.8000000000000007"/>
    <n v="0.82417582417582413"/>
    <m/>
    <m/>
    <n v="0"/>
    <n v="0"/>
    <s v="N/A"/>
    <s v="OFF"/>
    <n v="0"/>
    <n v="0"/>
    <n v="4.3"/>
    <s v="IZQUIERDA"/>
    <s v="OFF"/>
    <s v="NO"/>
  </r>
  <r>
    <x v="221"/>
    <d v="1899-12-30T09:57:00"/>
    <n v="5.3"/>
    <n v="5"/>
    <n v="11.1"/>
    <n v="11"/>
    <n v="0.29999999999999982"/>
    <n v="9.9999999999999645E-2"/>
    <n v="23.8"/>
    <n v="12"/>
    <x v="101"/>
    <n v="2.0169491525423728"/>
    <e v="#DIV/0!"/>
    <n v="11.8"/>
    <n v="6.8000000000000007"/>
    <n v="10"/>
    <x v="97"/>
    <n v="2.3600000000000003"/>
    <e v="#DIV/0!"/>
    <n v="18.8"/>
    <n v="5"/>
    <n v="0.78991596638655459"/>
    <n v="22"/>
    <n v="5"/>
    <n v="0"/>
    <n v="0"/>
    <s v="N/A"/>
    <s v="OFF"/>
    <n v="0"/>
    <n v="0"/>
    <n v="4.3"/>
    <s v="IZQUIERDA"/>
    <s v="OFF"/>
    <s v="NO"/>
  </r>
  <r>
    <x v="222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n v="0"/>
    <n v="0"/>
    <s v="N/A"/>
    <s v="OFF"/>
    <n v="0"/>
    <n v="0"/>
    <m/>
    <m/>
    <s v="OFF"/>
    <m/>
  </r>
  <r>
    <x v="223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s v="OFF"/>
    <m/>
  </r>
  <r>
    <x v="224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s v="OFF"/>
    <m/>
  </r>
  <r>
    <x v="225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s v="OFF"/>
    <m/>
  </r>
  <r>
    <x v="226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s v="OFF"/>
    <m/>
  </r>
  <r>
    <x v="227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28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29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0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1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2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3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4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5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6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7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  <r>
    <x v="238"/>
    <m/>
    <m/>
    <m/>
    <m/>
    <m/>
    <n v="0"/>
    <n v="0"/>
    <m/>
    <m/>
    <x v="0"/>
    <e v="#DIV/0!"/>
    <e v="#DIV/0!"/>
    <n v="0"/>
    <n v="0"/>
    <m/>
    <x v="0"/>
    <e v="#DIV/0!"/>
    <e v="#DIV/0!"/>
    <m/>
    <n v="0"/>
    <e v="#DIV/0!"/>
    <n v="0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D4FF9-EA94-4DBF-B895-B89A54E722AA}" name="TablaDiná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S5:AS33" firstHeaderRow="1" firstDataRow="1" firstDataCol="1"/>
  <pivotFields count="34">
    <pivotField axis="axisRow" numFmtId="14" multipleItemSelectionAllowed="1" showAll="0">
      <items count="2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x="66"/>
        <item h="1" x="67"/>
        <item h="1" x="68"/>
        <item h="1" x="69"/>
        <item h="1" x="70"/>
        <item h="1" m="1" x="254"/>
        <item h="1" m="1" x="255"/>
        <item h="1" x="71"/>
        <item h="1" x="72"/>
        <item h="1" x="73"/>
        <item h="1" x="74"/>
        <item h="1" m="1" x="250"/>
        <item h="1" m="1" x="251"/>
        <item h="1" m="1" x="252"/>
        <item h="1" m="1" x="253"/>
        <item h="1" x="75"/>
        <item h="1" x="76"/>
        <item h="1" m="1" x="247"/>
        <item h="1" x="77"/>
        <item h="1" m="1" x="248"/>
        <item h="1" m="1" x="249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Items count="1">
    <i/>
  </colItem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050C9-A466-444A-A55D-8F67CDE45C5B}" name="TablaDiná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J5:AM33" firstHeaderRow="0" firstDataRow="1" firstDataCol="1"/>
  <pivotFields count="34">
    <pivotField axis="axisRow" numFmtId="14" multipleItemSelectionAllowed="1" showAll="0">
      <items count="2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x="66"/>
        <item h="1" x="67"/>
        <item h="1" x="68"/>
        <item h="1" x="69"/>
        <item h="1" x="70"/>
        <item h="1" m="1" x="254"/>
        <item h="1" m="1" x="255"/>
        <item h="1" x="71"/>
        <item h="1" x="72"/>
        <item h="1" x="73"/>
        <item h="1" x="74"/>
        <item h="1" m="1" x="250"/>
        <item h="1" m="1" x="251"/>
        <item h="1" m="1" x="252"/>
        <item h="1" m="1" x="253"/>
        <item h="1" x="75"/>
        <item h="1" x="76"/>
        <item h="1" m="1" x="247"/>
        <item h="1" x="77"/>
        <item h="1" m="1" x="248"/>
        <item h="1" m="1" x="249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8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Diferencial de Presión RO 1 ETAPA 2 ΔP " fld="7" baseField="0" baseItem="0"/>
    <dataField name="P Salida RO 1 ETAPA 2 (Bar) " fld="5" baseField="0" baseItem="0"/>
    <dataField name="P Entrada RO 1 ETAPA 2 (Bar) " fld="4" baseField="0" baseItem="0"/>
  </dataFields>
  <formats count="2">
    <format dxfId="4">
      <pivotArea outline="0" collapsedLevelsAreSubtotals="1" fieldPosition="0"/>
    </format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hartFormats count="15"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17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79D33-3942-4DDC-A14B-CCC177D2DB77}" name="TablaDiná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3">
  <location ref="Y5:AC33" firstHeaderRow="0" firstDataRow="1" firstDataCol="1"/>
  <pivotFields count="34">
    <pivotField axis="axisRow" numFmtId="14" multipleItemSelectionAllowed="1" showAll="0">
      <items count="2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x="66"/>
        <item h="1" x="67"/>
        <item h="1" x="68"/>
        <item h="1" x="69"/>
        <item h="1" x="70"/>
        <item h="1" m="1" x="254"/>
        <item h="1" m="1" x="255"/>
        <item h="1" x="71"/>
        <item h="1" x="72"/>
        <item h="1" x="73"/>
        <item h="1" x="74"/>
        <item h="1" m="1" x="250"/>
        <item h="1" m="1" x="251"/>
        <item h="1" m="1" x="252"/>
        <item h="1" m="1" x="253"/>
        <item h="1" x="75"/>
        <item h="1" x="76"/>
        <item h="1" m="1" x="247"/>
        <item h="1" x="77"/>
        <item h="1" m="1" x="248"/>
        <item h="1" m="1" x="249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81"/>
        <item t="default"/>
      </items>
    </pivotField>
    <pivotField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 Entrada RO 1 ETAPA 1(Bar) " fld="2" baseField="0" baseItem="0"/>
    <dataField name="Diferencial de Presión RO 1 ETAPA 1 ΔP  " fld="6" baseField="0" baseItem="0"/>
    <dataField name="P Salida RO 1 ETAPA 1(Bar) " fld="3" baseField="0" baseItem="0"/>
    <dataField name="Q Entrada RO 1 ETAPA 1 " fld="8" baseField="0" baseItem="0"/>
  </dataFields>
  <formats count="3"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1B63D-2A84-449C-B275-125643919778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5">
  <location ref="P5:T33" firstHeaderRow="0" firstDataRow="1" firstDataCol="1"/>
  <pivotFields count="34">
    <pivotField axis="axisRow" numFmtId="14" multipleItemSelectionAllowed="1" showAll="0">
      <items count="2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x="66"/>
        <item h="1" x="67"/>
        <item h="1" x="68"/>
        <item h="1" x="69"/>
        <item h="1" x="70"/>
        <item h="1" m="1" x="254"/>
        <item h="1" m="1" x="255"/>
        <item h="1" x="71"/>
        <item h="1" x="72"/>
        <item h="1" x="73"/>
        <item h="1" x="74"/>
        <item h="1" m="1" x="250"/>
        <item h="1" m="1" x="251"/>
        <item h="1" m="1" x="252"/>
        <item h="1" m="1" x="253"/>
        <item h="1" x="75"/>
        <item h="1" x="76"/>
        <item h="1" m="1" x="247"/>
        <item h="1" x="77"/>
        <item h="1" m="1" x="248"/>
        <item h="1" m="1" x="249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>
      <items count="103">
        <item x="73"/>
        <item x="26"/>
        <item x="22"/>
        <item x="23"/>
        <item x="28"/>
        <item x="27"/>
        <item x="25"/>
        <item x="24"/>
        <item x="21"/>
        <item x="19"/>
        <item x="20"/>
        <item x="33"/>
        <item x="18"/>
        <item x="30"/>
        <item x="17"/>
        <item x="32"/>
        <item x="31"/>
        <item x="29"/>
        <item x="98"/>
        <item x="5"/>
        <item x="88"/>
        <item x="91"/>
        <item x="96"/>
        <item x="95"/>
        <item x="7"/>
        <item x="40"/>
        <item x="92"/>
        <item x="41"/>
        <item x="39"/>
        <item x="94"/>
        <item x="78"/>
        <item x="38"/>
        <item x="62"/>
        <item x="89"/>
        <item x="97"/>
        <item x="85"/>
        <item x="99"/>
        <item x="6"/>
        <item x="75"/>
        <item x="100"/>
        <item x="90"/>
        <item x="83"/>
        <item x="81"/>
        <item x="86"/>
        <item x="8"/>
        <item x="77"/>
        <item x="101"/>
        <item x="44"/>
        <item x="37"/>
        <item x="1"/>
        <item x="93"/>
        <item x="4"/>
        <item x="84"/>
        <item x="2"/>
        <item x="35"/>
        <item x="79"/>
        <item x="9"/>
        <item x="15"/>
        <item x="49"/>
        <item x="10"/>
        <item x="3"/>
        <item x="87"/>
        <item x="43"/>
        <item x="14"/>
        <item x="16"/>
        <item x="67"/>
        <item x="11"/>
        <item x="36"/>
        <item x="50"/>
        <item x="42"/>
        <item x="13"/>
        <item x="82"/>
        <item x="76"/>
        <item x="45"/>
        <item x="59"/>
        <item x="48"/>
        <item x="12"/>
        <item x="46"/>
        <item x="63"/>
        <item x="47"/>
        <item x="52"/>
        <item x="65"/>
        <item x="34"/>
        <item x="71"/>
        <item x="74"/>
        <item x="54"/>
        <item x="58"/>
        <item x="61"/>
        <item x="56"/>
        <item x="60"/>
        <item x="68"/>
        <item x="72"/>
        <item x="51"/>
        <item x="57"/>
        <item x="66"/>
        <item x="55"/>
        <item x="69"/>
        <item x="64"/>
        <item x="70"/>
        <item x="53"/>
        <item x="0"/>
        <item x="8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Q Entrada RO 1 ETAPA 1 " fld="8" baseField="0" baseItem="0"/>
    <dataField name=" % EFICIENCIA ETAPA 1 RO1 " fld="10" subtotal="average" baseField="0" baseItem="211"/>
    <dataField name="Q Salida RO 1 ETAPA 1 ROT A " fld="9" baseField="0" baseItem="0"/>
    <dataField name=" Q Entrada RO 1 ETAPA 2 CALCULADO " fld="13" baseField="0" baseItem="0"/>
  </dataFields>
  <formats count="5">
    <format dxfId="12">
      <pivotArea outline="0" collapsedLevelsAreSubtotals="1" fieldPosition="0"/>
    </format>
    <format dxfId="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4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990181-8CFF-43C9-AC9E-B31AA9805FE3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A5:E33" firstHeaderRow="0" firstDataRow="1" firstDataCol="1"/>
  <pivotFields count="34">
    <pivotField axis="axisRow" numFmtId="14" multipleItemSelectionAllowed="1" showAll="0">
      <items count="2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x="66"/>
        <item h="1" x="67"/>
        <item h="1" x="68"/>
        <item h="1" x="69"/>
        <item h="1" x="70"/>
        <item h="1" m="1" x="254"/>
        <item h="1" m="1" x="255"/>
        <item h="1" x="71"/>
        <item h="1" x="72"/>
        <item h="1" x="73"/>
        <item h="1" x="74"/>
        <item h="1" m="1" x="250"/>
        <item h="1" m="1" x="251"/>
        <item h="1" m="1" x="252"/>
        <item h="1" m="1" x="253"/>
        <item h="1" x="75"/>
        <item h="1" x="76"/>
        <item h="1" m="1" x="247"/>
        <item h="1" x="77"/>
        <item h="1" m="1" x="248"/>
        <item h="1" m="1" x="249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8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P Entrada RO 1 ETAPA 1(Bar) " fld="2" baseField="0" baseItem="0"/>
    <dataField name="Q Entrada RO 1 ETAPA 1 " fld="8" baseField="0" baseItem="0"/>
    <dataField name=" Q PERMEADO RO1 MEDIDOR DIGITAL " fld="19" baseField="0" baseItem="0"/>
    <dataField name=" RECHAZO RO1 CALCULADO " fld="20" baseField="0" baseItem="0"/>
  </dataFields>
  <formats count="4">
    <format dxfId="16">
      <pivotArea outline="0" collapsedLevelsAreSubtotals="1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3"/>
          </reference>
          <reference field="0" count="1" selected="0">
            <x v="23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3"/>
          </reference>
          <reference field="0" count="1" selected="0">
            <x v="23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3"/>
          </reference>
          <reference field="0" count="1" selected="0">
            <x v="23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3"/>
          </reference>
          <reference field="0" count="1" selected="0">
            <x v="22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3"/>
          </reference>
          <reference field="0" count="1" selected="0">
            <x v="227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3"/>
          </reference>
          <reference field="0" count="1" selected="0">
            <x v="22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3"/>
          </reference>
          <reference field="0" count="1" selected="0">
            <x v="21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3"/>
          </reference>
          <reference field="0" count="1" selected="0">
            <x v="213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3"/>
          </reference>
          <reference field="0" count="1" selected="0">
            <x v="212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3"/>
          </reference>
          <reference field="0" count="1" selected="0">
            <x v="211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3"/>
          </reference>
          <reference field="0" count="1" selected="0">
            <x v="210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3"/>
          </reference>
          <reference field="0" count="1" selected="0">
            <x v="20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24F32-EE2E-4600-9170-2702342B558F}" name="TablaDinámica8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G5:M33" firstHeaderRow="0" firstDataRow="1" firstDataCol="1"/>
  <pivotFields count="34">
    <pivotField axis="axisRow" numFmtId="14" multipleItemSelectionAllowed="1" showAll="0">
      <items count="257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x="66"/>
        <item h="1" x="67"/>
        <item h="1" x="68"/>
        <item h="1" x="69"/>
        <item h="1" x="70"/>
        <item h="1" m="1" x="254"/>
        <item h="1" m="1" x="255"/>
        <item h="1" x="71"/>
        <item h="1" x="72"/>
        <item h="1" x="73"/>
        <item h="1" x="74"/>
        <item h="1" m="1" x="250"/>
        <item h="1" m="1" x="251"/>
        <item h="1" m="1" x="252"/>
        <item h="1" m="1" x="253"/>
        <item h="1" x="75"/>
        <item h="1" x="76"/>
        <item h="1" m="1" x="247"/>
        <item h="1" x="77"/>
        <item h="1" m="1" x="248"/>
        <item h="1" m="1" x="249"/>
        <item h="1" x="78"/>
        <item h="1" x="79"/>
        <item h="1" x="80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8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>
      <items count="103">
        <item x="73"/>
        <item x="26"/>
        <item x="22"/>
        <item x="23"/>
        <item x="28"/>
        <item x="27"/>
        <item x="25"/>
        <item x="24"/>
        <item x="21"/>
        <item x="19"/>
        <item x="20"/>
        <item x="33"/>
        <item x="18"/>
        <item x="30"/>
        <item x="17"/>
        <item x="32"/>
        <item x="31"/>
        <item x="29"/>
        <item x="98"/>
        <item x="5"/>
        <item x="88"/>
        <item x="91"/>
        <item x="96"/>
        <item x="95"/>
        <item x="7"/>
        <item x="40"/>
        <item x="92"/>
        <item x="41"/>
        <item x="39"/>
        <item x="94"/>
        <item x="78"/>
        <item x="38"/>
        <item x="62"/>
        <item x="89"/>
        <item x="97"/>
        <item x="85"/>
        <item x="99"/>
        <item x="6"/>
        <item x="75"/>
        <item x="100"/>
        <item x="90"/>
        <item x="83"/>
        <item x="81"/>
        <item x="86"/>
        <item x="8"/>
        <item x="77"/>
        <item x="101"/>
        <item x="44"/>
        <item x="37"/>
        <item x="1"/>
        <item x="93"/>
        <item x="4"/>
        <item x="84"/>
        <item x="2"/>
        <item x="35"/>
        <item x="79"/>
        <item x="9"/>
        <item x="15"/>
        <item x="49"/>
        <item x="10"/>
        <item x="3"/>
        <item x="87"/>
        <item x="43"/>
        <item x="14"/>
        <item x="16"/>
        <item x="67"/>
        <item x="11"/>
        <item x="36"/>
        <item x="50"/>
        <item x="42"/>
        <item x="13"/>
        <item x="82"/>
        <item x="76"/>
        <item x="45"/>
        <item x="59"/>
        <item x="48"/>
        <item x="12"/>
        <item x="46"/>
        <item x="63"/>
        <item x="47"/>
        <item x="52"/>
        <item x="65"/>
        <item x="34"/>
        <item x="71"/>
        <item x="74"/>
        <item x="54"/>
        <item x="58"/>
        <item x="61"/>
        <item x="56"/>
        <item x="60"/>
        <item x="68"/>
        <item x="72"/>
        <item x="51"/>
        <item x="57"/>
        <item x="66"/>
        <item x="55"/>
        <item x="69"/>
        <item x="64"/>
        <item x="70"/>
        <item x="53"/>
        <item x="0"/>
        <item x="80"/>
        <item t="default"/>
      </items>
    </pivotField>
    <pivotField showAll="0"/>
    <pivotField showAll="0"/>
    <pivotField showAll="0"/>
    <pivotField showAll="0"/>
    <pivotField showAll="0"/>
    <pivotField dataField="1" showAll="0">
      <items count="99">
        <item x="64"/>
        <item x="46"/>
        <item x="73"/>
        <item x="63"/>
        <item x="57"/>
        <item x="40"/>
        <item x="39"/>
        <item x="41"/>
        <item x="38"/>
        <item x="59"/>
        <item x="1"/>
        <item x="67"/>
        <item x="66"/>
        <item x="37"/>
        <item x="65"/>
        <item x="62"/>
        <item x="2"/>
        <item x="69"/>
        <item x="5"/>
        <item x="36"/>
        <item x="4"/>
        <item x="45"/>
        <item x="3"/>
        <item x="32"/>
        <item x="33"/>
        <item x="34"/>
        <item x="6"/>
        <item x="31"/>
        <item x="7"/>
        <item x="8"/>
        <item x="54"/>
        <item x="53"/>
        <item x="29"/>
        <item x="71"/>
        <item x="28"/>
        <item x="94"/>
        <item x="58"/>
        <item x="72"/>
        <item x="35"/>
        <item x="56"/>
        <item x="52"/>
        <item x="61"/>
        <item x="74"/>
        <item x="48"/>
        <item x="27"/>
        <item x="25"/>
        <item x="24"/>
        <item x="43"/>
        <item x="80"/>
        <item x="55"/>
        <item x="44"/>
        <item x="79"/>
        <item x="50"/>
        <item x="49"/>
        <item x="16"/>
        <item x="18"/>
        <item x="86"/>
        <item x="19"/>
        <item x="15"/>
        <item x="78"/>
        <item x="14"/>
        <item x="23"/>
        <item x="20"/>
        <item x="22"/>
        <item x="21"/>
        <item x="17"/>
        <item x="76"/>
        <item x="13"/>
        <item x="89"/>
        <item x="70"/>
        <item x="75"/>
        <item x="91"/>
        <item x="47"/>
        <item x="90"/>
        <item x="77"/>
        <item x="11"/>
        <item x="97"/>
        <item x="10"/>
        <item x="51"/>
        <item x="42"/>
        <item x="85"/>
        <item x="92"/>
        <item x="26"/>
        <item x="9"/>
        <item x="93"/>
        <item x="82"/>
        <item x="12"/>
        <item x="60"/>
        <item x="84"/>
        <item x="88"/>
        <item x="81"/>
        <item x="96"/>
        <item x="95"/>
        <item x="68"/>
        <item x="83"/>
        <item x="30"/>
        <item x="0"/>
        <item x="87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8"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% EFICIENCIA RO1 " fld="21" subtotal="average" baseField="0" baseItem="0" numFmtId="9"/>
    <dataField name=" % EFICIENCIA ETAPA 2 RO1 " fld="16" subtotal="average" baseField="0" baseItem="0"/>
    <dataField name=" % EFICIENCIA ETAPA 1 RO1 " fld="10" subtotal="average" baseField="0" baseItem="0"/>
    <dataField name="Q Entrada RO 1 ETAPA 1 " fld="8" baseField="0" baseItem="0"/>
    <dataField name="Q PERMEADO RO1 MEDIDOR DIGITAL " fld="19" baseField="0" baseItem="0"/>
    <dataField name="Q RECHAZO RO1 CALCULADO " fld="20" baseField="0" baseItem="0"/>
  </dataFields>
  <formats count="8">
    <format dxfId="24">
      <pivotArea outline="0" collapsedLevelsAreSubtotals="1" fieldPosition="0"/>
    </format>
    <format dxfId="2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dataOnly="0" labelOnly="1" outline="0" fieldPosition="0">
        <references count="1">
          <reference field="4294967294" count="2">
            <x v="0"/>
            <x v="3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7">
      <pivotArea dataOnly="0" labelOnly="1" outline="0" fieldPosition="0">
        <references count="1">
          <reference field="4294967294" count="2">
            <x v="1"/>
            <x v="2"/>
          </reference>
        </references>
      </pivotArea>
    </format>
  </formats>
  <chartFormats count="8"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2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D1ADF527-AC46-4BF8-A327-88621F5BF07A}" sourceName="Fecha">
  <pivotTables>
    <pivotTable tabId="6" name="TablaDinámica1"/>
    <pivotTable tabId="6" name="TablaDinámica3"/>
    <pivotTable tabId="6" name="TablaDinámica4"/>
    <pivotTable tabId="6" name="TablaDinámica5"/>
    <pivotTable tabId="6" name="TablaDinámica7"/>
    <pivotTable tabId="6" name="TablaDinámica8"/>
  </pivotTables>
  <data>
    <tabular pivotCacheId="1124102624">
      <items count="256">
        <i x="0"/>
        <i x="1"/>
        <i x="2"/>
        <i x="3"/>
        <i x="4"/>
        <i x="5"/>
        <i x="6"/>
        <i x="7"/>
        <i x="8"/>
        <i x="9"/>
        <i x="10"/>
        <i x="11"/>
        <i x="12"/>
        <i x="13"/>
        <i x="14"/>
        <i x="15"/>
        <i x="16"/>
        <i x="17"/>
        <i x="18"/>
        <i x="19"/>
        <i x="20"/>
        <i x="21"/>
        <i x="22"/>
        <i x="23"/>
        <i x="24"/>
        <i x="25"/>
        <i x="26"/>
        <i x="27"/>
        <i x="28"/>
        <i x="29"/>
        <i x="30"/>
        <i x="31"/>
        <i x="32"/>
        <i x="33"/>
        <i x="34"/>
        <i x="35"/>
        <i x="36"/>
        <i x="37"/>
        <i x="38"/>
        <i x="39"/>
        <i x="40"/>
        <i x="41"/>
        <i x="42"/>
        <i x="43"/>
        <i x="44"/>
        <i x="45"/>
        <i x="46"/>
        <i x="47"/>
        <i x="48"/>
        <i x="49"/>
        <i x="50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65"/>
        <i x="66"/>
        <i x="67"/>
        <i x="68"/>
        <i x="69"/>
        <i x="70"/>
        <i x="71"/>
        <i x="72"/>
        <i x="73"/>
        <i x="74"/>
        <i x="75"/>
        <i x="76"/>
        <i x="77"/>
        <i x="78"/>
        <i x="79"/>
        <i x="80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97"/>
        <i x="98"/>
        <i x="99"/>
        <i x="100"/>
        <i x="101"/>
        <i x="102"/>
        <i x="103"/>
        <i x="104"/>
        <i x="105"/>
        <i x="106"/>
        <i x="107"/>
        <i x="108"/>
        <i x="109"/>
        <i x="110"/>
        <i x="111"/>
        <i x="112"/>
        <i x="113"/>
        <i x="114"/>
        <i x="115"/>
        <i x="116"/>
        <i x="117"/>
        <i x="118"/>
        <i x="119"/>
        <i x="120"/>
        <i x="121"/>
        <i x="122"/>
        <i x="123"/>
        <i x="124"/>
        <i x="125"/>
        <i x="126"/>
        <i x="127"/>
        <i x="128"/>
        <i x="129"/>
        <i x="130"/>
        <i x="131"/>
        <i x="132"/>
        <i x="133"/>
        <i x="134"/>
        <i x="135"/>
        <i x="136"/>
        <i x="137"/>
        <i x="138"/>
        <i x="139"/>
        <i x="140"/>
        <i x="141"/>
        <i x="142"/>
        <i x="143"/>
        <i x="144"/>
        <i x="145"/>
        <i x="146"/>
        <i x="147"/>
        <i x="148"/>
        <i x="149"/>
        <i x="150"/>
        <i x="151"/>
        <i x="152"/>
        <i x="153"/>
        <i x="154"/>
        <i x="155"/>
        <i x="156"/>
        <i x="157"/>
        <i x="158"/>
        <i x="159"/>
        <i x="160"/>
        <i x="161"/>
        <i x="162"/>
        <i x="163"/>
        <i x="164"/>
        <i x="165"/>
        <i x="166"/>
        <i x="167"/>
        <i x="168"/>
        <i x="169"/>
        <i x="170"/>
        <i x="171"/>
        <i x="172"/>
        <i x="173"/>
        <i x="174"/>
        <i x="175"/>
        <i x="176"/>
        <i x="177"/>
        <i x="178"/>
        <i x="179"/>
        <i x="180"/>
        <i x="181"/>
        <i x="182"/>
        <i x="183"/>
        <i x="184"/>
        <i x="185"/>
        <i x="186"/>
        <i x="187"/>
        <i x="188"/>
        <i x="189"/>
        <i x="190"/>
        <i x="191"/>
        <i x="192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/>
        <i x="221"/>
        <i x="222"/>
        <i x="223"/>
        <i x="224"/>
        <i x="225"/>
        <i x="226"/>
        <i x="227"/>
        <i x="228"/>
        <i x="229"/>
        <i x="230"/>
        <i x="231"/>
        <i x="232"/>
        <i x="233"/>
        <i x="234"/>
        <i x="235"/>
        <i x="236"/>
        <i x="237"/>
        <i x="238"/>
        <i x="81"/>
        <i x="239" nd="1"/>
        <i x="240" nd="1"/>
        <i x="241" nd="1"/>
        <i x="242" nd="1"/>
        <i x="243" nd="1"/>
        <i x="244" nd="1"/>
        <i x="245" nd="1"/>
        <i x="246" nd="1"/>
        <i x="254" nd="1"/>
        <i x="255" nd="1"/>
        <i x="250" nd="1"/>
        <i x="251" nd="1"/>
        <i x="252" nd="1"/>
        <i x="253" nd="1"/>
        <i x="247" nd="1"/>
        <i x="248" nd="1"/>
        <i x="24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echa" xr10:uid="{91E9B3CF-E347-4A22-88BC-AEB73F153EEE}" cache="SegmentaciónDeDatos_Fecha" caption="Fecha" startItem="225" style="SlicerStyleLight6" rowHeight="225425"/>
</slicer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5-26T22:05:00.70" personId="{A2893ADB-BFCD-4252-BB4E-594D8AF02945}" id="{70C786D8-D66D-4FDB-AD53-3D129EC070AB}">
    <text>ROTAMETRO ETAPA 2</text>
  </threadedComment>
  <threadedComment ref="P1" dT="2025-05-26T22:05:00.70" personId="{A2893ADB-BFCD-4252-BB4E-594D8AF02945}" id="{5C22BE65-BFE0-4F2F-9A1F-E48306A011B8}">
    <text>ROTAMETRO ETAPA 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" dT="2025-05-26T22:05:00.70" personId="{A2893ADB-BFCD-4252-BB4E-594D8AF02945}" id="{70C786D8-D66D-4FDC-AD53-3D129EC070AB}">
    <text>ROTAMETRO ETAPA 2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AB11-FC2A-4646-8406-16F54CE87966}">
  <dimension ref="A1:AW261"/>
  <sheetViews>
    <sheetView topLeftCell="K5" zoomScaleNormal="100" workbookViewId="0">
      <selection activeCell="R37" sqref="R37"/>
    </sheetView>
  </sheetViews>
  <sheetFormatPr baseColWidth="10" defaultRowHeight="12.75" x14ac:dyDescent="0.2"/>
  <cols>
    <col min="1" max="1" width="17.85546875" bestFit="1" customWidth="1"/>
    <col min="2" max="2" width="14.7109375" style="83" bestFit="1" customWidth="1"/>
    <col min="3" max="3" width="8" style="83" bestFit="1" customWidth="1"/>
    <col min="4" max="4" width="44.42578125" style="83" bestFit="1" customWidth="1"/>
    <col min="5" max="5" width="37.42578125" style="83" bestFit="1" customWidth="1"/>
    <col min="6" max="6" width="11" style="83" customWidth="1"/>
    <col min="7" max="7" width="17.85546875" style="83" bestFit="1" customWidth="1"/>
    <col min="8" max="8" width="13.28515625" style="83" bestFit="1" customWidth="1"/>
    <col min="9" max="10" width="38.85546875" style="83" bestFit="1" customWidth="1"/>
    <col min="11" max="11" width="23.42578125" style="83" bestFit="1" customWidth="1"/>
    <col min="12" max="12" width="44.42578125" style="83" bestFit="1" customWidth="1"/>
    <col min="13" max="13" width="37.42578125" bestFit="1" customWidth="1"/>
    <col min="16" max="16" width="18.42578125" bestFit="1" customWidth="1"/>
    <col min="17" max="17" width="23.42578125" bestFit="1" customWidth="1"/>
    <col min="18" max="18" width="38.85546875" bestFit="1" customWidth="1"/>
    <col min="19" max="19" width="37.7109375" bestFit="1" customWidth="1"/>
    <col min="20" max="20" width="44.7109375" bestFit="1" customWidth="1"/>
    <col min="21" max="21" width="13.28515625" bestFit="1" customWidth="1"/>
    <col min="22" max="22" width="12" bestFit="1" customWidth="1"/>
    <col min="23" max="23" width="14.28515625" customWidth="1"/>
    <col min="25" max="25" width="17.85546875" bestFit="1" customWidth="1"/>
    <col min="26" max="26" width="14.7109375" bestFit="1" customWidth="1"/>
    <col min="27" max="27" width="13.5703125" bestFit="1" customWidth="1"/>
    <col min="28" max="28" width="8.7109375" bestFit="1" customWidth="1"/>
    <col min="29" max="29" width="13.28515625" bestFit="1" customWidth="1"/>
    <col min="30" max="30" width="12" bestFit="1" customWidth="1"/>
    <col min="31" max="31" width="13.28515625" bestFit="1" customWidth="1"/>
    <col min="36" max="36" width="17.85546875" bestFit="1" customWidth="1"/>
    <col min="37" max="37" width="13.7109375" bestFit="1" customWidth="1"/>
    <col min="38" max="38" width="8.7109375" bestFit="1" customWidth="1"/>
    <col min="39" max="39" width="13.140625" bestFit="1" customWidth="1"/>
    <col min="40" max="40" width="12.140625" bestFit="1" customWidth="1"/>
    <col min="41" max="41" width="12" bestFit="1" customWidth="1"/>
    <col min="42" max="42" width="14.7109375" bestFit="1" customWidth="1"/>
    <col min="45" max="45" width="17.85546875" bestFit="1" customWidth="1"/>
    <col min="46" max="46" width="31.7109375" bestFit="1" customWidth="1"/>
    <col min="47" max="47" width="12.140625" bestFit="1" customWidth="1"/>
    <col min="48" max="48" width="9.7109375" bestFit="1" customWidth="1"/>
    <col min="49" max="49" width="12" bestFit="1" customWidth="1"/>
  </cols>
  <sheetData>
    <row r="1" spans="1:49" ht="23.25" customHeight="1" x14ac:dyDescent="0.2">
      <c r="A1" s="162" t="s">
        <v>91</v>
      </c>
      <c r="B1" s="162"/>
      <c r="C1" s="162"/>
      <c r="D1" s="162"/>
      <c r="E1" s="162"/>
      <c r="F1" s="4"/>
      <c r="G1" s="162" t="s">
        <v>100</v>
      </c>
      <c r="H1" s="162"/>
      <c r="I1" s="162"/>
      <c r="J1" s="162"/>
      <c r="K1" s="162"/>
      <c r="L1" s="4"/>
      <c r="P1" s="162" t="s">
        <v>92</v>
      </c>
      <c r="Q1" s="162"/>
      <c r="R1" s="162"/>
      <c r="S1" s="162"/>
      <c r="T1" s="162"/>
      <c r="Y1" s="162" t="s">
        <v>93</v>
      </c>
      <c r="Z1" s="162"/>
      <c r="AA1" s="162"/>
      <c r="AB1" s="162"/>
      <c r="AC1" s="162"/>
      <c r="AD1" s="162"/>
      <c r="AE1" s="162"/>
      <c r="AJ1" s="162" t="s">
        <v>94</v>
      </c>
      <c r="AK1" s="162"/>
      <c r="AL1" s="162"/>
      <c r="AM1" s="162"/>
      <c r="AN1" s="162"/>
      <c r="AO1" s="162"/>
      <c r="AP1" s="162"/>
      <c r="AS1" s="162" t="s">
        <v>98</v>
      </c>
      <c r="AT1" s="162"/>
      <c r="AU1" s="162"/>
      <c r="AV1" s="162"/>
      <c r="AW1" s="162"/>
    </row>
    <row r="2" spans="1:49" x14ac:dyDescent="0.2">
      <c r="B2"/>
      <c r="G2"/>
      <c r="H2"/>
      <c r="R2" s="83"/>
      <c r="S2" s="83"/>
      <c r="T2" s="83"/>
      <c r="AA2" s="83"/>
      <c r="AB2" s="83"/>
      <c r="AC2" s="83"/>
      <c r="AL2" s="83"/>
      <c r="AM2" s="83"/>
      <c r="AN2" s="83"/>
      <c r="AU2" s="83"/>
      <c r="AV2" s="83"/>
      <c r="AW2" s="83"/>
    </row>
    <row r="3" spans="1:49" x14ac:dyDescent="0.2">
      <c r="B3"/>
      <c r="G3"/>
      <c r="H3"/>
      <c r="R3" s="83"/>
      <c r="S3" s="83"/>
      <c r="T3" s="83"/>
      <c r="AA3" s="83"/>
      <c r="AB3" s="83"/>
      <c r="AC3" s="83"/>
      <c r="AL3" s="83"/>
      <c r="AM3" s="83"/>
      <c r="AN3" s="83"/>
      <c r="AU3" s="83"/>
      <c r="AV3" s="83"/>
      <c r="AW3" s="83"/>
    </row>
    <row r="4" spans="1:49" x14ac:dyDescent="0.2">
      <c r="G4"/>
      <c r="Q4" s="83"/>
      <c r="R4" s="83"/>
      <c r="S4" s="83"/>
      <c r="T4" s="83"/>
      <c r="Z4" s="83"/>
      <c r="AA4" s="83"/>
      <c r="AB4" s="83"/>
      <c r="AC4" s="83"/>
      <c r="AK4" s="83"/>
      <c r="AL4" s="83"/>
      <c r="AM4" s="83"/>
      <c r="AN4" s="83"/>
      <c r="AT4" s="83"/>
      <c r="AU4" s="83"/>
      <c r="AV4" s="83"/>
      <c r="AW4" s="83"/>
    </row>
    <row r="5" spans="1:49" ht="63.75" x14ac:dyDescent="0.2">
      <c r="A5" s="82" t="s">
        <v>85</v>
      </c>
      <c r="B5" s="85" t="s">
        <v>87</v>
      </c>
      <c r="C5" s="85" t="s">
        <v>88</v>
      </c>
      <c r="D5" t="s">
        <v>167</v>
      </c>
      <c r="E5" t="s">
        <v>168</v>
      </c>
      <c r="F5" s="85"/>
      <c r="G5" s="82" t="s">
        <v>85</v>
      </c>
      <c r="H5" s="87" t="s">
        <v>101</v>
      </c>
      <c r="I5" s="87" t="s">
        <v>165</v>
      </c>
      <c r="J5" s="87" t="s">
        <v>166</v>
      </c>
      <c r="K5" s="84" t="s">
        <v>88</v>
      </c>
      <c r="L5" t="s">
        <v>169</v>
      </c>
      <c r="M5" t="s">
        <v>170</v>
      </c>
      <c r="P5" s="82" t="s">
        <v>85</v>
      </c>
      <c r="Q5" s="87" t="s">
        <v>88</v>
      </c>
      <c r="R5" s="87" t="s">
        <v>166</v>
      </c>
      <c r="S5" t="s">
        <v>171</v>
      </c>
      <c r="T5" t="s">
        <v>172</v>
      </c>
      <c r="Y5" s="82" t="s">
        <v>85</v>
      </c>
      <c r="Z5" s="88" t="s">
        <v>87</v>
      </c>
      <c r="AA5" s="88" t="s">
        <v>90</v>
      </c>
      <c r="AB5" s="88" t="s">
        <v>89</v>
      </c>
      <c r="AC5" s="88" t="s">
        <v>88</v>
      </c>
      <c r="AJ5" s="82" t="s">
        <v>85</v>
      </c>
      <c r="AK5" s="83" t="s">
        <v>97</v>
      </c>
      <c r="AL5" s="83" t="s">
        <v>96</v>
      </c>
      <c r="AM5" s="83" t="s">
        <v>95</v>
      </c>
      <c r="AS5" s="82" t="s">
        <v>85</v>
      </c>
    </row>
    <row r="6" spans="1:49" x14ac:dyDescent="0.2">
      <c r="A6" s="92">
        <v>45931</v>
      </c>
      <c r="E6" s="83">
        <v>0</v>
      </c>
      <c r="G6" s="92">
        <v>45931</v>
      </c>
      <c r="H6" s="93" t="e">
        <v>#DIV/0!</v>
      </c>
      <c r="I6" s="93" t="e">
        <v>#DIV/0!</v>
      </c>
      <c r="J6" s="93"/>
      <c r="M6" s="83">
        <v>0</v>
      </c>
      <c r="P6" s="92">
        <v>45931</v>
      </c>
      <c r="Q6" s="83"/>
      <c r="R6" s="93"/>
      <c r="S6" s="83"/>
      <c r="T6" s="83">
        <v>0</v>
      </c>
      <c r="Y6" s="92">
        <v>45931</v>
      </c>
      <c r="Z6" s="83"/>
      <c r="AA6" s="83">
        <v>0</v>
      </c>
      <c r="AB6" s="83"/>
      <c r="AC6" s="83"/>
      <c r="AJ6" s="92">
        <v>45931</v>
      </c>
      <c r="AK6" s="83">
        <v>0</v>
      </c>
      <c r="AL6" s="83"/>
      <c r="AM6" s="83"/>
      <c r="AS6" s="92">
        <v>45931</v>
      </c>
    </row>
    <row r="7" spans="1:49" x14ac:dyDescent="0.2">
      <c r="A7" s="92">
        <v>45932</v>
      </c>
      <c r="E7" s="83">
        <v>0</v>
      </c>
      <c r="G7" s="92">
        <v>45932</v>
      </c>
      <c r="H7" s="93" t="e">
        <v>#DIV/0!</v>
      </c>
      <c r="I7" s="93" t="e">
        <v>#DIV/0!</v>
      </c>
      <c r="J7" s="93"/>
      <c r="M7" s="83">
        <v>0</v>
      </c>
      <c r="P7" s="92">
        <v>45932</v>
      </c>
      <c r="Q7" s="83"/>
      <c r="R7" s="93"/>
      <c r="S7" s="83"/>
      <c r="T7" s="83">
        <v>0</v>
      </c>
      <c r="Y7" s="92">
        <v>45932</v>
      </c>
      <c r="Z7" s="83"/>
      <c r="AA7" s="83">
        <v>0</v>
      </c>
      <c r="AB7" s="83"/>
      <c r="AC7" s="83"/>
      <c r="AJ7" s="92">
        <v>45932</v>
      </c>
      <c r="AK7" s="83">
        <v>0</v>
      </c>
      <c r="AL7" s="83"/>
      <c r="AM7" s="83"/>
      <c r="AS7" s="92">
        <v>45932</v>
      </c>
    </row>
    <row r="8" spans="1:49" x14ac:dyDescent="0.2">
      <c r="A8" s="92">
        <v>45933</v>
      </c>
      <c r="E8" s="83">
        <v>0</v>
      </c>
      <c r="G8" s="92">
        <v>45933</v>
      </c>
      <c r="H8" s="93" t="e">
        <v>#DIV/0!</v>
      </c>
      <c r="I8" s="93" t="e">
        <v>#DIV/0!</v>
      </c>
      <c r="J8" s="93"/>
      <c r="M8" s="83">
        <v>0</v>
      </c>
      <c r="P8" s="92">
        <v>45933</v>
      </c>
      <c r="Q8" s="83"/>
      <c r="R8" s="93"/>
      <c r="S8" s="83"/>
      <c r="T8" s="83">
        <v>0</v>
      </c>
      <c r="Y8" s="92">
        <v>45933</v>
      </c>
      <c r="Z8" s="83"/>
      <c r="AA8" s="83">
        <v>0</v>
      </c>
      <c r="AB8" s="83"/>
      <c r="AC8" s="83"/>
      <c r="AJ8" s="92">
        <v>45933</v>
      </c>
      <c r="AK8" s="83">
        <v>0</v>
      </c>
      <c r="AL8" s="83"/>
      <c r="AM8" s="83"/>
      <c r="AS8" s="92">
        <v>45933</v>
      </c>
    </row>
    <row r="9" spans="1:49" x14ac:dyDescent="0.2">
      <c r="A9" s="92">
        <v>45934</v>
      </c>
      <c r="E9" s="83">
        <v>0</v>
      </c>
      <c r="F9" s="86"/>
      <c r="G9" s="92">
        <v>45934</v>
      </c>
      <c r="H9" s="93" t="e">
        <v>#DIV/0!</v>
      </c>
      <c r="I9" s="93" t="e">
        <v>#DIV/0!</v>
      </c>
      <c r="J9" s="93"/>
      <c r="M9" s="83">
        <v>0</v>
      </c>
      <c r="P9" s="92">
        <v>45934</v>
      </c>
      <c r="Q9" s="83"/>
      <c r="R9" s="93"/>
      <c r="S9" s="83"/>
      <c r="T9" s="83">
        <v>0</v>
      </c>
      <c r="Y9" s="92">
        <v>45934</v>
      </c>
      <c r="Z9" s="83"/>
      <c r="AA9" s="83">
        <v>0</v>
      </c>
      <c r="AB9" s="83"/>
      <c r="AC9" s="83"/>
      <c r="AJ9" s="92">
        <v>45934</v>
      </c>
      <c r="AK9" s="83">
        <v>0</v>
      </c>
      <c r="AL9" s="83"/>
      <c r="AM9" s="83"/>
      <c r="AS9" s="92">
        <v>45934</v>
      </c>
    </row>
    <row r="10" spans="1:49" x14ac:dyDescent="0.2">
      <c r="A10" s="92">
        <v>45935</v>
      </c>
      <c r="E10" s="83">
        <v>0</v>
      </c>
      <c r="F10" s="86"/>
      <c r="G10" s="92">
        <v>45935</v>
      </c>
      <c r="H10" s="93" t="e">
        <v>#DIV/0!</v>
      </c>
      <c r="I10" s="93" t="e">
        <v>#DIV/0!</v>
      </c>
      <c r="J10" s="93"/>
      <c r="M10" s="83">
        <v>0</v>
      </c>
      <c r="P10" s="92">
        <v>45935</v>
      </c>
      <c r="Q10" s="83"/>
      <c r="R10" s="93"/>
      <c r="S10" s="83"/>
      <c r="T10" s="83">
        <v>0</v>
      </c>
      <c r="Y10" s="92">
        <v>45935</v>
      </c>
      <c r="Z10" s="83"/>
      <c r="AA10" s="83">
        <v>0</v>
      </c>
      <c r="AB10" s="83"/>
      <c r="AC10" s="83"/>
      <c r="AJ10" s="92">
        <v>45935</v>
      </c>
      <c r="AK10" s="83">
        <v>0</v>
      </c>
      <c r="AL10" s="83"/>
      <c r="AM10" s="83"/>
      <c r="AS10" s="92">
        <v>45935</v>
      </c>
    </row>
    <row r="11" spans="1:49" x14ac:dyDescent="0.2">
      <c r="A11" s="92">
        <v>45936</v>
      </c>
      <c r="E11" s="83">
        <v>0</v>
      </c>
      <c r="F11" s="86"/>
      <c r="G11" s="92">
        <v>45936</v>
      </c>
      <c r="H11" s="93" t="e">
        <v>#DIV/0!</v>
      </c>
      <c r="I11" s="93" t="e">
        <v>#DIV/0!</v>
      </c>
      <c r="J11" s="93"/>
      <c r="M11" s="83">
        <v>0</v>
      </c>
      <c r="P11" s="92">
        <v>45936</v>
      </c>
      <c r="Q11" s="83"/>
      <c r="R11" s="93"/>
      <c r="S11" s="83"/>
      <c r="T11" s="83">
        <v>0</v>
      </c>
      <c r="Y11" s="92">
        <v>45936</v>
      </c>
      <c r="Z11" s="83"/>
      <c r="AA11" s="83">
        <v>0</v>
      </c>
      <c r="AB11" s="83"/>
      <c r="AC11" s="83"/>
      <c r="AJ11" s="92">
        <v>45936</v>
      </c>
      <c r="AK11" s="83">
        <v>0</v>
      </c>
      <c r="AL11" s="83"/>
      <c r="AM11" s="83"/>
      <c r="AS11" s="92">
        <v>45936</v>
      </c>
    </row>
    <row r="12" spans="1:49" x14ac:dyDescent="0.2">
      <c r="A12" s="92">
        <v>45937</v>
      </c>
      <c r="B12" s="83">
        <v>6.2</v>
      </c>
      <c r="C12" s="83">
        <v>34</v>
      </c>
      <c r="D12" s="83">
        <v>28.2</v>
      </c>
      <c r="E12" s="83">
        <v>5.8000000000000007</v>
      </c>
      <c r="F12" s="86"/>
      <c r="G12" s="92">
        <v>45937</v>
      </c>
      <c r="H12" s="93">
        <v>0.82941176470588229</v>
      </c>
      <c r="I12" s="93">
        <v>0.72380952380952379</v>
      </c>
      <c r="J12" s="93">
        <v>0.38235294117647056</v>
      </c>
      <c r="K12" s="83">
        <v>34</v>
      </c>
      <c r="L12" s="83">
        <v>28.2</v>
      </c>
      <c r="M12" s="83">
        <v>5.8000000000000007</v>
      </c>
      <c r="P12" s="92">
        <v>45937</v>
      </c>
      <c r="Q12" s="83">
        <v>34</v>
      </c>
      <c r="R12" s="93">
        <v>0.38235294117647056</v>
      </c>
      <c r="S12" s="83">
        <v>13</v>
      </c>
      <c r="T12" s="83">
        <v>21</v>
      </c>
      <c r="Y12" s="92">
        <v>45937</v>
      </c>
      <c r="Z12" s="83">
        <v>6.2</v>
      </c>
      <c r="AA12" s="83">
        <v>0.20000000000000018</v>
      </c>
      <c r="AB12" s="83">
        <v>6</v>
      </c>
      <c r="AC12" s="83">
        <v>34</v>
      </c>
      <c r="AJ12" s="92">
        <v>45937</v>
      </c>
      <c r="AK12" s="83">
        <v>0.80000000000000071</v>
      </c>
      <c r="AL12" s="83">
        <v>11</v>
      </c>
      <c r="AM12" s="83">
        <v>11.8</v>
      </c>
      <c r="AS12" s="92">
        <v>45937</v>
      </c>
    </row>
    <row r="13" spans="1:49" x14ac:dyDescent="0.2">
      <c r="A13" s="92">
        <v>45938</v>
      </c>
      <c r="B13" s="83">
        <v>6.2</v>
      </c>
      <c r="C13" s="83">
        <v>31.9</v>
      </c>
      <c r="D13" s="83">
        <v>25.5</v>
      </c>
      <c r="E13" s="83">
        <v>6.3999999999999986</v>
      </c>
      <c r="F13" s="86"/>
      <c r="G13" s="92">
        <v>45938</v>
      </c>
      <c r="H13" s="93">
        <v>0.79937304075235116</v>
      </c>
      <c r="I13" s="93">
        <v>0.64245810055865926</v>
      </c>
      <c r="J13" s="93">
        <v>0.43887147335423199</v>
      </c>
      <c r="K13" s="83">
        <v>31.9</v>
      </c>
      <c r="L13" s="83">
        <v>25.5</v>
      </c>
      <c r="M13" s="83">
        <v>6.3999999999999986</v>
      </c>
      <c r="P13" s="92">
        <v>45938</v>
      </c>
      <c r="Q13" s="83">
        <v>31.9</v>
      </c>
      <c r="R13" s="93">
        <v>0.43887147335423199</v>
      </c>
      <c r="S13" s="83">
        <v>14</v>
      </c>
      <c r="T13" s="83">
        <v>17.899999999999999</v>
      </c>
      <c r="Y13" s="92">
        <v>45938</v>
      </c>
      <c r="Z13" s="83">
        <v>6.2</v>
      </c>
      <c r="AA13" s="83">
        <v>0.20000000000000018</v>
      </c>
      <c r="AB13" s="83">
        <v>6</v>
      </c>
      <c r="AC13" s="83">
        <v>31.9</v>
      </c>
      <c r="AJ13" s="92">
        <v>45938</v>
      </c>
      <c r="AK13" s="83">
        <v>0.80000000000000071</v>
      </c>
      <c r="AL13" s="83">
        <v>11</v>
      </c>
      <c r="AM13" s="83">
        <v>11.8</v>
      </c>
      <c r="AS13" s="92">
        <v>45938</v>
      </c>
    </row>
    <row r="14" spans="1:49" x14ac:dyDescent="0.2">
      <c r="A14" s="92">
        <v>45939</v>
      </c>
      <c r="B14" s="83">
        <v>6.2</v>
      </c>
      <c r="C14" s="83">
        <v>29.3</v>
      </c>
      <c r="D14" s="83">
        <v>23.2</v>
      </c>
      <c r="E14" s="83">
        <v>6.1000000000000014</v>
      </c>
      <c r="F14" s="86"/>
      <c r="G14" s="92">
        <v>45939</v>
      </c>
      <c r="H14" s="93">
        <v>0.79180887372013653</v>
      </c>
      <c r="I14" s="93">
        <v>0.60130718954248363</v>
      </c>
      <c r="J14" s="93">
        <v>0.47781569965870307</v>
      </c>
      <c r="K14" s="83">
        <v>29.3</v>
      </c>
      <c r="L14" s="83">
        <v>23.2</v>
      </c>
      <c r="M14" s="83">
        <v>6.1000000000000014</v>
      </c>
      <c r="P14" s="92">
        <v>45939</v>
      </c>
      <c r="Q14" s="83">
        <v>29.3</v>
      </c>
      <c r="R14" s="93">
        <v>0.47781569965870307</v>
      </c>
      <c r="S14" s="83">
        <v>14</v>
      </c>
      <c r="T14" s="83">
        <v>15.3</v>
      </c>
      <c r="Y14" s="92">
        <v>45939</v>
      </c>
      <c r="Z14" s="83">
        <v>6.2</v>
      </c>
      <c r="AA14" s="83">
        <v>0.20000000000000018</v>
      </c>
      <c r="AB14" s="83">
        <v>6</v>
      </c>
      <c r="AC14" s="83">
        <v>29.3</v>
      </c>
      <c r="AJ14" s="92">
        <v>45939</v>
      </c>
      <c r="AK14" s="83">
        <v>0.90000000000000036</v>
      </c>
      <c r="AL14" s="83">
        <v>11</v>
      </c>
      <c r="AM14" s="83">
        <v>11.9</v>
      </c>
      <c r="AS14" s="92">
        <v>45939</v>
      </c>
    </row>
    <row r="15" spans="1:49" x14ac:dyDescent="0.2">
      <c r="A15" s="92">
        <v>45940</v>
      </c>
      <c r="B15" s="83">
        <v>5.5</v>
      </c>
      <c r="C15" s="83">
        <v>33.799999999999997</v>
      </c>
      <c r="D15" s="83">
        <v>21.3</v>
      </c>
      <c r="E15" s="83">
        <v>12.499999999999996</v>
      </c>
      <c r="F15" s="86"/>
      <c r="G15" s="92">
        <v>45940</v>
      </c>
      <c r="H15" s="93">
        <v>0.63017751479289952</v>
      </c>
      <c r="I15" s="93">
        <v>0.39903846153846162</v>
      </c>
      <c r="J15" s="93">
        <v>0.38461538461538464</v>
      </c>
      <c r="K15" s="83">
        <v>33.799999999999997</v>
      </c>
      <c r="L15" s="83">
        <v>21.3</v>
      </c>
      <c r="M15" s="83">
        <v>12.499999999999996</v>
      </c>
      <c r="P15" s="92">
        <v>45940</v>
      </c>
      <c r="Q15" s="83">
        <v>33.799999999999997</v>
      </c>
      <c r="R15" s="93">
        <v>0.38461538461538464</v>
      </c>
      <c r="S15" s="83">
        <v>13</v>
      </c>
      <c r="T15" s="83">
        <v>20.799999999999997</v>
      </c>
      <c r="Y15" s="92">
        <v>45940</v>
      </c>
      <c r="Z15" s="83">
        <v>5.5</v>
      </c>
      <c r="AA15" s="83">
        <v>1.5</v>
      </c>
      <c r="AB15" s="83">
        <v>4</v>
      </c>
      <c r="AC15" s="83">
        <v>33.799999999999997</v>
      </c>
      <c r="AJ15" s="92">
        <v>45940</v>
      </c>
      <c r="AK15" s="83">
        <v>0.90000000000000036</v>
      </c>
      <c r="AL15" s="83">
        <v>10</v>
      </c>
      <c r="AM15" s="83">
        <v>10.9</v>
      </c>
      <c r="AS15" s="92">
        <v>45940</v>
      </c>
    </row>
    <row r="16" spans="1:49" x14ac:dyDescent="0.2">
      <c r="A16" s="92">
        <v>45941</v>
      </c>
      <c r="F16" s="86"/>
      <c r="G16" s="92">
        <v>45941</v>
      </c>
      <c r="H16" s="93"/>
      <c r="I16" s="93"/>
      <c r="J16" s="93"/>
      <c r="M16" s="83"/>
      <c r="P16" s="92">
        <v>45941</v>
      </c>
      <c r="Q16" s="83"/>
      <c r="R16" s="93"/>
      <c r="S16" s="83"/>
      <c r="T16" s="83"/>
      <c r="Y16" s="92">
        <v>45941</v>
      </c>
      <c r="Z16" s="83"/>
      <c r="AA16" s="83"/>
      <c r="AB16" s="83"/>
      <c r="AC16" s="83"/>
      <c r="AJ16" s="92">
        <v>45941</v>
      </c>
      <c r="AK16" s="83"/>
      <c r="AL16" s="83"/>
      <c r="AM16" s="83"/>
      <c r="AS16" s="92">
        <v>45941</v>
      </c>
    </row>
    <row r="17" spans="1:45" x14ac:dyDescent="0.2">
      <c r="A17" s="92">
        <v>45942</v>
      </c>
      <c r="F17" s="86"/>
      <c r="G17" s="92">
        <v>45942</v>
      </c>
      <c r="H17" s="93"/>
      <c r="I17" s="93"/>
      <c r="J17" s="93"/>
      <c r="M17" s="83"/>
      <c r="P17" s="92">
        <v>45942</v>
      </c>
      <c r="Q17" s="83"/>
      <c r="R17" s="93"/>
      <c r="S17" s="83"/>
      <c r="T17" s="83"/>
      <c r="Y17" s="92">
        <v>45942</v>
      </c>
      <c r="Z17" s="83"/>
      <c r="AA17" s="83"/>
      <c r="AB17" s="83"/>
      <c r="AC17" s="83"/>
      <c r="AJ17" s="92">
        <v>45942</v>
      </c>
      <c r="AK17" s="83"/>
      <c r="AL17" s="83"/>
      <c r="AM17" s="83"/>
      <c r="AS17" s="92">
        <v>45942</v>
      </c>
    </row>
    <row r="18" spans="1:45" x14ac:dyDescent="0.2">
      <c r="A18" s="92">
        <v>45943</v>
      </c>
      <c r="G18" s="92">
        <v>45943</v>
      </c>
      <c r="H18" s="93"/>
      <c r="I18" s="93"/>
      <c r="J18" s="93"/>
      <c r="M18" s="83"/>
      <c r="P18" s="92">
        <v>45943</v>
      </c>
      <c r="Q18" s="83"/>
      <c r="R18" s="93"/>
      <c r="S18" s="83"/>
      <c r="T18" s="83"/>
      <c r="Y18" s="92">
        <v>45943</v>
      </c>
      <c r="Z18" s="83"/>
      <c r="AA18" s="83"/>
      <c r="AB18" s="83"/>
      <c r="AC18" s="83"/>
      <c r="AJ18" s="92">
        <v>45943</v>
      </c>
      <c r="AK18" s="83"/>
      <c r="AL18" s="83"/>
      <c r="AM18" s="83"/>
      <c r="AS18" s="92">
        <v>45943</v>
      </c>
    </row>
    <row r="19" spans="1:45" x14ac:dyDescent="0.2">
      <c r="A19" s="92">
        <v>45944</v>
      </c>
      <c r="B19" s="83">
        <v>5.7</v>
      </c>
      <c r="C19" s="83">
        <v>33.5</v>
      </c>
      <c r="D19" s="83">
        <v>26.6</v>
      </c>
      <c r="E19" s="83">
        <v>6.8999999999999986</v>
      </c>
      <c r="F19"/>
      <c r="G19" s="92">
        <v>45944</v>
      </c>
      <c r="H19" s="93">
        <v>0.79402985074626875</v>
      </c>
      <c r="I19" s="93">
        <v>0.64615384615384619</v>
      </c>
      <c r="J19" s="93">
        <v>0.41791044776119401</v>
      </c>
      <c r="K19" s="83">
        <v>33.5</v>
      </c>
      <c r="L19" s="83">
        <v>26.6</v>
      </c>
      <c r="M19" s="83">
        <v>6.8999999999999986</v>
      </c>
      <c r="P19" s="92">
        <v>45944</v>
      </c>
      <c r="Q19" s="83">
        <v>33.5</v>
      </c>
      <c r="R19" s="93">
        <v>0.41791044776119401</v>
      </c>
      <c r="S19" s="83">
        <v>14</v>
      </c>
      <c r="T19" s="83">
        <v>19.5</v>
      </c>
      <c r="Y19" s="92">
        <v>45944</v>
      </c>
      <c r="Z19" s="83">
        <v>5.7</v>
      </c>
      <c r="AA19" s="83">
        <v>0.70000000000000018</v>
      </c>
      <c r="AB19" s="83">
        <v>5</v>
      </c>
      <c r="AC19" s="83">
        <v>33.5</v>
      </c>
      <c r="AJ19" s="92">
        <v>45944</v>
      </c>
      <c r="AK19" s="83">
        <v>0.19999999999999929</v>
      </c>
      <c r="AL19" s="83">
        <v>11</v>
      </c>
      <c r="AM19" s="83">
        <v>11.2</v>
      </c>
      <c r="AS19" s="92">
        <v>45944</v>
      </c>
    </row>
    <row r="20" spans="1:45" x14ac:dyDescent="0.2">
      <c r="A20" s="92">
        <v>45945</v>
      </c>
      <c r="B20" s="83">
        <v>6.2</v>
      </c>
      <c r="C20" s="83">
        <v>27.4</v>
      </c>
      <c r="D20" s="83">
        <v>20.8</v>
      </c>
      <c r="E20" s="83">
        <v>6.5999999999999979</v>
      </c>
      <c r="F20"/>
      <c r="G20" s="92">
        <v>45945</v>
      </c>
      <c r="H20" s="93">
        <v>0.75912408759124095</v>
      </c>
      <c r="I20" s="93">
        <v>0.50746268656716431</v>
      </c>
      <c r="J20" s="93">
        <v>0.51094890510948909</v>
      </c>
      <c r="K20" s="83">
        <v>27.4</v>
      </c>
      <c r="L20" s="83">
        <v>20.8</v>
      </c>
      <c r="M20" s="83">
        <v>6.5999999999999979</v>
      </c>
      <c r="P20" s="92">
        <v>45945</v>
      </c>
      <c r="Q20" s="83">
        <v>27.4</v>
      </c>
      <c r="R20" s="93">
        <v>0.51094890510948909</v>
      </c>
      <c r="S20" s="83">
        <v>14</v>
      </c>
      <c r="T20" s="83">
        <v>13.399999999999999</v>
      </c>
      <c r="Y20" s="92">
        <v>45945</v>
      </c>
      <c r="Z20" s="83">
        <v>6.2</v>
      </c>
      <c r="AA20" s="83">
        <v>1.2000000000000002</v>
      </c>
      <c r="AB20" s="83">
        <v>5</v>
      </c>
      <c r="AC20" s="83">
        <v>27.4</v>
      </c>
      <c r="AJ20" s="92">
        <v>45945</v>
      </c>
      <c r="AK20" s="83">
        <v>1.1999999999999993</v>
      </c>
      <c r="AL20" s="83">
        <v>10</v>
      </c>
      <c r="AM20" s="83">
        <v>11.2</v>
      </c>
      <c r="AS20" s="92">
        <v>45945</v>
      </c>
    </row>
    <row r="21" spans="1:45" x14ac:dyDescent="0.2">
      <c r="A21" s="92">
        <v>45946</v>
      </c>
      <c r="B21" s="83">
        <v>6.2</v>
      </c>
      <c r="C21" s="83">
        <v>33</v>
      </c>
      <c r="D21" s="83">
        <v>24.5</v>
      </c>
      <c r="E21" s="83">
        <v>8.5</v>
      </c>
      <c r="F21"/>
      <c r="G21" s="92">
        <v>45946</v>
      </c>
      <c r="H21" s="93">
        <v>0.74242424242424243</v>
      </c>
      <c r="I21" s="93">
        <v>0.55263157894736847</v>
      </c>
      <c r="J21" s="93">
        <v>0.42424242424242425</v>
      </c>
      <c r="K21" s="83">
        <v>33</v>
      </c>
      <c r="L21" s="83">
        <v>24.5</v>
      </c>
      <c r="M21" s="83">
        <v>8.5</v>
      </c>
      <c r="P21" s="92">
        <v>45946</v>
      </c>
      <c r="Q21" s="83">
        <v>33</v>
      </c>
      <c r="R21" s="93">
        <v>0.42424242424242425</v>
      </c>
      <c r="S21" s="83">
        <v>14</v>
      </c>
      <c r="T21" s="83">
        <v>19</v>
      </c>
      <c r="Y21" s="92">
        <v>45946</v>
      </c>
      <c r="Z21" s="83">
        <v>6.2</v>
      </c>
      <c r="AA21" s="83">
        <v>1.2000000000000002</v>
      </c>
      <c r="AB21" s="83">
        <v>5</v>
      </c>
      <c r="AC21" s="83">
        <v>33</v>
      </c>
      <c r="AJ21" s="92">
        <v>45946</v>
      </c>
      <c r="AK21" s="83">
        <v>0.80000000000000071</v>
      </c>
      <c r="AL21" s="83">
        <v>11</v>
      </c>
      <c r="AM21" s="83">
        <v>11.8</v>
      </c>
      <c r="AS21" s="92">
        <v>45946</v>
      </c>
    </row>
    <row r="22" spans="1:45" x14ac:dyDescent="0.2">
      <c r="A22" s="92">
        <v>45947</v>
      </c>
      <c r="B22" s="83">
        <v>5.7</v>
      </c>
      <c r="C22" s="83">
        <v>32.1</v>
      </c>
      <c r="D22" s="83">
        <v>23.4</v>
      </c>
      <c r="E22" s="83">
        <v>8.7000000000000028</v>
      </c>
      <c r="F22"/>
      <c r="G22" s="92">
        <v>45947</v>
      </c>
      <c r="H22" s="93">
        <v>0.7289719626168224</v>
      </c>
      <c r="I22" s="93">
        <v>0.54450261780104703</v>
      </c>
      <c r="J22" s="93">
        <v>0.40498442367601245</v>
      </c>
      <c r="K22" s="83">
        <v>32.1</v>
      </c>
      <c r="L22" s="83">
        <v>23.4</v>
      </c>
      <c r="M22" s="83">
        <v>8.7000000000000028</v>
      </c>
      <c r="P22" s="92">
        <v>45947</v>
      </c>
      <c r="Q22" s="83">
        <v>32.1</v>
      </c>
      <c r="R22" s="93">
        <v>0.40498442367601245</v>
      </c>
      <c r="S22" s="83">
        <v>13</v>
      </c>
      <c r="T22" s="83">
        <v>19.100000000000001</v>
      </c>
      <c r="Y22" s="92">
        <v>45947</v>
      </c>
      <c r="Z22" s="83">
        <v>5.7</v>
      </c>
      <c r="AA22" s="83">
        <v>0.70000000000000018</v>
      </c>
      <c r="AB22" s="83">
        <v>5</v>
      </c>
      <c r="AC22" s="83">
        <v>32.1</v>
      </c>
      <c r="AJ22" s="92">
        <v>45947</v>
      </c>
      <c r="AK22" s="83">
        <v>0.19999999999999929</v>
      </c>
      <c r="AL22" s="83">
        <v>11</v>
      </c>
      <c r="AM22" s="83">
        <v>11.2</v>
      </c>
      <c r="AS22" s="92">
        <v>45947</v>
      </c>
    </row>
    <row r="23" spans="1:45" x14ac:dyDescent="0.2">
      <c r="A23" s="92">
        <v>45948</v>
      </c>
      <c r="E23" s="83">
        <v>0</v>
      </c>
      <c r="F23"/>
      <c r="G23" s="92">
        <v>45948</v>
      </c>
      <c r="H23" s="93" t="e">
        <v>#DIV/0!</v>
      </c>
      <c r="I23" s="93" t="e">
        <v>#DIV/0!</v>
      </c>
      <c r="J23" s="93" t="e">
        <v>#DIV/0!</v>
      </c>
      <c r="M23" s="83">
        <v>0</v>
      </c>
      <c r="P23" s="92">
        <v>45948</v>
      </c>
      <c r="Q23" s="83"/>
      <c r="R23" s="93" t="e">
        <v>#DIV/0!</v>
      </c>
      <c r="S23" s="83"/>
      <c r="T23" s="83">
        <v>0</v>
      </c>
      <c r="Y23" s="92">
        <v>45948</v>
      </c>
      <c r="Z23" s="83"/>
      <c r="AA23" s="83">
        <v>0</v>
      </c>
      <c r="AB23" s="83"/>
      <c r="AC23" s="83"/>
      <c r="AJ23" s="92">
        <v>45948</v>
      </c>
      <c r="AK23" s="83">
        <v>0</v>
      </c>
      <c r="AL23" s="83"/>
      <c r="AM23" s="83"/>
      <c r="AS23" s="92">
        <v>45948</v>
      </c>
    </row>
    <row r="24" spans="1:45" x14ac:dyDescent="0.2">
      <c r="A24" s="92">
        <v>45949</v>
      </c>
      <c r="E24" s="83">
        <v>0</v>
      </c>
      <c r="F24"/>
      <c r="G24" s="92">
        <v>45949</v>
      </c>
      <c r="H24" s="93" t="e">
        <v>#DIV/0!</v>
      </c>
      <c r="I24" s="93" t="e">
        <v>#DIV/0!</v>
      </c>
      <c r="J24" s="93" t="e">
        <v>#DIV/0!</v>
      </c>
      <c r="M24" s="83">
        <v>0</v>
      </c>
      <c r="P24" s="92">
        <v>45949</v>
      </c>
      <c r="Q24" s="83"/>
      <c r="R24" s="93" t="e">
        <v>#DIV/0!</v>
      </c>
      <c r="S24" s="83"/>
      <c r="T24" s="83">
        <v>0</v>
      </c>
      <c r="Y24" s="92">
        <v>45949</v>
      </c>
      <c r="Z24" s="83"/>
      <c r="AA24" s="83">
        <v>0</v>
      </c>
      <c r="AB24" s="83"/>
      <c r="AC24" s="83"/>
      <c r="AJ24" s="92">
        <v>45949</v>
      </c>
      <c r="AK24" s="83">
        <v>0</v>
      </c>
      <c r="AL24" s="83"/>
      <c r="AM24" s="83"/>
      <c r="AS24" s="92">
        <v>45949</v>
      </c>
    </row>
    <row r="25" spans="1:45" x14ac:dyDescent="0.2">
      <c r="A25" s="92">
        <v>45950</v>
      </c>
      <c r="B25" s="83">
        <v>5.2</v>
      </c>
      <c r="C25" s="83">
        <v>32.6</v>
      </c>
      <c r="D25" s="83">
        <v>24.8</v>
      </c>
      <c r="E25" s="83">
        <v>7.8000000000000007</v>
      </c>
      <c r="F25"/>
      <c r="G25" s="92">
        <v>45950</v>
      </c>
      <c r="H25" s="93">
        <v>0.76073619631901834</v>
      </c>
      <c r="I25" s="93">
        <v>0.60204081632653061</v>
      </c>
      <c r="J25" s="93">
        <v>0.3987730061349693</v>
      </c>
      <c r="K25" s="83">
        <v>32.6</v>
      </c>
      <c r="L25" s="83">
        <v>24.8</v>
      </c>
      <c r="M25" s="83">
        <v>7.8000000000000007</v>
      </c>
      <c r="P25" s="92">
        <v>45950</v>
      </c>
      <c r="Q25" s="83">
        <v>32.6</v>
      </c>
      <c r="R25" s="93">
        <v>0.3987730061349693</v>
      </c>
      <c r="S25" s="83">
        <v>13</v>
      </c>
      <c r="T25" s="83">
        <v>19.600000000000001</v>
      </c>
      <c r="Y25" s="92">
        <v>45950</v>
      </c>
      <c r="Z25" s="83">
        <v>5.2</v>
      </c>
      <c r="AA25" s="83">
        <v>1.2000000000000002</v>
      </c>
      <c r="AB25" s="83">
        <v>4</v>
      </c>
      <c r="AC25" s="83">
        <v>32.6</v>
      </c>
      <c r="AJ25" s="92">
        <v>45950</v>
      </c>
      <c r="AK25" s="83">
        <v>0.69999999999999929</v>
      </c>
      <c r="AL25" s="83">
        <v>10</v>
      </c>
      <c r="AM25" s="83">
        <v>10.7</v>
      </c>
      <c r="AS25" s="92">
        <v>45950</v>
      </c>
    </row>
    <row r="26" spans="1:45" x14ac:dyDescent="0.2">
      <c r="A26" s="92">
        <v>45951</v>
      </c>
      <c r="E26" s="83">
        <v>0</v>
      </c>
      <c r="F26"/>
      <c r="G26" s="92">
        <v>45951</v>
      </c>
      <c r="H26" s="93" t="e">
        <v>#DIV/0!</v>
      </c>
      <c r="I26" s="93" t="e">
        <v>#DIV/0!</v>
      </c>
      <c r="J26" s="93" t="e">
        <v>#DIV/0!</v>
      </c>
      <c r="M26" s="83">
        <v>0</v>
      </c>
      <c r="P26" s="92">
        <v>45951</v>
      </c>
      <c r="Q26" s="83"/>
      <c r="R26" s="93" t="e">
        <v>#DIV/0!</v>
      </c>
      <c r="S26" s="83"/>
      <c r="T26" s="83"/>
      <c r="Y26" s="92">
        <v>45951</v>
      </c>
      <c r="Z26" s="83"/>
      <c r="AA26" s="83">
        <v>0</v>
      </c>
      <c r="AB26" s="83"/>
      <c r="AC26" s="83"/>
      <c r="AJ26" s="92">
        <v>45951</v>
      </c>
      <c r="AK26" s="83">
        <v>0</v>
      </c>
      <c r="AL26" s="83"/>
      <c r="AM26" s="83"/>
      <c r="AS26" s="92">
        <v>45951</v>
      </c>
    </row>
    <row r="27" spans="1:45" x14ac:dyDescent="0.2">
      <c r="A27" s="92">
        <v>45952</v>
      </c>
      <c r="E27" s="83">
        <v>0</v>
      </c>
      <c r="F27"/>
      <c r="G27" s="92">
        <v>45952</v>
      </c>
      <c r="H27" s="93" t="e">
        <v>#DIV/0!</v>
      </c>
      <c r="I27" s="93" t="e">
        <v>#DIV/0!</v>
      </c>
      <c r="J27" s="93" t="e">
        <v>#DIV/0!</v>
      </c>
      <c r="M27" s="83">
        <v>0</v>
      </c>
      <c r="P27" s="92">
        <v>45952</v>
      </c>
      <c r="Q27" s="83"/>
      <c r="R27" s="93" t="e">
        <v>#DIV/0!</v>
      </c>
      <c r="S27" s="83"/>
      <c r="T27" s="83">
        <v>0</v>
      </c>
      <c r="Y27" s="92">
        <v>45952</v>
      </c>
      <c r="Z27" s="83"/>
      <c r="AA27" s="83">
        <v>0</v>
      </c>
      <c r="AB27" s="83"/>
      <c r="AC27" s="83"/>
      <c r="AJ27" s="92">
        <v>45952</v>
      </c>
      <c r="AK27" s="83">
        <v>0</v>
      </c>
      <c r="AL27" s="83"/>
      <c r="AM27" s="83"/>
      <c r="AS27" s="92">
        <v>45952</v>
      </c>
    </row>
    <row r="28" spans="1:45" x14ac:dyDescent="0.2">
      <c r="A28" s="92">
        <v>45953</v>
      </c>
      <c r="B28" s="83">
        <v>5.9</v>
      </c>
      <c r="C28" s="83">
        <v>29.3</v>
      </c>
      <c r="D28" s="83">
        <v>22.9</v>
      </c>
      <c r="E28" s="83">
        <v>6.4000000000000021</v>
      </c>
      <c r="F28"/>
      <c r="G28" s="92">
        <v>45953</v>
      </c>
      <c r="H28" s="93">
        <v>0.78156996587030714</v>
      </c>
      <c r="I28" s="93">
        <v>0.60736196319018398</v>
      </c>
      <c r="J28" s="93">
        <v>0.44368600682593856</v>
      </c>
      <c r="K28" s="83">
        <v>29.3</v>
      </c>
      <c r="L28" s="83">
        <v>22.9</v>
      </c>
      <c r="M28" s="83">
        <v>6.4000000000000021</v>
      </c>
      <c r="P28" s="92">
        <v>45953</v>
      </c>
      <c r="Q28" s="83">
        <v>29.3</v>
      </c>
      <c r="R28" s="93">
        <v>0.44368600682593856</v>
      </c>
      <c r="S28" s="83">
        <v>13</v>
      </c>
      <c r="T28" s="83">
        <v>16.3</v>
      </c>
      <c r="Y28" s="92">
        <v>45953</v>
      </c>
      <c r="Z28" s="83">
        <v>5.9</v>
      </c>
      <c r="AA28" s="83">
        <v>0.90000000000000036</v>
      </c>
      <c r="AB28" s="83">
        <v>5</v>
      </c>
      <c r="AC28" s="83">
        <v>29.3</v>
      </c>
      <c r="AJ28" s="92">
        <v>45953</v>
      </c>
      <c r="AK28" s="83">
        <v>0.59999999999999964</v>
      </c>
      <c r="AL28" s="83">
        <v>11</v>
      </c>
      <c r="AM28" s="83">
        <v>11.6</v>
      </c>
      <c r="AS28" s="92">
        <v>45953</v>
      </c>
    </row>
    <row r="29" spans="1:45" x14ac:dyDescent="0.2">
      <c r="A29" s="92">
        <v>45954</v>
      </c>
      <c r="B29" s="83">
        <v>4.9000000000000004</v>
      </c>
      <c r="C29" s="83">
        <v>34.799999999999997</v>
      </c>
      <c r="D29" s="83">
        <v>17.3</v>
      </c>
      <c r="E29" s="83">
        <v>17.499999999999996</v>
      </c>
      <c r="F29"/>
      <c r="G29" s="92">
        <v>45954</v>
      </c>
      <c r="H29" s="93">
        <v>0.49712643678160928</v>
      </c>
      <c r="I29" s="93">
        <v>0.23245614035087725</v>
      </c>
      <c r="J29" s="93">
        <v>0.34482758620689657</v>
      </c>
      <c r="K29" s="83">
        <v>34.799999999999997</v>
      </c>
      <c r="L29" s="83">
        <v>17.3</v>
      </c>
      <c r="M29" s="83">
        <v>17.499999999999996</v>
      </c>
      <c r="P29" s="92">
        <v>45954</v>
      </c>
      <c r="Q29" s="83">
        <v>34.799999999999997</v>
      </c>
      <c r="R29" s="93">
        <v>0.34482758620689657</v>
      </c>
      <c r="S29" s="83">
        <v>12</v>
      </c>
      <c r="T29" s="83">
        <v>22.799999999999997</v>
      </c>
      <c r="Y29" s="92">
        <v>45954</v>
      </c>
      <c r="Z29" s="83">
        <v>4.9000000000000004</v>
      </c>
      <c r="AA29" s="83">
        <v>0.90000000000000036</v>
      </c>
      <c r="AB29" s="83">
        <v>4</v>
      </c>
      <c r="AC29" s="83">
        <v>34.799999999999997</v>
      </c>
      <c r="AJ29" s="92">
        <v>45954</v>
      </c>
      <c r="AK29" s="83">
        <v>0.40000000000000036</v>
      </c>
      <c r="AL29" s="83">
        <v>10</v>
      </c>
      <c r="AM29" s="83">
        <v>10.4</v>
      </c>
      <c r="AS29" s="92">
        <v>45954</v>
      </c>
    </row>
    <row r="30" spans="1:45" x14ac:dyDescent="0.2">
      <c r="A30" s="92">
        <v>45955</v>
      </c>
      <c r="E30" s="83">
        <v>0</v>
      </c>
      <c r="F30"/>
      <c r="G30" s="92">
        <v>45955</v>
      </c>
      <c r="H30" s="93" t="e">
        <v>#DIV/0!</v>
      </c>
      <c r="I30" s="93" t="e">
        <v>#DIV/0!</v>
      </c>
      <c r="J30" s="93" t="e">
        <v>#DIV/0!</v>
      </c>
      <c r="M30" s="83">
        <v>0</v>
      </c>
      <c r="P30" s="92">
        <v>45955</v>
      </c>
      <c r="Q30" s="83"/>
      <c r="R30" s="93" t="e">
        <v>#DIV/0!</v>
      </c>
      <c r="S30" s="83"/>
      <c r="T30" s="83">
        <v>0</v>
      </c>
      <c r="Y30" s="92">
        <v>45955</v>
      </c>
      <c r="Z30" s="83"/>
      <c r="AA30" s="83">
        <v>0</v>
      </c>
      <c r="AB30" s="83"/>
      <c r="AC30" s="83"/>
      <c r="AJ30" s="92">
        <v>45955</v>
      </c>
      <c r="AK30" s="83">
        <v>0</v>
      </c>
      <c r="AL30" s="83"/>
      <c r="AM30" s="83"/>
      <c r="AS30" s="92">
        <v>45955</v>
      </c>
    </row>
    <row r="31" spans="1:45" x14ac:dyDescent="0.2">
      <c r="A31" s="92">
        <v>45956</v>
      </c>
      <c r="E31" s="83">
        <v>0</v>
      </c>
      <c r="F31"/>
      <c r="G31" s="92">
        <v>45956</v>
      </c>
      <c r="H31" s="93" t="e">
        <v>#DIV/0!</v>
      </c>
      <c r="I31" s="93" t="e">
        <v>#DIV/0!</v>
      </c>
      <c r="J31" s="93" t="e">
        <v>#DIV/0!</v>
      </c>
      <c r="M31" s="83">
        <v>0</v>
      </c>
      <c r="P31" s="92">
        <v>45956</v>
      </c>
      <c r="Q31" s="83"/>
      <c r="R31" s="93" t="e">
        <v>#DIV/0!</v>
      </c>
      <c r="S31" s="83"/>
      <c r="T31" s="83">
        <v>0</v>
      </c>
      <c r="Y31" s="92">
        <v>45956</v>
      </c>
      <c r="Z31" s="83"/>
      <c r="AA31" s="83">
        <v>0</v>
      </c>
      <c r="AB31" s="83"/>
      <c r="AC31" s="83"/>
      <c r="AJ31" s="92">
        <v>45956</v>
      </c>
      <c r="AK31" s="83">
        <v>0</v>
      </c>
      <c r="AL31" s="83"/>
      <c r="AM31" s="83"/>
      <c r="AS31" s="92">
        <v>45956</v>
      </c>
    </row>
    <row r="32" spans="1:45" x14ac:dyDescent="0.2">
      <c r="A32" s="92">
        <v>45957</v>
      </c>
      <c r="B32" s="83">
        <v>6.3</v>
      </c>
      <c r="C32" s="83">
        <v>30.6</v>
      </c>
      <c r="D32" s="83">
        <v>25.4</v>
      </c>
      <c r="E32" s="83">
        <v>5.2000000000000028</v>
      </c>
      <c r="F32"/>
      <c r="G32" s="92">
        <v>45957</v>
      </c>
      <c r="H32" s="93">
        <v>0.83006535947712412</v>
      </c>
      <c r="I32" s="93">
        <v>0.68674698795180711</v>
      </c>
      <c r="J32" s="93">
        <v>0.45751633986928103</v>
      </c>
      <c r="K32" s="83">
        <v>30.6</v>
      </c>
      <c r="L32" s="83">
        <v>25.4</v>
      </c>
      <c r="M32" s="83">
        <v>5.2000000000000028</v>
      </c>
      <c r="P32" s="92">
        <v>45957</v>
      </c>
      <c r="Q32" s="83">
        <v>30.6</v>
      </c>
      <c r="R32" s="93">
        <v>0.45751633986928103</v>
      </c>
      <c r="S32" s="83">
        <v>14</v>
      </c>
      <c r="T32" s="83">
        <v>16.600000000000001</v>
      </c>
      <c r="Y32" s="92">
        <v>45957</v>
      </c>
      <c r="Z32" s="83">
        <v>6.3</v>
      </c>
      <c r="AA32" s="83">
        <v>1.2999999999999998</v>
      </c>
      <c r="AB32" s="83">
        <v>5</v>
      </c>
      <c r="AC32" s="83">
        <v>30.6</v>
      </c>
      <c r="AJ32" s="92">
        <v>45957</v>
      </c>
      <c r="AK32" s="83">
        <v>0.5</v>
      </c>
      <c r="AL32" s="83">
        <v>11.5</v>
      </c>
      <c r="AM32" s="83">
        <v>12</v>
      </c>
      <c r="AS32" s="92">
        <v>45957</v>
      </c>
    </row>
    <row r="33" spans="1:45" x14ac:dyDescent="0.2">
      <c r="A33" s="92" t="s">
        <v>86</v>
      </c>
      <c r="B33" s="83">
        <v>70.2</v>
      </c>
      <c r="C33" s="83">
        <v>382.30000000000007</v>
      </c>
      <c r="D33" s="83">
        <v>283.90000000000003</v>
      </c>
      <c r="E33" s="83">
        <v>98.4</v>
      </c>
      <c r="F33"/>
      <c r="G33" s="92" t="s">
        <v>86</v>
      </c>
      <c r="H33" s="93" t="e">
        <v>#DIV/0!</v>
      </c>
      <c r="I33" s="93" t="e">
        <v>#DIV/0!</v>
      </c>
      <c r="J33" s="93" t="e">
        <v>#DIV/0!</v>
      </c>
      <c r="K33" s="83">
        <v>382.30000000000007</v>
      </c>
      <c r="L33" s="83">
        <v>283.90000000000003</v>
      </c>
      <c r="M33" s="83">
        <v>98.4</v>
      </c>
      <c r="P33" s="92" t="s">
        <v>86</v>
      </c>
      <c r="Q33" s="83">
        <v>382.30000000000007</v>
      </c>
      <c r="R33" s="93" t="e">
        <v>#DIV/0!</v>
      </c>
      <c r="S33" s="83">
        <v>161</v>
      </c>
      <c r="T33" s="83">
        <v>221.29999999999998</v>
      </c>
      <c r="Y33" s="92" t="s">
        <v>86</v>
      </c>
      <c r="Z33" s="83">
        <v>70.2</v>
      </c>
      <c r="AA33" s="83">
        <v>10.200000000000003</v>
      </c>
      <c r="AB33" s="83">
        <v>60</v>
      </c>
      <c r="AC33" s="83">
        <v>382.30000000000007</v>
      </c>
      <c r="AJ33" s="92" t="s">
        <v>86</v>
      </c>
      <c r="AK33" s="83">
        <v>8</v>
      </c>
      <c r="AL33" s="83">
        <v>128.5</v>
      </c>
      <c r="AM33" s="83">
        <v>136.5</v>
      </c>
      <c r="AS33" s="92" t="s">
        <v>86</v>
      </c>
    </row>
    <row r="34" spans="1:45" x14ac:dyDescent="0.2">
      <c r="B34"/>
      <c r="C34"/>
      <c r="D34"/>
      <c r="E34"/>
      <c r="F34"/>
      <c r="G34"/>
      <c r="H34"/>
      <c r="I34"/>
      <c r="J34"/>
      <c r="K34"/>
      <c r="L34"/>
    </row>
    <row r="35" spans="1:45" x14ac:dyDescent="0.2">
      <c r="B35"/>
      <c r="C35"/>
      <c r="D35"/>
      <c r="E35"/>
      <c r="F35"/>
      <c r="G35"/>
      <c r="H35"/>
      <c r="I35"/>
      <c r="J35"/>
      <c r="K35"/>
      <c r="L35"/>
    </row>
    <row r="36" spans="1:45" x14ac:dyDescent="0.2">
      <c r="B36"/>
      <c r="C36"/>
      <c r="D36"/>
      <c r="E36"/>
      <c r="F36"/>
      <c r="G36"/>
      <c r="H36"/>
      <c r="I36"/>
      <c r="J36"/>
      <c r="K36"/>
      <c r="L36"/>
    </row>
    <row r="37" spans="1:45" x14ac:dyDescent="0.2">
      <c r="B37"/>
      <c r="C37"/>
      <c r="D37"/>
      <c r="E37"/>
      <c r="F37"/>
      <c r="G37"/>
      <c r="H37"/>
      <c r="I37"/>
      <c r="J37"/>
      <c r="K37"/>
      <c r="L37"/>
    </row>
    <row r="38" spans="1:45" x14ac:dyDescent="0.2">
      <c r="B38"/>
      <c r="C38"/>
      <c r="D38"/>
      <c r="E38"/>
      <c r="F38"/>
      <c r="G38"/>
      <c r="H38"/>
      <c r="I38"/>
      <c r="J38"/>
      <c r="K38"/>
      <c r="L38"/>
    </row>
    <row r="39" spans="1:45" x14ac:dyDescent="0.2">
      <c r="B39"/>
      <c r="C39"/>
      <c r="D39"/>
      <c r="E39"/>
      <c r="F39"/>
      <c r="G39"/>
      <c r="H39"/>
      <c r="I39"/>
      <c r="J39"/>
      <c r="K39"/>
      <c r="L39"/>
    </row>
    <row r="40" spans="1:45" x14ac:dyDescent="0.2">
      <c r="B40"/>
      <c r="C40"/>
      <c r="D40"/>
      <c r="E40"/>
      <c r="F40"/>
      <c r="G40"/>
      <c r="H40"/>
      <c r="I40"/>
      <c r="J40"/>
      <c r="K40"/>
      <c r="L40"/>
    </row>
    <row r="41" spans="1:45" x14ac:dyDescent="0.2">
      <c r="B41"/>
      <c r="C41"/>
      <c r="D41"/>
      <c r="E41"/>
      <c r="F41"/>
      <c r="G41"/>
      <c r="H41"/>
      <c r="I41"/>
      <c r="J41"/>
      <c r="K41"/>
      <c r="L41"/>
    </row>
    <row r="42" spans="1:45" x14ac:dyDescent="0.2">
      <c r="B42"/>
      <c r="C42"/>
      <c r="D42"/>
      <c r="E42"/>
      <c r="F42"/>
      <c r="G42"/>
      <c r="H42"/>
      <c r="I42"/>
      <c r="J42"/>
      <c r="K42"/>
      <c r="L42"/>
    </row>
    <row r="43" spans="1:45" x14ac:dyDescent="0.2">
      <c r="B43"/>
      <c r="C43"/>
      <c r="D43"/>
      <c r="E43"/>
      <c r="F43"/>
      <c r="G43"/>
      <c r="H43"/>
      <c r="I43"/>
      <c r="J43"/>
      <c r="K43"/>
      <c r="L43"/>
    </row>
    <row r="44" spans="1:45" x14ac:dyDescent="0.2">
      <c r="B44"/>
      <c r="C44"/>
      <c r="D44"/>
      <c r="E44"/>
      <c r="F44"/>
      <c r="G44"/>
      <c r="H44"/>
      <c r="I44"/>
      <c r="J44"/>
      <c r="K44"/>
      <c r="L44"/>
    </row>
    <row r="45" spans="1:45" x14ac:dyDescent="0.2">
      <c r="B45"/>
      <c r="C45"/>
      <c r="D45"/>
      <c r="E45"/>
      <c r="F45"/>
      <c r="G45"/>
      <c r="H45"/>
      <c r="I45"/>
      <c r="J45"/>
      <c r="K45"/>
      <c r="L45"/>
    </row>
    <row r="46" spans="1:45" x14ac:dyDescent="0.2">
      <c r="B46"/>
      <c r="C46"/>
      <c r="D46"/>
      <c r="E46"/>
      <c r="F46"/>
      <c r="G46"/>
      <c r="H46"/>
      <c r="I46"/>
      <c r="J46"/>
      <c r="K46"/>
      <c r="L46"/>
    </row>
    <row r="47" spans="1:45" x14ac:dyDescent="0.2">
      <c r="B47"/>
      <c r="C47"/>
      <c r="D47"/>
      <c r="E47"/>
      <c r="F47"/>
      <c r="G47"/>
      <c r="H47"/>
      <c r="I47"/>
      <c r="J47"/>
      <c r="K47"/>
      <c r="L47"/>
    </row>
    <row r="48" spans="1:45" x14ac:dyDescent="0.2">
      <c r="B48"/>
      <c r="C48"/>
      <c r="D48"/>
      <c r="E48"/>
      <c r="F48"/>
      <c r="G48"/>
      <c r="H48"/>
      <c r="I48"/>
      <c r="J48"/>
      <c r="K48"/>
      <c r="L48"/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  <row r="213" customFormat="1" x14ac:dyDescent="0.2"/>
    <row r="214" customFormat="1" x14ac:dyDescent="0.2"/>
    <row r="215" customFormat="1" x14ac:dyDescent="0.2"/>
    <row r="216" customFormat="1" x14ac:dyDescent="0.2"/>
    <row r="217" customFormat="1" x14ac:dyDescent="0.2"/>
    <row r="218" customFormat="1" x14ac:dyDescent="0.2"/>
    <row r="219" customFormat="1" x14ac:dyDescent="0.2"/>
    <row r="220" customFormat="1" x14ac:dyDescent="0.2"/>
    <row r="221" customFormat="1" x14ac:dyDescent="0.2"/>
    <row r="222" customFormat="1" x14ac:dyDescent="0.2"/>
    <row r="223" customFormat="1" x14ac:dyDescent="0.2"/>
    <row r="224" customFormat="1" x14ac:dyDescent="0.2"/>
    <row r="225" customFormat="1" x14ac:dyDescent="0.2"/>
    <row r="226" customFormat="1" x14ac:dyDescent="0.2"/>
    <row r="227" customFormat="1" x14ac:dyDescent="0.2"/>
    <row r="228" customFormat="1" x14ac:dyDescent="0.2"/>
    <row r="229" customFormat="1" x14ac:dyDescent="0.2"/>
    <row r="230" customFormat="1" x14ac:dyDescent="0.2"/>
    <row r="231" customFormat="1" x14ac:dyDescent="0.2"/>
    <row r="232" customFormat="1" x14ac:dyDescent="0.2"/>
    <row r="233" customFormat="1" x14ac:dyDescent="0.2"/>
    <row r="234" customFormat="1" x14ac:dyDescent="0.2"/>
    <row r="235" customFormat="1" x14ac:dyDescent="0.2"/>
    <row r="236" customFormat="1" x14ac:dyDescent="0.2"/>
    <row r="237" customFormat="1" x14ac:dyDescent="0.2"/>
    <row r="238" customFormat="1" x14ac:dyDescent="0.2"/>
    <row r="239" customFormat="1" x14ac:dyDescent="0.2"/>
    <row r="240" customFormat="1" x14ac:dyDescent="0.2"/>
    <row r="241" customFormat="1" x14ac:dyDescent="0.2"/>
    <row r="242" customFormat="1" x14ac:dyDescent="0.2"/>
    <row r="243" customFormat="1" x14ac:dyDescent="0.2"/>
    <row r="244" customFormat="1" x14ac:dyDescent="0.2"/>
    <row r="245" customFormat="1" x14ac:dyDescent="0.2"/>
    <row r="246" customFormat="1" x14ac:dyDescent="0.2"/>
    <row r="247" customFormat="1" x14ac:dyDescent="0.2"/>
    <row r="248" customFormat="1" x14ac:dyDescent="0.2"/>
    <row r="249" customFormat="1" x14ac:dyDescent="0.2"/>
    <row r="250" customFormat="1" x14ac:dyDescent="0.2"/>
    <row r="251" customFormat="1" x14ac:dyDescent="0.2"/>
    <row r="252" customFormat="1" x14ac:dyDescent="0.2"/>
    <row r="253" customFormat="1" x14ac:dyDescent="0.2"/>
    <row r="254" customFormat="1" x14ac:dyDescent="0.2"/>
    <row r="255" customFormat="1" x14ac:dyDescent="0.2"/>
    <row r="256" customFormat="1" x14ac:dyDescent="0.2"/>
    <row r="257" customFormat="1" x14ac:dyDescent="0.2"/>
    <row r="258" customFormat="1" x14ac:dyDescent="0.2"/>
    <row r="259" customFormat="1" x14ac:dyDescent="0.2"/>
    <row r="260" customFormat="1" x14ac:dyDescent="0.2"/>
    <row r="261" customFormat="1" x14ac:dyDescent="0.2"/>
  </sheetData>
  <mergeCells count="6">
    <mergeCell ref="A1:E1"/>
    <mergeCell ref="P1:T1"/>
    <mergeCell ref="Y1:AE1"/>
    <mergeCell ref="AJ1:AP1"/>
    <mergeCell ref="AS1:AW1"/>
    <mergeCell ref="G1:K1"/>
  </mergeCells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1331-F414-4FB9-BD30-3481E0B09E0A}">
  <dimension ref="A1:H25"/>
  <sheetViews>
    <sheetView zoomScale="106" zoomScaleNormal="106" workbookViewId="0">
      <selection activeCell="D26" sqref="D26"/>
    </sheetView>
  </sheetViews>
  <sheetFormatPr baseColWidth="10" defaultRowHeight="12.75" x14ac:dyDescent="0.2"/>
  <cols>
    <col min="1" max="1" width="19" customWidth="1"/>
    <col min="2" max="2" width="14.85546875" customWidth="1"/>
    <col min="3" max="3" width="20.140625" customWidth="1"/>
    <col min="4" max="4" width="13.85546875" customWidth="1"/>
    <col min="5" max="5" width="14.7109375" customWidth="1"/>
    <col min="6" max="6" width="16.5703125" customWidth="1"/>
  </cols>
  <sheetData>
    <row r="1" spans="1:8" x14ac:dyDescent="0.2">
      <c r="A1" s="2"/>
      <c r="B1" s="2"/>
      <c r="C1" s="2"/>
      <c r="D1" s="2"/>
      <c r="E1" s="2"/>
      <c r="F1" s="2"/>
      <c r="G1" s="2"/>
      <c r="H1" s="2"/>
    </row>
    <row r="2" spans="1:8" ht="15.75" x14ac:dyDescent="0.25">
      <c r="A2" s="65"/>
      <c r="B2" s="166" t="s">
        <v>50</v>
      </c>
      <c r="C2" s="166"/>
      <c r="D2" s="166"/>
      <c r="E2" s="166"/>
      <c r="F2" s="166"/>
      <c r="G2" s="166"/>
      <c r="H2" s="2"/>
    </row>
    <row r="3" spans="1:8" x14ac:dyDescent="0.2">
      <c r="A3" s="2"/>
      <c r="B3" s="164" t="s">
        <v>52</v>
      </c>
      <c r="C3" s="165"/>
      <c r="D3" s="164" t="s">
        <v>53</v>
      </c>
      <c r="E3" s="165"/>
      <c r="F3" s="164" t="s">
        <v>55</v>
      </c>
      <c r="G3" s="165"/>
      <c r="H3" s="2"/>
    </row>
    <row r="4" spans="1:8" x14ac:dyDescent="0.2">
      <c r="A4" s="2"/>
      <c r="B4" s="51" t="s">
        <v>51</v>
      </c>
      <c r="C4" s="51" t="s">
        <v>54</v>
      </c>
      <c r="D4" s="51" t="s">
        <v>51</v>
      </c>
      <c r="E4" s="51" t="s">
        <v>54</v>
      </c>
      <c r="F4" s="51" t="s">
        <v>54</v>
      </c>
      <c r="G4" s="51" t="s">
        <v>56</v>
      </c>
      <c r="H4" s="2"/>
    </row>
    <row r="5" spans="1:8" x14ac:dyDescent="0.2">
      <c r="A5" s="2"/>
      <c r="B5" s="102">
        <v>47.2</v>
      </c>
      <c r="C5" s="54">
        <v>22</v>
      </c>
      <c r="D5" s="55">
        <f>B5-C5</f>
        <v>25.200000000000003</v>
      </c>
      <c r="E5" s="55">
        <f>F5-C5</f>
        <v>12.899999999999999</v>
      </c>
      <c r="F5" s="102">
        <v>34.9</v>
      </c>
      <c r="G5" s="56">
        <f>B5-F5</f>
        <v>12.300000000000004</v>
      </c>
      <c r="H5" s="2"/>
    </row>
    <row r="6" spans="1:8" x14ac:dyDescent="0.2">
      <c r="A6" s="2"/>
      <c r="B6" s="167" t="s">
        <v>57</v>
      </c>
      <c r="C6" s="168"/>
      <c r="D6" s="167" t="s">
        <v>58</v>
      </c>
      <c r="E6" s="168"/>
      <c r="F6" s="167" t="s">
        <v>59</v>
      </c>
      <c r="G6" s="168"/>
      <c r="H6" s="2"/>
    </row>
    <row r="7" spans="1:8" x14ac:dyDescent="0.2">
      <c r="A7" s="2"/>
      <c r="B7" s="169">
        <f>C5/B5</f>
        <v>0.46610169491525422</v>
      </c>
      <c r="C7" s="170"/>
      <c r="D7" s="169">
        <f>E5/D5</f>
        <v>0.51190476190476175</v>
      </c>
      <c r="E7" s="170"/>
      <c r="F7" s="169">
        <f>F5/B5</f>
        <v>0.73940677966101687</v>
      </c>
      <c r="G7" s="170"/>
      <c r="H7" s="2"/>
    </row>
    <row r="8" spans="1:8" x14ac:dyDescent="0.2">
      <c r="A8" s="2"/>
      <c r="B8" s="2"/>
      <c r="C8" s="2"/>
      <c r="D8" s="2"/>
      <c r="E8" s="2"/>
      <c r="F8" s="2"/>
      <c r="G8" s="2"/>
      <c r="H8" s="2"/>
    </row>
    <row r="9" spans="1:8" ht="15" x14ac:dyDescent="0.25">
      <c r="A9" s="2"/>
      <c r="B9" s="163" t="s">
        <v>60</v>
      </c>
      <c r="C9" s="163"/>
      <c r="D9" s="163"/>
      <c r="E9" s="163"/>
      <c r="F9" s="2"/>
      <c r="G9" s="2"/>
      <c r="H9" s="2"/>
    </row>
    <row r="10" spans="1:8" x14ac:dyDescent="0.2">
      <c r="A10" s="2"/>
      <c r="B10" s="18"/>
      <c r="C10" s="51" t="s">
        <v>52</v>
      </c>
      <c r="D10" s="51" t="s">
        <v>53</v>
      </c>
      <c r="E10" s="51" t="s">
        <v>61</v>
      </c>
      <c r="F10" s="2"/>
      <c r="G10" s="2"/>
      <c r="H10" s="2"/>
    </row>
    <row r="11" spans="1:8" x14ac:dyDescent="0.2">
      <c r="A11" s="2"/>
      <c r="B11" s="51" t="s">
        <v>62</v>
      </c>
      <c r="C11" s="18">
        <f>C5</f>
        <v>22</v>
      </c>
      <c r="D11" s="18">
        <f>E5</f>
        <v>12.899999999999999</v>
      </c>
      <c r="E11" s="18">
        <f>F5</f>
        <v>34.9</v>
      </c>
      <c r="F11" s="2"/>
      <c r="G11" s="2"/>
      <c r="H11" s="2"/>
    </row>
    <row r="12" spans="1:8" x14ac:dyDescent="0.2">
      <c r="A12" s="2"/>
      <c r="B12" s="51" t="s">
        <v>63</v>
      </c>
      <c r="C12" s="57">
        <f>C11/E11</f>
        <v>0.63037249283667629</v>
      </c>
      <c r="D12" s="57">
        <f>D11/E11</f>
        <v>0.36962750716332377</v>
      </c>
      <c r="E12" s="58">
        <f>D12+C12</f>
        <v>1</v>
      </c>
      <c r="F12" s="2"/>
      <c r="G12" s="2"/>
      <c r="H12" s="2"/>
    </row>
    <row r="13" spans="1:8" x14ac:dyDescent="0.2">
      <c r="A13" s="2"/>
      <c r="B13" s="51" t="s">
        <v>64</v>
      </c>
      <c r="C13" s="59">
        <f>C12*E13</f>
        <v>630.37249283667632</v>
      </c>
      <c r="D13" s="59">
        <f>D12*E13</f>
        <v>369.62750716332374</v>
      </c>
      <c r="E13" s="18">
        <v>1000</v>
      </c>
      <c r="F13" s="65" t="s">
        <v>65</v>
      </c>
      <c r="G13" s="2"/>
      <c r="H13" s="2"/>
    </row>
    <row r="14" spans="1:8" x14ac:dyDescent="0.2">
      <c r="A14" s="2"/>
      <c r="B14" s="51" t="s">
        <v>66</v>
      </c>
      <c r="C14" s="18">
        <v>8</v>
      </c>
      <c r="D14" s="18">
        <v>4</v>
      </c>
      <c r="E14" s="18">
        <f>+C14+D14</f>
        <v>12</v>
      </c>
      <c r="F14" s="2"/>
      <c r="G14" s="2"/>
      <c r="H14" s="2"/>
    </row>
    <row r="15" spans="1:8" x14ac:dyDescent="0.2">
      <c r="A15" s="2"/>
      <c r="B15" s="51" t="s">
        <v>67</v>
      </c>
      <c r="C15" s="60">
        <f>C13/C14</f>
        <v>78.796561604584539</v>
      </c>
      <c r="D15" s="60">
        <f>D13/D14</f>
        <v>92.406876790830935</v>
      </c>
      <c r="E15" s="18">
        <f>(C15*8)+(D15*4)</f>
        <v>1000</v>
      </c>
      <c r="F15" s="65" t="s">
        <v>65</v>
      </c>
      <c r="G15" s="2"/>
      <c r="H15" s="2"/>
    </row>
    <row r="16" spans="1:8" x14ac:dyDescent="0.2">
      <c r="A16" s="2"/>
      <c r="B16" s="2"/>
      <c r="C16" s="2"/>
      <c r="D16" s="2"/>
      <c r="E16" s="2"/>
      <c r="F16" s="2"/>
      <c r="G16" s="2"/>
      <c r="H16" s="2"/>
    </row>
    <row r="17" spans="1:8" x14ac:dyDescent="0.2">
      <c r="A17" s="2"/>
      <c r="B17" s="2"/>
      <c r="C17" s="2"/>
      <c r="D17" s="2"/>
      <c r="E17" s="2"/>
      <c r="F17" s="2"/>
      <c r="G17" s="2"/>
      <c r="H17" s="2"/>
    </row>
    <row r="18" spans="1:8" x14ac:dyDescent="0.2">
      <c r="A18" s="2"/>
      <c r="B18" s="2"/>
      <c r="C18" s="2"/>
      <c r="D18" s="2"/>
      <c r="E18" s="2"/>
      <c r="F18" s="2"/>
      <c r="G18" s="2"/>
      <c r="H18" s="2"/>
    </row>
    <row r="19" spans="1:8" x14ac:dyDescent="0.2">
      <c r="A19" s="2"/>
      <c r="B19" s="65" t="s">
        <v>68</v>
      </c>
      <c r="C19" s="2"/>
      <c r="D19" s="2"/>
      <c r="E19" s="2"/>
      <c r="F19" s="2"/>
      <c r="G19" s="2"/>
      <c r="H19" s="2"/>
    </row>
    <row r="20" spans="1:8" x14ac:dyDescent="0.2">
      <c r="A20" s="2"/>
      <c r="B20" s="2"/>
      <c r="C20" s="2"/>
      <c r="D20" s="2"/>
      <c r="E20" s="2"/>
      <c r="F20" s="2"/>
      <c r="G20" s="2"/>
      <c r="H20" s="2"/>
    </row>
    <row r="21" spans="1:8" x14ac:dyDescent="0.2">
      <c r="A21" s="2"/>
      <c r="B21" s="2"/>
      <c r="C21" s="2"/>
      <c r="D21" s="2"/>
      <c r="E21" s="2"/>
      <c r="F21" s="2"/>
      <c r="G21" s="2"/>
      <c r="H21" s="2"/>
    </row>
    <row r="24" spans="1:8" x14ac:dyDescent="0.2">
      <c r="D24">
        <f>18.8-12</f>
        <v>6.8000000000000007</v>
      </c>
    </row>
    <row r="25" spans="1:8" x14ac:dyDescent="0.2">
      <c r="D25">
        <f>23.8-18.8</f>
        <v>5</v>
      </c>
    </row>
  </sheetData>
  <mergeCells count="11">
    <mergeCell ref="B9:E9"/>
    <mergeCell ref="B3:C3"/>
    <mergeCell ref="D3:E3"/>
    <mergeCell ref="F3:G3"/>
    <mergeCell ref="B2:G2"/>
    <mergeCell ref="B6:C6"/>
    <mergeCell ref="B7:C7"/>
    <mergeCell ref="D6:E6"/>
    <mergeCell ref="F6:G6"/>
    <mergeCell ref="D7:E7"/>
    <mergeCell ref="F7:G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8D0A5-C723-44B6-89AB-C537BAAF1D83}">
  <dimension ref="A1:AJ333"/>
  <sheetViews>
    <sheetView tabSelected="1" zoomScaleNormal="100" workbookViewId="0">
      <pane xSplit="2" ySplit="1" topLeftCell="C268" activePane="bottomRight" state="frozen"/>
      <selection pane="topRight" activeCell="C1" sqref="C1"/>
      <selection pane="bottomLeft" activeCell="A4" sqref="A4"/>
      <selection pane="bottomRight" activeCell="C309" sqref="C309"/>
    </sheetView>
  </sheetViews>
  <sheetFormatPr baseColWidth="10" defaultRowHeight="12.75" x14ac:dyDescent="0.2"/>
  <cols>
    <col min="1" max="1" width="11.42578125" style="4" customWidth="1"/>
    <col min="2" max="2" width="23.5703125" style="16" customWidth="1"/>
    <col min="3" max="3" width="14.28515625" style="4" customWidth="1"/>
    <col min="4" max="5" width="11.42578125" style="4"/>
    <col min="6" max="6" width="13.28515625" style="4" customWidth="1"/>
    <col min="7" max="8" width="11.42578125" style="4"/>
    <col min="9" max="9" width="14.28515625" style="4" customWidth="1"/>
    <col min="10" max="10" width="11.42578125" style="4"/>
    <col min="11" max="11" width="17.140625" style="101" customWidth="1"/>
    <col min="12" max="12" width="17.28515625" style="4" customWidth="1"/>
    <col min="13" max="13" width="12.5703125" style="4" bestFit="1" customWidth="1"/>
    <col min="14" max="14" width="13.5703125" style="4" customWidth="1"/>
    <col min="15" max="15" width="12.7109375" style="4" customWidth="1"/>
    <col min="16" max="16" width="16.28515625" style="4" customWidth="1"/>
    <col min="17" max="17" width="11.42578125" style="101"/>
    <col min="18" max="18" width="17.28515625" style="4" customWidth="1"/>
    <col min="19" max="19" width="11.42578125" style="4"/>
    <col min="20" max="20" width="14.28515625" style="4" customWidth="1"/>
    <col min="21" max="21" width="16.42578125" style="16" customWidth="1"/>
    <col min="22" max="22" width="23.5703125" style="16" customWidth="1"/>
    <col min="23" max="23" width="16.85546875" style="16" customWidth="1"/>
    <col min="24" max="24" width="14.28515625" style="4" customWidth="1"/>
    <col min="25" max="25" width="13" style="4" bestFit="1" customWidth="1"/>
    <col min="26" max="26" width="11.42578125" style="4" hidden="1" customWidth="1"/>
    <col min="27" max="27" width="11.42578125" style="4"/>
    <col min="28" max="28" width="11.42578125" style="4" hidden="1" customWidth="1"/>
    <col min="29" max="29" width="13" style="4" bestFit="1" customWidth="1"/>
    <col min="30" max="30" width="11.42578125" style="4" hidden="1" customWidth="1"/>
    <col min="31" max="31" width="12" style="4" bestFit="1" customWidth="1"/>
    <col min="32" max="32" width="23" customWidth="1"/>
    <col min="33" max="33" width="8.5703125" hidden="1" customWidth="1"/>
    <col min="34" max="34" width="13.7109375" customWidth="1"/>
    <col min="35" max="35" width="163.85546875" customWidth="1"/>
    <col min="259" max="259" width="18.85546875" bestFit="1" customWidth="1"/>
    <col min="262" max="262" width="7.7109375" customWidth="1"/>
    <col min="263" max="263" width="18.28515625" customWidth="1"/>
    <col min="265" max="265" width="18.5703125" customWidth="1"/>
    <col min="266" max="270" width="0" hidden="1" customWidth="1"/>
    <col min="273" max="273" width="8.7109375" customWidth="1"/>
    <col min="274" max="274" width="17" customWidth="1"/>
    <col min="276" max="276" width="18.7109375" customWidth="1"/>
    <col min="277" max="281" width="0" hidden="1" customWidth="1"/>
    <col min="283" max="283" width="0" hidden="1" customWidth="1"/>
    <col min="285" max="285" width="0" hidden="1" customWidth="1"/>
    <col min="287" max="287" width="0" hidden="1" customWidth="1"/>
    <col min="515" max="515" width="18.85546875" bestFit="1" customWidth="1"/>
    <col min="518" max="518" width="7.7109375" customWidth="1"/>
    <col min="519" max="519" width="18.28515625" customWidth="1"/>
    <col min="521" max="521" width="18.5703125" customWidth="1"/>
    <col min="522" max="526" width="0" hidden="1" customWidth="1"/>
    <col min="529" max="529" width="8.7109375" customWidth="1"/>
    <col min="530" max="530" width="17" customWidth="1"/>
    <col min="532" max="532" width="18.7109375" customWidth="1"/>
    <col min="533" max="537" width="0" hidden="1" customWidth="1"/>
    <col min="539" max="539" width="0" hidden="1" customWidth="1"/>
    <col min="541" max="541" width="0" hidden="1" customWidth="1"/>
    <col min="543" max="543" width="0" hidden="1" customWidth="1"/>
    <col min="771" max="771" width="18.85546875" bestFit="1" customWidth="1"/>
    <col min="774" max="774" width="7.7109375" customWidth="1"/>
    <col min="775" max="775" width="18.28515625" customWidth="1"/>
    <col min="777" max="777" width="18.5703125" customWidth="1"/>
    <col min="778" max="782" width="0" hidden="1" customWidth="1"/>
    <col min="785" max="785" width="8.7109375" customWidth="1"/>
    <col min="786" max="786" width="17" customWidth="1"/>
    <col min="788" max="788" width="18.7109375" customWidth="1"/>
    <col min="789" max="793" width="0" hidden="1" customWidth="1"/>
    <col min="795" max="795" width="0" hidden="1" customWidth="1"/>
    <col min="797" max="797" width="0" hidden="1" customWidth="1"/>
    <col min="799" max="799" width="0" hidden="1" customWidth="1"/>
    <col min="1027" max="1027" width="18.85546875" bestFit="1" customWidth="1"/>
    <col min="1030" max="1030" width="7.7109375" customWidth="1"/>
    <col min="1031" max="1031" width="18.28515625" customWidth="1"/>
    <col min="1033" max="1033" width="18.5703125" customWidth="1"/>
    <col min="1034" max="1038" width="0" hidden="1" customWidth="1"/>
    <col min="1041" max="1041" width="8.7109375" customWidth="1"/>
    <col min="1042" max="1042" width="17" customWidth="1"/>
    <col min="1044" max="1044" width="18.7109375" customWidth="1"/>
    <col min="1045" max="1049" width="0" hidden="1" customWidth="1"/>
    <col min="1051" max="1051" width="0" hidden="1" customWidth="1"/>
    <col min="1053" max="1053" width="0" hidden="1" customWidth="1"/>
    <col min="1055" max="1055" width="0" hidden="1" customWidth="1"/>
    <col min="1283" max="1283" width="18.85546875" bestFit="1" customWidth="1"/>
    <col min="1286" max="1286" width="7.7109375" customWidth="1"/>
    <col min="1287" max="1287" width="18.28515625" customWidth="1"/>
    <col min="1289" max="1289" width="18.5703125" customWidth="1"/>
    <col min="1290" max="1294" width="0" hidden="1" customWidth="1"/>
    <col min="1297" max="1297" width="8.7109375" customWidth="1"/>
    <col min="1298" max="1298" width="17" customWidth="1"/>
    <col min="1300" max="1300" width="18.7109375" customWidth="1"/>
    <col min="1301" max="1305" width="0" hidden="1" customWidth="1"/>
    <col min="1307" max="1307" width="0" hidden="1" customWidth="1"/>
    <col min="1309" max="1309" width="0" hidden="1" customWidth="1"/>
    <col min="1311" max="1311" width="0" hidden="1" customWidth="1"/>
    <col min="1539" max="1539" width="18.85546875" bestFit="1" customWidth="1"/>
    <col min="1542" max="1542" width="7.7109375" customWidth="1"/>
    <col min="1543" max="1543" width="18.28515625" customWidth="1"/>
    <col min="1545" max="1545" width="18.5703125" customWidth="1"/>
    <col min="1546" max="1550" width="0" hidden="1" customWidth="1"/>
    <col min="1553" max="1553" width="8.7109375" customWidth="1"/>
    <col min="1554" max="1554" width="17" customWidth="1"/>
    <col min="1556" max="1556" width="18.7109375" customWidth="1"/>
    <col min="1557" max="1561" width="0" hidden="1" customWidth="1"/>
    <col min="1563" max="1563" width="0" hidden="1" customWidth="1"/>
    <col min="1565" max="1565" width="0" hidden="1" customWidth="1"/>
    <col min="1567" max="1567" width="0" hidden="1" customWidth="1"/>
    <col min="1795" max="1795" width="18.85546875" bestFit="1" customWidth="1"/>
    <col min="1798" max="1798" width="7.7109375" customWidth="1"/>
    <col min="1799" max="1799" width="18.28515625" customWidth="1"/>
    <col min="1801" max="1801" width="18.5703125" customWidth="1"/>
    <col min="1802" max="1806" width="0" hidden="1" customWidth="1"/>
    <col min="1809" max="1809" width="8.7109375" customWidth="1"/>
    <col min="1810" max="1810" width="17" customWidth="1"/>
    <col min="1812" max="1812" width="18.7109375" customWidth="1"/>
    <col min="1813" max="1817" width="0" hidden="1" customWidth="1"/>
    <col min="1819" max="1819" width="0" hidden="1" customWidth="1"/>
    <col min="1821" max="1821" width="0" hidden="1" customWidth="1"/>
    <col min="1823" max="1823" width="0" hidden="1" customWidth="1"/>
    <col min="2051" max="2051" width="18.85546875" bestFit="1" customWidth="1"/>
    <col min="2054" max="2054" width="7.7109375" customWidth="1"/>
    <col min="2055" max="2055" width="18.28515625" customWidth="1"/>
    <col min="2057" max="2057" width="18.5703125" customWidth="1"/>
    <col min="2058" max="2062" width="0" hidden="1" customWidth="1"/>
    <col min="2065" max="2065" width="8.7109375" customWidth="1"/>
    <col min="2066" max="2066" width="17" customWidth="1"/>
    <col min="2068" max="2068" width="18.7109375" customWidth="1"/>
    <col min="2069" max="2073" width="0" hidden="1" customWidth="1"/>
    <col min="2075" max="2075" width="0" hidden="1" customWidth="1"/>
    <col min="2077" max="2077" width="0" hidden="1" customWidth="1"/>
    <col min="2079" max="2079" width="0" hidden="1" customWidth="1"/>
    <col min="2307" max="2307" width="18.85546875" bestFit="1" customWidth="1"/>
    <col min="2310" max="2310" width="7.7109375" customWidth="1"/>
    <col min="2311" max="2311" width="18.28515625" customWidth="1"/>
    <col min="2313" max="2313" width="18.5703125" customWidth="1"/>
    <col min="2314" max="2318" width="0" hidden="1" customWidth="1"/>
    <col min="2321" max="2321" width="8.7109375" customWidth="1"/>
    <col min="2322" max="2322" width="17" customWidth="1"/>
    <col min="2324" max="2324" width="18.7109375" customWidth="1"/>
    <col min="2325" max="2329" width="0" hidden="1" customWidth="1"/>
    <col min="2331" max="2331" width="0" hidden="1" customWidth="1"/>
    <col min="2333" max="2333" width="0" hidden="1" customWidth="1"/>
    <col min="2335" max="2335" width="0" hidden="1" customWidth="1"/>
    <col min="2563" max="2563" width="18.85546875" bestFit="1" customWidth="1"/>
    <col min="2566" max="2566" width="7.7109375" customWidth="1"/>
    <col min="2567" max="2567" width="18.28515625" customWidth="1"/>
    <col min="2569" max="2569" width="18.5703125" customWidth="1"/>
    <col min="2570" max="2574" width="0" hidden="1" customWidth="1"/>
    <col min="2577" max="2577" width="8.7109375" customWidth="1"/>
    <col min="2578" max="2578" width="17" customWidth="1"/>
    <col min="2580" max="2580" width="18.7109375" customWidth="1"/>
    <col min="2581" max="2585" width="0" hidden="1" customWidth="1"/>
    <col min="2587" max="2587" width="0" hidden="1" customWidth="1"/>
    <col min="2589" max="2589" width="0" hidden="1" customWidth="1"/>
    <col min="2591" max="2591" width="0" hidden="1" customWidth="1"/>
    <col min="2819" max="2819" width="18.85546875" bestFit="1" customWidth="1"/>
    <col min="2822" max="2822" width="7.7109375" customWidth="1"/>
    <col min="2823" max="2823" width="18.28515625" customWidth="1"/>
    <col min="2825" max="2825" width="18.5703125" customWidth="1"/>
    <col min="2826" max="2830" width="0" hidden="1" customWidth="1"/>
    <col min="2833" max="2833" width="8.7109375" customWidth="1"/>
    <col min="2834" max="2834" width="17" customWidth="1"/>
    <col min="2836" max="2836" width="18.7109375" customWidth="1"/>
    <col min="2837" max="2841" width="0" hidden="1" customWidth="1"/>
    <col min="2843" max="2843" width="0" hidden="1" customWidth="1"/>
    <col min="2845" max="2845" width="0" hidden="1" customWidth="1"/>
    <col min="2847" max="2847" width="0" hidden="1" customWidth="1"/>
    <col min="3075" max="3075" width="18.85546875" bestFit="1" customWidth="1"/>
    <col min="3078" max="3078" width="7.7109375" customWidth="1"/>
    <col min="3079" max="3079" width="18.28515625" customWidth="1"/>
    <col min="3081" max="3081" width="18.5703125" customWidth="1"/>
    <col min="3082" max="3086" width="0" hidden="1" customWidth="1"/>
    <col min="3089" max="3089" width="8.7109375" customWidth="1"/>
    <col min="3090" max="3090" width="17" customWidth="1"/>
    <col min="3092" max="3092" width="18.7109375" customWidth="1"/>
    <col min="3093" max="3097" width="0" hidden="1" customWidth="1"/>
    <col min="3099" max="3099" width="0" hidden="1" customWidth="1"/>
    <col min="3101" max="3101" width="0" hidden="1" customWidth="1"/>
    <col min="3103" max="3103" width="0" hidden="1" customWidth="1"/>
    <col min="3331" max="3331" width="18.85546875" bestFit="1" customWidth="1"/>
    <col min="3334" max="3334" width="7.7109375" customWidth="1"/>
    <col min="3335" max="3335" width="18.28515625" customWidth="1"/>
    <col min="3337" max="3337" width="18.5703125" customWidth="1"/>
    <col min="3338" max="3342" width="0" hidden="1" customWidth="1"/>
    <col min="3345" max="3345" width="8.7109375" customWidth="1"/>
    <col min="3346" max="3346" width="17" customWidth="1"/>
    <col min="3348" max="3348" width="18.7109375" customWidth="1"/>
    <col min="3349" max="3353" width="0" hidden="1" customWidth="1"/>
    <col min="3355" max="3355" width="0" hidden="1" customWidth="1"/>
    <col min="3357" max="3357" width="0" hidden="1" customWidth="1"/>
    <col min="3359" max="3359" width="0" hidden="1" customWidth="1"/>
    <col min="3587" max="3587" width="18.85546875" bestFit="1" customWidth="1"/>
    <col min="3590" max="3590" width="7.7109375" customWidth="1"/>
    <col min="3591" max="3591" width="18.28515625" customWidth="1"/>
    <col min="3593" max="3593" width="18.5703125" customWidth="1"/>
    <col min="3594" max="3598" width="0" hidden="1" customWidth="1"/>
    <col min="3601" max="3601" width="8.7109375" customWidth="1"/>
    <col min="3602" max="3602" width="17" customWidth="1"/>
    <col min="3604" max="3604" width="18.7109375" customWidth="1"/>
    <col min="3605" max="3609" width="0" hidden="1" customWidth="1"/>
    <col min="3611" max="3611" width="0" hidden="1" customWidth="1"/>
    <col min="3613" max="3613" width="0" hidden="1" customWidth="1"/>
    <col min="3615" max="3615" width="0" hidden="1" customWidth="1"/>
    <col min="3843" max="3843" width="18.85546875" bestFit="1" customWidth="1"/>
    <col min="3846" max="3846" width="7.7109375" customWidth="1"/>
    <col min="3847" max="3847" width="18.28515625" customWidth="1"/>
    <col min="3849" max="3849" width="18.5703125" customWidth="1"/>
    <col min="3850" max="3854" width="0" hidden="1" customWidth="1"/>
    <col min="3857" max="3857" width="8.7109375" customWidth="1"/>
    <col min="3858" max="3858" width="17" customWidth="1"/>
    <col min="3860" max="3860" width="18.7109375" customWidth="1"/>
    <col min="3861" max="3865" width="0" hidden="1" customWidth="1"/>
    <col min="3867" max="3867" width="0" hidden="1" customWidth="1"/>
    <col min="3869" max="3869" width="0" hidden="1" customWidth="1"/>
    <col min="3871" max="3871" width="0" hidden="1" customWidth="1"/>
    <col min="4099" max="4099" width="18.85546875" bestFit="1" customWidth="1"/>
    <col min="4102" max="4102" width="7.7109375" customWidth="1"/>
    <col min="4103" max="4103" width="18.28515625" customWidth="1"/>
    <col min="4105" max="4105" width="18.5703125" customWidth="1"/>
    <col min="4106" max="4110" width="0" hidden="1" customWidth="1"/>
    <col min="4113" max="4113" width="8.7109375" customWidth="1"/>
    <col min="4114" max="4114" width="17" customWidth="1"/>
    <col min="4116" max="4116" width="18.7109375" customWidth="1"/>
    <col min="4117" max="4121" width="0" hidden="1" customWidth="1"/>
    <col min="4123" max="4123" width="0" hidden="1" customWidth="1"/>
    <col min="4125" max="4125" width="0" hidden="1" customWidth="1"/>
    <col min="4127" max="4127" width="0" hidden="1" customWidth="1"/>
    <col min="4355" max="4355" width="18.85546875" bestFit="1" customWidth="1"/>
    <col min="4358" max="4358" width="7.7109375" customWidth="1"/>
    <col min="4359" max="4359" width="18.28515625" customWidth="1"/>
    <col min="4361" max="4361" width="18.5703125" customWidth="1"/>
    <col min="4362" max="4366" width="0" hidden="1" customWidth="1"/>
    <col min="4369" max="4369" width="8.7109375" customWidth="1"/>
    <col min="4370" max="4370" width="17" customWidth="1"/>
    <col min="4372" max="4372" width="18.7109375" customWidth="1"/>
    <col min="4373" max="4377" width="0" hidden="1" customWidth="1"/>
    <col min="4379" max="4379" width="0" hidden="1" customWidth="1"/>
    <col min="4381" max="4381" width="0" hidden="1" customWidth="1"/>
    <col min="4383" max="4383" width="0" hidden="1" customWidth="1"/>
    <col min="4611" max="4611" width="18.85546875" bestFit="1" customWidth="1"/>
    <col min="4614" max="4614" width="7.7109375" customWidth="1"/>
    <col min="4615" max="4615" width="18.28515625" customWidth="1"/>
    <col min="4617" max="4617" width="18.5703125" customWidth="1"/>
    <col min="4618" max="4622" width="0" hidden="1" customWidth="1"/>
    <col min="4625" max="4625" width="8.7109375" customWidth="1"/>
    <col min="4626" max="4626" width="17" customWidth="1"/>
    <col min="4628" max="4628" width="18.7109375" customWidth="1"/>
    <col min="4629" max="4633" width="0" hidden="1" customWidth="1"/>
    <col min="4635" max="4635" width="0" hidden="1" customWidth="1"/>
    <col min="4637" max="4637" width="0" hidden="1" customWidth="1"/>
    <col min="4639" max="4639" width="0" hidden="1" customWidth="1"/>
    <col min="4867" max="4867" width="18.85546875" bestFit="1" customWidth="1"/>
    <col min="4870" max="4870" width="7.7109375" customWidth="1"/>
    <col min="4871" max="4871" width="18.28515625" customWidth="1"/>
    <col min="4873" max="4873" width="18.5703125" customWidth="1"/>
    <col min="4874" max="4878" width="0" hidden="1" customWidth="1"/>
    <col min="4881" max="4881" width="8.7109375" customWidth="1"/>
    <col min="4882" max="4882" width="17" customWidth="1"/>
    <col min="4884" max="4884" width="18.7109375" customWidth="1"/>
    <col min="4885" max="4889" width="0" hidden="1" customWidth="1"/>
    <col min="4891" max="4891" width="0" hidden="1" customWidth="1"/>
    <col min="4893" max="4893" width="0" hidden="1" customWidth="1"/>
    <col min="4895" max="4895" width="0" hidden="1" customWidth="1"/>
    <col min="5123" max="5123" width="18.85546875" bestFit="1" customWidth="1"/>
    <col min="5126" max="5126" width="7.7109375" customWidth="1"/>
    <col min="5127" max="5127" width="18.28515625" customWidth="1"/>
    <col min="5129" max="5129" width="18.5703125" customWidth="1"/>
    <col min="5130" max="5134" width="0" hidden="1" customWidth="1"/>
    <col min="5137" max="5137" width="8.7109375" customWidth="1"/>
    <col min="5138" max="5138" width="17" customWidth="1"/>
    <col min="5140" max="5140" width="18.7109375" customWidth="1"/>
    <col min="5141" max="5145" width="0" hidden="1" customWidth="1"/>
    <col min="5147" max="5147" width="0" hidden="1" customWidth="1"/>
    <col min="5149" max="5149" width="0" hidden="1" customWidth="1"/>
    <col min="5151" max="5151" width="0" hidden="1" customWidth="1"/>
    <col min="5379" max="5379" width="18.85546875" bestFit="1" customWidth="1"/>
    <col min="5382" max="5382" width="7.7109375" customWidth="1"/>
    <col min="5383" max="5383" width="18.28515625" customWidth="1"/>
    <col min="5385" max="5385" width="18.5703125" customWidth="1"/>
    <col min="5386" max="5390" width="0" hidden="1" customWidth="1"/>
    <col min="5393" max="5393" width="8.7109375" customWidth="1"/>
    <col min="5394" max="5394" width="17" customWidth="1"/>
    <col min="5396" max="5396" width="18.7109375" customWidth="1"/>
    <col min="5397" max="5401" width="0" hidden="1" customWidth="1"/>
    <col min="5403" max="5403" width="0" hidden="1" customWidth="1"/>
    <col min="5405" max="5405" width="0" hidden="1" customWidth="1"/>
    <col min="5407" max="5407" width="0" hidden="1" customWidth="1"/>
    <col min="5635" max="5635" width="18.85546875" bestFit="1" customWidth="1"/>
    <col min="5638" max="5638" width="7.7109375" customWidth="1"/>
    <col min="5639" max="5639" width="18.28515625" customWidth="1"/>
    <col min="5641" max="5641" width="18.5703125" customWidth="1"/>
    <col min="5642" max="5646" width="0" hidden="1" customWidth="1"/>
    <col min="5649" max="5649" width="8.7109375" customWidth="1"/>
    <col min="5650" max="5650" width="17" customWidth="1"/>
    <col min="5652" max="5652" width="18.7109375" customWidth="1"/>
    <col min="5653" max="5657" width="0" hidden="1" customWidth="1"/>
    <col min="5659" max="5659" width="0" hidden="1" customWidth="1"/>
    <col min="5661" max="5661" width="0" hidden="1" customWidth="1"/>
    <col min="5663" max="5663" width="0" hidden="1" customWidth="1"/>
    <col min="5891" max="5891" width="18.85546875" bestFit="1" customWidth="1"/>
    <col min="5894" max="5894" width="7.7109375" customWidth="1"/>
    <col min="5895" max="5895" width="18.28515625" customWidth="1"/>
    <col min="5897" max="5897" width="18.5703125" customWidth="1"/>
    <col min="5898" max="5902" width="0" hidden="1" customWidth="1"/>
    <col min="5905" max="5905" width="8.7109375" customWidth="1"/>
    <col min="5906" max="5906" width="17" customWidth="1"/>
    <col min="5908" max="5908" width="18.7109375" customWidth="1"/>
    <col min="5909" max="5913" width="0" hidden="1" customWidth="1"/>
    <col min="5915" max="5915" width="0" hidden="1" customWidth="1"/>
    <col min="5917" max="5917" width="0" hidden="1" customWidth="1"/>
    <col min="5919" max="5919" width="0" hidden="1" customWidth="1"/>
    <col min="6147" max="6147" width="18.85546875" bestFit="1" customWidth="1"/>
    <col min="6150" max="6150" width="7.7109375" customWidth="1"/>
    <col min="6151" max="6151" width="18.28515625" customWidth="1"/>
    <col min="6153" max="6153" width="18.5703125" customWidth="1"/>
    <col min="6154" max="6158" width="0" hidden="1" customWidth="1"/>
    <col min="6161" max="6161" width="8.7109375" customWidth="1"/>
    <col min="6162" max="6162" width="17" customWidth="1"/>
    <col min="6164" max="6164" width="18.7109375" customWidth="1"/>
    <col min="6165" max="6169" width="0" hidden="1" customWidth="1"/>
    <col min="6171" max="6171" width="0" hidden="1" customWidth="1"/>
    <col min="6173" max="6173" width="0" hidden="1" customWidth="1"/>
    <col min="6175" max="6175" width="0" hidden="1" customWidth="1"/>
    <col min="6403" max="6403" width="18.85546875" bestFit="1" customWidth="1"/>
    <col min="6406" max="6406" width="7.7109375" customWidth="1"/>
    <col min="6407" max="6407" width="18.28515625" customWidth="1"/>
    <col min="6409" max="6409" width="18.5703125" customWidth="1"/>
    <col min="6410" max="6414" width="0" hidden="1" customWidth="1"/>
    <col min="6417" max="6417" width="8.7109375" customWidth="1"/>
    <col min="6418" max="6418" width="17" customWidth="1"/>
    <col min="6420" max="6420" width="18.7109375" customWidth="1"/>
    <col min="6421" max="6425" width="0" hidden="1" customWidth="1"/>
    <col min="6427" max="6427" width="0" hidden="1" customWidth="1"/>
    <col min="6429" max="6429" width="0" hidden="1" customWidth="1"/>
    <col min="6431" max="6431" width="0" hidden="1" customWidth="1"/>
    <col min="6659" max="6659" width="18.85546875" bestFit="1" customWidth="1"/>
    <col min="6662" max="6662" width="7.7109375" customWidth="1"/>
    <col min="6663" max="6663" width="18.28515625" customWidth="1"/>
    <col min="6665" max="6665" width="18.5703125" customWidth="1"/>
    <col min="6666" max="6670" width="0" hidden="1" customWidth="1"/>
    <col min="6673" max="6673" width="8.7109375" customWidth="1"/>
    <col min="6674" max="6674" width="17" customWidth="1"/>
    <col min="6676" max="6676" width="18.7109375" customWidth="1"/>
    <col min="6677" max="6681" width="0" hidden="1" customWidth="1"/>
    <col min="6683" max="6683" width="0" hidden="1" customWidth="1"/>
    <col min="6685" max="6685" width="0" hidden="1" customWidth="1"/>
    <col min="6687" max="6687" width="0" hidden="1" customWidth="1"/>
    <col min="6915" max="6915" width="18.85546875" bestFit="1" customWidth="1"/>
    <col min="6918" max="6918" width="7.7109375" customWidth="1"/>
    <col min="6919" max="6919" width="18.28515625" customWidth="1"/>
    <col min="6921" max="6921" width="18.5703125" customWidth="1"/>
    <col min="6922" max="6926" width="0" hidden="1" customWidth="1"/>
    <col min="6929" max="6929" width="8.7109375" customWidth="1"/>
    <col min="6930" max="6930" width="17" customWidth="1"/>
    <col min="6932" max="6932" width="18.7109375" customWidth="1"/>
    <col min="6933" max="6937" width="0" hidden="1" customWidth="1"/>
    <col min="6939" max="6939" width="0" hidden="1" customWidth="1"/>
    <col min="6941" max="6941" width="0" hidden="1" customWidth="1"/>
    <col min="6943" max="6943" width="0" hidden="1" customWidth="1"/>
    <col min="7171" max="7171" width="18.85546875" bestFit="1" customWidth="1"/>
    <col min="7174" max="7174" width="7.7109375" customWidth="1"/>
    <col min="7175" max="7175" width="18.28515625" customWidth="1"/>
    <col min="7177" max="7177" width="18.5703125" customWidth="1"/>
    <col min="7178" max="7182" width="0" hidden="1" customWidth="1"/>
    <col min="7185" max="7185" width="8.7109375" customWidth="1"/>
    <col min="7186" max="7186" width="17" customWidth="1"/>
    <col min="7188" max="7188" width="18.7109375" customWidth="1"/>
    <col min="7189" max="7193" width="0" hidden="1" customWidth="1"/>
    <col min="7195" max="7195" width="0" hidden="1" customWidth="1"/>
    <col min="7197" max="7197" width="0" hidden="1" customWidth="1"/>
    <col min="7199" max="7199" width="0" hidden="1" customWidth="1"/>
    <col min="7427" max="7427" width="18.85546875" bestFit="1" customWidth="1"/>
    <col min="7430" max="7430" width="7.7109375" customWidth="1"/>
    <col min="7431" max="7431" width="18.28515625" customWidth="1"/>
    <col min="7433" max="7433" width="18.5703125" customWidth="1"/>
    <col min="7434" max="7438" width="0" hidden="1" customWidth="1"/>
    <col min="7441" max="7441" width="8.7109375" customWidth="1"/>
    <col min="7442" max="7442" width="17" customWidth="1"/>
    <col min="7444" max="7444" width="18.7109375" customWidth="1"/>
    <col min="7445" max="7449" width="0" hidden="1" customWidth="1"/>
    <col min="7451" max="7451" width="0" hidden="1" customWidth="1"/>
    <col min="7453" max="7453" width="0" hidden="1" customWidth="1"/>
    <col min="7455" max="7455" width="0" hidden="1" customWidth="1"/>
    <col min="7683" max="7683" width="18.85546875" bestFit="1" customWidth="1"/>
    <col min="7686" max="7686" width="7.7109375" customWidth="1"/>
    <col min="7687" max="7687" width="18.28515625" customWidth="1"/>
    <col min="7689" max="7689" width="18.5703125" customWidth="1"/>
    <col min="7690" max="7694" width="0" hidden="1" customWidth="1"/>
    <col min="7697" max="7697" width="8.7109375" customWidth="1"/>
    <col min="7698" max="7698" width="17" customWidth="1"/>
    <col min="7700" max="7700" width="18.7109375" customWidth="1"/>
    <col min="7701" max="7705" width="0" hidden="1" customWidth="1"/>
    <col min="7707" max="7707" width="0" hidden="1" customWidth="1"/>
    <col min="7709" max="7709" width="0" hidden="1" customWidth="1"/>
    <col min="7711" max="7711" width="0" hidden="1" customWidth="1"/>
    <col min="7939" max="7939" width="18.85546875" bestFit="1" customWidth="1"/>
    <col min="7942" max="7942" width="7.7109375" customWidth="1"/>
    <col min="7943" max="7943" width="18.28515625" customWidth="1"/>
    <col min="7945" max="7945" width="18.5703125" customWidth="1"/>
    <col min="7946" max="7950" width="0" hidden="1" customWidth="1"/>
    <col min="7953" max="7953" width="8.7109375" customWidth="1"/>
    <col min="7954" max="7954" width="17" customWidth="1"/>
    <col min="7956" max="7956" width="18.7109375" customWidth="1"/>
    <col min="7957" max="7961" width="0" hidden="1" customWidth="1"/>
    <col min="7963" max="7963" width="0" hidden="1" customWidth="1"/>
    <col min="7965" max="7965" width="0" hidden="1" customWidth="1"/>
    <col min="7967" max="7967" width="0" hidden="1" customWidth="1"/>
    <col min="8195" max="8195" width="18.85546875" bestFit="1" customWidth="1"/>
    <col min="8198" max="8198" width="7.7109375" customWidth="1"/>
    <col min="8199" max="8199" width="18.28515625" customWidth="1"/>
    <col min="8201" max="8201" width="18.5703125" customWidth="1"/>
    <col min="8202" max="8206" width="0" hidden="1" customWidth="1"/>
    <col min="8209" max="8209" width="8.7109375" customWidth="1"/>
    <col min="8210" max="8210" width="17" customWidth="1"/>
    <col min="8212" max="8212" width="18.7109375" customWidth="1"/>
    <col min="8213" max="8217" width="0" hidden="1" customWidth="1"/>
    <col min="8219" max="8219" width="0" hidden="1" customWidth="1"/>
    <col min="8221" max="8221" width="0" hidden="1" customWidth="1"/>
    <col min="8223" max="8223" width="0" hidden="1" customWidth="1"/>
    <col min="8451" max="8451" width="18.85546875" bestFit="1" customWidth="1"/>
    <col min="8454" max="8454" width="7.7109375" customWidth="1"/>
    <col min="8455" max="8455" width="18.28515625" customWidth="1"/>
    <col min="8457" max="8457" width="18.5703125" customWidth="1"/>
    <col min="8458" max="8462" width="0" hidden="1" customWidth="1"/>
    <col min="8465" max="8465" width="8.7109375" customWidth="1"/>
    <col min="8466" max="8466" width="17" customWidth="1"/>
    <col min="8468" max="8468" width="18.7109375" customWidth="1"/>
    <col min="8469" max="8473" width="0" hidden="1" customWidth="1"/>
    <col min="8475" max="8475" width="0" hidden="1" customWidth="1"/>
    <col min="8477" max="8477" width="0" hidden="1" customWidth="1"/>
    <col min="8479" max="8479" width="0" hidden="1" customWidth="1"/>
    <col min="8707" max="8707" width="18.85546875" bestFit="1" customWidth="1"/>
    <col min="8710" max="8710" width="7.7109375" customWidth="1"/>
    <col min="8711" max="8711" width="18.28515625" customWidth="1"/>
    <col min="8713" max="8713" width="18.5703125" customWidth="1"/>
    <col min="8714" max="8718" width="0" hidden="1" customWidth="1"/>
    <col min="8721" max="8721" width="8.7109375" customWidth="1"/>
    <col min="8722" max="8722" width="17" customWidth="1"/>
    <col min="8724" max="8724" width="18.7109375" customWidth="1"/>
    <col min="8725" max="8729" width="0" hidden="1" customWidth="1"/>
    <col min="8731" max="8731" width="0" hidden="1" customWidth="1"/>
    <col min="8733" max="8733" width="0" hidden="1" customWidth="1"/>
    <col min="8735" max="8735" width="0" hidden="1" customWidth="1"/>
    <col min="8963" max="8963" width="18.85546875" bestFit="1" customWidth="1"/>
    <col min="8966" max="8966" width="7.7109375" customWidth="1"/>
    <col min="8967" max="8967" width="18.28515625" customWidth="1"/>
    <col min="8969" max="8969" width="18.5703125" customWidth="1"/>
    <col min="8970" max="8974" width="0" hidden="1" customWidth="1"/>
    <col min="8977" max="8977" width="8.7109375" customWidth="1"/>
    <col min="8978" max="8978" width="17" customWidth="1"/>
    <col min="8980" max="8980" width="18.7109375" customWidth="1"/>
    <col min="8981" max="8985" width="0" hidden="1" customWidth="1"/>
    <col min="8987" max="8987" width="0" hidden="1" customWidth="1"/>
    <col min="8989" max="8989" width="0" hidden="1" customWidth="1"/>
    <col min="8991" max="8991" width="0" hidden="1" customWidth="1"/>
    <col min="9219" max="9219" width="18.85546875" bestFit="1" customWidth="1"/>
    <col min="9222" max="9222" width="7.7109375" customWidth="1"/>
    <col min="9223" max="9223" width="18.28515625" customWidth="1"/>
    <col min="9225" max="9225" width="18.5703125" customWidth="1"/>
    <col min="9226" max="9230" width="0" hidden="1" customWidth="1"/>
    <col min="9233" max="9233" width="8.7109375" customWidth="1"/>
    <col min="9234" max="9234" width="17" customWidth="1"/>
    <col min="9236" max="9236" width="18.7109375" customWidth="1"/>
    <col min="9237" max="9241" width="0" hidden="1" customWidth="1"/>
    <col min="9243" max="9243" width="0" hidden="1" customWidth="1"/>
    <col min="9245" max="9245" width="0" hidden="1" customWidth="1"/>
    <col min="9247" max="9247" width="0" hidden="1" customWidth="1"/>
    <col min="9475" max="9475" width="18.85546875" bestFit="1" customWidth="1"/>
    <col min="9478" max="9478" width="7.7109375" customWidth="1"/>
    <col min="9479" max="9479" width="18.28515625" customWidth="1"/>
    <col min="9481" max="9481" width="18.5703125" customWidth="1"/>
    <col min="9482" max="9486" width="0" hidden="1" customWidth="1"/>
    <col min="9489" max="9489" width="8.7109375" customWidth="1"/>
    <col min="9490" max="9490" width="17" customWidth="1"/>
    <col min="9492" max="9492" width="18.7109375" customWidth="1"/>
    <col min="9493" max="9497" width="0" hidden="1" customWidth="1"/>
    <col min="9499" max="9499" width="0" hidden="1" customWidth="1"/>
    <col min="9501" max="9501" width="0" hidden="1" customWidth="1"/>
    <col min="9503" max="9503" width="0" hidden="1" customWidth="1"/>
    <col min="9731" max="9731" width="18.85546875" bestFit="1" customWidth="1"/>
    <col min="9734" max="9734" width="7.7109375" customWidth="1"/>
    <col min="9735" max="9735" width="18.28515625" customWidth="1"/>
    <col min="9737" max="9737" width="18.5703125" customWidth="1"/>
    <col min="9738" max="9742" width="0" hidden="1" customWidth="1"/>
    <col min="9745" max="9745" width="8.7109375" customWidth="1"/>
    <col min="9746" max="9746" width="17" customWidth="1"/>
    <col min="9748" max="9748" width="18.7109375" customWidth="1"/>
    <col min="9749" max="9753" width="0" hidden="1" customWidth="1"/>
    <col min="9755" max="9755" width="0" hidden="1" customWidth="1"/>
    <col min="9757" max="9757" width="0" hidden="1" customWidth="1"/>
    <col min="9759" max="9759" width="0" hidden="1" customWidth="1"/>
    <col min="9987" max="9987" width="18.85546875" bestFit="1" customWidth="1"/>
    <col min="9990" max="9990" width="7.7109375" customWidth="1"/>
    <col min="9991" max="9991" width="18.28515625" customWidth="1"/>
    <col min="9993" max="9993" width="18.5703125" customWidth="1"/>
    <col min="9994" max="9998" width="0" hidden="1" customWidth="1"/>
    <col min="10001" max="10001" width="8.7109375" customWidth="1"/>
    <col min="10002" max="10002" width="17" customWidth="1"/>
    <col min="10004" max="10004" width="18.7109375" customWidth="1"/>
    <col min="10005" max="10009" width="0" hidden="1" customWidth="1"/>
    <col min="10011" max="10011" width="0" hidden="1" customWidth="1"/>
    <col min="10013" max="10013" width="0" hidden="1" customWidth="1"/>
    <col min="10015" max="10015" width="0" hidden="1" customWidth="1"/>
    <col min="10243" max="10243" width="18.85546875" bestFit="1" customWidth="1"/>
    <col min="10246" max="10246" width="7.7109375" customWidth="1"/>
    <col min="10247" max="10247" width="18.28515625" customWidth="1"/>
    <col min="10249" max="10249" width="18.5703125" customWidth="1"/>
    <col min="10250" max="10254" width="0" hidden="1" customWidth="1"/>
    <col min="10257" max="10257" width="8.7109375" customWidth="1"/>
    <col min="10258" max="10258" width="17" customWidth="1"/>
    <col min="10260" max="10260" width="18.7109375" customWidth="1"/>
    <col min="10261" max="10265" width="0" hidden="1" customWidth="1"/>
    <col min="10267" max="10267" width="0" hidden="1" customWidth="1"/>
    <col min="10269" max="10269" width="0" hidden="1" customWidth="1"/>
    <col min="10271" max="10271" width="0" hidden="1" customWidth="1"/>
    <col min="10499" max="10499" width="18.85546875" bestFit="1" customWidth="1"/>
    <col min="10502" max="10502" width="7.7109375" customWidth="1"/>
    <col min="10503" max="10503" width="18.28515625" customWidth="1"/>
    <col min="10505" max="10505" width="18.5703125" customWidth="1"/>
    <col min="10506" max="10510" width="0" hidden="1" customWidth="1"/>
    <col min="10513" max="10513" width="8.7109375" customWidth="1"/>
    <col min="10514" max="10514" width="17" customWidth="1"/>
    <col min="10516" max="10516" width="18.7109375" customWidth="1"/>
    <col min="10517" max="10521" width="0" hidden="1" customWidth="1"/>
    <col min="10523" max="10523" width="0" hidden="1" customWidth="1"/>
    <col min="10525" max="10525" width="0" hidden="1" customWidth="1"/>
    <col min="10527" max="10527" width="0" hidden="1" customWidth="1"/>
    <col min="10755" max="10755" width="18.85546875" bestFit="1" customWidth="1"/>
    <col min="10758" max="10758" width="7.7109375" customWidth="1"/>
    <col min="10759" max="10759" width="18.28515625" customWidth="1"/>
    <col min="10761" max="10761" width="18.5703125" customWidth="1"/>
    <col min="10762" max="10766" width="0" hidden="1" customWidth="1"/>
    <col min="10769" max="10769" width="8.7109375" customWidth="1"/>
    <col min="10770" max="10770" width="17" customWidth="1"/>
    <col min="10772" max="10772" width="18.7109375" customWidth="1"/>
    <col min="10773" max="10777" width="0" hidden="1" customWidth="1"/>
    <col min="10779" max="10779" width="0" hidden="1" customWidth="1"/>
    <col min="10781" max="10781" width="0" hidden="1" customWidth="1"/>
    <col min="10783" max="10783" width="0" hidden="1" customWidth="1"/>
    <col min="11011" max="11011" width="18.85546875" bestFit="1" customWidth="1"/>
    <col min="11014" max="11014" width="7.7109375" customWidth="1"/>
    <col min="11015" max="11015" width="18.28515625" customWidth="1"/>
    <col min="11017" max="11017" width="18.5703125" customWidth="1"/>
    <col min="11018" max="11022" width="0" hidden="1" customWidth="1"/>
    <col min="11025" max="11025" width="8.7109375" customWidth="1"/>
    <col min="11026" max="11026" width="17" customWidth="1"/>
    <col min="11028" max="11028" width="18.7109375" customWidth="1"/>
    <col min="11029" max="11033" width="0" hidden="1" customWidth="1"/>
    <col min="11035" max="11035" width="0" hidden="1" customWidth="1"/>
    <col min="11037" max="11037" width="0" hidden="1" customWidth="1"/>
    <col min="11039" max="11039" width="0" hidden="1" customWidth="1"/>
    <col min="11267" max="11267" width="18.85546875" bestFit="1" customWidth="1"/>
    <col min="11270" max="11270" width="7.7109375" customWidth="1"/>
    <col min="11271" max="11271" width="18.28515625" customWidth="1"/>
    <col min="11273" max="11273" width="18.5703125" customWidth="1"/>
    <col min="11274" max="11278" width="0" hidden="1" customWidth="1"/>
    <col min="11281" max="11281" width="8.7109375" customWidth="1"/>
    <col min="11282" max="11282" width="17" customWidth="1"/>
    <col min="11284" max="11284" width="18.7109375" customWidth="1"/>
    <col min="11285" max="11289" width="0" hidden="1" customWidth="1"/>
    <col min="11291" max="11291" width="0" hidden="1" customWidth="1"/>
    <col min="11293" max="11293" width="0" hidden="1" customWidth="1"/>
    <col min="11295" max="11295" width="0" hidden="1" customWidth="1"/>
    <col min="11523" max="11523" width="18.85546875" bestFit="1" customWidth="1"/>
    <col min="11526" max="11526" width="7.7109375" customWidth="1"/>
    <col min="11527" max="11527" width="18.28515625" customWidth="1"/>
    <col min="11529" max="11529" width="18.5703125" customWidth="1"/>
    <col min="11530" max="11534" width="0" hidden="1" customWidth="1"/>
    <col min="11537" max="11537" width="8.7109375" customWidth="1"/>
    <col min="11538" max="11538" width="17" customWidth="1"/>
    <col min="11540" max="11540" width="18.7109375" customWidth="1"/>
    <col min="11541" max="11545" width="0" hidden="1" customWidth="1"/>
    <col min="11547" max="11547" width="0" hidden="1" customWidth="1"/>
    <col min="11549" max="11549" width="0" hidden="1" customWidth="1"/>
    <col min="11551" max="11551" width="0" hidden="1" customWidth="1"/>
    <col min="11779" max="11779" width="18.85546875" bestFit="1" customWidth="1"/>
    <col min="11782" max="11782" width="7.7109375" customWidth="1"/>
    <col min="11783" max="11783" width="18.28515625" customWidth="1"/>
    <col min="11785" max="11785" width="18.5703125" customWidth="1"/>
    <col min="11786" max="11790" width="0" hidden="1" customWidth="1"/>
    <col min="11793" max="11793" width="8.7109375" customWidth="1"/>
    <col min="11794" max="11794" width="17" customWidth="1"/>
    <col min="11796" max="11796" width="18.7109375" customWidth="1"/>
    <col min="11797" max="11801" width="0" hidden="1" customWidth="1"/>
    <col min="11803" max="11803" width="0" hidden="1" customWidth="1"/>
    <col min="11805" max="11805" width="0" hidden="1" customWidth="1"/>
    <col min="11807" max="11807" width="0" hidden="1" customWidth="1"/>
    <col min="12035" max="12035" width="18.85546875" bestFit="1" customWidth="1"/>
    <col min="12038" max="12038" width="7.7109375" customWidth="1"/>
    <col min="12039" max="12039" width="18.28515625" customWidth="1"/>
    <col min="12041" max="12041" width="18.5703125" customWidth="1"/>
    <col min="12042" max="12046" width="0" hidden="1" customWidth="1"/>
    <col min="12049" max="12049" width="8.7109375" customWidth="1"/>
    <col min="12050" max="12050" width="17" customWidth="1"/>
    <col min="12052" max="12052" width="18.7109375" customWidth="1"/>
    <col min="12053" max="12057" width="0" hidden="1" customWidth="1"/>
    <col min="12059" max="12059" width="0" hidden="1" customWidth="1"/>
    <col min="12061" max="12061" width="0" hidden="1" customWidth="1"/>
    <col min="12063" max="12063" width="0" hidden="1" customWidth="1"/>
    <col min="12291" max="12291" width="18.85546875" bestFit="1" customWidth="1"/>
    <col min="12294" max="12294" width="7.7109375" customWidth="1"/>
    <col min="12295" max="12295" width="18.28515625" customWidth="1"/>
    <col min="12297" max="12297" width="18.5703125" customWidth="1"/>
    <col min="12298" max="12302" width="0" hidden="1" customWidth="1"/>
    <col min="12305" max="12305" width="8.7109375" customWidth="1"/>
    <col min="12306" max="12306" width="17" customWidth="1"/>
    <col min="12308" max="12308" width="18.7109375" customWidth="1"/>
    <col min="12309" max="12313" width="0" hidden="1" customWidth="1"/>
    <col min="12315" max="12315" width="0" hidden="1" customWidth="1"/>
    <col min="12317" max="12317" width="0" hidden="1" customWidth="1"/>
    <col min="12319" max="12319" width="0" hidden="1" customWidth="1"/>
    <col min="12547" max="12547" width="18.85546875" bestFit="1" customWidth="1"/>
    <col min="12550" max="12550" width="7.7109375" customWidth="1"/>
    <col min="12551" max="12551" width="18.28515625" customWidth="1"/>
    <col min="12553" max="12553" width="18.5703125" customWidth="1"/>
    <col min="12554" max="12558" width="0" hidden="1" customWidth="1"/>
    <col min="12561" max="12561" width="8.7109375" customWidth="1"/>
    <col min="12562" max="12562" width="17" customWidth="1"/>
    <col min="12564" max="12564" width="18.7109375" customWidth="1"/>
    <col min="12565" max="12569" width="0" hidden="1" customWidth="1"/>
    <col min="12571" max="12571" width="0" hidden="1" customWidth="1"/>
    <col min="12573" max="12573" width="0" hidden="1" customWidth="1"/>
    <col min="12575" max="12575" width="0" hidden="1" customWidth="1"/>
    <col min="12803" max="12803" width="18.85546875" bestFit="1" customWidth="1"/>
    <col min="12806" max="12806" width="7.7109375" customWidth="1"/>
    <col min="12807" max="12807" width="18.28515625" customWidth="1"/>
    <col min="12809" max="12809" width="18.5703125" customWidth="1"/>
    <col min="12810" max="12814" width="0" hidden="1" customWidth="1"/>
    <col min="12817" max="12817" width="8.7109375" customWidth="1"/>
    <col min="12818" max="12818" width="17" customWidth="1"/>
    <col min="12820" max="12820" width="18.7109375" customWidth="1"/>
    <col min="12821" max="12825" width="0" hidden="1" customWidth="1"/>
    <col min="12827" max="12827" width="0" hidden="1" customWidth="1"/>
    <col min="12829" max="12829" width="0" hidden="1" customWidth="1"/>
    <col min="12831" max="12831" width="0" hidden="1" customWidth="1"/>
    <col min="13059" max="13059" width="18.85546875" bestFit="1" customWidth="1"/>
    <col min="13062" max="13062" width="7.7109375" customWidth="1"/>
    <col min="13063" max="13063" width="18.28515625" customWidth="1"/>
    <col min="13065" max="13065" width="18.5703125" customWidth="1"/>
    <col min="13066" max="13070" width="0" hidden="1" customWidth="1"/>
    <col min="13073" max="13073" width="8.7109375" customWidth="1"/>
    <col min="13074" max="13074" width="17" customWidth="1"/>
    <col min="13076" max="13076" width="18.7109375" customWidth="1"/>
    <col min="13077" max="13081" width="0" hidden="1" customWidth="1"/>
    <col min="13083" max="13083" width="0" hidden="1" customWidth="1"/>
    <col min="13085" max="13085" width="0" hidden="1" customWidth="1"/>
    <col min="13087" max="13087" width="0" hidden="1" customWidth="1"/>
    <col min="13315" max="13315" width="18.85546875" bestFit="1" customWidth="1"/>
    <col min="13318" max="13318" width="7.7109375" customWidth="1"/>
    <col min="13319" max="13319" width="18.28515625" customWidth="1"/>
    <col min="13321" max="13321" width="18.5703125" customWidth="1"/>
    <col min="13322" max="13326" width="0" hidden="1" customWidth="1"/>
    <col min="13329" max="13329" width="8.7109375" customWidth="1"/>
    <col min="13330" max="13330" width="17" customWidth="1"/>
    <col min="13332" max="13332" width="18.7109375" customWidth="1"/>
    <col min="13333" max="13337" width="0" hidden="1" customWidth="1"/>
    <col min="13339" max="13339" width="0" hidden="1" customWidth="1"/>
    <col min="13341" max="13341" width="0" hidden="1" customWidth="1"/>
    <col min="13343" max="13343" width="0" hidden="1" customWidth="1"/>
    <col min="13571" max="13571" width="18.85546875" bestFit="1" customWidth="1"/>
    <col min="13574" max="13574" width="7.7109375" customWidth="1"/>
    <col min="13575" max="13575" width="18.28515625" customWidth="1"/>
    <col min="13577" max="13577" width="18.5703125" customWidth="1"/>
    <col min="13578" max="13582" width="0" hidden="1" customWidth="1"/>
    <col min="13585" max="13585" width="8.7109375" customWidth="1"/>
    <col min="13586" max="13586" width="17" customWidth="1"/>
    <col min="13588" max="13588" width="18.7109375" customWidth="1"/>
    <col min="13589" max="13593" width="0" hidden="1" customWidth="1"/>
    <col min="13595" max="13595" width="0" hidden="1" customWidth="1"/>
    <col min="13597" max="13597" width="0" hidden="1" customWidth="1"/>
    <col min="13599" max="13599" width="0" hidden="1" customWidth="1"/>
    <col min="13827" max="13827" width="18.85546875" bestFit="1" customWidth="1"/>
    <col min="13830" max="13830" width="7.7109375" customWidth="1"/>
    <col min="13831" max="13831" width="18.28515625" customWidth="1"/>
    <col min="13833" max="13833" width="18.5703125" customWidth="1"/>
    <col min="13834" max="13838" width="0" hidden="1" customWidth="1"/>
    <col min="13841" max="13841" width="8.7109375" customWidth="1"/>
    <col min="13842" max="13842" width="17" customWidth="1"/>
    <col min="13844" max="13844" width="18.7109375" customWidth="1"/>
    <col min="13845" max="13849" width="0" hidden="1" customWidth="1"/>
    <col min="13851" max="13851" width="0" hidden="1" customWidth="1"/>
    <col min="13853" max="13853" width="0" hidden="1" customWidth="1"/>
    <col min="13855" max="13855" width="0" hidden="1" customWidth="1"/>
    <col min="14083" max="14083" width="18.85546875" bestFit="1" customWidth="1"/>
    <col min="14086" max="14086" width="7.7109375" customWidth="1"/>
    <col min="14087" max="14087" width="18.28515625" customWidth="1"/>
    <col min="14089" max="14089" width="18.5703125" customWidth="1"/>
    <col min="14090" max="14094" width="0" hidden="1" customWidth="1"/>
    <col min="14097" max="14097" width="8.7109375" customWidth="1"/>
    <col min="14098" max="14098" width="17" customWidth="1"/>
    <col min="14100" max="14100" width="18.7109375" customWidth="1"/>
    <col min="14101" max="14105" width="0" hidden="1" customWidth="1"/>
    <col min="14107" max="14107" width="0" hidden="1" customWidth="1"/>
    <col min="14109" max="14109" width="0" hidden="1" customWidth="1"/>
    <col min="14111" max="14111" width="0" hidden="1" customWidth="1"/>
    <col min="14339" max="14339" width="18.85546875" bestFit="1" customWidth="1"/>
    <col min="14342" max="14342" width="7.7109375" customWidth="1"/>
    <col min="14343" max="14343" width="18.28515625" customWidth="1"/>
    <col min="14345" max="14345" width="18.5703125" customWidth="1"/>
    <col min="14346" max="14350" width="0" hidden="1" customWidth="1"/>
    <col min="14353" max="14353" width="8.7109375" customWidth="1"/>
    <col min="14354" max="14354" width="17" customWidth="1"/>
    <col min="14356" max="14356" width="18.7109375" customWidth="1"/>
    <col min="14357" max="14361" width="0" hidden="1" customWidth="1"/>
    <col min="14363" max="14363" width="0" hidden="1" customWidth="1"/>
    <col min="14365" max="14365" width="0" hidden="1" customWidth="1"/>
    <col min="14367" max="14367" width="0" hidden="1" customWidth="1"/>
    <col min="14595" max="14595" width="18.85546875" bestFit="1" customWidth="1"/>
    <col min="14598" max="14598" width="7.7109375" customWidth="1"/>
    <col min="14599" max="14599" width="18.28515625" customWidth="1"/>
    <col min="14601" max="14601" width="18.5703125" customWidth="1"/>
    <col min="14602" max="14606" width="0" hidden="1" customWidth="1"/>
    <col min="14609" max="14609" width="8.7109375" customWidth="1"/>
    <col min="14610" max="14610" width="17" customWidth="1"/>
    <col min="14612" max="14612" width="18.7109375" customWidth="1"/>
    <col min="14613" max="14617" width="0" hidden="1" customWidth="1"/>
    <col min="14619" max="14619" width="0" hidden="1" customWidth="1"/>
    <col min="14621" max="14621" width="0" hidden="1" customWidth="1"/>
    <col min="14623" max="14623" width="0" hidden="1" customWidth="1"/>
    <col min="14851" max="14851" width="18.85546875" bestFit="1" customWidth="1"/>
    <col min="14854" max="14854" width="7.7109375" customWidth="1"/>
    <col min="14855" max="14855" width="18.28515625" customWidth="1"/>
    <col min="14857" max="14857" width="18.5703125" customWidth="1"/>
    <col min="14858" max="14862" width="0" hidden="1" customWidth="1"/>
    <col min="14865" max="14865" width="8.7109375" customWidth="1"/>
    <col min="14866" max="14866" width="17" customWidth="1"/>
    <col min="14868" max="14868" width="18.7109375" customWidth="1"/>
    <col min="14869" max="14873" width="0" hidden="1" customWidth="1"/>
    <col min="14875" max="14875" width="0" hidden="1" customWidth="1"/>
    <col min="14877" max="14877" width="0" hidden="1" customWidth="1"/>
    <col min="14879" max="14879" width="0" hidden="1" customWidth="1"/>
    <col min="15107" max="15107" width="18.85546875" bestFit="1" customWidth="1"/>
    <col min="15110" max="15110" width="7.7109375" customWidth="1"/>
    <col min="15111" max="15111" width="18.28515625" customWidth="1"/>
    <col min="15113" max="15113" width="18.5703125" customWidth="1"/>
    <col min="15114" max="15118" width="0" hidden="1" customWidth="1"/>
    <col min="15121" max="15121" width="8.7109375" customWidth="1"/>
    <col min="15122" max="15122" width="17" customWidth="1"/>
    <col min="15124" max="15124" width="18.7109375" customWidth="1"/>
    <col min="15125" max="15129" width="0" hidden="1" customWidth="1"/>
    <col min="15131" max="15131" width="0" hidden="1" customWidth="1"/>
    <col min="15133" max="15133" width="0" hidden="1" customWidth="1"/>
    <col min="15135" max="15135" width="0" hidden="1" customWidth="1"/>
    <col min="15363" max="15363" width="18.85546875" bestFit="1" customWidth="1"/>
    <col min="15366" max="15366" width="7.7109375" customWidth="1"/>
    <col min="15367" max="15367" width="18.28515625" customWidth="1"/>
    <col min="15369" max="15369" width="18.5703125" customWidth="1"/>
    <col min="15370" max="15374" width="0" hidden="1" customWidth="1"/>
    <col min="15377" max="15377" width="8.7109375" customWidth="1"/>
    <col min="15378" max="15378" width="17" customWidth="1"/>
    <col min="15380" max="15380" width="18.7109375" customWidth="1"/>
    <col min="15381" max="15385" width="0" hidden="1" customWidth="1"/>
    <col min="15387" max="15387" width="0" hidden="1" customWidth="1"/>
    <col min="15389" max="15389" width="0" hidden="1" customWidth="1"/>
    <col min="15391" max="15391" width="0" hidden="1" customWidth="1"/>
    <col min="15619" max="15619" width="18.85546875" bestFit="1" customWidth="1"/>
    <col min="15622" max="15622" width="7.7109375" customWidth="1"/>
    <col min="15623" max="15623" width="18.28515625" customWidth="1"/>
    <col min="15625" max="15625" width="18.5703125" customWidth="1"/>
    <col min="15626" max="15630" width="0" hidden="1" customWidth="1"/>
    <col min="15633" max="15633" width="8.7109375" customWidth="1"/>
    <col min="15634" max="15634" width="17" customWidth="1"/>
    <col min="15636" max="15636" width="18.7109375" customWidth="1"/>
    <col min="15637" max="15641" width="0" hidden="1" customWidth="1"/>
    <col min="15643" max="15643" width="0" hidden="1" customWidth="1"/>
    <col min="15645" max="15645" width="0" hidden="1" customWidth="1"/>
    <col min="15647" max="15647" width="0" hidden="1" customWidth="1"/>
    <col min="15875" max="15875" width="18.85546875" bestFit="1" customWidth="1"/>
    <col min="15878" max="15878" width="7.7109375" customWidth="1"/>
    <col min="15879" max="15879" width="18.28515625" customWidth="1"/>
    <col min="15881" max="15881" width="18.5703125" customWidth="1"/>
    <col min="15882" max="15886" width="0" hidden="1" customWidth="1"/>
    <col min="15889" max="15889" width="8.7109375" customWidth="1"/>
    <col min="15890" max="15890" width="17" customWidth="1"/>
    <col min="15892" max="15892" width="18.7109375" customWidth="1"/>
    <col min="15893" max="15897" width="0" hidden="1" customWidth="1"/>
    <col min="15899" max="15899" width="0" hidden="1" customWidth="1"/>
    <col min="15901" max="15901" width="0" hidden="1" customWidth="1"/>
    <col min="15903" max="15903" width="0" hidden="1" customWidth="1"/>
    <col min="16131" max="16131" width="18.85546875" bestFit="1" customWidth="1"/>
    <col min="16134" max="16134" width="7.7109375" customWidth="1"/>
    <col min="16135" max="16135" width="18.28515625" customWidth="1"/>
    <col min="16137" max="16137" width="18.5703125" customWidth="1"/>
    <col min="16138" max="16142" width="0" hidden="1" customWidth="1"/>
    <col min="16145" max="16145" width="8.7109375" customWidth="1"/>
    <col min="16146" max="16146" width="17" customWidth="1"/>
    <col min="16148" max="16148" width="18.7109375" customWidth="1"/>
    <col min="16149" max="16153" width="0" hidden="1" customWidth="1"/>
    <col min="16155" max="16155" width="0" hidden="1" customWidth="1"/>
    <col min="16157" max="16157" width="0" hidden="1" customWidth="1"/>
    <col min="16159" max="16159" width="0" hidden="1" customWidth="1"/>
  </cols>
  <sheetData>
    <row r="1" spans="1:35" s="12" customFormat="1" ht="63.75" customHeight="1" thickBot="1" x14ac:dyDescent="0.25">
      <c r="A1" s="1" t="s">
        <v>0</v>
      </c>
      <c r="B1" s="14" t="s">
        <v>11</v>
      </c>
      <c r="C1" s="108" t="s">
        <v>10</v>
      </c>
      <c r="D1" s="106" t="s">
        <v>13</v>
      </c>
      <c r="E1" s="107" t="s">
        <v>15</v>
      </c>
      <c r="F1" s="107" t="s">
        <v>17</v>
      </c>
      <c r="G1" s="114" t="s">
        <v>78</v>
      </c>
      <c r="H1" s="115" t="s">
        <v>81</v>
      </c>
      <c r="I1" s="108" t="s">
        <v>12</v>
      </c>
      <c r="J1" s="106" t="s">
        <v>157</v>
      </c>
      <c r="K1" s="116" t="s">
        <v>163</v>
      </c>
      <c r="L1" s="114" t="s">
        <v>79</v>
      </c>
      <c r="M1" s="115" t="s">
        <v>80</v>
      </c>
      <c r="N1" s="9" t="s">
        <v>158</v>
      </c>
      <c r="O1" s="9" t="s">
        <v>155</v>
      </c>
      <c r="P1" s="107" t="s">
        <v>156</v>
      </c>
      <c r="Q1" s="116" t="s">
        <v>164</v>
      </c>
      <c r="R1" s="114" t="s">
        <v>83</v>
      </c>
      <c r="S1" s="121" t="s">
        <v>84</v>
      </c>
      <c r="T1" s="124" t="s">
        <v>159</v>
      </c>
      <c r="U1" s="125" t="s">
        <v>160</v>
      </c>
      <c r="V1" s="126" t="s">
        <v>99</v>
      </c>
      <c r="W1" s="122" t="s">
        <v>161</v>
      </c>
      <c r="X1" s="119" t="s">
        <v>162</v>
      </c>
      <c r="Y1" s="77" t="s">
        <v>1</v>
      </c>
      <c r="Z1" s="78" t="s">
        <v>2</v>
      </c>
      <c r="AA1" s="77" t="s">
        <v>3</v>
      </c>
      <c r="AB1" s="78" t="s">
        <v>4</v>
      </c>
      <c r="AC1" s="77" t="s">
        <v>5</v>
      </c>
      <c r="AD1" s="78" t="s">
        <v>6</v>
      </c>
      <c r="AE1" s="79" t="s">
        <v>9</v>
      </c>
      <c r="AF1" s="80" t="s">
        <v>7</v>
      </c>
      <c r="AG1" s="80" t="s">
        <v>8</v>
      </c>
      <c r="AH1" s="81" t="s">
        <v>19</v>
      </c>
      <c r="AI1" s="70" t="s">
        <v>154</v>
      </c>
    </row>
    <row r="2" spans="1:35" ht="12.75" hidden="1" customHeight="1" x14ac:dyDescent="0.2">
      <c r="A2" s="11">
        <v>45717</v>
      </c>
      <c r="B2" s="15"/>
      <c r="C2" s="112"/>
      <c r="D2" s="113"/>
      <c r="E2" s="112"/>
      <c r="F2" s="113"/>
      <c r="G2" s="110">
        <f t="shared" ref="G2:G65" si="0">C2-D2</f>
        <v>0</v>
      </c>
      <c r="H2" s="111">
        <f t="shared" ref="H2:H65" si="1">E2-F2</f>
        <v>0</v>
      </c>
      <c r="I2" s="112"/>
      <c r="J2" s="113"/>
      <c r="K2" s="66" t="e">
        <f t="shared" ref="K2:K33" si="2">J2/I2</f>
        <v>#DIV/0!</v>
      </c>
      <c r="L2" s="71" t="e">
        <f t="shared" ref="L2:L62" si="3">1/(1-K2)</f>
        <v>#DIV/0!</v>
      </c>
      <c r="M2" s="72" t="e">
        <f t="shared" ref="M2:M33" si="4">(I3-I2)/I3</f>
        <v>#DIV/0!</v>
      </c>
      <c r="N2" s="110"/>
      <c r="O2" s="110"/>
      <c r="P2" s="105"/>
      <c r="Q2" s="66" t="e">
        <f t="shared" ref="Q2:Q65" si="5">O2/N2</f>
        <v>#DIV/0!</v>
      </c>
      <c r="R2" s="71" t="e">
        <f t="shared" ref="R2:R65" si="6">1/(1-Q2)</f>
        <v>#DIV/0!</v>
      </c>
      <c r="S2" s="104" t="e">
        <f t="shared" ref="S2:S33" si="7">(N3-N2)/N3</f>
        <v>#DIV/0!</v>
      </c>
      <c r="T2" s="48"/>
      <c r="U2" s="117"/>
      <c r="V2" s="127"/>
      <c r="W2" s="123"/>
      <c r="X2" s="109"/>
      <c r="Y2" s="48"/>
      <c r="Z2" s="73"/>
      <c r="AA2" s="48"/>
      <c r="AB2" s="73"/>
      <c r="AC2" s="48"/>
      <c r="AD2" s="74"/>
      <c r="AE2" s="48"/>
      <c r="AF2" s="7"/>
      <c r="AG2" s="7"/>
      <c r="AH2" s="8" t="s">
        <v>21</v>
      </c>
      <c r="AI2" s="8"/>
    </row>
    <row r="3" spans="1:35" ht="12.75" hidden="1" customHeight="1" x14ac:dyDescent="0.2">
      <c r="A3" s="11">
        <v>45718</v>
      </c>
      <c r="B3" s="15"/>
      <c r="C3" s="48"/>
      <c r="D3" s="109"/>
      <c r="E3" s="48"/>
      <c r="F3" s="109"/>
      <c r="G3" s="110">
        <f t="shared" si="0"/>
        <v>0</v>
      </c>
      <c r="H3" s="111">
        <f t="shared" si="1"/>
        <v>0</v>
      </c>
      <c r="I3" s="48"/>
      <c r="J3" s="109"/>
      <c r="K3" s="66" t="e">
        <f t="shared" si="2"/>
        <v>#DIV/0!</v>
      </c>
      <c r="L3" s="71" t="e">
        <f t="shared" si="3"/>
        <v>#DIV/0!</v>
      </c>
      <c r="M3" s="72">
        <f t="shared" si="4"/>
        <v>1</v>
      </c>
      <c r="N3" s="110"/>
      <c r="O3" s="110"/>
      <c r="P3" s="105"/>
      <c r="Q3" s="66" t="e">
        <f t="shared" si="5"/>
        <v>#DIV/0!</v>
      </c>
      <c r="R3" s="71" t="e">
        <f t="shared" si="6"/>
        <v>#DIV/0!</v>
      </c>
      <c r="S3" s="104" t="e">
        <f t="shared" si="7"/>
        <v>#DIV/0!</v>
      </c>
      <c r="T3" s="48"/>
      <c r="U3" s="117"/>
      <c r="V3" s="127"/>
      <c r="W3" s="123"/>
      <c r="X3" s="109"/>
      <c r="Y3" s="48"/>
      <c r="Z3" s="73"/>
      <c r="AA3" s="48"/>
      <c r="AB3" s="73"/>
      <c r="AC3" s="48"/>
      <c r="AD3" s="74"/>
      <c r="AE3" s="48"/>
      <c r="AF3" s="7"/>
      <c r="AG3" s="7"/>
      <c r="AH3" s="8"/>
      <c r="AI3" s="8"/>
    </row>
    <row r="4" spans="1:35" ht="12.75" hidden="1" customHeight="1" x14ac:dyDescent="0.2">
      <c r="A4" s="11">
        <v>45719</v>
      </c>
      <c r="B4" s="15">
        <v>0.66666666666666663</v>
      </c>
      <c r="C4" s="48">
        <v>17.367000000000001</v>
      </c>
      <c r="D4" s="109">
        <v>15.9</v>
      </c>
      <c r="E4" s="48">
        <v>22.408000000000001</v>
      </c>
      <c r="F4" s="109">
        <v>20.9</v>
      </c>
      <c r="G4" s="110">
        <f t="shared" si="0"/>
        <v>1.4670000000000005</v>
      </c>
      <c r="H4" s="111">
        <f t="shared" si="1"/>
        <v>1.5080000000000027</v>
      </c>
      <c r="I4" s="48">
        <v>60.558</v>
      </c>
      <c r="J4" s="109">
        <v>30.9</v>
      </c>
      <c r="K4" s="66">
        <f t="shared" si="2"/>
        <v>0.51025463192311504</v>
      </c>
      <c r="L4" s="71">
        <f t="shared" si="3"/>
        <v>2.0418774023872142</v>
      </c>
      <c r="M4" s="72">
        <f t="shared" si="4"/>
        <v>-1.4168006430868109E-2</v>
      </c>
      <c r="N4" s="110"/>
      <c r="O4" s="110">
        <v>15.9</v>
      </c>
      <c r="P4" s="105"/>
      <c r="Q4" s="66" t="e">
        <f t="shared" si="5"/>
        <v>#DIV/0!</v>
      </c>
      <c r="R4" s="71" t="e">
        <f t="shared" si="6"/>
        <v>#DIV/0!</v>
      </c>
      <c r="S4" s="104" t="e">
        <f t="shared" si="7"/>
        <v>#DIV/0!</v>
      </c>
      <c r="T4" s="48"/>
      <c r="U4" s="117"/>
      <c r="V4" s="127"/>
      <c r="W4" s="123"/>
      <c r="X4" s="109"/>
      <c r="Y4" s="48"/>
      <c r="Z4" s="73"/>
      <c r="AA4" s="48"/>
      <c r="AB4" s="73"/>
      <c r="AC4" s="48"/>
      <c r="AD4" s="74"/>
      <c r="AE4" s="48"/>
      <c r="AF4" s="7"/>
      <c r="AG4" s="7"/>
      <c r="AH4" s="8"/>
      <c r="AI4" s="8"/>
    </row>
    <row r="5" spans="1:35" ht="12.75" hidden="1" customHeight="1" x14ac:dyDescent="0.2">
      <c r="A5" s="11">
        <v>45720</v>
      </c>
      <c r="B5" s="15">
        <v>0.47847222222222224</v>
      </c>
      <c r="C5" s="48">
        <v>17.376999999999999</v>
      </c>
      <c r="D5" s="109">
        <v>15.2</v>
      </c>
      <c r="E5" s="48">
        <v>22.48</v>
      </c>
      <c r="F5" s="109">
        <v>22</v>
      </c>
      <c r="G5" s="110">
        <f t="shared" si="0"/>
        <v>2.1769999999999996</v>
      </c>
      <c r="H5" s="111">
        <f t="shared" si="1"/>
        <v>0.48000000000000043</v>
      </c>
      <c r="I5" s="48">
        <v>59.712000000000003</v>
      </c>
      <c r="J5" s="109">
        <v>31</v>
      </c>
      <c r="K5" s="66">
        <f t="shared" si="2"/>
        <v>0.51915862808145763</v>
      </c>
      <c r="L5" s="71">
        <f t="shared" si="3"/>
        <v>2.0796879353580384</v>
      </c>
      <c r="M5" s="72">
        <f t="shared" si="4"/>
        <v>-5.9399616776666067E-2</v>
      </c>
      <c r="N5" s="110"/>
      <c r="O5" s="110">
        <v>11.9</v>
      </c>
      <c r="P5" s="105"/>
      <c r="Q5" s="66" t="e">
        <f t="shared" si="5"/>
        <v>#DIV/0!</v>
      </c>
      <c r="R5" s="71" t="e">
        <f t="shared" si="6"/>
        <v>#DIV/0!</v>
      </c>
      <c r="S5" s="104" t="e">
        <f t="shared" si="7"/>
        <v>#DIV/0!</v>
      </c>
      <c r="T5" s="48"/>
      <c r="U5" s="117"/>
      <c r="V5" s="127"/>
      <c r="W5" s="123"/>
      <c r="X5" s="109"/>
      <c r="Y5" s="48">
        <v>4.7</v>
      </c>
      <c r="Z5" s="73"/>
      <c r="AA5" s="48">
        <v>0</v>
      </c>
      <c r="AB5" s="73"/>
      <c r="AC5" s="48">
        <v>4.7</v>
      </c>
      <c r="AD5" s="74"/>
      <c r="AE5" s="48">
        <v>0</v>
      </c>
      <c r="AF5" s="7">
        <v>3.3</v>
      </c>
      <c r="AG5" s="7">
        <v>0</v>
      </c>
      <c r="AH5" s="8"/>
      <c r="AI5" s="8"/>
    </row>
    <row r="6" spans="1:35" ht="12.75" hidden="1" customHeight="1" x14ac:dyDescent="0.2">
      <c r="A6" s="11">
        <v>45721</v>
      </c>
      <c r="B6" s="15">
        <v>0.46527777777777779</v>
      </c>
      <c r="C6" s="48">
        <v>18.030999999999999</v>
      </c>
      <c r="D6" s="109">
        <v>15.2</v>
      </c>
      <c r="E6" s="48">
        <v>23.241</v>
      </c>
      <c r="F6" s="109">
        <v>24</v>
      </c>
      <c r="G6" s="110">
        <f t="shared" si="0"/>
        <v>2.8309999999999995</v>
      </c>
      <c r="H6" s="111">
        <f t="shared" si="1"/>
        <v>-0.75900000000000034</v>
      </c>
      <c r="I6" s="48">
        <v>56.363999999999997</v>
      </c>
      <c r="J6" s="109">
        <v>30</v>
      </c>
      <c r="K6" s="66">
        <f t="shared" si="2"/>
        <v>0.53225463061528633</v>
      </c>
      <c r="L6" s="71">
        <f t="shared" si="3"/>
        <v>2.1379153390987709</v>
      </c>
      <c r="M6" s="72">
        <f t="shared" si="4"/>
        <v>2.7267706751346221E-2</v>
      </c>
      <c r="N6" s="110"/>
      <c r="O6" s="110">
        <v>9.1</v>
      </c>
      <c r="P6" s="105"/>
      <c r="Q6" s="66" t="e">
        <f t="shared" si="5"/>
        <v>#DIV/0!</v>
      </c>
      <c r="R6" s="71" t="e">
        <f t="shared" si="6"/>
        <v>#DIV/0!</v>
      </c>
      <c r="S6" s="104" t="e">
        <f t="shared" si="7"/>
        <v>#DIV/0!</v>
      </c>
      <c r="T6" s="48"/>
      <c r="U6" s="117"/>
      <c r="V6" s="127"/>
      <c r="W6" s="123"/>
      <c r="X6" s="109"/>
      <c r="Y6" s="48">
        <v>5</v>
      </c>
      <c r="Z6" s="73"/>
      <c r="AA6" s="48">
        <v>0</v>
      </c>
      <c r="AB6" s="73"/>
      <c r="AC6" s="48">
        <v>5</v>
      </c>
      <c r="AD6" s="74"/>
      <c r="AE6" s="48">
        <v>0</v>
      </c>
      <c r="AF6" s="7">
        <v>3.9</v>
      </c>
      <c r="AG6" s="7">
        <v>0</v>
      </c>
      <c r="AH6" s="8"/>
      <c r="AI6" s="8"/>
    </row>
    <row r="7" spans="1:35" ht="12.75" hidden="1" customHeight="1" x14ac:dyDescent="0.2">
      <c r="A7" s="11">
        <v>45722</v>
      </c>
      <c r="B7" s="15">
        <v>0.47499999999999998</v>
      </c>
      <c r="C7" s="48">
        <v>17.768999999999998</v>
      </c>
      <c r="D7" s="109">
        <v>15.3</v>
      </c>
      <c r="E7" s="48">
        <v>22.928999999999998</v>
      </c>
      <c r="F7" s="109">
        <v>23</v>
      </c>
      <c r="G7" s="110">
        <f t="shared" si="0"/>
        <v>2.4689999999999976</v>
      </c>
      <c r="H7" s="111">
        <f t="shared" si="1"/>
        <v>-7.1000000000001506E-2</v>
      </c>
      <c r="I7" s="48">
        <v>57.944000000000003</v>
      </c>
      <c r="J7" s="109">
        <v>29.9</v>
      </c>
      <c r="K7" s="66">
        <f t="shared" si="2"/>
        <v>0.5160154632058539</v>
      </c>
      <c r="L7" s="71">
        <f t="shared" si="3"/>
        <v>2.0661817144487231</v>
      </c>
      <c r="M7" s="72">
        <f t="shared" si="4"/>
        <v>7.6339406691852685E-2</v>
      </c>
      <c r="N7" s="110"/>
      <c r="O7" s="110">
        <v>8.9</v>
      </c>
      <c r="P7" s="105"/>
      <c r="Q7" s="66" t="e">
        <f t="shared" si="5"/>
        <v>#DIV/0!</v>
      </c>
      <c r="R7" s="71" t="e">
        <f t="shared" si="6"/>
        <v>#DIV/0!</v>
      </c>
      <c r="S7" s="104" t="e">
        <f t="shared" si="7"/>
        <v>#DIV/0!</v>
      </c>
      <c r="T7" s="48"/>
      <c r="U7" s="117"/>
      <c r="V7" s="127"/>
      <c r="W7" s="123"/>
      <c r="X7" s="109"/>
      <c r="Y7" s="48">
        <v>5</v>
      </c>
      <c r="Z7" s="73"/>
      <c r="AA7" s="48">
        <v>0</v>
      </c>
      <c r="AB7" s="73"/>
      <c r="AC7" s="48">
        <v>5</v>
      </c>
      <c r="AD7" s="74"/>
      <c r="AE7" s="48">
        <v>0</v>
      </c>
      <c r="AF7" s="7">
        <v>3.3</v>
      </c>
      <c r="AG7" s="7">
        <v>0</v>
      </c>
      <c r="AH7" s="8"/>
      <c r="AI7" s="8"/>
    </row>
    <row r="8" spans="1:35" ht="12.75" hidden="1" customHeight="1" x14ac:dyDescent="0.2">
      <c r="A8" s="11">
        <v>45723</v>
      </c>
      <c r="B8" s="15">
        <v>0.57499999999999996</v>
      </c>
      <c r="C8" s="48">
        <v>16.562000000000001</v>
      </c>
      <c r="D8" s="109">
        <v>15.1</v>
      </c>
      <c r="E8" s="48">
        <v>21.324000000000002</v>
      </c>
      <c r="F8" s="109">
        <v>20.100000000000001</v>
      </c>
      <c r="G8" s="110">
        <f t="shared" si="0"/>
        <v>1.4620000000000015</v>
      </c>
      <c r="H8" s="111">
        <f t="shared" si="1"/>
        <v>1.2240000000000002</v>
      </c>
      <c r="I8" s="48">
        <v>62.732999999999997</v>
      </c>
      <c r="J8" s="109">
        <v>23</v>
      </c>
      <c r="K8" s="66">
        <f t="shared" si="2"/>
        <v>0.36663319146222884</v>
      </c>
      <c r="L8" s="71">
        <f t="shared" si="3"/>
        <v>1.578863916643596</v>
      </c>
      <c r="M8" s="72" t="e">
        <f t="shared" si="4"/>
        <v>#DIV/0!</v>
      </c>
      <c r="N8" s="110"/>
      <c r="O8" s="110">
        <v>8.1999999999999993</v>
      </c>
      <c r="P8" s="105"/>
      <c r="Q8" s="66" t="e">
        <f t="shared" si="5"/>
        <v>#DIV/0!</v>
      </c>
      <c r="R8" s="71" t="e">
        <f t="shared" si="6"/>
        <v>#DIV/0!</v>
      </c>
      <c r="S8" s="104" t="e">
        <f t="shared" si="7"/>
        <v>#DIV/0!</v>
      </c>
      <c r="T8" s="48"/>
      <c r="U8" s="117"/>
      <c r="V8" s="127"/>
      <c r="W8" s="123"/>
      <c r="X8" s="109"/>
      <c r="Y8" s="48">
        <v>0</v>
      </c>
      <c r="Z8" s="73"/>
      <c r="AA8" s="48">
        <v>0</v>
      </c>
      <c r="AB8" s="73"/>
      <c r="AC8" s="48">
        <v>0</v>
      </c>
      <c r="AD8" s="74"/>
      <c r="AE8" s="48">
        <v>0</v>
      </c>
      <c r="AF8" s="7">
        <v>0</v>
      </c>
      <c r="AG8" s="7">
        <v>0</v>
      </c>
      <c r="AH8" s="8"/>
      <c r="AI8" s="8"/>
    </row>
    <row r="9" spans="1:35" ht="12.75" hidden="1" customHeight="1" x14ac:dyDescent="0.2">
      <c r="A9" s="11">
        <v>45724</v>
      </c>
      <c r="B9" s="15"/>
      <c r="C9" s="48"/>
      <c r="D9" s="109"/>
      <c r="E9" s="48"/>
      <c r="F9" s="109"/>
      <c r="G9" s="110">
        <f t="shared" si="0"/>
        <v>0</v>
      </c>
      <c r="H9" s="111">
        <f t="shared" si="1"/>
        <v>0</v>
      </c>
      <c r="I9" s="48"/>
      <c r="J9" s="109"/>
      <c r="K9" s="66" t="e">
        <f t="shared" si="2"/>
        <v>#DIV/0!</v>
      </c>
      <c r="L9" s="71" t="e">
        <f t="shared" si="3"/>
        <v>#DIV/0!</v>
      </c>
      <c r="M9" s="72" t="e">
        <f t="shared" si="4"/>
        <v>#DIV/0!</v>
      </c>
      <c r="N9" s="110"/>
      <c r="O9" s="110"/>
      <c r="P9" s="105"/>
      <c r="Q9" s="66" t="e">
        <f t="shared" si="5"/>
        <v>#DIV/0!</v>
      </c>
      <c r="R9" s="71" t="e">
        <f t="shared" si="6"/>
        <v>#DIV/0!</v>
      </c>
      <c r="S9" s="104" t="e">
        <f t="shared" si="7"/>
        <v>#DIV/0!</v>
      </c>
      <c r="T9" s="48"/>
      <c r="U9" s="117"/>
      <c r="V9" s="127"/>
      <c r="W9" s="123"/>
      <c r="X9" s="109"/>
      <c r="Y9" s="48"/>
      <c r="Z9" s="73"/>
      <c r="AA9" s="48"/>
      <c r="AB9" s="73"/>
      <c r="AC9" s="48"/>
      <c r="AD9" s="74"/>
      <c r="AE9" s="48"/>
      <c r="AF9" s="7"/>
      <c r="AG9" s="7"/>
      <c r="AH9" s="8"/>
      <c r="AI9" s="8"/>
    </row>
    <row r="10" spans="1:35" ht="12.75" hidden="1" customHeight="1" x14ac:dyDescent="0.2">
      <c r="A10" s="11">
        <v>45725</v>
      </c>
      <c r="B10" s="15"/>
      <c r="C10" s="48"/>
      <c r="D10" s="109"/>
      <c r="E10" s="48"/>
      <c r="F10" s="109"/>
      <c r="G10" s="110">
        <f t="shared" si="0"/>
        <v>0</v>
      </c>
      <c r="H10" s="111">
        <f t="shared" si="1"/>
        <v>0</v>
      </c>
      <c r="I10" s="48"/>
      <c r="J10" s="109"/>
      <c r="K10" s="66" t="e">
        <f t="shared" si="2"/>
        <v>#DIV/0!</v>
      </c>
      <c r="L10" s="71" t="e">
        <f t="shared" si="3"/>
        <v>#DIV/0!</v>
      </c>
      <c r="M10" s="72">
        <f t="shared" si="4"/>
        <v>1</v>
      </c>
      <c r="N10" s="110"/>
      <c r="O10" s="110"/>
      <c r="P10" s="105"/>
      <c r="Q10" s="66" t="e">
        <f t="shared" si="5"/>
        <v>#DIV/0!</v>
      </c>
      <c r="R10" s="71" t="e">
        <f t="shared" si="6"/>
        <v>#DIV/0!</v>
      </c>
      <c r="S10" s="104" t="e">
        <f t="shared" si="7"/>
        <v>#DIV/0!</v>
      </c>
      <c r="T10" s="48"/>
      <c r="U10" s="117"/>
      <c r="V10" s="127"/>
      <c r="W10" s="123"/>
      <c r="X10" s="109"/>
      <c r="Y10" s="48"/>
      <c r="Z10" s="73"/>
      <c r="AA10" s="48"/>
      <c r="AB10" s="73"/>
      <c r="AC10" s="48"/>
      <c r="AD10" s="74"/>
      <c r="AE10" s="48"/>
      <c r="AF10" s="7"/>
      <c r="AG10" s="7"/>
      <c r="AH10" s="8"/>
      <c r="AI10" s="8"/>
    </row>
    <row r="11" spans="1:35" ht="12.75" hidden="1" customHeight="1" x14ac:dyDescent="0.2">
      <c r="A11" s="11">
        <v>45726</v>
      </c>
      <c r="B11" s="15">
        <v>0.47986111111111113</v>
      </c>
      <c r="C11" s="48">
        <v>17.131</v>
      </c>
      <c r="D11" s="109">
        <v>15.2</v>
      </c>
      <c r="E11" s="48">
        <v>22.094999999999999</v>
      </c>
      <c r="F11" s="109">
        <v>20.2</v>
      </c>
      <c r="G11" s="110">
        <f t="shared" si="0"/>
        <v>1.9310000000000009</v>
      </c>
      <c r="H11" s="111">
        <f t="shared" si="1"/>
        <v>1.8949999999999996</v>
      </c>
      <c r="I11" s="48">
        <v>60.496000000000002</v>
      </c>
      <c r="J11" s="109">
        <v>28</v>
      </c>
      <c r="K11" s="66">
        <f t="shared" si="2"/>
        <v>0.46284051838138057</v>
      </c>
      <c r="L11" s="71">
        <f t="shared" si="3"/>
        <v>1.8616445100935501</v>
      </c>
      <c r="M11" s="72">
        <f t="shared" si="4"/>
        <v>-3.2073154087621174E-2</v>
      </c>
      <c r="N11" s="110"/>
      <c r="O11" s="110">
        <v>12.5</v>
      </c>
      <c r="P11" s="105"/>
      <c r="Q11" s="66" t="e">
        <f t="shared" si="5"/>
        <v>#DIV/0!</v>
      </c>
      <c r="R11" s="71" t="e">
        <f t="shared" si="6"/>
        <v>#DIV/0!</v>
      </c>
      <c r="S11" s="104" t="e">
        <f t="shared" si="7"/>
        <v>#DIV/0!</v>
      </c>
      <c r="T11" s="48"/>
      <c r="U11" s="117"/>
      <c r="V11" s="127"/>
      <c r="W11" s="123"/>
      <c r="X11" s="109"/>
      <c r="Y11" s="48">
        <v>4.4000000000000004</v>
      </c>
      <c r="Z11" s="73"/>
      <c r="AA11" s="48">
        <v>0</v>
      </c>
      <c r="AB11" s="73"/>
      <c r="AC11" s="48">
        <v>5</v>
      </c>
      <c r="AD11" s="74"/>
      <c r="AE11" s="48">
        <v>0</v>
      </c>
      <c r="AF11" s="7">
        <v>3.2</v>
      </c>
      <c r="AG11" s="7">
        <v>0</v>
      </c>
      <c r="AH11" s="8"/>
      <c r="AI11" s="8"/>
    </row>
    <row r="12" spans="1:35" ht="12.75" hidden="1" customHeight="1" x14ac:dyDescent="0.2">
      <c r="A12" s="11">
        <v>45727</v>
      </c>
      <c r="B12" s="15">
        <v>0.58333333333333337</v>
      </c>
      <c r="C12" s="48">
        <v>17.57</v>
      </c>
      <c r="D12" s="109">
        <v>15.2</v>
      </c>
      <c r="E12" s="48">
        <v>22.591999999999999</v>
      </c>
      <c r="F12" s="109">
        <v>20.2</v>
      </c>
      <c r="G12" s="110">
        <f t="shared" si="0"/>
        <v>2.370000000000001</v>
      </c>
      <c r="H12" s="111">
        <f t="shared" si="1"/>
        <v>2.3919999999999995</v>
      </c>
      <c r="I12" s="48">
        <v>58.616</v>
      </c>
      <c r="J12" s="109">
        <v>24</v>
      </c>
      <c r="K12" s="66">
        <f t="shared" si="2"/>
        <v>0.40944452026750378</v>
      </c>
      <c r="L12" s="71">
        <f t="shared" si="3"/>
        <v>1.693321007626531</v>
      </c>
      <c r="M12" s="72" t="e">
        <f t="shared" si="4"/>
        <v>#DIV/0!</v>
      </c>
      <c r="N12" s="110"/>
      <c r="O12" s="110">
        <v>11.1</v>
      </c>
      <c r="P12" s="105"/>
      <c r="Q12" s="66" t="e">
        <f t="shared" si="5"/>
        <v>#DIV/0!</v>
      </c>
      <c r="R12" s="71" t="e">
        <f t="shared" si="6"/>
        <v>#DIV/0!</v>
      </c>
      <c r="S12" s="104" t="e">
        <f t="shared" si="7"/>
        <v>#DIV/0!</v>
      </c>
      <c r="T12" s="48"/>
      <c r="U12" s="117"/>
      <c r="V12" s="127"/>
      <c r="W12" s="123"/>
      <c r="X12" s="109"/>
      <c r="Y12" s="48">
        <v>4.4000000000000004</v>
      </c>
      <c r="Z12" s="73"/>
      <c r="AA12" s="48">
        <v>0</v>
      </c>
      <c r="AB12" s="73"/>
      <c r="AC12" s="48">
        <v>5</v>
      </c>
      <c r="AD12" s="74"/>
      <c r="AE12" s="48">
        <v>0</v>
      </c>
      <c r="AF12" s="7">
        <v>3.4</v>
      </c>
      <c r="AG12" s="7">
        <v>0</v>
      </c>
      <c r="AH12" s="8"/>
      <c r="AI12" s="8"/>
    </row>
    <row r="13" spans="1:35" ht="12.75" hidden="1" customHeight="1" x14ac:dyDescent="0.2">
      <c r="A13" s="11">
        <v>45728</v>
      </c>
      <c r="B13" s="15"/>
      <c r="C13" s="48"/>
      <c r="D13" s="109"/>
      <c r="E13" s="48"/>
      <c r="F13" s="109"/>
      <c r="G13" s="110">
        <f t="shared" si="0"/>
        <v>0</v>
      </c>
      <c r="H13" s="111">
        <f t="shared" si="1"/>
        <v>0</v>
      </c>
      <c r="I13" s="48"/>
      <c r="J13" s="109"/>
      <c r="K13" s="66" t="e">
        <f t="shared" si="2"/>
        <v>#DIV/0!</v>
      </c>
      <c r="L13" s="71" t="e">
        <f t="shared" si="3"/>
        <v>#DIV/0!</v>
      </c>
      <c r="M13" s="72">
        <f t="shared" si="4"/>
        <v>1</v>
      </c>
      <c r="N13" s="110"/>
      <c r="O13" s="110"/>
      <c r="P13" s="105"/>
      <c r="Q13" s="66" t="e">
        <f t="shared" si="5"/>
        <v>#DIV/0!</v>
      </c>
      <c r="R13" s="71" t="e">
        <f t="shared" si="6"/>
        <v>#DIV/0!</v>
      </c>
      <c r="S13" s="104" t="e">
        <f t="shared" si="7"/>
        <v>#DIV/0!</v>
      </c>
      <c r="T13" s="48"/>
      <c r="U13" s="117"/>
      <c r="V13" s="127"/>
      <c r="W13" s="123"/>
      <c r="X13" s="109"/>
      <c r="Y13" s="48"/>
      <c r="Z13" s="73"/>
      <c r="AA13" s="48"/>
      <c r="AB13" s="73"/>
      <c r="AC13" s="48"/>
      <c r="AD13" s="74"/>
      <c r="AE13" s="48"/>
      <c r="AF13" s="7"/>
      <c r="AG13" s="7"/>
      <c r="AH13" s="8"/>
      <c r="AI13" s="8"/>
    </row>
    <row r="14" spans="1:35" ht="12.75" hidden="1" customHeight="1" x14ac:dyDescent="0.2">
      <c r="A14" s="11">
        <v>45729</v>
      </c>
      <c r="B14" s="15">
        <v>0.58402777777777781</v>
      </c>
      <c r="C14" s="48">
        <v>17.672000000000001</v>
      </c>
      <c r="D14" s="109">
        <v>15.2</v>
      </c>
      <c r="E14" s="48">
        <v>22.943999999999999</v>
      </c>
      <c r="F14" s="109">
        <v>30.1</v>
      </c>
      <c r="G14" s="110">
        <f t="shared" si="0"/>
        <v>2.4720000000000013</v>
      </c>
      <c r="H14" s="111">
        <f t="shared" si="1"/>
        <v>-7.1560000000000024</v>
      </c>
      <c r="I14" s="48">
        <v>60.890999999999998</v>
      </c>
      <c r="J14" s="109">
        <v>30.1</v>
      </c>
      <c r="K14" s="66">
        <f t="shared" si="2"/>
        <v>0.49432592665582764</v>
      </c>
      <c r="L14" s="71">
        <f t="shared" si="3"/>
        <v>1.9775583774479557</v>
      </c>
      <c r="M14" s="72" t="e">
        <f t="shared" si="4"/>
        <v>#DIV/0!</v>
      </c>
      <c r="N14" s="110"/>
      <c r="O14" s="110">
        <v>11.1</v>
      </c>
      <c r="P14" s="105"/>
      <c r="Q14" s="66" t="e">
        <f t="shared" si="5"/>
        <v>#DIV/0!</v>
      </c>
      <c r="R14" s="71" t="e">
        <f t="shared" si="6"/>
        <v>#DIV/0!</v>
      </c>
      <c r="S14" s="104" t="e">
        <f t="shared" si="7"/>
        <v>#DIV/0!</v>
      </c>
      <c r="T14" s="48"/>
      <c r="U14" s="117"/>
      <c r="V14" s="127"/>
      <c r="W14" s="123"/>
      <c r="X14" s="109"/>
      <c r="Y14" s="48">
        <v>4.3</v>
      </c>
      <c r="Z14" s="73"/>
      <c r="AA14" s="48">
        <v>0</v>
      </c>
      <c r="AB14" s="73"/>
      <c r="AC14" s="48">
        <v>4.3</v>
      </c>
      <c r="AD14" s="74"/>
      <c r="AE14" s="48">
        <v>0</v>
      </c>
      <c r="AF14" s="7">
        <v>3.1</v>
      </c>
      <c r="AG14" s="7">
        <v>0</v>
      </c>
      <c r="AH14" s="8"/>
      <c r="AI14" s="8"/>
    </row>
    <row r="15" spans="1:35" ht="12.75" hidden="1" customHeight="1" x14ac:dyDescent="0.2">
      <c r="A15" s="11">
        <v>45730</v>
      </c>
      <c r="B15" s="15"/>
      <c r="C15" s="48"/>
      <c r="D15" s="109"/>
      <c r="E15" s="48"/>
      <c r="F15" s="109"/>
      <c r="G15" s="110">
        <f t="shared" si="0"/>
        <v>0</v>
      </c>
      <c r="H15" s="111">
        <f t="shared" si="1"/>
        <v>0</v>
      </c>
      <c r="I15" s="48"/>
      <c r="J15" s="109"/>
      <c r="K15" s="66" t="e">
        <f t="shared" si="2"/>
        <v>#DIV/0!</v>
      </c>
      <c r="L15" s="71" t="e">
        <f t="shared" si="3"/>
        <v>#DIV/0!</v>
      </c>
      <c r="M15" s="72" t="e">
        <f t="shared" si="4"/>
        <v>#DIV/0!</v>
      </c>
      <c r="N15" s="110"/>
      <c r="O15" s="110"/>
      <c r="P15" s="105"/>
      <c r="Q15" s="66" t="e">
        <f t="shared" si="5"/>
        <v>#DIV/0!</v>
      </c>
      <c r="R15" s="71" t="e">
        <f t="shared" si="6"/>
        <v>#DIV/0!</v>
      </c>
      <c r="S15" s="104" t="e">
        <f t="shared" si="7"/>
        <v>#DIV/0!</v>
      </c>
      <c r="T15" s="48"/>
      <c r="U15" s="117"/>
      <c r="V15" s="127"/>
      <c r="W15" s="123"/>
      <c r="X15" s="109"/>
      <c r="Y15" s="48"/>
      <c r="Z15" s="73"/>
      <c r="AA15" s="48"/>
      <c r="AB15" s="73"/>
      <c r="AC15" s="48"/>
      <c r="AD15" s="74"/>
      <c r="AE15" s="48"/>
      <c r="AF15" s="7"/>
      <c r="AG15" s="7"/>
      <c r="AH15" s="8"/>
      <c r="AI15" s="8"/>
    </row>
    <row r="16" spans="1:35" ht="12.75" hidden="1" customHeight="1" x14ac:dyDescent="0.2">
      <c r="A16" s="11">
        <v>45731</v>
      </c>
      <c r="B16" s="15"/>
      <c r="C16" s="48"/>
      <c r="D16" s="109"/>
      <c r="E16" s="48"/>
      <c r="F16" s="109"/>
      <c r="G16" s="110">
        <f t="shared" si="0"/>
        <v>0</v>
      </c>
      <c r="H16" s="111">
        <f t="shared" si="1"/>
        <v>0</v>
      </c>
      <c r="I16" s="48"/>
      <c r="J16" s="109"/>
      <c r="K16" s="66" t="e">
        <f t="shared" si="2"/>
        <v>#DIV/0!</v>
      </c>
      <c r="L16" s="71" t="e">
        <f t="shared" si="3"/>
        <v>#DIV/0!</v>
      </c>
      <c r="M16" s="72" t="e">
        <f t="shared" si="4"/>
        <v>#DIV/0!</v>
      </c>
      <c r="N16" s="110"/>
      <c r="O16" s="110"/>
      <c r="P16" s="105"/>
      <c r="Q16" s="66" t="e">
        <f t="shared" si="5"/>
        <v>#DIV/0!</v>
      </c>
      <c r="R16" s="71" t="e">
        <f t="shared" si="6"/>
        <v>#DIV/0!</v>
      </c>
      <c r="S16" s="104" t="e">
        <f t="shared" si="7"/>
        <v>#DIV/0!</v>
      </c>
      <c r="T16" s="48"/>
      <c r="U16" s="117"/>
      <c r="V16" s="127"/>
      <c r="W16" s="123"/>
      <c r="X16" s="109"/>
      <c r="Y16" s="48"/>
      <c r="Z16" s="73"/>
      <c r="AA16" s="48"/>
      <c r="AB16" s="73"/>
      <c r="AC16" s="48"/>
      <c r="AD16" s="74"/>
      <c r="AE16" s="48"/>
      <c r="AF16" s="7"/>
      <c r="AG16" s="7"/>
      <c r="AH16" s="8"/>
      <c r="AI16" s="8"/>
    </row>
    <row r="17" spans="1:35" ht="12.75" hidden="1" customHeight="1" x14ac:dyDescent="0.2">
      <c r="A17" s="11">
        <v>45732</v>
      </c>
      <c r="B17" s="15"/>
      <c r="C17" s="48"/>
      <c r="D17" s="109"/>
      <c r="E17" s="48"/>
      <c r="F17" s="109"/>
      <c r="G17" s="110">
        <f t="shared" si="0"/>
        <v>0</v>
      </c>
      <c r="H17" s="111">
        <f t="shared" si="1"/>
        <v>0</v>
      </c>
      <c r="I17" s="48"/>
      <c r="J17" s="109"/>
      <c r="K17" s="66" t="e">
        <f t="shared" si="2"/>
        <v>#DIV/0!</v>
      </c>
      <c r="L17" s="71" t="e">
        <f t="shared" si="3"/>
        <v>#DIV/0!</v>
      </c>
      <c r="M17" s="72" t="e">
        <f t="shared" si="4"/>
        <v>#DIV/0!</v>
      </c>
      <c r="N17" s="110"/>
      <c r="O17" s="110"/>
      <c r="P17" s="105"/>
      <c r="Q17" s="66" t="e">
        <f t="shared" si="5"/>
        <v>#DIV/0!</v>
      </c>
      <c r="R17" s="71" t="e">
        <f t="shared" si="6"/>
        <v>#DIV/0!</v>
      </c>
      <c r="S17" s="104" t="e">
        <f t="shared" si="7"/>
        <v>#DIV/0!</v>
      </c>
      <c r="T17" s="48"/>
      <c r="U17" s="117"/>
      <c r="V17" s="127"/>
      <c r="W17" s="123"/>
      <c r="X17" s="109"/>
      <c r="Y17" s="48"/>
      <c r="Z17" s="73"/>
      <c r="AA17" s="48"/>
      <c r="AB17" s="73"/>
      <c r="AC17" s="48"/>
      <c r="AD17" s="74"/>
      <c r="AE17" s="48"/>
      <c r="AF17" s="7"/>
      <c r="AG17" s="7"/>
      <c r="AH17" s="8"/>
      <c r="AI17" s="8"/>
    </row>
    <row r="18" spans="1:35" ht="12.75" hidden="1" customHeight="1" x14ac:dyDescent="0.2">
      <c r="A18" s="11">
        <v>45733</v>
      </c>
      <c r="B18" s="15"/>
      <c r="C18" s="48"/>
      <c r="D18" s="109"/>
      <c r="E18" s="48"/>
      <c r="F18" s="109"/>
      <c r="G18" s="110">
        <f t="shared" si="0"/>
        <v>0</v>
      </c>
      <c r="H18" s="111">
        <f t="shared" si="1"/>
        <v>0</v>
      </c>
      <c r="I18" s="48"/>
      <c r="J18" s="109"/>
      <c r="K18" s="66" t="e">
        <f t="shared" si="2"/>
        <v>#DIV/0!</v>
      </c>
      <c r="L18" s="71" t="e">
        <f t="shared" si="3"/>
        <v>#DIV/0!</v>
      </c>
      <c r="M18" s="72" t="e">
        <f t="shared" si="4"/>
        <v>#DIV/0!</v>
      </c>
      <c r="N18" s="110"/>
      <c r="O18" s="110"/>
      <c r="P18" s="105"/>
      <c r="Q18" s="66" t="e">
        <f t="shared" si="5"/>
        <v>#DIV/0!</v>
      </c>
      <c r="R18" s="71" t="e">
        <f t="shared" si="6"/>
        <v>#DIV/0!</v>
      </c>
      <c r="S18" s="104" t="e">
        <f t="shared" si="7"/>
        <v>#DIV/0!</v>
      </c>
      <c r="T18" s="48"/>
      <c r="U18" s="117"/>
      <c r="V18" s="127"/>
      <c r="W18" s="123"/>
      <c r="X18" s="109"/>
      <c r="Y18" s="48"/>
      <c r="Z18" s="73"/>
      <c r="AA18" s="48"/>
      <c r="AB18" s="73"/>
      <c r="AC18" s="48"/>
      <c r="AD18" s="74"/>
      <c r="AE18" s="48"/>
      <c r="AF18" s="7"/>
      <c r="AG18" s="7"/>
      <c r="AH18" s="8"/>
      <c r="AI18" s="8"/>
    </row>
    <row r="19" spans="1:35" ht="12.75" hidden="1" customHeight="1" x14ac:dyDescent="0.2">
      <c r="A19" s="11">
        <v>45734</v>
      </c>
      <c r="B19" s="15"/>
      <c r="C19" s="48"/>
      <c r="D19" s="109"/>
      <c r="E19" s="48"/>
      <c r="F19" s="109"/>
      <c r="G19" s="110">
        <f t="shared" si="0"/>
        <v>0</v>
      </c>
      <c r="H19" s="111">
        <f t="shared" si="1"/>
        <v>0</v>
      </c>
      <c r="I19" s="48"/>
      <c r="J19" s="109"/>
      <c r="K19" s="66" t="e">
        <f t="shared" si="2"/>
        <v>#DIV/0!</v>
      </c>
      <c r="L19" s="71" t="e">
        <f t="shared" si="3"/>
        <v>#DIV/0!</v>
      </c>
      <c r="M19" s="72" t="e">
        <f t="shared" si="4"/>
        <v>#DIV/0!</v>
      </c>
      <c r="N19" s="110"/>
      <c r="O19" s="110"/>
      <c r="P19" s="105"/>
      <c r="Q19" s="66" t="e">
        <f t="shared" si="5"/>
        <v>#DIV/0!</v>
      </c>
      <c r="R19" s="71" t="e">
        <f t="shared" si="6"/>
        <v>#DIV/0!</v>
      </c>
      <c r="S19" s="104" t="e">
        <f t="shared" si="7"/>
        <v>#DIV/0!</v>
      </c>
      <c r="T19" s="48"/>
      <c r="U19" s="117"/>
      <c r="V19" s="127"/>
      <c r="W19" s="123"/>
      <c r="X19" s="109"/>
      <c r="Y19" s="48"/>
      <c r="Z19" s="73"/>
      <c r="AA19" s="48"/>
      <c r="AB19" s="73"/>
      <c r="AC19" s="48"/>
      <c r="AD19" s="74"/>
      <c r="AE19" s="48"/>
      <c r="AF19" s="7"/>
      <c r="AG19" s="7"/>
      <c r="AH19" s="8"/>
      <c r="AI19" s="8"/>
    </row>
    <row r="20" spans="1:35" ht="12.75" hidden="1" customHeight="1" x14ac:dyDescent="0.2">
      <c r="A20" s="11">
        <v>45735</v>
      </c>
      <c r="B20" s="15"/>
      <c r="C20" s="48"/>
      <c r="D20" s="109"/>
      <c r="E20" s="48"/>
      <c r="F20" s="109"/>
      <c r="G20" s="110">
        <f t="shared" si="0"/>
        <v>0</v>
      </c>
      <c r="H20" s="111">
        <f t="shared" si="1"/>
        <v>0</v>
      </c>
      <c r="I20" s="48"/>
      <c r="J20" s="109"/>
      <c r="K20" s="66" t="e">
        <f t="shared" si="2"/>
        <v>#DIV/0!</v>
      </c>
      <c r="L20" s="71" t="e">
        <f t="shared" si="3"/>
        <v>#DIV/0!</v>
      </c>
      <c r="M20" s="72" t="e">
        <f t="shared" si="4"/>
        <v>#DIV/0!</v>
      </c>
      <c r="N20" s="110"/>
      <c r="O20" s="110"/>
      <c r="P20" s="105"/>
      <c r="Q20" s="66" t="e">
        <f t="shared" si="5"/>
        <v>#DIV/0!</v>
      </c>
      <c r="R20" s="71" t="e">
        <f t="shared" si="6"/>
        <v>#DIV/0!</v>
      </c>
      <c r="S20" s="104" t="e">
        <f t="shared" si="7"/>
        <v>#DIV/0!</v>
      </c>
      <c r="T20" s="48"/>
      <c r="U20" s="117"/>
      <c r="V20" s="127"/>
      <c r="W20" s="123"/>
      <c r="X20" s="109"/>
      <c r="Y20" s="48"/>
      <c r="Z20" s="73"/>
      <c r="AA20" s="48"/>
      <c r="AB20" s="73"/>
      <c r="AC20" s="48"/>
      <c r="AD20" s="74"/>
      <c r="AE20" s="48"/>
      <c r="AF20" s="7"/>
      <c r="AG20" s="7"/>
      <c r="AH20" s="8"/>
      <c r="AI20" s="8"/>
    </row>
    <row r="21" spans="1:35" ht="12.75" hidden="1" customHeight="1" x14ac:dyDescent="0.2">
      <c r="A21" s="11">
        <v>45736</v>
      </c>
      <c r="B21" s="15"/>
      <c r="C21" s="48"/>
      <c r="D21" s="109"/>
      <c r="E21" s="48"/>
      <c r="F21" s="109"/>
      <c r="G21" s="110">
        <f t="shared" si="0"/>
        <v>0</v>
      </c>
      <c r="H21" s="111">
        <f t="shared" si="1"/>
        <v>0</v>
      </c>
      <c r="I21" s="48"/>
      <c r="J21" s="109"/>
      <c r="K21" s="66" t="e">
        <f t="shared" si="2"/>
        <v>#DIV/0!</v>
      </c>
      <c r="L21" s="71" t="e">
        <f t="shared" si="3"/>
        <v>#DIV/0!</v>
      </c>
      <c r="M21" s="72" t="e">
        <f t="shared" si="4"/>
        <v>#DIV/0!</v>
      </c>
      <c r="N21" s="110"/>
      <c r="O21" s="110"/>
      <c r="P21" s="105"/>
      <c r="Q21" s="66" t="e">
        <f t="shared" si="5"/>
        <v>#DIV/0!</v>
      </c>
      <c r="R21" s="71" t="e">
        <f t="shared" si="6"/>
        <v>#DIV/0!</v>
      </c>
      <c r="S21" s="104" t="e">
        <f t="shared" si="7"/>
        <v>#DIV/0!</v>
      </c>
      <c r="T21" s="48"/>
      <c r="U21" s="117"/>
      <c r="V21" s="127"/>
      <c r="W21" s="123"/>
      <c r="X21" s="109"/>
      <c r="Y21" s="48"/>
      <c r="Z21" s="73"/>
      <c r="AA21" s="48"/>
      <c r="AB21" s="73"/>
      <c r="AC21" s="48"/>
      <c r="AD21" s="74"/>
      <c r="AE21" s="48"/>
      <c r="AF21" s="7"/>
      <c r="AG21" s="7"/>
      <c r="AH21" s="8"/>
      <c r="AI21" s="8"/>
    </row>
    <row r="22" spans="1:35" ht="12.75" hidden="1" customHeight="1" x14ac:dyDescent="0.2">
      <c r="A22" s="11">
        <v>45737</v>
      </c>
      <c r="B22" s="15"/>
      <c r="C22" s="48"/>
      <c r="D22" s="109"/>
      <c r="E22" s="48"/>
      <c r="F22" s="109"/>
      <c r="G22" s="110">
        <f t="shared" si="0"/>
        <v>0</v>
      </c>
      <c r="H22" s="111">
        <f t="shared" si="1"/>
        <v>0</v>
      </c>
      <c r="I22" s="48"/>
      <c r="J22" s="109"/>
      <c r="K22" s="66" t="e">
        <f t="shared" si="2"/>
        <v>#DIV/0!</v>
      </c>
      <c r="L22" s="71" t="e">
        <f t="shared" si="3"/>
        <v>#DIV/0!</v>
      </c>
      <c r="M22" s="72" t="e">
        <f t="shared" si="4"/>
        <v>#DIV/0!</v>
      </c>
      <c r="N22" s="110"/>
      <c r="O22" s="110"/>
      <c r="P22" s="105"/>
      <c r="Q22" s="66" t="e">
        <f t="shared" si="5"/>
        <v>#DIV/0!</v>
      </c>
      <c r="R22" s="71" t="e">
        <f t="shared" si="6"/>
        <v>#DIV/0!</v>
      </c>
      <c r="S22" s="104" t="e">
        <f t="shared" si="7"/>
        <v>#DIV/0!</v>
      </c>
      <c r="T22" s="48"/>
      <c r="U22" s="117"/>
      <c r="V22" s="127"/>
      <c r="W22" s="123"/>
      <c r="X22" s="109"/>
      <c r="Y22" s="48"/>
      <c r="Z22" s="73"/>
      <c r="AA22" s="48"/>
      <c r="AB22" s="73"/>
      <c r="AC22" s="48"/>
      <c r="AD22" s="74"/>
      <c r="AE22" s="48"/>
      <c r="AF22" s="7"/>
      <c r="AG22" s="7"/>
      <c r="AH22" s="8"/>
      <c r="AI22" s="8"/>
    </row>
    <row r="23" spans="1:35" ht="12.75" hidden="1" customHeight="1" x14ac:dyDescent="0.2">
      <c r="A23" s="11">
        <v>45738</v>
      </c>
      <c r="B23" s="15"/>
      <c r="C23" s="48"/>
      <c r="D23" s="109"/>
      <c r="E23" s="48"/>
      <c r="F23" s="109"/>
      <c r="G23" s="110">
        <f t="shared" si="0"/>
        <v>0</v>
      </c>
      <c r="H23" s="111">
        <f t="shared" si="1"/>
        <v>0</v>
      </c>
      <c r="I23" s="48"/>
      <c r="J23" s="109"/>
      <c r="K23" s="66" t="e">
        <f t="shared" si="2"/>
        <v>#DIV/0!</v>
      </c>
      <c r="L23" s="71" t="e">
        <f t="shared" si="3"/>
        <v>#DIV/0!</v>
      </c>
      <c r="M23" s="72" t="e">
        <f t="shared" si="4"/>
        <v>#DIV/0!</v>
      </c>
      <c r="N23" s="110"/>
      <c r="O23" s="110"/>
      <c r="P23" s="105"/>
      <c r="Q23" s="66" t="e">
        <f t="shared" si="5"/>
        <v>#DIV/0!</v>
      </c>
      <c r="R23" s="71" t="e">
        <f t="shared" si="6"/>
        <v>#DIV/0!</v>
      </c>
      <c r="S23" s="104" t="e">
        <f t="shared" si="7"/>
        <v>#DIV/0!</v>
      </c>
      <c r="T23" s="48"/>
      <c r="U23" s="117"/>
      <c r="V23" s="127"/>
      <c r="W23" s="123"/>
      <c r="X23" s="109"/>
      <c r="Y23" s="48"/>
      <c r="Z23" s="73"/>
      <c r="AA23" s="48"/>
      <c r="AB23" s="73"/>
      <c r="AC23" s="48"/>
      <c r="AD23" s="74"/>
      <c r="AE23" s="48"/>
      <c r="AF23" s="7"/>
      <c r="AG23" s="7"/>
      <c r="AH23" s="8"/>
      <c r="AI23" s="8"/>
    </row>
    <row r="24" spans="1:35" ht="12.75" hidden="1" customHeight="1" x14ac:dyDescent="0.2">
      <c r="A24" s="11">
        <v>45739</v>
      </c>
      <c r="B24" s="15"/>
      <c r="C24" s="48"/>
      <c r="D24" s="109"/>
      <c r="E24" s="48"/>
      <c r="F24" s="109"/>
      <c r="G24" s="110">
        <f t="shared" si="0"/>
        <v>0</v>
      </c>
      <c r="H24" s="111">
        <f t="shared" si="1"/>
        <v>0</v>
      </c>
      <c r="I24" s="48"/>
      <c r="J24" s="109"/>
      <c r="K24" s="66" t="e">
        <f t="shared" si="2"/>
        <v>#DIV/0!</v>
      </c>
      <c r="L24" s="71" t="e">
        <f t="shared" si="3"/>
        <v>#DIV/0!</v>
      </c>
      <c r="M24" s="72" t="e">
        <f t="shared" si="4"/>
        <v>#DIV/0!</v>
      </c>
      <c r="N24" s="110"/>
      <c r="O24" s="110"/>
      <c r="P24" s="105"/>
      <c r="Q24" s="66" t="e">
        <f t="shared" si="5"/>
        <v>#DIV/0!</v>
      </c>
      <c r="R24" s="71" t="e">
        <f t="shared" si="6"/>
        <v>#DIV/0!</v>
      </c>
      <c r="S24" s="104" t="e">
        <f t="shared" si="7"/>
        <v>#DIV/0!</v>
      </c>
      <c r="T24" s="48"/>
      <c r="U24" s="117"/>
      <c r="V24" s="127"/>
      <c r="W24" s="123"/>
      <c r="X24" s="109"/>
      <c r="Y24" s="48"/>
      <c r="Z24" s="73"/>
      <c r="AA24" s="48"/>
      <c r="AB24" s="73"/>
      <c r="AC24" s="48"/>
      <c r="AD24" s="74"/>
      <c r="AE24" s="48"/>
      <c r="AF24" s="7"/>
      <c r="AG24" s="7"/>
      <c r="AH24" s="8"/>
      <c r="AI24" s="8"/>
    </row>
    <row r="25" spans="1:35" ht="12.75" hidden="1" customHeight="1" x14ac:dyDescent="0.2">
      <c r="A25" s="11">
        <v>45740</v>
      </c>
      <c r="B25" s="15"/>
      <c r="C25" s="48"/>
      <c r="D25" s="109"/>
      <c r="E25" s="48"/>
      <c r="F25" s="109"/>
      <c r="G25" s="110">
        <f t="shared" si="0"/>
        <v>0</v>
      </c>
      <c r="H25" s="111">
        <f t="shared" si="1"/>
        <v>0</v>
      </c>
      <c r="I25" s="48"/>
      <c r="J25" s="109"/>
      <c r="K25" s="66" t="e">
        <f t="shared" si="2"/>
        <v>#DIV/0!</v>
      </c>
      <c r="L25" s="71" t="e">
        <f t="shared" si="3"/>
        <v>#DIV/0!</v>
      </c>
      <c r="M25" s="72" t="e">
        <f t="shared" si="4"/>
        <v>#DIV/0!</v>
      </c>
      <c r="N25" s="110"/>
      <c r="O25" s="110"/>
      <c r="P25" s="105"/>
      <c r="Q25" s="66" t="e">
        <f t="shared" si="5"/>
        <v>#DIV/0!</v>
      </c>
      <c r="R25" s="71" t="e">
        <f t="shared" si="6"/>
        <v>#DIV/0!</v>
      </c>
      <c r="S25" s="104" t="e">
        <f t="shared" si="7"/>
        <v>#DIV/0!</v>
      </c>
      <c r="T25" s="48"/>
      <c r="U25" s="117"/>
      <c r="V25" s="127"/>
      <c r="W25" s="123"/>
      <c r="X25" s="109"/>
      <c r="Y25" s="48"/>
      <c r="Z25" s="73"/>
      <c r="AA25" s="48"/>
      <c r="AB25" s="73"/>
      <c r="AC25" s="48"/>
      <c r="AD25" s="74"/>
      <c r="AE25" s="48"/>
      <c r="AF25" s="7"/>
      <c r="AG25" s="7"/>
      <c r="AH25" s="8"/>
      <c r="AI25" s="8"/>
    </row>
    <row r="26" spans="1:35" ht="12.75" hidden="1" customHeight="1" x14ac:dyDescent="0.2">
      <c r="A26" s="11">
        <v>45741</v>
      </c>
      <c r="B26" s="15"/>
      <c r="C26" s="48"/>
      <c r="D26" s="109"/>
      <c r="E26" s="48"/>
      <c r="F26" s="109"/>
      <c r="G26" s="110">
        <f t="shared" si="0"/>
        <v>0</v>
      </c>
      <c r="H26" s="111">
        <f t="shared" si="1"/>
        <v>0</v>
      </c>
      <c r="I26" s="48"/>
      <c r="J26" s="109"/>
      <c r="K26" s="66" t="e">
        <f t="shared" si="2"/>
        <v>#DIV/0!</v>
      </c>
      <c r="L26" s="71" t="e">
        <f t="shared" si="3"/>
        <v>#DIV/0!</v>
      </c>
      <c r="M26" s="72" t="e">
        <f t="shared" si="4"/>
        <v>#DIV/0!</v>
      </c>
      <c r="N26" s="110"/>
      <c r="O26" s="110"/>
      <c r="P26" s="105"/>
      <c r="Q26" s="66" t="e">
        <f t="shared" si="5"/>
        <v>#DIV/0!</v>
      </c>
      <c r="R26" s="71" t="e">
        <f t="shared" si="6"/>
        <v>#DIV/0!</v>
      </c>
      <c r="S26" s="104" t="e">
        <f t="shared" si="7"/>
        <v>#DIV/0!</v>
      </c>
      <c r="T26" s="48"/>
      <c r="U26" s="117"/>
      <c r="V26" s="127"/>
      <c r="W26" s="123"/>
      <c r="X26" s="109"/>
      <c r="Y26" s="48"/>
      <c r="Z26" s="73"/>
      <c r="AA26" s="48"/>
      <c r="AB26" s="73"/>
      <c r="AC26" s="48"/>
      <c r="AD26" s="74"/>
      <c r="AE26" s="48"/>
      <c r="AF26" s="7"/>
      <c r="AG26" s="7"/>
      <c r="AH26" s="8"/>
      <c r="AI26" s="8"/>
    </row>
    <row r="27" spans="1:35" ht="12.75" hidden="1" customHeight="1" x14ac:dyDescent="0.2">
      <c r="A27" s="11">
        <v>45742</v>
      </c>
      <c r="B27" s="15"/>
      <c r="C27" s="48"/>
      <c r="D27" s="109"/>
      <c r="E27" s="48"/>
      <c r="F27" s="109"/>
      <c r="G27" s="110">
        <f t="shared" si="0"/>
        <v>0</v>
      </c>
      <c r="H27" s="111">
        <f t="shared" si="1"/>
        <v>0</v>
      </c>
      <c r="I27" s="48"/>
      <c r="J27" s="109"/>
      <c r="K27" s="66" t="e">
        <f t="shared" si="2"/>
        <v>#DIV/0!</v>
      </c>
      <c r="L27" s="71" t="e">
        <f t="shared" si="3"/>
        <v>#DIV/0!</v>
      </c>
      <c r="M27" s="72" t="e">
        <f t="shared" si="4"/>
        <v>#DIV/0!</v>
      </c>
      <c r="N27" s="110"/>
      <c r="O27" s="110"/>
      <c r="P27" s="105"/>
      <c r="Q27" s="66" t="e">
        <f t="shared" si="5"/>
        <v>#DIV/0!</v>
      </c>
      <c r="R27" s="71" t="e">
        <f t="shared" si="6"/>
        <v>#DIV/0!</v>
      </c>
      <c r="S27" s="104" t="e">
        <f t="shared" si="7"/>
        <v>#DIV/0!</v>
      </c>
      <c r="T27" s="48"/>
      <c r="U27" s="117"/>
      <c r="V27" s="127"/>
      <c r="W27" s="123"/>
      <c r="X27" s="109"/>
      <c r="Y27" s="48"/>
      <c r="Z27" s="73"/>
      <c r="AA27" s="48"/>
      <c r="AB27" s="73"/>
      <c r="AC27" s="48"/>
      <c r="AD27" s="74"/>
      <c r="AE27" s="48"/>
      <c r="AF27" s="7"/>
      <c r="AG27" s="7"/>
      <c r="AH27" s="8"/>
      <c r="AI27" s="8"/>
    </row>
    <row r="28" spans="1:35" ht="12.75" hidden="1" customHeight="1" x14ac:dyDescent="0.2">
      <c r="A28" s="11">
        <v>45743</v>
      </c>
      <c r="B28" s="15"/>
      <c r="C28" s="48"/>
      <c r="D28" s="109"/>
      <c r="E28" s="48"/>
      <c r="F28" s="109"/>
      <c r="G28" s="110">
        <f t="shared" si="0"/>
        <v>0</v>
      </c>
      <c r="H28" s="111">
        <f t="shared" si="1"/>
        <v>0</v>
      </c>
      <c r="I28" s="48"/>
      <c r="J28" s="109"/>
      <c r="K28" s="66" t="e">
        <f t="shared" si="2"/>
        <v>#DIV/0!</v>
      </c>
      <c r="L28" s="71" t="e">
        <f t="shared" si="3"/>
        <v>#DIV/0!</v>
      </c>
      <c r="M28" s="72" t="e">
        <f t="shared" si="4"/>
        <v>#DIV/0!</v>
      </c>
      <c r="N28" s="110"/>
      <c r="O28" s="110"/>
      <c r="P28" s="105"/>
      <c r="Q28" s="66" t="e">
        <f t="shared" si="5"/>
        <v>#DIV/0!</v>
      </c>
      <c r="R28" s="71" t="e">
        <f t="shared" si="6"/>
        <v>#DIV/0!</v>
      </c>
      <c r="S28" s="104" t="e">
        <f t="shared" si="7"/>
        <v>#DIV/0!</v>
      </c>
      <c r="T28" s="48"/>
      <c r="U28" s="117"/>
      <c r="V28" s="127"/>
      <c r="W28" s="123"/>
      <c r="X28" s="109"/>
      <c r="Y28" s="48"/>
      <c r="Z28" s="73"/>
      <c r="AA28" s="48"/>
      <c r="AB28" s="73"/>
      <c r="AC28" s="48"/>
      <c r="AD28" s="74"/>
      <c r="AE28" s="48"/>
      <c r="AF28" s="7"/>
      <c r="AG28" s="7"/>
      <c r="AH28" s="8"/>
      <c r="AI28" s="8"/>
    </row>
    <row r="29" spans="1:35" ht="12.75" hidden="1" customHeight="1" x14ac:dyDescent="0.2">
      <c r="A29" s="11">
        <v>45744</v>
      </c>
      <c r="B29" s="15"/>
      <c r="C29" s="48"/>
      <c r="D29" s="109"/>
      <c r="E29" s="48"/>
      <c r="F29" s="109"/>
      <c r="G29" s="110">
        <f t="shared" si="0"/>
        <v>0</v>
      </c>
      <c r="H29" s="111">
        <f t="shared" si="1"/>
        <v>0</v>
      </c>
      <c r="I29" s="48"/>
      <c r="J29" s="109"/>
      <c r="K29" s="66" t="e">
        <f t="shared" si="2"/>
        <v>#DIV/0!</v>
      </c>
      <c r="L29" s="71" t="e">
        <f t="shared" si="3"/>
        <v>#DIV/0!</v>
      </c>
      <c r="M29" s="72" t="e">
        <f t="shared" si="4"/>
        <v>#DIV/0!</v>
      </c>
      <c r="N29" s="110"/>
      <c r="O29" s="110"/>
      <c r="P29" s="105"/>
      <c r="Q29" s="66" t="e">
        <f t="shared" si="5"/>
        <v>#DIV/0!</v>
      </c>
      <c r="R29" s="71" t="e">
        <f t="shared" si="6"/>
        <v>#DIV/0!</v>
      </c>
      <c r="S29" s="104" t="e">
        <f t="shared" si="7"/>
        <v>#DIV/0!</v>
      </c>
      <c r="T29" s="48"/>
      <c r="U29" s="117"/>
      <c r="V29" s="127"/>
      <c r="W29" s="123"/>
      <c r="X29" s="109"/>
      <c r="Y29" s="48"/>
      <c r="Z29" s="73"/>
      <c r="AA29" s="48"/>
      <c r="AB29" s="73"/>
      <c r="AC29" s="48"/>
      <c r="AD29" s="74"/>
      <c r="AE29" s="48"/>
      <c r="AF29" s="7"/>
      <c r="AG29" s="7"/>
      <c r="AH29" s="8"/>
      <c r="AI29" s="8"/>
    </row>
    <row r="30" spans="1:35" ht="12.75" hidden="1" customHeight="1" x14ac:dyDescent="0.2">
      <c r="A30" s="11">
        <v>45745</v>
      </c>
      <c r="B30" s="15"/>
      <c r="C30" s="48"/>
      <c r="D30" s="109"/>
      <c r="E30" s="48"/>
      <c r="F30" s="109"/>
      <c r="G30" s="110">
        <f t="shared" si="0"/>
        <v>0</v>
      </c>
      <c r="H30" s="111">
        <f t="shared" si="1"/>
        <v>0</v>
      </c>
      <c r="I30" s="48"/>
      <c r="J30" s="109"/>
      <c r="K30" s="66" t="e">
        <f t="shared" si="2"/>
        <v>#DIV/0!</v>
      </c>
      <c r="L30" s="71" t="e">
        <f t="shared" si="3"/>
        <v>#DIV/0!</v>
      </c>
      <c r="M30" s="72" t="e">
        <f t="shared" si="4"/>
        <v>#DIV/0!</v>
      </c>
      <c r="N30" s="110"/>
      <c r="O30" s="110"/>
      <c r="P30" s="105"/>
      <c r="Q30" s="66" t="e">
        <f t="shared" si="5"/>
        <v>#DIV/0!</v>
      </c>
      <c r="R30" s="71" t="e">
        <f t="shared" si="6"/>
        <v>#DIV/0!</v>
      </c>
      <c r="S30" s="104" t="e">
        <f t="shared" si="7"/>
        <v>#DIV/0!</v>
      </c>
      <c r="T30" s="48"/>
      <c r="U30" s="117"/>
      <c r="V30" s="127"/>
      <c r="W30" s="123"/>
      <c r="X30" s="109"/>
      <c r="Y30" s="48"/>
      <c r="Z30" s="73"/>
      <c r="AA30" s="48"/>
      <c r="AB30" s="73"/>
      <c r="AC30" s="48"/>
      <c r="AD30" s="74"/>
      <c r="AE30" s="48"/>
      <c r="AF30" s="7"/>
      <c r="AG30" s="7"/>
      <c r="AH30" s="8"/>
      <c r="AI30" s="8"/>
    </row>
    <row r="31" spans="1:35" ht="12.75" hidden="1" customHeight="1" x14ac:dyDescent="0.2">
      <c r="A31" s="11">
        <v>45746</v>
      </c>
      <c r="B31" s="15"/>
      <c r="C31" s="48"/>
      <c r="D31" s="109"/>
      <c r="E31" s="48"/>
      <c r="F31" s="109"/>
      <c r="G31" s="110">
        <f t="shared" si="0"/>
        <v>0</v>
      </c>
      <c r="H31" s="111">
        <f t="shared" si="1"/>
        <v>0</v>
      </c>
      <c r="I31" s="48"/>
      <c r="J31" s="109"/>
      <c r="K31" s="66" t="e">
        <f t="shared" si="2"/>
        <v>#DIV/0!</v>
      </c>
      <c r="L31" s="71" t="e">
        <f t="shared" si="3"/>
        <v>#DIV/0!</v>
      </c>
      <c r="M31" s="72" t="e">
        <f t="shared" si="4"/>
        <v>#DIV/0!</v>
      </c>
      <c r="N31" s="110"/>
      <c r="O31" s="110"/>
      <c r="P31" s="105"/>
      <c r="Q31" s="66" t="e">
        <f t="shared" si="5"/>
        <v>#DIV/0!</v>
      </c>
      <c r="R31" s="71" t="e">
        <f t="shared" si="6"/>
        <v>#DIV/0!</v>
      </c>
      <c r="S31" s="104" t="e">
        <f t="shared" si="7"/>
        <v>#DIV/0!</v>
      </c>
      <c r="T31" s="48"/>
      <c r="U31" s="117"/>
      <c r="V31" s="127"/>
      <c r="W31" s="123"/>
      <c r="X31" s="109"/>
      <c r="Y31" s="48"/>
      <c r="Z31" s="73"/>
      <c r="AA31" s="48"/>
      <c r="AB31" s="73"/>
      <c r="AC31" s="48"/>
      <c r="AD31" s="74"/>
      <c r="AE31" s="48"/>
      <c r="AF31" s="7"/>
      <c r="AG31" s="7"/>
      <c r="AH31" s="8"/>
      <c r="AI31" s="8"/>
    </row>
    <row r="32" spans="1:35" ht="12.75" hidden="1" customHeight="1" x14ac:dyDescent="0.2">
      <c r="A32" s="11">
        <v>45747</v>
      </c>
      <c r="B32" s="15"/>
      <c r="C32" s="48"/>
      <c r="D32" s="109"/>
      <c r="E32" s="48"/>
      <c r="F32" s="109"/>
      <c r="G32" s="110">
        <f t="shared" si="0"/>
        <v>0</v>
      </c>
      <c r="H32" s="111">
        <f t="shared" si="1"/>
        <v>0</v>
      </c>
      <c r="I32" s="48"/>
      <c r="J32" s="109"/>
      <c r="K32" s="66" t="e">
        <f t="shared" si="2"/>
        <v>#DIV/0!</v>
      </c>
      <c r="L32" s="71" t="e">
        <f t="shared" si="3"/>
        <v>#DIV/0!</v>
      </c>
      <c r="M32" s="72" t="e">
        <f t="shared" si="4"/>
        <v>#DIV/0!</v>
      </c>
      <c r="N32" s="110"/>
      <c r="O32" s="110"/>
      <c r="P32" s="105"/>
      <c r="Q32" s="66" t="e">
        <f t="shared" si="5"/>
        <v>#DIV/0!</v>
      </c>
      <c r="R32" s="71" t="e">
        <f t="shared" si="6"/>
        <v>#DIV/0!</v>
      </c>
      <c r="S32" s="104" t="e">
        <f t="shared" si="7"/>
        <v>#DIV/0!</v>
      </c>
      <c r="T32" s="48"/>
      <c r="U32" s="117"/>
      <c r="V32" s="127"/>
      <c r="W32" s="123"/>
      <c r="X32" s="109"/>
      <c r="Y32" s="48"/>
      <c r="Z32" s="73"/>
      <c r="AA32" s="48"/>
      <c r="AB32" s="73"/>
      <c r="AC32" s="48"/>
      <c r="AD32" s="74"/>
      <c r="AE32" s="48"/>
      <c r="AF32" s="7"/>
      <c r="AG32" s="7"/>
      <c r="AH32" s="8"/>
      <c r="AI32" s="8"/>
    </row>
    <row r="33" spans="1:35" ht="12.75" hidden="1" customHeight="1" x14ac:dyDescent="0.2">
      <c r="A33" s="11">
        <v>45748</v>
      </c>
      <c r="B33" s="15"/>
      <c r="C33" s="48"/>
      <c r="D33" s="109"/>
      <c r="E33" s="48"/>
      <c r="F33" s="109"/>
      <c r="G33" s="110">
        <f t="shared" si="0"/>
        <v>0</v>
      </c>
      <c r="H33" s="111">
        <f t="shared" si="1"/>
        <v>0</v>
      </c>
      <c r="I33" s="48"/>
      <c r="J33" s="109"/>
      <c r="K33" s="66" t="e">
        <f t="shared" si="2"/>
        <v>#DIV/0!</v>
      </c>
      <c r="L33" s="71" t="e">
        <f t="shared" si="3"/>
        <v>#DIV/0!</v>
      </c>
      <c r="M33" s="72" t="e">
        <f t="shared" si="4"/>
        <v>#DIV/0!</v>
      </c>
      <c r="N33" s="110"/>
      <c r="O33" s="110"/>
      <c r="P33" s="105"/>
      <c r="Q33" s="66" t="e">
        <f t="shared" si="5"/>
        <v>#DIV/0!</v>
      </c>
      <c r="R33" s="71" t="e">
        <f t="shared" si="6"/>
        <v>#DIV/0!</v>
      </c>
      <c r="S33" s="104" t="e">
        <f t="shared" si="7"/>
        <v>#DIV/0!</v>
      </c>
      <c r="T33" s="48"/>
      <c r="U33" s="117"/>
      <c r="V33" s="127"/>
      <c r="W33" s="123"/>
      <c r="X33" s="109"/>
      <c r="Y33" s="48"/>
      <c r="Z33" s="73"/>
      <c r="AA33" s="48"/>
      <c r="AB33" s="73"/>
      <c r="AC33" s="48"/>
      <c r="AD33" s="74"/>
      <c r="AE33" s="48"/>
      <c r="AF33" s="7"/>
      <c r="AG33" s="7"/>
      <c r="AH33" s="8"/>
      <c r="AI33" s="8"/>
    </row>
    <row r="34" spans="1:35" ht="12.75" hidden="1" customHeight="1" x14ac:dyDescent="0.2">
      <c r="A34" s="11">
        <v>45749</v>
      </c>
      <c r="B34" s="15"/>
      <c r="C34" s="48"/>
      <c r="D34" s="109"/>
      <c r="E34" s="48"/>
      <c r="F34" s="109"/>
      <c r="G34" s="110">
        <f t="shared" si="0"/>
        <v>0</v>
      </c>
      <c r="H34" s="111">
        <f t="shared" si="1"/>
        <v>0</v>
      </c>
      <c r="I34" s="48"/>
      <c r="J34" s="109"/>
      <c r="K34" s="66" t="e">
        <f t="shared" ref="K34:K65" si="8">J34/I34</f>
        <v>#DIV/0!</v>
      </c>
      <c r="L34" s="71" t="e">
        <f t="shared" si="3"/>
        <v>#DIV/0!</v>
      </c>
      <c r="M34" s="72" t="e">
        <f t="shared" ref="M34:M65" si="9">(I35-I34)/I35</f>
        <v>#DIV/0!</v>
      </c>
      <c r="N34" s="110"/>
      <c r="O34" s="110"/>
      <c r="P34" s="105"/>
      <c r="Q34" s="66" t="e">
        <f t="shared" si="5"/>
        <v>#DIV/0!</v>
      </c>
      <c r="R34" s="71" t="e">
        <f t="shared" si="6"/>
        <v>#DIV/0!</v>
      </c>
      <c r="S34" s="104" t="e">
        <f t="shared" ref="S34:S65" si="10">(N35-N34)/N35</f>
        <v>#DIV/0!</v>
      </c>
      <c r="T34" s="48"/>
      <c r="U34" s="117"/>
      <c r="V34" s="127"/>
      <c r="W34" s="123"/>
      <c r="X34" s="109"/>
      <c r="Y34" s="48"/>
      <c r="Z34" s="73"/>
      <c r="AA34" s="48"/>
      <c r="AB34" s="73"/>
      <c r="AC34" s="48"/>
      <c r="AD34" s="74"/>
      <c r="AE34" s="48"/>
      <c r="AF34" s="7"/>
      <c r="AG34" s="7"/>
      <c r="AH34" s="8"/>
      <c r="AI34" s="8"/>
    </row>
    <row r="35" spans="1:35" ht="12.75" hidden="1" customHeight="1" x14ac:dyDescent="0.2">
      <c r="A35" s="11">
        <v>45750</v>
      </c>
      <c r="B35" s="15"/>
      <c r="C35" s="48"/>
      <c r="D35" s="109"/>
      <c r="E35" s="48"/>
      <c r="F35" s="109"/>
      <c r="G35" s="110">
        <f t="shared" si="0"/>
        <v>0</v>
      </c>
      <c r="H35" s="111">
        <f t="shared" si="1"/>
        <v>0</v>
      </c>
      <c r="I35" s="48"/>
      <c r="J35" s="109"/>
      <c r="K35" s="66" t="e">
        <f t="shared" si="8"/>
        <v>#DIV/0!</v>
      </c>
      <c r="L35" s="71" t="e">
        <f t="shared" si="3"/>
        <v>#DIV/0!</v>
      </c>
      <c r="M35" s="72" t="e">
        <f t="shared" si="9"/>
        <v>#DIV/0!</v>
      </c>
      <c r="N35" s="110"/>
      <c r="O35" s="110"/>
      <c r="P35" s="105"/>
      <c r="Q35" s="66" t="e">
        <f t="shared" si="5"/>
        <v>#DIV/0!</v>
      </c>
      <c r="R35" s="71" t="e">
        <f t="shared" si="6"/>
        <v>#DIV/0!</v>
      </c>
      <c r="S35" s="104" t="e">
        <f t="shared" si="10"/>
        <v>#DIV/0!</v>
      </c>
      <c r="T35" s="48"/>
      <c r="U35" s="117"/>
      <c r="V35" s="127"/>
      <c r="W35" s="123"/>
      <c r="X35" s="109"/>
      <c r="Y35" s="48"/>
      <c r="Z35" s="73"/>
      <c r="AA35" s="48"/>
      <c r="AB35" s="73"/>
      <c r="AC35" s="48"/>
      <c r="AD35" s="74"/>
      <c r="AE35" s="48"/>
      <c r="AF35" s="7"/>
      <c r="AG35" s="7"/>
      <c r="AH35" s="8"/>
      <c r="AI35" s="8"/>
    </row>
    <row r="36" spans="1:35" ht="12.75" hidden="1" customHeight="1" x14ac:dyDescent="0.2">
      <c r="A36" s="11">
        <v>45751</v>
      </c>
      <c r="B36" s="15"/>
      <c r="C36" s="48"/>
      <c r="D36" s="109"/>
      <c r="E36" s="48"/>
      <c r="F36" s="109"/>
      <c r="G36" s="110">
        <f t="shared" si="0"/>
        <v>0</v>
      </c>
      <c r="H36" s="111">
        <f t="shared" si="1"/>
        <v>0</v>
      </c>
      <c r="I36" s="48"/>
      <c r="J36" s="109"/>
      <c r="K36" s="66" t="e">
        <f t="shared" si="8"/>
        <v>#DIV/0!</v>
      </c>
      <c r="L36" s="71" t="e">
        <f t="shared" si="3"/>
        <v>#DIV/0!</v>
      </c>
      <c r="M36" s="72" t="e">
        <f t="shared" si="9"/>
        <v>#DIV/0!</v>
      </c>
      <c r="N36" s="110"/>
      <c r="O36" s="110"/>
      <c r="P36" s="105"/>
      <c r="Q36" s="66" t="e">
        <f t="shared" si="5"/>
        <v>#DIV/0!</v>
      </c>
      <c r="R36" s="71" t="e">
        <f t="shared" si="6"/>
        <v>#DIV/0!</v>
      </c>
      <c r="S36" s="104" t="e">
        <f t="shared" si="10"/>
        <v>#DIV/0!</v>
      </c>
      <c r="T36" s="48"/>
      <c r="U36" s="117"/>
      <c r="V36" s="127"/>
      <c r="W36" s="123"/>
      <c r="X36" s="109"/>
      <c r="Y36" s="48"/>
      <c r="Z36" s="73"/>
      <c r="AA36" s="48"/>
      <c r="AB36" s="73"/>
      <c r="AC36" s="48"/>
      <c r="AD36" s="74"/>
      <c r="AE36" s="48"/>
      <c r="AF36" s="7"/>
      <c r="AG36" s="7"/>
      <c r="AH36" s="8"/>
      <c r="AI36" s="8"/>
    </row>
    <row r="37" spans="1:35" ht="12.75" hidden="1" customHeight="1" x14ac:dyDescent="0.2">
      <c r="A37" s="11">
        <v>45752</v>
      </c>
      <c r="B37" s="15"/>
      <c r="C37" s="48"/>
      <c r="D37" s="109"/>
      <c r="E37" s="48"/>
      <c r="F37" s="109"/>
      <c r="G37" s="110">
        <f t="shared" si="0"/>
        <v>0</v>
      </c>
      <c r="H37" s="111">
        <f t="shared" si="1"/>
        <v>0</v>
      </c>
      <c r="I37" s="48"/>
      <c r="J37" s="109"/>
      <c r="K37" s="66" t="e">
        <f t="shared" si="8"/>
        <v>#DIV/0!</v>
      </c>
      <c r="L37" s="71" t="e">
        <f t="shared" si="3"/>
        <v>#DIV/0!</v>
      </c>
      <c r="M37" s="72" t="e">
        <f t="shared" si="9"/>
        <v>#DIV/0!</v>
      </c>
      <c r="N37" s="110"/>
      <c r="O37" s="110"/>
      <c r="P37" s="105"/>
      <c r="Q37" s="66" t="e">
        <f t="shared" si="5"/>
        <v>#DIV/0!</v>
      </c>
      <c r="R37" s="71" t="e">
        <f t="shared" si="6"/>
        <v>#DIV/0!</v>
      </c>
      <c r="S37" s="104" t="e">
        <f t="shared" si="10"/>
        <v>#DIV/0!</v>
      </c>
      <c r="T37" s="48"/>
      <c r="U37" s="117"/>
      <c r="V37" s="127"/>
      <c r="W37" s="123"/>
      <c r="X37" s="109"/>
      <c r="Y37" s="48"/>
      <c r="Z37" s="73"/>
      <c r="AA37" s="48"/>
      <c r="AB37" s="73"/>
      <c r="AC37" s="48"/>
      <c r="AD37" s="74"/>
      <c r="AE37" s="48"/>
      <c r="AF37" s="7"/>
      <c r="AG37" s="7"/>
      <c r="AH37" s="8"/>
      <c r="AI37" s="8"/>
    </row>
    <row r="38" spans="1:35" ht="12.75" hidden="1" customHeight="1" x14ac:dyDescent="0.2">
      <c r="A38" s="11">
        <v>45753</v>
      </c>
      <c r="B38" s="15"/>
      <c r="C38" s="48"/>
      <c r="D38" s="109"/>
      <c r="E38" s="48"/>
      <c r="F38" s="109"/>
      <c r="G38" s="110">
        <f t="shared" si="0"/>
        <v>0</v>
      </c>
      <c r="H38" s="111">
        <f t="shared" si="1"/>
        <v>0</v>
      </c>
      <c r="I38" s="48"/>
      <c r="J38" s="109"/>
      <c r="K38" s="66" t="e">
        <f t="shared" si="8"/>
        <v>#DIV/0!</v>
      </c>
      <c r="L38" s="71" t="e">
        <f t="shared" si="3"/>
        <v>#DIV/0!</v>
      </c>
      <c r="M38" s="72" t="e">
        <f t="shared" si="9"/>
        <v>#DIV/0!</v>
      </c>
      <c r="N38" s="110"/>
      <c r="O38" s="110"/>
      <c r="P38" s="105"/>
      <c r="Q38" s="66" t="e">
        <f t="shared" si="5"/>
        <v>#DIV/0!</v>
      </c>
      <c r="R38" s="71" t="e">
        <f t="shared" si="6"/>
        <v>#DIV/0!</v>
      </c>
      <c r="S38" s="104" t="e">
        <f t="shared" si="10"/>
        <v>#DIV/0!</v>
      </c>
      <c r="T38" s="48"/>
      <c r="U38" s="117"/>
      <c r="V38" s="127"/>
      <c r="W38" s="123"/>
      <c r="X38" s="109"/>
      <c r="Y38" s="48"/>
      <c r="Z38" s="73"/>
      <c r="AA38" s="48"/>
      <c r="AB38" s="73"/>
      <c r="AC38" s="48"/>
      <c r="AD38" s="74"/>
      <c r="AE38" s="48"/>
      <c r="AF38" s="7"/>
      <c r="AG38" s="7"/>
      <c r="AH38" s="8"/>
      <c r="AI38" s="8"/>
    </row>
    <row r="39" spans="1:35" ht="12.75" hidden="1" customHeight="1" x14ac:dyDescent="0.2">
      <c r="A39" s="11">
        <v>45754</v>
      </c>
      <c r="B39" s="15"/>
      <c r="C39" s="48"/>
      <c r="D39" s="109"/>
      <c r="E39" s="48"/>
      <c r="F39" s="109"/>
      <c r="G39" s="110">
        <f t="shared" si="0"/>
        <v>0</v>
      </c>
      <c r="H39" s="111">
        <f t="shared" si="1"/>
        <v>0</v>
      </c>
      <c r="I39" s="48"/>
      <c r="J39" s="109"/>
      <c r="K39" s="66" t="e">
        <f t="shared" si="8"/>
        <v>#DIV/0!</v>
      </c>
      <c r="L39" s="71" t="e">
        <f t="shared" si="3"/>
        <v>#DIV/0!</v>
      </c>
      <c r="M39" s="72" t="e">
        <f t="shared" si="9"/>
        <v>#DIV/0!</v>
      </c>
      <c r="N39" s="110"/>
      <c r="O39" s="110"/>
      <c r="P39" s="105"/>
      <c r="Q39" s="66" t="e">
        <f t="shared" si="5"/>
        <v>#DIV/0!</v>
      </c>
      <c r="R39" s="71" t="e">
        <f t="shared" si="6"/>
        <v>#DIV/0!</v>
      </c>
      <c r="S39" s="104" t="e">
        <f t="shared" si="10"/>
        <v>#DIV/0!</v>
      </c>
      <c r="T39" s="48"/>
      <c r="U39" s="117"/>
      <c r="V39" s="127"/>
      <c r="W39" s="123"/>
      <c r="X39" s="109"/>
      <c r="Y39" s="48"/>
      <c r="Z39" s="73"/>
      <c r="AA39" s="48"/>
      <c r="AB39" s="73"/>
      <c r="AC39" s="48"/>
      <c r="AD39" s="74"/>
      <c r="AE39" s="48"/>
      <c r="AF39" s="7"/>
      <c r="AG39" s="7"/>
      <c r="AH39" s="8"/>
      <c r="AI39" s="8"/>
    </row>
    <row r="40" spans="1:35" ht="12.75" hidden="1" customHeight="1" x14ac:dyDescent="0.2">
      <c r="A40" s="11">
        <v>45755</v>
      </c>
      <c r="B40" s="15"/>
      <c r="C40" s="48"/>
      <c r="D40" s="109"/>
      <c r="E40" s="48"/>
      <c r="F40" s="109"/>
      <c r="G40" s="110">
        <f t="shared" si="0"/>
        <v>0</v>
      </c>
      <c r="H40" s="111">
        <f t="shared" si="1"/>
        <v>0</v>
      </c>
      <c r="I40" s="48"/>
      <c r="J40" s="109"/>
      <c r="K40" s="66" t="e">
        <f t="shared" si="8"/>
        <v>#DIV/0!</v>
      </c>
      <c r="L40" s="71" t="e">
        <f t="shared" si="3"/>
        <v>#DIV/0!</v>
      </c>
      <c r="M40" s="72" t="e">
        <f t="shared" si="9"/>
        <v>#DIV/0!</v>
      </c>
      <c r="N40" s="110"/>
      <c r="O40" s="110"/>
      <c r="P40" s="105"/>
      <c r="Q40" s="66" t="e">
        <f t="shared" si="5"/>
        <v>#DIV/0!</v>
      </c>
      <c r="R40" s="71" t="e">
        <f t="shared" si="6"/>
        <v>#DIV/0!</v>
      </c>
      <c r="S40" s="104" t="e">
        <f t="shared" si="10"/>
        <v>#DIV/0!</v>
      </c>
      <c r="T40" s="48"/>
      <c r="U40" s="117"/>
      <c r="V40" s="127"/>
      <c r="W40" s="123"/>
      <c r="X40" s="109"/>
      <c r="Y40" s="48"/>
      <c r="Z40" s="73"/>
      <c r="AA40" s="48"/>
      <c r="AB40" s="73"/>
      <c r="AC40" s="48"/>
      <c r="AD40" s="74"/>
      <c r="AE40" s="48"/>
      <c r="AF40" s="7"/>
      <c r="AG40" s="7"/>
      <c r="AH40" s="8"/>
      <c r="AI40" s="8"/>
    </row>
    <row r="41" spans="1:35" ht="12.75" hidden="1" customHeight="1" x14ac:dyDescent="0.2">
      <c r="A41" s="11">
        <v>45756</v>
      </c>
      <c r="B41" s="15"/>
      <c r="C41" s="48"/>
      <c r="D41" s="109"/>
      <c r="E41" s="48"/>
      <c r="F41" s="109"/>
      <c r="G41" s="110">
        <f t="shared" si="0"/>
        <v>0</v>
      </c>
      <c r="H41" s="111">
        <f t="shared" si="1"/>
        <v>0</v>
      </c>
      <c r="I41" s="48"/>
      <c r="J41" s="109"/>
      <c r="K41" s="66" t="e">
        <f t="shared" si="8"/>
        <v>#DIV/0!</v>
      </c>
      <c r="L41" s="71" t="e">
        <f t="shared" si="3"/>
        <v>#DIV/0!</v>
      </c>
      <c r="M41" s="72" t="e">
        <f t="shared" si="9"/>
        <v>#DIV/0!</v>
      </c>
      <c r="N41" s="110"/>
      <c r="O41" s="110"/>
      <c r="P41" s="105"/>
      <c r="Q41" s="66" t="e">
        <f t="shared" si="5"/>
        <v>#DIV/0!</v>
      </c>
      <c r="R41" s="71" t="e">
        <f t="shared" si="6"/>
        <v>#DIV/0!</v>
      </c>
      <c r="S41" s="104" t="e">
        <f t="shared" si="10"/>
        <v>#DIV/0!</v>
      </c>
      <c r="T41" s="48"/>
      <c r="U41" s="117"/>
      <c r="V41" s="127"/>
      <c r="W41" s="123"/>
      <c r="X41" s="109"/>
      <c r="Y41" s="48"/>
      <c r="Z41" s="73"/>
      <c r="AA41" s="48"/>
      <c r="AB41" s="73"/>
      <c r="AC41" s="48"/>
      <c r="AD41" s="74"/>
      <c r="AE41" s="48"/>
      <c r="AF41" s="7"/>
      <c r="AG41" s="7"/>
      <c r="AH41" s="8"/>
      <c r="AI41" s="8"/>
    </row>
    <row r="42" spans="1:35" ht="12.75" hidden="1" customHeight="1" x14ac:dyDescent="0.2">
      <c r="A42" s="11">
        <v>45757</v>
      </c>
      <c r="B42" s="15"/>
      <c r="C42" s="48"/>
      <c r="D42" s="109"/>
      <c r="E42" s="48"/>
      <c r="F42" s="109"/>
      <c r="G42" s="110">
        <f t="shared" si="0"/>
        <v>0</v>
      </c>
      <c r="H42" s="111">
        <f t="shared" si="1"/>
        <v>0</v>
      </c>
      <c r="I42" s="48"/>
      <c r="J42" s="109"/>
      <c r="K42" s="66" t="e">
        <f t="shared" si="8"/>
        <v>#DIV/0!</v>
      </c>
      <c r="L42" s="71" t="e">
        <f t="shared" si="3"/>
        <v>#DIV/0!</v>
      </c>
      <c r="M42" s="72" t="e">
        <f t="shared" si="9"/>
        <v>#DIV/0!</v>
      </c>
      <c r="N42" s="110"/>
      <c r="O42" s="110"/>
      <c r="P42" s="105"/>
      <c r="Q42" s="66" t="e">
        <f t="shared" si="5"/>
        <v>#DIV/0!</v>
      </c>
      <c r="R42" s="71" t="e">
        <f t="shared" si="6"/>
        <v>#DIV/0!</v>
      </c>
      <c r="S42" s="104" t="e">
        <f t="shared" si="10"/>
        <v>#DIV/0!</v>
      </c>
      <c r="T42" s="48"/>
      <c r="U42" s="117"/>
      <c r="V42" s="127"/>
      <c r="W42" s="123"/>
      <c r="X42" s="109"/>
      <c r="Y42" s="48"/>
      <c r="Z42" s="73"/>
      <c r="AA42" s="48"/>
      <c r="AB42" s="73"/>
      <c r="AC42" s="48"/>
      <c r="AD42" s="74"/>
      <c r="AE42" s="48"/>
      <c r="AF42" s="7"/>
      <c r="AG42" s="7"/>
      <c r="AH42" s="8"/>
      <c r="AI42" s="8"/>
    </row>
    <row r="43" spans="1:35" ht="12.75" hidden="1" customHeight="1" x14ac:dyDescent="0.2">
      <c r="A43" s="11">
        <v>45758</v>
      </c>
      <c r="B43" s="15"/>
      <c r="C43" s="48"/>
      <c r="D43" s="109"/>
      <c r="E43" s="48"/>
      <c r="F43" s="109"/>
      <c r="G43" s="110">
        <f t="shared" si="0"/>
        <v>0</v>
      </c>
      <c r="H43" s="111">
        <f t="shared" si="1"/>
        <v>0</v>
      </c>
      <c r="I43" s="48"/>
      <c r="J43" s="109"/>
      <c r="K43" s="66" t="e">
        <f t="shared" si="8"/>
        <v>#DIV/0!</v>
      </c>
      <c r="L43" s="71" t="e">
        <f t="shared" si="3"/>
        <v>#DIV/0!</v>
      </c>
      <c r="M43" s="72" t="e">
        <f t="shared" si="9"/>
        <v>#DIV/0!</v>
      </c>
      <c r="N43" s="110"/>
      <c r="O43" s="110"/>
      <c r="P43" s="105"/>
      <c r="Q43" s="66" t="e">
        <f t="shared" si="5"/>
        <v>#DIV/0!</v>
      </c>
      <c r="R43" s="71" t="e">
        <f t="shared" si="6"/>
        <v>#DIV/0!</v>
      </c>
      <c r="S43" s="104" t="e">
        <f t="shared" si="10"/>
        <v>#DIV/0!</v>
      </c>
      <c r="T43" s="48"/>
      <c r="U43" s="117"/>
      <c r="V43" s="127"/>
      <c r="W43" s="123"/>
      <c r="X43" s="109"/>
      <c r="Y43" s="48"/>
      <c r="Z43" s="73"/>
      <c r="AA43" s="48"/>
      <c r="AB43" s="73"/>
      <c r="AC43" s="48"/>
      <c r="AD43" s="74"/>
      <c r="AE43" s="48"/>
      <c r="AF43" s="7"/>
      <c r="AG43" s="7"/>
      <c r="AH43" s="8"/>
      <c r="AI43" s="8"/>
    </row>
    <row r="44" spans="1:35" ht="12.75" hidden="1" customHeight="1" x14ac:dyDescent="0.2">
      <c r="A44" s="11">
        <v>45759</v>
      </c>
      <c r="B44" s="15"/>
      <c r="C44" s="48"/>
      <c r="D44" s="109"/>
      <c r="E44" s="48"/>
      <c r="F44" s="109"/>
      <c r="G44" s="110">
        <f t="shared" si="0"/>
        <v>0</v>
      </c>
      <c r="H44" s="111">
        <f t="shared" si="1"/>
        <v>0</v>
      </c>
      <c r="I44" s="48"/>
      <c r="J44" s="109"/>
      <c r="K44" s="66" t="e">
        <f t="shared" si="8"/>
        <v>#DIV/0!</v>
      </c>
      <c r="L44" s="71" t="e">
        <f t="shared" si="3"/>
        <v>#DIV/0!</v>
      </c>
      <c r="M44" s="72" t="e">
        <f t="shared" si="9"/>
        <v>#DIV/0!</v>
      </c>
      <c r="N44" s="110"/>
      <c r="O44" s="110"/>
      <c r="P44" s="105"/>
      <c r="Q44" s="66" t="e">
        <f t="shared" si="5"/>
        <v>#DIV/0!</v>
      </c>
      <c r="R44" s="71" t="e">
        <f t="shared" si="6"/>
        <v>#DIV/0!</v>
      </c>
      <c r="S44" s="104" t="e">
        <f t="shared" si="10"/>
        <v>#DIV/0!</v>
      </c>
      <c r="T44" s="48"/>
      <c r="U44" s="117"/>
      <c r="V44" s="127"/>
      <c r="W44" s="123"/>
      <c r="X44" s="109"/>
      <c r="Y44" s="48"/>
      <c r="Z44" s="73"/>
      <c r="AA44" s="48"/>
      <c r="AB44" s="73"/>
      <c r="AC44" s="48"/>
      <c r="AD44" s="74"/>
      <c r="AE44" s="48"/>
      <c r="AF44" s="7"/>
      <c r="AG44" s="7"/>
      <c r="AH44" s="8"/>
      <c r="AI44" s="8"/>
    </row>
    <row r="45" spans="1:35" ht="12.75" hidden="1" customHeight="1" x14ac:dyDescent="0.2">
      <c r="A45" s="11">
        <v>45760</v>
      </c>
      <c r="B45" s="15"/>
      <c r="C45" s="48"/>
      <c r="D45" s="109"/>
      <c r="E45" s="48"/>
      <c r="F45" s="109"/>
      <c r="G45" s="110">
        <f t="shared" si="0"/>
        <v>0</v>
      </c>
      <c r="H45" s="111">
        <f t="shared" si="1"/>
        <v>0</v>
      </c>
      <c r="I45" s="48"/>
      <c r="J45" s="109"/>
      <c r="K45" s="66" t="e">
        <f t="shared" si="8"/>
        <v>#DIV/0!</v>
      </c>
      <c r="L45" s="71" t="e">
        <f t="shared" si="3"/>
        <v>#DIV/0!</v>
      </c>
      <c r="M45" s="72" t="e">
        <f t="shared" si="9"/>
        <v>#DIV/0!</v>
      </c>
      <c r="N45" s="110"/>
      <c r="O45" s="110"/>
      <c r="P45" s="105"/>
      <c r="Q45" s="66" t="e">
        <f t="shared" si="5"/>
        <v>#DIV/0!</v>
      </c>
      <c r="R45" s="71" t="e">
        <f t="shared" si="6"/>
        <v>#DIV/0!</v>
      </c>
      <c r="S45" s="104" t="e">
        <f t="shared" si="10"/>
        <v>#DIV/0!</v>
      </c>
      <c r="T45" s="48"/>
      <c r="U45" s="117"/>
      <c r="V45" s="127"/>
      <c r="W45" s="123"/>
      <c r="X45" s="109"/>
      <c r="Y45" s="48"/>
      <c r="Z45" s="73"/>
      <c r="AA45" s="48"/>
      <c r="AB45" s="73"/>
      <c r="AC45" s="48"/>
      <c r="AD45" s="74"/>
      <c r="AE45" s="48"/>
      <c r="AF45" s="7"/>
      <c r="AG45" s="7"/>
      <c r="AH45" s="8"/>
      <c r="AI45" s="8"/>
    </row>
    <row r="46" spans="1:35" ht="12.75" hidden="1" customHeight="1" x14ac:dyDescent="0.2">
      <c r="A46" s="11">
        <v>45761</v>
      </c>
      <c r="B46" s="15"/>
      <c r="C46" s="48"/>
      <c r="D46" s="109"/>
      <c r="E46" s="48"/>
      <c r="F46" s="109"/>
      <c r="G46" s="110">
        <f t="shared" si="0"/>
        <v>0</v>
      </c>
      <c r="H46" s="111">
        <f t="shared" si="1"/>
        <v>0</v>
      </c>
      <c r="I46" s="48"/>
      <c r="J46" s="109"/>
      <c r="K46" s="66" t="e">
        <f t="shared" si="8"/>
        <v>#DIV/0!</v>
      </c>
      <c r="L46" s="71" t="e">
        <f t="shared" si="3"/>
        <v>#DIV/0!</v>
      </c>
      <c r="M46" s="72" t="e">
        <f t="shared" si="9"/>
        <v>#DIV/0!</v>
      </c>
      <c r="N46" s="110"/>
      <c r="O46" s="110"/>
      <c r="P46" s="105"/>
      <c r="Q46" s="66" t="e">
        <f t="shared" si="5"/>
        <v>#DIV/0!</v>
      </c>
      <c r="R46" s="71" t="e">
        <f t="shared" si="6"/>
        <v>#DIV/0!</v>
      </c>
      <c r="S46" s="104" t="e">
        <f t="shared" si="10"/>
        <v>#DIV/0!</v>
      </c>
      <c r="T46" s="48"/>
      <c r="U46" s="117"/>
      <c r="V46" s="127"/>
      <c r="W46" s="123"/>
      <c r="X46" s="109"/>
      <c r="Y46" s="48"/>
      <c r="Z46" s="73"/>
      <c r="AA46" s="48"/>
      <c r="AB46" s="73"/>
      <c r="AC46" s="48"/>
      <c r="AD46" s="74"/>
      <c r="AE46" s="48"/>
      <c r="AF46" s="7"/>
      <c r="AG46" s="7"/>
      <c r="AH46" s="8"/>
      <c r="AI46" s="8"/>
    </row>
    <row r="47" spans="1:35" ht="12.75" hidden="1" customHeight="1" x14ac:dyDescent="0.2">
      <c r="A47" s="11">
        <v>45762</v>
      </c>
      <c r="B47" s="15"/>
      <c r="C47" s="48"/>
      <c r="D47" s="109"/>
      <c r="E47" s="48"/>
      <c r="F47" s="109"/>
      <c r="G47" s="110">
        <f t="shared" si="0"/>
        <v>0</v>
      </c>
      <c r="H47" s="111">
        <f t="shared" si="1"/>
        <v>0</v>
      </c>
      <c r="I47" s="48"/>
      <c r="J47" s="109"/>
      <c r="K47" s="66" t="e">
        <f t="shared" si="8"/>
        <v>#DIV/0!</v>
      </c>
      <c r="L47" s="71" t="e">
        <f t="shared" si="3"/>
        <v>#DIV/0!</v>
      </c>
      <c r="M47" s="72" t="e">
        <f t="shared" si="9"/>
        <v>#DIV/0!</v>
      </c>
      <c r="N47" s="110"/>
      <c r="O47" s="110"/>
      <c r="P47" s="105"/>
      <c r="Q47" s="66" t="e">
        <f t="shared" si="5"/>
        <v>#DIV/0!</v>
      </c>
      <c r="R47" s="71" t="e">
        <f t="shared" si="6"/>
        <v>#DIV/0!</v>
      </c>
      <c r="S47" s="104" t="e">
        <f t="shared" si="10"/>
        <v>#DIV/0!</v>
      </c>
      <c r="T47" s="48"/>
      <c r="U47" s="117"/>
      <c r="V47" s="127"/>
      <c r="W47" s="123"/>
      <c r="X47" s="109"/>
      <c r="Y47" s="48"/>
      <c r="Z47" s="73"/>
      <c r="AA47" s="48"/>
      <c r="AB47" s="73"/>
      <c r="AC47" s="48"/>
      <c r="AD47" s="74"/>
      <c r="AE47" s="48"/>
      <c r="AF47" s="7"/>
      <c r="AG47" s="7"/>
      <c r="AH47" s="8"/>
      <c r="AI47" s="8"/>
    </row>
    <row r="48" spans="1:35" ht="12.75" hidden="1" customHeight="1" x14ac:dyDescent="0.2">
      <c r="A48" s="11">
        <v>45763</v>
      </c>
      <c r="B48" s="15"/>
      <c r="C48" s="48"/>
      <c r="D48" s="109"/>
      <c r="E48" s="48"/>
      <c r="F48" s="109"/>
      <c r="G48" s="110">
        <f t="shared" si="0"/>
        <v>0</v>
      </c>
      <c r="H48" s="111">
        <f t="shared" si="1"/>
        <v>0</v>
      </c>
      <c r="I48" s="48"/>
      <c r="J48" s="109"/>
      <c r="K48" s="66" t="e">
        <f t="shared" si="8"/>
        <v>#DIV/0!</v>
      </c>
      <c r="L48" s="71" t="e">
        <f t="shared" si="3"/>
        <v>#DIV/0!</v>
      </c>
      <c r="M48" s="72" t="e">
        <f t="shared" si="9"/>
        <v>#DIV/0!</v>
      </c>
      <c r="N48" s="110"/>
      <c r="O48" s="110"/>
      <c r="P48" s="105"/>
      <c r="Q48" s="66" t="e">
        <f t="shared" si="5"/>
        <v>#DIV/0!</v>
      </c>
      <c r="R48" s="71" t="e">
        <f t="shared" si="6"/>
        <v>#DIV/0!</v>
      </c>
      <c r="S48" s="104" t="e">
        <f t="shared" si="10"/>
        <v>#DIV/0!</v>
      </c>
      <c r="T48" s="48"/>
      <c r="U48" s="117"/>
      <c r="V48" s="127"/>
      <c r="W48" s="123"/>
      <c r="X48" s="109"/>
      <c r="Y48" s="48"/>
      <c r="Z48" s="73"/>
      <c r="AA48" s="48"/>
      <c r="AB48" s="73"/>
      <c r="AC48" s="48"/>
      <c r="AD48" s="74"/>
      <c r="AE48" s="48"/>
      <c r="AF48" s="7"/>
      <c r="AG48" s="7"/>
      <c r="AH48" s="8"/>
      <c r="AI48" s="8"/>
    </row>
    <row r="49" spans="1:35" ht="12.75" hidden="1" customHeight="1" x14ac:dyDescent="0.2">
      <c r="A49" s="11">
        <v>45764</v>
      </c>
      <c r="B49" s="15"/>
      <c r="C49" s="48"/>
      <c r="D49" s="109"/>
      <c r="E49" s="48"/>
      <c r="F49" s="109"/>
      <c r="G49" s="110">
        <f t="shared" si="0"/>
        <v>0</v>
      </c>
      <c r="H49" s="111">
        <f t="shared" si="1"/>
        <v>0</v>
      </c>
      <c r="I49" s="48"/>
      <c r="J49" s="109"/>
      <c r="K49" s="66" t="e">
        <f t="shared" si="8"/>
        <v>#DIV/0!</v>
      </c>
      <c r="L49" s="71" t="e">
        <f t="shared" si="3"/>
        <v>#DIV/0!</v>
      </c>
      <c r="M49" s="72" t="e">
        <f t="shared" si="9"/>
        <v>#DIV/0!</v>
      </c>
      <c r="N49" s="110"/>
      <c r="O49" s="110"/>
      <c r="P49" s="105"/>
      <c r="Q49" s="66" t="e">
        <f t="shared" si="5"/>
        <v>#DIV/0!</v>
      </c>
      <c r="R49" s="71" t="e">
        <f t="shared" si="6"/>
        <v>#DIV/0!</v>
      </c>
      <c r="S49" s="104" t="e">
        <f t="shared" si="10"/>
        <v>#DIV/0!</v>
      </c>
      <c r="T49" s="48"/>
      <c r="U49" s="117"/>
      <c r="V49" s="127"/>
      <c r="W49" s="123"/>
      <c r="X49" s="109"/>
      <c r="Y49" s="48"/>
      <c r="Z49" s="73"/>
      <c r="AA49" s="48"/>
      <c r="AB49" s="73"/>
      <c r="AC49" s="48"/>
      <c r="AD49" s="74"/>
      <c r="AE49" s="48"/>
      <c r="AF49" s="7"/>
      <c r="AG49" s="7"/>
      <c r="AH49" s="8"/>
      <c r="AI49" s="8"/>
    </row>
    <row r="50" spans="1:35" ht="12.75" hidden="1" customHeight="1" x14ac:dyDescent="0.2">
      <c r="A50" s="11">
        <v>45765</v>
      </c>
      <c r="B50" s="15"/>
      <c r="C50" s="48"/>
      <c r="D50" s="109"/>
      <c r="E50" s="48"/>
      <c r="F50" s="109"/>
      <c r="G50" s="110">
        <f t="shared" si="0"/>
        <v>0</v>
      </c>
      <c r="H50" s="111">
        <f t="shared" si="1"/>
        <v>0</v>
      </c>
      <c r="I50" s="48"/>
      <c r="J50" s="109"/>
      <c r="K50" s="66" t="e">
        <f t="shared" si="8"/>
        <v>#DIV/0!</v>
      </c>
      <c r="L50" s="71" t="e">
        <f t="shared" si="3"/>
        <v>#DIV/0!</v>
      </c>
      <c r="M50" s="72" t="e">
        <f t="shared" si="9"/>
        <v>#DIV/0!</v>
      </c>
      <c r="N50" s="110"/>
      <c r="O50" s="110"/>
      <c r="P50" s="105"/>
      <c r="Q50" s="66" t="e">
        <f t="shared" si="5"/>
        <v>#DIV/0!</v>
      </c>
      <c r="R50" s="71" t="e">
        <f t="shared" si="6"/>
        <v>#DIV/0!</v>
      </c>
      <c r="S50" s="104" t="e">
        <f t="shared" si="10"/>
        <v>#DIV/0!</v>
      </c>
      <c r="T50" s="48"/>
      <c r="U50" s="117"/>
      <c r="V50" s="127"/>
      <c r="W50" s="123"/>
      <c r="X50" s="109"/>
      <c r="Y50" s="48"/>
      <c r="Z50" s="73"/>
      <c r="AA50" s="48"/>
      <c r="AB50" s="73"/>
      <c r="AC50" s="48"/>
      <c r="AD50" s="74"/>
      <c r="AE50" s="48"/>
      <c r="AF50" s="7"/>
      <c r="AG50" s="7"/>
      <c r="AH50" s="8"/>
      <c r="AI50" s="8"/>
    </row>
    <row r="51" spans="1:35" ht="12.75" hidden="1" customHeight="1" x14ac:dyDescent="0.2">
      <c r="A51" s="11">
        <v>45766</v>
      </c>
      <c r="B51" s="15"/>
      <c r="C51" s="48"/>
      <c r="D51" s="109"/>
      <c r="E51" s="48"/>
      <c r="F51" s="109"/>
      <c r="G51" s="110">
        <f t="shared" si="0"/>
        <v>0</v>
      </c>
      <c r="H51" s="111">
        <f t="shared" si="1"/>
        <v>0</v>
      </c>
      <c r="I51" s="48"/>
      <c r="J51" s="109"/>
      <c r="K51" s="66" t="e">
        <f t="shared" si="8"/>
        <v>#DIV/0!</v>
      </c>
      <c r="L51" s="71" t="e">
        <f t="shared" si="3"/>
        <v>#DIV/0!</v>
      </c>
      <c r="M51" s="72" t="e">
        <f t="shared" si="9"/>
        <v>#DIV/0!</v>
      </c>
      <c r="N51" s="110"/>
      <c r="O51" s="110"/>
      <c r="P51" s="105"/>
      <c r="Q51" s="66" t="e">
        <f t="shared" si="5"/>
        <v>#DIV/0!</v>
      </c>
      <c r="R51" s="71" t="e">
        <f t="shared" si="6"/>
        <v>#DIV/0!</v>
      </c>
      <c r="S51" s="104" t="e">
        <f t="shared" si="10"/>
        <v>#DIV/0!</v>
      </c>
      <c r="T51" s="48"/>
      <c r="U51" s="117"/>
      <c r="V51" s="127"/>
      <c r="W51" s="123"/>
      <c r="X51" s="109"/>
      <c r="Y51" s="48"/>
      <c r="Z51" s="73"/>
      <c r="AA51" s="48"/>
      <c r="AB51" s="73"/>
      <c r="AC51" s="48"/>
      <c r="AD51" s="74"/>
      <c r="AE51" s="48"/>
      <c r="AF51" s="7"/>
      <c r="AG51" s="7"/>
      <c r="AH51" s="8"/>
      <c r="AI51" s="8"/>
    </row>
    <row r="52" spans="1:35" ht="12.75" hidden="1" customHeight="1" x14ac:dyDescent="0.2">
      <c r="A52" s="11">
        <v>45767</v>
      </c>
      <c r="B52" s="15"/>
      <c r="C52" s="48"/>
      <c r="D52" s="109"/>
      <c r="E52" s="48"/>
      <c r="F52" s="109"/>
      <c r="G52" s="110">
        <f t="shared" si="0"/>
        <v>0</v>
      </c>
      <c r="H52" s="111">
        <f t="shared" si="1"/>
        <v>0</v>
      </c>
      <c r="I52" s="48"/>
      <c r="J52" s="109"/>
      <c r="K52" s="66" t="e">
        <f t="shared" si="8"/>
        <v>#DIV/0!</v>
      </c>
      <c r="L52" s="71" t="e">
        <f t="shared" si="3"/>
        <v>#DIV/0!</v>
      </c>
      <c r="M52" s="72" t="e">
        <f t="shared" si="9"/>
        <v>#DIV/0!</v>
      </c>
      <c r="N52" s="110"/>
      <c r="O52" s="110"/>
      <c r="P52" s="105"/>
      <c r="Q52" s="66" t="e">
        <f t="shared" si="5"/>
        <v>#DIV/0!</v>
      </c>
      <c r="R52" s="71" t="e">
        <f t="shared" si="6"/>
        <v>#DIV/0!</v>
      </c>
      <c r="S52" s="104" t="e">
        <f t="shared" si="10"/>
        <v>#DIV/0!</v>
      </c>
      <c r="T52" s="48"/>
      <c r="U52" s="117"/>
      <c r="V52" s="127"/>
      <c r="W52" s="123"/>
      <c r="X52" s="109"/>
      <c r="Y52" s="48"/>
      <c r="Z52" s="73"/>
      <c r="AA52" s="48"/>
      <c r="AB52" s="73"/>
      <c r="AC52" s="48"/>
      <c r="AD52" s="74"/>
      <c r="AE52" s="48"/>
      <c r="AF52" s="7"/>
      <c r="AG52" s="7"/>
      <c r="AH52" s="8"/>
      <c r="AI52" s="8"/>
    </row>
    <row r="53" spans="1:35" ht="12.75" hidden="1" customHeight="1" x14ac:dyDescent="0.2">
      <c r="A53" s="11">
        <v>45768</v>
      </c>
      <c r="B53" s="15"/>
      <c r="C53" s="48"/>
      <c r="D53" s="109"/>
      <c r="E53" s="48"/>
      <c r="F53" s="109"/>
      <c r="G53" s="110">
        <f t="shared" si="0"/>
        <v>0</v>
      </c>
      <c r="H53" s="111">
        <f t="shared" si="1"/>
        <v>0</v>
      </c>
      <c r="I53" s="48"/>
      <c r="J53" s="109"/>
      <c r="K53" s="66" t="e">
        <f t="shared" si="8"/>
        <v>#DIV/0!</v>
      </c>
      <c r="L53" s="71" t="e">
        <f t="shared" si="3"/>
        <v>#DIV/0!</v>
      </c>
      <c r="M53" s="72" t="e">
        <f t="shared" si="9"/>
        <v>#DIV/0!</v>
      </c>
      <c r="N53" s="110"/>
      <c r="O53" s="110"/>
      <c r="P53" s="105"/>
      <c r="Q53" s="66" t="e">
        <f t="shared" si="5"/>
        <v>#DIV/0!</v>
      </c>
      <c r="R53" s="71" t="e">
        <f t="shared" si="6"/>
        <v>#DIV/0!</v>
      </c>
      <c r="S53" s="104" t="e">
        <f t="shared" si="10"/>
        <v>#DIV/0!</v>
      </c>
      <c r="T53" s="48"/>
      <c r="U53" s="117"/>
      <c r="V53" s="127"/>
      <c r="W53" s="123"/>
      <c r="X53" s="109"/>
      <c r="Y53" s="48"/>
      <c r="Z53" s="73"/>
      <c r="AA53" s="48"/>
      <c r="AB53" s="73"/>
      <c r="AC53" s="48"/>
      <c r="AD53" s="74"/>
      <c r="AE53" s="48"/>
      <c r="AF53" s="7"/>
      <c r="AG53" s="7"/>
      <c r="AH53" s="8"/>
      <c r="AI53" s="8"/>
    </row>
    <row r="54" spans="1:35" ht="12.75" hidden="1" customHeight="1" x14ac:dyDescent="0.2">
      <c r="A54" s="11">
        <v>45769</v>
      </c>
      <c r="B54" s="15"/>
      <c r="C54" s="48"/>
      <c r="D54" s="109"/>
      <c r="E54" s="48"/>
      <c r="F54" s="109"/>
      <c r="G54" s="110">
        <f t="shared" si="0"/>
        <v>0</v>
      </c>
      <c r="H54" s="111">
        <f t="shared" si="1"/>
        <v>0</v>
      </c>
      <c r="I54" s="48"/>
      <c r="J54" s="109"/>
      <c r="K54" s="66" t="e">
        <f t="shared" si="8"/>
        <v>#DIV/0!</v>
      </c>
      <c r="L54" s="71" t="e">
        <f t="shared" si="3"/>
        <v>#DIV/0!</v>
      </c>
      <c r="M54" s="72" t="e">
        <f t="shared" si="9"/>
        <v>#DIV/0!</v>
      </c>
      <c r="N54" s="110"/>
      <c r="O54" s="110"/>
      <c r="P54" s="105"/>
      <c r="Q54" s="66" t="e">
        <f t="shared" si="5"/>
        <v>#DIV/0!</v>
      </c>
      <c r="R54" s="71" t="e">
        <f t="shared" si="6"/>
        <v>#DIV/0!</v>
      </c>
      <c r="S54" s="104" t="e">
        <f t="shared" si="10"/>
        <v>#DIV/0!</v>
      </c>
      <c r="T54" s="48"/>
      <c r="U54" s="117"/>
      <c r="V54" s="127"/>
      <c r="W54" s="123"/>
      <c r="X54" s="109"/>
      <c r="Y54" s="48"/>
      <c r="Z54" s="73"/>
      <c r="AA54" s="48"/>
      <c r="AB54" s="73"/>
      <c r="AC54" s="48"/>
      <c r="AD54" s="74"/>
      <c r="AE54" s="48"/>
      <c r="AF54" s="7"/>
      <c r="AG54" s="7"/>
      <c r="AH54" s="8"/>
      <c r="AI54" s="8"/>
    </row>
    <row r="55" spans="1:35" ht="12.75" hidden="1" customHeight="1" x14ac:dyDescent="0.2">
      <c r="A55" s="11">
        <v>45770</v>
      </c>
      <c r="B55" s="15"/>
      <c r="C55" s="48"/>
      <c r="D55" s="109"/>
      <c r="E55" s="48"/>
      <c r="F55" s="109"/>
      <c r="G55" s="110">
        <f t="shared" si="0"/>
        <v>0</v>
      </c>
      <c r="H55" s="111">
        <f t="shared" si="1"/>
        <v>0</v>
      </c>
      <c r="I55" s="48"/>
      <c r="J55" s="109"/>
      <c r="K55" s="66" t="e">
        <f t="shared" si="8"/>
        <v>#DIV/0!</v>
      </c>
      <c r="L55" s="71" t="e">
        <f t="shared" si="3"/>
        <v>#DIV/0!</v>
      </c>
      <c r="M55" s="72" t="e">
        <f t="shared" si="9"/>
        <v>#DIV/0!</v>
      </c>
      <c r="N55" s="110"/>
      <c r="O55" s="110"/>
      <c r="P55" s="105"/>
      <c r="Q55" s="66" t="e">
        <f t="shared" si="5"/>
        <v>#DIV/0!</v>
      </c>
      <c r="R55" s="71" t="e">
        <f t="shared" si="6"/>
        <v>#DIV/0!</v>
      </c>
      <c r="S55" s="104" t="e">
        <f t="shared" si="10"/>
        <v>#DIV/0!</v>
      </c>
      <c r="T55" s="48"/>
      <c r="U55" s="117"/>
      <c r="V55" s="127"/>
      <c r="W55" s="123"/>
      <c r="X55" s="109"/>
      <c r="Y55" s="48"/>
      <c r="Z55" s="73"/>
      <c r="AA55" s="48"/>
      <c r="AB55" s="73"/>
      <c r="AC55" s="48"/>
      <c r="AD55" s="74"/>
      <c r="AE55" s="48"/>
      <c r="AF55" s="7"/>
      <c r="AG55" s="7"/>
      <c r="AH55" s="8"/>
      <c r="AI55" s="8"/>
    </row>
    <row r="56" spans="1:35" ht="12.75" hidden="1" customHeight="1" x14ac:dyDescent="0.2">
      <c r="A56" s="11">
        <v>45771</v>
      </c>
      <c r="B56" s="15"/>
      <c r="C56" s="48"/>
      <c r="D56" s="109"/>
      <c r="E56" s="48"/>
      <c r="F56" s="109"/>
      <c r="G56" s="110">
        <f t="shared" si="0"/>
        <v>0</v>
      </c>
      <c r="H56" s="111">
        <f t="shared" si="1"/>
        <v>0</v>
      </c>
      <c r="I56" s="48"/>
      <c r="J56" s="109"/>
      <c r="K56" s="66" t="e">
        <f t="shared" si="8"/>
        <v>#DIV/0!</v>
      </c>
      <c r="L56" s="71" t="e">
        <f t="shared" si="3"/>
        <v>#DIV/0!</v>
      </c>
      <c r="M56" s="72" t="e">
        <f t="shared" si="9"/>
        <v>#DIV/0!</v>
      </c>
      <c r="N56" s="110"/>
      <c r="O56" s="110"/>
      <c r="P56" s="105"/>
      <c r="Q56" s="66" t="e">
        <f t="shared" si="5"/>
        <v>#DIV/0!</v>
      </c>
      <c r="R56" s="71" t="e">
        <f t="shared" si="6"/>
        <v>#DIV/0!</v>
      </c>
      <c r="S56" s="104" t="e">
        <f t="shared" si="10"/>
        <v>#DIV/0!</v>
      </c>
      <c r="T56" s="48"/>
      <c r="U56" s="117"/>
      <c r="V56" s="127"/>
      <c r="W56" s="123"/>
      <c r="X56" s="109"/>
      <c r="Y56" s="48"/>
      <c r="Z56" s="73"/>
      <c r="AA56" s="48"/>
      <c r="AB56" s="73"/>
      <c r="AC56" s="48"/>
      <c r="AD56" s="74"/>
      <c r="AE56" s="48"/>
      <c r="AF56" s="7"/>
      <c r="AG56" s="7"/>
      <c r="AH56" s="8"/>
      <c r="AI56" s="8"/>
    </row>
    <row r="57" spans="1:35" ht="12.75" hidden="1" customHeight="1" x14ac:dyDescent="0.2">
      <c r="A57" s="11">
        <v>45772</v>
      </c>
      <c r="B57" s="15"/>
      <c r="C57" s="48"/>
      <c r="D57" s="109"/>
      <c r="E57" s="48"/>
      <c r="F57" s="109"/>
      <c r="G57" s="110">
        <f t="shared" si="0"/>
        <v>0</v>
      </c>
      <c r="H57" s="111">
        <f t="shared" si="1"/>
        <v>0</v>
      </c>
      <c r="I57" s="48"/>
      <c r="J57" s="109"/>
      <c r="K57" s="66" t="e">
        <f t="shared" si="8"/>
        <v>#DIV/0!</v>
      </c>
      <c r="L57" s="71" t="e">
        <f t="shared" si="3"/>
        <v>#DIV/0!</v>
      </c>
      <c r="M57" s="72" t="e">
        <f t="shared" si="9"/>
        <v>#DIV/0!</v>
      </c>
      <c r="N57" s="110"/>
      <c r="O57" s="110"/>
      <c r="P57" s="105"/>
      <c r="Q57" s="66" t="e">
        <f t="shared" si="5"/>
        <v>#DIV/0!</v>
      </c>
      <c r="R57" s="71" t="e">
        <f t="shared" si="6"/>
        <v>#DIV/0!</v>
      </c>
      <c r="S57" s="104" t="e">
        <f t="shared" si="10"/>
        <v>#DIV/0!</v>
      </c>
      <c r="T57" s="48"/>
      <c r="U57" s="117"/>
      <c r="V57" s="127"/>
      <c r="W57" s="123"/>
      <c r="X57" s="109"/>
      <c r="Y57" s="48"/>
      <c r="Z57" s="73"/>
      <c r="AA57" s="48"/>
      <c r="AB57" s="73"/>
      <c r="AC57" s="48"/>
      <c r="AD57" s="74"/>
      <c r="AE57" s="48"/>
      <c r="AF57" s="7"/>
      <c r="AG57" s="7"/>
      <c r="AH57" s="8"/>
      <c r="AI57" s="8"/>
    </row>
    <row r="58" spans="1:35" ht="12.75" hidden="1" customHeight="1" x14ac:dyDescent="0.2">
      <c r="A58" s="11">
        <v>45773</v>
      </c>
      <c r="B58" s="15"/>
      <c r="C58" s="48"/>
      <c r="D58" s="109"/>
      <c r="E58" s="48"/>
      <c r="F58" s="109"/>
      <c r="G58" s="110">
        <f t="shared" si="0"/>
        <v>0</v>
      </c>
      <c r="H58" s="111">
        <f t="shared" si="1"/>
        <v>0</v>
      </c>
      <c r="I58" s="48"/>
      <c r="J58" s="109"/>
      <c r="K58" s="66" t="e">
        <f t="shared" si="8"/>
        <v>#DIV/0!</v>
      </c>
      <c r="L58" s="71" t="e">
        <f t="shared" si="3"/>
        <v>#DIV/0!</v>
      </c>
      <c r="M58" s="72" t="e">
        <f t="shared" si="9"/>
        <v>#DIV/0!</v>
      </c>
      <c r="N58" s="110"/>
      <c r="O58" s="110"/>
      <c r="P58" s="105"/>
      <c r="Q58" s="66" t="e">
        <f t="shared" si="5"/>
        <v>#DIV/0!</v>
      </c>
      <c r="R58" s="71" t="e">
        <f t="shared" si="6"/>
        <v>#DIV/0!</v>
      </c>
      <c r="S58" s="104" t="e">
        <f t="shared" si="10"/>
        <v>#DIV/0!</v>
      </c>
      <c r="T58" s="48"/>
      <c r="U58" s="117"/>
      <c r="V58" s="127"/>
      <c r="W58" s="123"/>
      <c r="X58" s="109"/>
      <c r="Y58" s="48"/>
      <c r="Z58" s="73"/>
      <c r="AA58" s="48"/>
      <c r="AB58" s="73"/>
      <c r="AC58" s="48"/>
      <c r="AD58" s="74"/>
      <c r="AE58" s="48"/>
      <c r="AF58" s="7"/>
      <c r="AG58" s="7"/>
      <c r="AH58" s="8"/>
      <c r="AI58" s="8"/>
    </row>
    <row r="59" spans="1:35" ht="12.75" hidden="1" customHeight="1" x14ac:dyDescent="0.2">
      <c r="A59" s="11">
        <v>45774</v>
      </c>
      <c r="B59" s="15"/>
      <c r="C59" s="48"/>
      <c r="D59" s="109"/>
      <c r="E59" s="48"/>
      <c r="F59" s="109"/>
      <c r="G59" s="110">
        <f t="shared" si="0"/>
        <v>0</v>
      </c>
      <c r="H59" s="111">
        <f t="shared" si="1"/>
        <v>0</v>
      </c>
      <c r="I59" s="48"/>
      <c r="J59" s="109"/>
      <c r="K59" s="66" t="e">
        <f t="shared" si="8"/>
        <v>#DIV/0!</v>
      </c>
      <c r="L59" s="71" t="e">
        <f t="shared" si="3"/>
        <v>#DIV/0!</v>
      </c>
      <c r="M59" s="72">
        <f t="shared" si="9"/>
        <v>1</v>
      </c>
      <c r="N59" s="110"/>
      <c r="O59" s="110"/>
      <c r="P59" s="105"/>
      <c r="Q59" s="66" t="e">
        <f t="shared" si="5"/>
        <v>#DIV/0!</v>
      </c>
      <c r="R59" s="71" t="e">
        <f t="shared" si="6"/>
        <v>#DIV/0!</v>
      </c>
      <c r="S59" s="104">
        <f t="shared" si="10"/>
        <v>1</v>
      </c>
      <c r="T59" s="48"/>
      <c r="U59" s="117"/>
      <c r="V59" s="127"/>
      <c r="W59" s="123"/>
      <c r="X59" s="109"/>
      <c r="Y59" s="48"/>
      <c r="Z59" s="73"/>
      <c r="AA59" s="48"/>
      <c r="AB59" s="73"/>
      <c r="AC59" s="48"/>
      <c r="AD59" s="74"/>
      <c r="AE59" s="48"/>
      <c r="AF59" s="7"/>
      <c r="AG59" s="7"/>
      <c r="AH59" s="8"/>
      <c r="AI59" s="8"/>
    </row>
    <row r="60" spans="1:35" x14ac:dyDescent="0.2">
      <c r="A60" s="11">
        <v>45775</v>
      </c>
      <c r="B60" s="15">
        <v>0.54236111111111107</v>
      </c>
      <c r="C60" s="69">
        <v>17.399999999999999</v>
      </c>
      <c r="D60" s="143">
        <v>17</v>
      </c>
      <c r="E60" s="69">
        <v>22</v>
      </c>
      <c r="F60" s="143">
        <v>21.1</v>
      </c>
      <c r="G60" s="144">
        <f t="shared" si="0"/>
        <v>0.39999999999999858</v>
      </c>
      <c r="H60" s="144">
        <f t="shared" si="1"/>
        <v>0.89999999999999858</v>
      </c>
      <c r="I60" s="69">
        <v>49.1</v>
      </c>
      <c r="J60" s="143">
        <v>26</v>
      </c>
      <c r="K60" s="131">
        <f t="shared" si="8"/>
        <v>0.52953156822810588</v>
      </c>
      <c r="L60" s="139">
        <f t="shared" si="3"/>
        <v>2.1255411255411256</v>
      </c>
      <c r="M60" s="131">
        <f t="shared" si="9"/>
        <v>-4.4680851063829817E-2</v>
      </c>
      <c r="N60" s="144">
        <f t="shared" ref="N60:N91" si="11">I60-J60</f>
        <v>23.1</v>
      </c>
      <c r="O60" s="144">
        <v>1</v>
      </c>
      <c r="P60" s="69"/>
      <c r="Q60" s="131">
        <f t="shared" si="5"/>
        <v>4.3290043290043288E-2</v>
      </c>
      <c r="R60" s="139">
        <f t="shared" si="6"/>
        <v>1.0452488687782806</v>
      </c>
      <c r="S60" s="131">
        <f t="shared" si="10"/>
        <v>-5.0000000000000065E-2</v>
      </c>
      <c r="T60" s="69">
        <f t="shared" ref="T60:T67" si="12">+J60+O60</f>
        <v>27</v>
      </c>
      <c r="U60" s="118">
        <f t="shared" ref="R60:U91" si="13">+N60-O60</f>
        <v>22.1</v>
      </c>
      <c r="V60" s="131">
        <f t="shared" ref="V60:V91" si="14">+T60/I60</f>
        <v>0.54989816700610994</v>
      </c>
      <c r="W60" s="118"/>
      <c r="X60" s="69"/>
      <c r="Y60" s="69">
        <v>5.4</v>
      </c>
      <c r="Z60" s="134">
        <v>0.1</v>
      </c>
      <c r="AA60" s="133" t="s">
        <v>48</v>
      </c>
      <c r="AB60" s="134" t="s">
        <v>48</v>
      </c>
      <c r="AC60" s="69">
        <v>5.4</v>
      </c>
      <c r="AD60" s="145">
        <v>0.2</v>
      </c>
      <c r="AE60" s="50">
        <v>2.1</v>
      </c>
      <c r="AF60" s="50" t="s">
        <v>106</v>
      </c>
      <c r="AG60" s="142" t="s">
        <v>48</v>
      </c>
      <c r="AH60" s="109" t="s">
        <v>109</v>
      </c>
      <c r="AI60" s="8"/>
    </row>
    <row r="61" spans="1:35" x14ac:dyDescent="0.2">
      <c r="A61" s="11">
        <v>45776</v>
      </c>
      <c r="B61" s="15">
        <v>0.5</v>
      </c>
      <c r="C61" s="69">
        <v>17.3</v>
      </c>
      <c r="D61" s="69">
        <v>17</v>
      </c>
      <c r="E61" s="69">
        <v>23</v>
      </c>
      <c r="F61" s="69">
        <v>23</v>
      </c>
      <c r="G61" s="144">
        <f t="shared" si="0"/>
        <v>0.30000000000000071</v>
      </c>
      <c r="H61" s="144">
        <f t="shared" si="1"/>
        <v>0</v>
      </c>
      <c r="I61" s="69">
        <v>47</v>
      </c>
      <c r="J61" s="69">
        <v>25</v>
      </c>
      <c r="K61" s="131">
        <f t="shared" si="8"/>
        <v>0.53191489361702127</v>
      </c>
      <c r="L61" s="139">
        <f t="shared" si="3"/>
        <v>2.1363636363636362</v>
      </c>
      <c r="M61" s="131">
        <f t="shared" si="9"/>
        <v>-3.5242290748898709E-2</v>
      </c>
      <c r="N61" s="144">
        <f t="shared" si="11"/>
        <v>22</v>
      </c>
      <c r="O61" s="144">
        <v>2</v>
      </c>
      <c r="P61" s="69"/>
      <c r="Q61" s="131">
        <f t="shared" si="5"/>
        <v>9.0909090909090912E-2</v>
      </c>
      <c r="R61" s="139">
        <f t="shared" si="6"/>
        <v>1.1000000000000001</v>
      </c>
      <c r="S61" s="131">
        <f t="shared" si="10"/>
        <v>-7.8431372549019676E-2</v>
      </c>
      <c r="T61" s="69">
        <f t="shared" si="12"/>
        <v>27</v>
      </c>
      <c r="U61" s="118">
        <f t="shared" si="13"/>
        <v>20</v>
      </c>
      <c r="V61" s="131">
        <f t="shared" si="14"/>
        <v>0.57446808510638303</v>
      </c>
      <c r="W61" s="118"/>
      <c r="X61" s="69"/>
      <c r="Y61" s="69">
        <v>5.5</v>
      </c>
      <c r="Z61" s="134">
        <f>+Y61-Y60</f>
        <v>9.9999999999999645E-2</v>
      </c>
      <c r="AA61" s="133" t="s">
        <v>48</v>
      </c>
      <c r="AB61" s="134" t="s">
        <v>48</v>
      </c>
      <c r="AC61" s="69">
        <v>5.6</v>
      </c>
      <c r="AD61" s="145">
        <f>+AC61-AC60</f>
        <v>0.19999999999999929</v>
      </c>
      <c r="AE61" s="133" t="s">
        <v>49</v>
      </c>
      <c r="AF61" s="50" t="s">
        <v>106</v>
      </c>
      <c r="AG61" s="142" t="s">
        <v>48</v>
      </c>
      <c r="AH61" s="109" t="s">
        <v>109</v>
      </c>
      <c r="AI61" s="8"/>
    </row>
    <row r="62" spans="1:35" x14ac:dyDescent="0.2">
      <c r="A62" s="11">
        <v>45777</v>
      </c>
      <c r="B62" s="15">
        <v>0.5</v>
      </c>
      <c r="C62" s="69">
        <v>17.100000000000001</v>
      </c>
      <c r="D62" s="69">
        <v>17</v>
      </c>
      <c r="E62" s="69">
        <v>23</v>
      </c>
      <c r="F62" s="69">
        <v>23</v>
      </c>
      <c r="G62" s="144">
        <f t="shared" si="0"/>
        <v>0.10000000000000142</v>
      </c>
      <c r="H62" s="144">
        <f t="shared" si="1"/>
        <v>0</v>
      </c>
      <c r="I62" s="69">
        <v>45.4</v>
      </c>
      <c r="J62" s="69">
        <v>25</v>
      </c>
      <c r="K62" s="131">
        <f t="shared" si="8"/>
        <v>0.55066079295154191</v>
      </c>
      <c r="L62" s="139">
        <f t="shared" si="3"/>
        <v>2.2254901960784315</v>
      </c>
      <c r="M62" s="131">
        <f t="shared" si="9"/>
        <v>-4.8498845265588952E-2</v>
      </c>
      <c r="N62" s="144">
        <f t="shared" si="11"/>
        <v>20.399999999999999</v>
      </c>
      <c r="O62" s="144">
        <v>3</v>
      </c>
      <c r="P62" s="69"/>
      <c r="Q62" s="131">
        <f t="shared" si="5"/>
        <v>0.14705882352941177</v>
      </c>
      <c r="R62" s="139">
        <f t="shared" si="6"/>
        <v>1.1724137931034484</v>
      </c>
      <c r="S62" s="131">
        <f t="shared" si="10"/>
        <v>-0.17919075144508681</v>
      </c>
      <c r="T62" s="69">
        <f t="shared" si="12"/>
        <v>28</v>
      </c>
      <c r="U62" s="118">
        <f t="shared" si="13"/>
        <v>17.399999999999999</v>
      </c>
      <c r="V62" s="131">
        <f t="shared" si="14"/>
        <v>0.61674008810572689</v>
      </c>
      <c r="W62" s="118"/>
      <c r="X62" s="69"/>
      <c r="Y62" s="69">
        <v>5.5</v>
      </c>
      <c r="Z62" s="134">
        <f t="shared" ref="W62:Z100" si="15">+Y62-Y61</f>
        <v>0</v>
      </c>
      <c r="AA62" s="133" t="s">
        <v>48</v>
      </c>
      <c r="AB62" s="134" t="s">
        <v>48</v>
      </c>
      <c r="AC62" s="69">
        <v>5.5</v>
      </c>
      <c r="AD62" s="145">
        <f t="shared" ref="AD62" si="16">+AC62-AC61</f>
        <v>-9.9999999999999645E-2</v>
      </c>
      <c r="AE62" s="50">
        <v>2.2000000000000002</v>
      </c>
      <c r="AF62" s="50" t="s">
        <v>106</v>
      </c>
      <c r="AG62" s="142" t="s">
        <v>48</v>
      </c>
      <c r="AH62" s="109" t="s">
        <v>109</v>
      </c>
      <c r="AI62" s="8"/>
    </row>
    <row r="63" spans="1:35" x14ac:dyDescent="0.2">
      <c r="A63" s="11">
        <v>45779</v>
      </c>
      <c r="B63" s="15">
        <v>0.5</v>
      </c>
      <c r="C63" s="143">
        <v>18.100000000000001</v>
      </c>
      <c r="D63" s="69">
        <v>17</v>
      </c>
      <c r="E63" s="143">
        <v>22</v>
      </c>
      <c r="F63" s="69">
        <v>21.2</v>
      </c>
      <c r="G63" s="144">
        <f t="shared" si="0"/>
        <v>1.1000000000000014</v>
      </c>
      <c r="H63" s="144">
        <f>E63-F63</f>
        <v>0.80000000000000071</v>
      </c>
      <c r="I63" s="143">
        <v>43.3</v>
      </c>
      <c r="J63" s="69">
        <v>26</v>
      </c>
      <c r="K63" s="131">
        <f t="shared" si="8"/>
        <v>0.60046189376443426</v>
      </c>
      <c r="L63" s="139">
        <f>1/(1-K63)</f>
        <v>2.502890173410405</v>
      </c>
      <c r="M63" s="131">
        <f t="shared" si="9"/>
        <v>-1.1682242990654207E-2</v>
      </c>
      <c r="N63" s="144">
        <f t="shared" si="11"/>
        <v>17.299999999999997</v>
      </c>
      <c r="O63" s="144">
        <v>2</v>
      </c>
      <c r="P63" s="143"/>
      <c r="Q63" s="131">
        <f t="shared" si="5"/>
        <v>0.115606936416185</v>
      </c>
      <c r="R63" s="139">
        <f t="shared" si="6"/>
        <v>1.130718954248366</v>
      </c>
      <c r="S63" s="131">
        <f t="shared" si="10"/>
        <v>5.4644808743169404E-2</v>
      </c>
      <c r="T63" s="143">
        <f t="shared" si="12"/>
        <v>28</v>
      </c>
      <c r="U63" s="118">
        <f t="shared" si="13"/>
        <v>15.299999999999997</v>
      </c>
      <c r="V63" s="131">
        <f t="shared" si="14"/>
        <v>0.64665127020785229</v>
      </c>
      <c r="W63" s="118"/>
      <c r="X63" s="143"/>
      <c r="Y63" s="69">
        <v>5.5</v>
      </c>
      <c r="Z63" s="134">
        <f>+Y64-Y63</f>
        <v>-9.9999999999999645E-2</v>
      </c>
      <c r="AA63" s="133" t="s">
        <v>48</v>
      </c>
      <c r="AB63" s="134" t="s">
        <v>48</v>
      </c>
      <c r="AC63" s="69">
        <v>5.5</v>
      </c>
      <c r="AD63" s="145">
        <v>0.2</v>
      </c>
      <c r="AE63" s="50">
        <v>2.5</v>
      </c>
      <c r="AF63" s="50" t="s">
        <v>106</v>
      </c>
      <c r="AG63" s="142" t="s">
        <v>48</v>
      </c>
      <c r="AH63" s="109" t="s">
        <v>109</v>
      </c>
      <c r="AI63" s="8"/>
    </row>
    <row r="64" spans="1:35" x14ac:dyDescent="0.2">
      <c r="A64" s="11">
        <v>45782</v>
      </c>
      <c r="B64" s="15">
        <v>0.5</v>
      </c>
      <c r="C64" s="143">
        <v>17.399999999999999</v>
      </c>
      <c r="D64" s="69">
        <v>17</v>
      </c>
      <c r="E64" s="143">
        <v>21</v>
      </c>
      <c r="F64" s="69">
        <v>20.100000000000001</v>
      </c>
      <c r="G64" s="144">
        <f t="shared" si="0"/>
        <v>0.39999999999999858</v>
      </c>
      <c r="H64" s="144">
        <f t="shared" si="1"/>
        <v>0.89999999999999858</v>
      </c>
      <c r="I64" s="143">
        <v>42.8</v>
      </c>
      <c r="J64" s="69">
        <v>24.5</v>
      </c>
      <c r="K64" s="131">
        <f t="shared" si="8"/>
        <v>0.57242990654205617</v>
      </c>
      <c r="L64" s="139">
        <f t="shared" ref="L64:L108" si="17">1/(1-K64)</f>
        <v>2.3387978142076506</v>
      </c>
      <c r="M64" s="131">
        <f t="shared" si="9"/>
        <v>1.8348623853211107E-2</v>
      </c>
      <c r="N64" s="144">
        <f t="shared" si="11"/>
        <v>18.299999999999997</v>
      </c>
      <c r="O64" s="144">
        <v>2</v>
      </c>
      <c r="P64" s="143"/>
      <c r="Q64" s="131">
        <f t="shared" si="5"/>
        <v>0.10928961748633881</v>
      </c>
      <c r="R64" s="139">
        <f t="shared" si="6"/>
        <v>1.1226993865030674</v>
      </c>
      <c r="S64" s="131">
        <f t="shared" si="10"/>
        <v>8.0402010050251493E-2</v>
      </c>
      <c r="T64" s="143">
        <f t="shared" si="12"/>
        <v>26.5</v>
      </c>
      <c r="U64" s="118">
        <f t="shared" si="13"/>
        <v>16.299999999999997</v>
      </c>
      <c r="V64" s="131">
        <f t="shared" si="14"/>
        <v>0.61915887850467299</v>
      </c>
      <c r="W64" s="118"/>
      <c r="X64" s="143"/>
      <c r="Y64" s="143">
        <v>5.4</v>
      </c>
      <c r="Z64" s="134">
        <f>+Y65-Y64</f>
        <v>9.9999999999999645E-2</v>
      </c>
      <c r="AA64" s="133" t="s">
        <v>48</v>
      </c>
      <c r="AB64" s="134" t="s">
        <v>48</v>
      </c>
      <c r="AC64" s="143" t="s">
        <v>71</v>
      </c>
      <c r="AD64" s="145">
        <v>0.2</v>
      </c>
      <c r="AE64" s="50">
        <v>2.1</v>
      </c>
      <c r="AF64" s="50" t="s">
        <v>106</v>
      </c>
      <c r="AG64" s="142" t="s">
        <v>48</v>
      </c>
      <c r="AH64" s="109" t="s">
        <v>109</v>
      </c>
      <c r="AI64" s="8"/>
    </row>
    <row r="65" spans="1:35" x14ac:dyDescent="0.2">
      <c r="A65" s="11">
        <v>45783</v>
      </c>
      <c r="B65" s="61" t="s">
        <v>69</v>
      </c>
      <c r="C65" s="69">
        <v>17.899999999999999</v>
      </c>
      <c r="D65" s="69">
        <v>17</v>
      </c>
      <c r="E65" s="69">
        <v>21</v>
      </c>
      <c r="F65" s="69">
        <v>20.100000000000001</v>
      </c>
      <c r="G65" s="144">
        <f t="shared" si="0"/>
        <v>0.89999999999999858</v>
      </c>
      <c r="H65" s="144">
        <f t="shared" si="1"/>
        <v>0.89999999999999858</v>
      </c>
      <c r="I65" s="69">
        <v>43.6</v>
      </c>
      <c r="J65" s="69">
        <v>23.7</v>
      </c>
      <c r="K65" s="131">
        <f t="shared" si="8"/>
        <v>0.54357798165137616</v>
      </c>
      <c r="L65" s="139">
        <f t="shared" si="17"/>
        <v>2.1909547738693469</v>
      </c>
      <c r="M65" s="131">
        <f t="shared" si="9"/>
        <v>-4.5563549160671422E-2</v>
      </c>
      <c r="N65" s="144">
        <f t="shared" si="11"/>
        <v>19.900000000000002</v>
      </c>
      <c r="O65" s="144">
        <v>3</v>
      </c>
      <c r="P65" s="69"/>
      <c r="Q65" s="131">
        <f t="shared" si="5"/>
        <v>0.15075376884422109</v>
      </c>
      <c r="R65" s="139">
        <f t="shared" si="6"/>
        <v>1.1775147928994083</v>
      </c>
      <c r="S65" s="131">
        <f t="shared" si="10"/>
        <v>-1.5306122448979626E-2</v>
      </c>
      <c r="T65" s="69">
        <f t="shared" si="12"/>
        <v>26.7</v>
      </c>
      <c r="U65" s="118">
        <f t="shared" si="13"/>
        <v>16.900000000000002</v>
      </c>
      <c r="V65" s="131">
        <f t="shared" si="14"/>
        <v>0.61238532110091737</v>
      </c>
      <c r="W65" s="118"/>
      <c r="X65" s="69"/>
      <c r="Y65" s="69">
        <v>5.5</v>
      </c>
      <c r="Z65" s="134">
        <f t="shared" si="15"/>
        <v>9.9999999999999645E-2</v>
      </c>
      <c r="AA65" s="133" t="s">
        <v>48</v>
      </c>
      <c r="AB65" s="134" t="s">
        <v>48</v>
      </c>
      <c r="AC65" s="69">
        <v>5.5</v>
      </c>
      <c r="AD65" s="145">
        <v>0.2</v>
      </c>
      <c r="AE65" s="50">
        <v>2.7</v>
      </c>
      <c r="AF65" s="50" t="s">
        <v>106</v>
      </c>
      <c r="AG65" s="142" t="s">
        <v>48</v>
      </c>
      <c r="AH65" s="109" t="s">
        <v>109</v>
      </c>
      <c r="AI65" s="8"/>
    </row>
    <row r="66" spans="1:35" x14ac:dyDescent="0.2">
      <c r="A66" s="11">
        <v>45784</v>
      </c>
      <c r="B66" s="61" t="s">
        <v>70</v>
      </c>
      <c r="C66" s="69">
        <v>16.600000000000001</v>
      </c>
      <c r="D66" s="69">
        <v>16.5</v>
      </c>
      <c r="E66" s="69">
        <v>21</v>
      </c>
      <c r="F66" s="69">
        <v>21.9</v>
      </c>
      <c r="G66" s="144">
        <f t="shared" ref="G66:G129" si="18">C66-D66</f>
        <v>0.10000000000000142</v>
      </c>
      <c r="H66" s="144">
        <f>E66-F66</f>
        <v>-0.89999999999999858</v>
      </c>
      <c r="I66" s="69">
        <v>41.7</v>
      </c>
      <c r="J66" s="69">
        <v>22.1</v>
      </c>
      <c r="K66" s="131">
        <f t="shared" ref="K66:K94" si="19">J66/I66</f>
        <v>0.52997601918465231</v>
      </c>
      <c r="L66" s="139">
        <f t="shared" si="17"/>
        <v>2.1275510204081636</v>
      </c>
      <c r="M66" s="131">
        <f t="shared" ref="M66:M93" si="20">(I67-I66)/I67</f>
        <v>-1.4598540145985436E-2</v>
      </c>
      <c r="N66" s="144">
        <f t="shared" si="11"/>
        <v>19.600000000000001</v>
      </c>
      <c r="O66" s="144">
        <v>3</v>
      </c>
      <c r="P66" s="69"/>
      <c r="Q66" s="131">
        <f t="shared" ref="Q66:Q129" si="21">O66/N66</f>
        <v>0.15306122448979589</v>
      </c>
      <c r="R66" s="139">
        <f t="shared" ref="R66:R129" si="22">1/(1-Q66)</f>
        <v>1.1807228915662651</v>
      </c>
      <c r="S66" s="131">
        <f t="shared" ref="S66:S77" si="23">(N67-N66)/N67</f>
        <v>-4.812834224598922E-2</v>
      </c>
      <c r="T66" s="69">
        <f t="shared" si="12"/>
        <v>25.1</v>
      </c>
      <c r="U66" s="118">
        <f t="shared" si="13"/>
        <v>16.600000000000001</v>
      </c>
      <c r="V66" s="131">
        <f t="shared" si="14"/>
        <v>0.60191846522781778</v>
      </c>
      <c r="W66" s="118"/>
      <c r="X66" s="69"/>
      <c r="Y66" s="69">
        <v>5.5</v>
      </c>
      <c r="Z66" s="134">
        <f t="shared" si="15"/>
        <v>0</v>
      </c>
      <c r="AA66" s="133" t="s">
        <v>48</v>
      </c>
      <c r="AB66" s="134" t="s">
        <v>48</v>
      </c>
      <c r="AC66" s="69">
        <v>5.5</v>
      </c>
      <c r="AD66" s="145">
        <v>0.1</v>
      </c>
      <c r="AE66" s="50">
        <v>3.1</v>
      </c>
      <c r="AF66" s="50" t="s">
        <v>106</v>
      </c>
      <c r="AG66" s="142" t="s">
        <v>48</v>
      </c>
      <c r="AH66" s="109" t="s">
        <v>109</v>
      </c>
      <c r="AI66" s="8"/>
    </row>
    <row r="67" spans="1:35" x14ac:dyDescent="0.2">
      <c r="A67" s="11">
        <v>45785</v>
      </c>
      <c r="B67" s="15">
        <v>0.52083333333333337</v>
      </c>
      <c r="C67" s="143">
        <v>16.8</v>
      </c>
      <c r="D67" s="69">
        <v>16.5</v>
      </c>
      <c r="E67" s="143">
        <v>21</v>
      </c>
      <c r="F67" s="69">
        <v>21.9</v>
      </c>
      <c r="G67" s="144">
        <f t="shared" si="18"/>
        <v>0.30000000000000071</v>
      </c>
      <c r="H67" s="144">
        <f t="shared" ref="H67:H129" si="24">E67-F67</f>
        <v>-0.89999999999999858</v>
      </c>
      <c r="I67" s="143">
        <v>41.1</v>
      </c>
      <c r="J67" s="69">
        <v>22.4</v>
      </c>
      <c r="K67" s="131">
        <f t="shared" si="19"/>
        <v>0.54501216545012166</v>
      </c>
      <c r="L67" s="139">
        <f t="shared" si="17"/>
        <v>2.1978609625668448</v>
      </c>
      <c r="M67" s="131">
        <f t="shared" si="20"/>
        <v>0.25543478260869568</v>
      </c>
      <c r="N67" s="144">
        <f t="shared" si="11"/>
        <v>18.700000000000003</v>
      </c>
      <c r="O67" s="144">
        <v>3</v>
      </c>
      <c r="P67" s="143"/>
      <c r="Q67" s="131">
        <f t="shared" si="21"/>
        <v>0.16042780748663099</v>
      </c>
      <c r="R67" s="139">
        <f t="shared" si="22"/>
        <v>1.1910828025477707</v>
      </c>
      <c r="S67" s="131">
        <f t="shared" si="23"/>
        <v>0.54611650485436891</v>
      </c>
      <c r="T67" s="143">
        <f t="shared" si="12"/>
        <v>25.4</v>
      </c>
      <c r="U67" s="118">
        <f t="shared" si="13"/>
        <v>15.700000000000003</v>
      </c>
      <c r="V67" s="131">
        <f t="shared" si="14"/>
        <v>0.61800486618004857</v>
      </c>
      <c r="W67" s="118"/>
      <c r="X67" s="143"/>
      <c r="Y67" s="69">
        <v>5.4</v>
      </c>
      <c r="Z67" s="134">
        <f t="shared" si="15"/>
        <v>-9.9999999999999645E-2</v>
      </c>
      <c r="AA67" s="133" t="s">
        <v>48</v>
      </c>
      <c r="AB67" s="134" t="s">
        <v>48</v>
      </c>
      <c r="AC67" s="69">
        <v>5.4</v>
      </c>
      <c r="AD67" s="145">
        <f t="shared" ref="AD67:AD71" si="25">+AC67-AC66</f>
        <v>-9.9999999999999645E-2</v>
      </c>
      <c r="AE67" s="133" t="s">
        <v>72</v>
      </c>
      <c r="AF67" s="50" t="s">
        <v>106</v>
      </c>
      <c r="AG67" s="142" t="s">
        <v>48</v>
      </c>
      <c r="AH67" s="109" t="s">
        <v>109</v>
      </c>
      <c r="AI67" s="150"/>
    </row>
    <row r="68" spans="1:35" x14ac:dyDescent="0.2">
      <c r="A68" s="11">
        <v>45796</v>
      </c>
      <c r="B68" s="15" t="s">
        <v>73</v>
      </c>
      <c r="C68" s="69">
        <v>17.399999999999999</v>
      </c>
      <c r="D68" s="69">
        <v>16.7</v>
      </c>
      <c r="E68" s="69">
        <v>16.3</v>
      </c>
      <c r="F68" s="69">
        <v>16</v>
      </c>
      <c r="G68" s="144">
        <f t="shared" si="18"/>
        <v>0.69999999999999929</v>
      </c>
      <c r="H68" s="144">
        <f t="shared" si="24"/>
        <v>0.30000000000000071</v>
      </c>
      <c r="I68" s="69">
        <v>55.2</v>
      </c>
      <c r="J68" s="69">
        <f>+T68-O68</f>
        <v>14</v>
      </c>
      <c r="K68" s="131">
        <f t="shared" si="19"/>
        <v>0.25362318840579706</v>
      </c>
      <c r="L68" s="139">
        <f t="shared" si="17"/>
        <v>1.3398058252427185</v>
      </c>
      <c r="M68" s="131">
        <f t="shared" si="20"/>
        <v>7.1942446043165211E-3</v>
      </c>
      <c r="N68" s="144">
        <f t="shared" si="11"/>
        <v>41.2</v>
      </c>
      <c r="O68" s="144">
        <v>25</v>
      </c>
      <c r="P68" s="69"/>
      <c r="Q68" s="131">
        <f t="shared" si="21"/>
        <v>0.60679611650485432</v>
      </c>
      <c r="R68" s="139">
        <f t="shared" si="22"/>
        <v>2.5432098765432096</v>
      </c>
      <c r="S68" s="131">
        <f t="shared" si="23"/>
        <v>3.2863849765258184E-2</v>
      </c>
      <c r="T68" s="69">
        <v>39</v>
      </c>
      <c r="U68" s="118">
        <f t="shared" si="13"/>
        <v>16.200000000000003</v>
      </c>
      <c r="V68" s="131">
        <f t="shared" si="14"/>
        <v>0.7065217391304347</v>
      </c>
      <c r="W68" s="118"/>
      <c r="X68" s="69"/>
      <c r="Y68" s="69">
        <v>5</v>
      </c>
      <c r="Z68" s="134">
        <f>+Y69-Y68</f>
        <v>9.9999999999999645E-2</v>
      </c>
      <c r="AA68" s="133" t="s">
        <v>48</v>
      </c>
      <c r="AB68" s="134" t="s">
        <v>48</v>
      </c>
      <c r="AC68" s="69">
        <v>5</v>
      </c>
      <c r="AD68" s="145">
        <f>+AC69-AC68</f>
        <v>0</v>
      </c>
      <c r="AE68" s="50">
        <v>3.9</v>
      </c>
      <c r="AF68" s="50" t="s">
        <v>106</v>
      </c>
      <c r="AG68" s="142" t="s">
        <v>48</v>
      </c>
      <c r="AH68" s="109" t="s">
        <v>109</v>
      </c>
      <c r="AI68" s="149" t="s">
        <v>77</v>
      </c>
    </row>
    <row r="69" spans="1:35" x14ac:dyDescent="0.2">
      <c r="A69" s="11">
        <v>45797</v>
      </c>
      <c r="B69" s="15">
        <v>0.54166666666666663</v>
      </c>
      <c r="C69" s="69">
        <v>17.8</v>
      </c>
      <c r="D69" s="69">
        <v>17.100000000000001</v>
      </c>
      <c r="E69" s="69">
        <v>16.2</v>
      </c>
      <c r="F69" s="69">
        <v>16</v>
      </c>
      <c r="G69" s="144">
        <f t="shared" si="18"/>
        <v>0.69999999999999929</v>
      </c>
      <c r="H69" s="144">
        <f t="shared" si="24"/>
        <v>0.19999999999999929</v>
      </c>
      <c r="I69" s="69">
        <v>55.6</v>
      </c>
      <c r="J69" s="69">
        <v>13</v>
      </c>
      <c r="K69" s="131">
        <f t="shared" si="19"/>
        <v>0.23381294964028776</v>
      </c>
      <c r="L69" s="139">
        <f t="shared" si="17"/>
        <v>1.3051643192488263</v>
      </c>
      <c r="M69" s="131">
        <f t="shared" si="20"/>
        <v>1.7953321364452678E-3</v>
      </c>
      <c r="N69" s="144">
        <f t="shared" si="11"/>
        <v>42.6</v>
      </c>
      <c r="O69" s="144">
        <v>25</v>
      </c>
      <c r="P69" s="69"/>
      <c r="Q69" s="131">
        <f t="shared" si="21"/>
        <v>0.58685446009389675</v>
      </c>
      <c r="R69" s="139">
        <f t="shared" si="22"/>
        <v>2.4204545454545459</v>
      </c>
      <c r="S69" s="131">
        <f t="shared" si="23"/>
        <v>2.517162471395884E-2</v>
      </c>
      <c r="T69" s="69">
        <f>+J69+O69</f>
        <v>38</v>
      </c>
      <c r="U69" s="118">
        <f t="shared" si="13"/>
        <v>17.600000000000001</v>
      </c>
      <c r="V69" s="131">
        <f t="shared" si="14"/>
        <v>0.68345323741007191</v>
      </c>
      <c r="W69" s="118"/>
      <c r="X69" s="69"/>
      <c r="Y69" s="69">
        <v>5.0999999999999996</v>
      </c>
      <c r="Z69" s="134">
        <f t="shared" si="15"/>
        <v>9.9999999999999645E-2</v>
      </c>
      <c r="AA69" s="133" t="s">
        <v>48</v>
      </c>
      <c r="AB69" s="134" t="s">
        <v>48</v>
      </c>
      <c r="AC69" s="69">
        <v>5</v>
      </c>
      <c r="AD69" s="145">
        <f t="shared" si="25"/>
        <v>0</v>
      </c>
      <c r="AE69" s="50">
        <v>2.2000000000000002</v>
      </c>
      <c r="AF69" s="50" t="s">
        <v>106</v>
      </c>
      <c r="AG69" s="142" t="s">
        <v>48</v>
      </c>
      <c r="AH69" s="109" t="s">
        <v>109</v>
      </c>
      <c r="AI69" s="149" t="s">
        <v>77</v>
      </c>
    </row>
    <row r="70" spans="1:35" x14ac:dyDescent="0.2">
      <c r="A70" s="11">
        <v>45798</v>
      </c>
      <c r="B70" s="15" t="s">
        <v>75</v>
      </c>
      <c r="C70" s="69">
        <v>17.3</v>
      </c>
      <c r="D70" s="69">
        <v>17.100000000000001</v>
      </c>
      <c r="E70" s="69">
        <v>16.2</v>
      </c>
      <c r="F70" s="69">
        <v>16</v>
      </c>
      <c r="G70" s="144">
        <f t="shared" si="18"/>
        <v>0.19999999999999929</v>
      </c>
      <c r="H70" s="144">
        <f t="shared" si="24"/>
        <v>0.19999999999999929</v>
      </c>
      <c r="I70" s="69">
        <v>55.7</v>
      </c>
      <c r="J70" s="69">
        <v>12</v>
      </c>
      <c r="K70" s="131">
        <f t="shared" si="19"/>
        <v>0.21543985637342908</v>
      </c>
      <c r="L70" s="139">
        <f t="shared" si="17"/>
        <v>1.2745995423340961</v>
      </c>
      <c r="M70" s="131">
        <f t="shared" si="20"/>
        <v>-0.10956175298804781</v>
      </c>
      <c r="N70" s="144">
        <f t="shared" si="11"/>
        <v>43.7</v>
      </c>
      <c r="O70" s="144">
        <v>25</v>
      </c>
      <c r="P70" s="69"/>
      <c r="Q70" s="131">
        <f t="shared" si="21"/>
        <v>0.57208237986270016</v>
      </c>
      <c r="R70" s="139">
        <f t="shared" si="22"/>
        <v>2.3368983957219247</v>
      </c>
      <c r="S70" s="131">
        <f t="shared" si="23"/>
        <v>-0.11479591836734693</v>
      </c>
      <c r="T70" s="69">
        <f>+J70+O70</f>
        <v>37</v>
      </c>
      <c r="U70" s="118">
        <f t="shared" si="13"/>
        <v>18.700000000000003</v>
      </c>
      <c r="V70" s="131">
        <f t="shared" si="14"/>
        <v>0.6642728904847397</v>
      </c>
      <c r="W70" s="118"/>
      <c r="X70" s="69"/>
      <c r="Y70" s="69">
        <v>5</v>
      </c>
      <c r="Z70" s="134">
        <f t="shared" si="15"/>
        <v>-9.9999999999999645E-2</v>
      </c>
      <c r="AA70" s="133" t="s">
        <v>48</v>
      </c>
      <c r="AB70" s="134" t="s">
        <v>48</v>
      </c>
      <c r="AC70" s="69">
        <v>5</v>
      </c>
      <c r="AD70" s="145">
        <f t="shared" si="25"/>
        <v>0</v>
      </c>
      <c r="AE70" s="50">
        <v>2.2000000000000002</v>
      </c>
      <c r="AF70" s="50" t="s">
        <v>106</v>
      </c>
      <c r="AG70" s="142" t="s">
        <v>48</v>
      </c>
      <c r="AH70" s="109" t="s">
        <v>109</v>
      </c>
      <c r="AI70" s="149" t="s">
        <v>77</v>
      </c>
    </row>
    <row r="71" spans="1:35" x14ac:dyDescent="0.2">
      <c r="A71" s="11">
        <v>45799</v>
      </c>
      <c r="B71" s="15">
        <v>0.35416666666666669</v>
      </c>
      <c r="C71" s="69">
        <v>18.3</v>
      </c>
      <c r="D71" s="69">
        <v>17.8</v>
      </c>
      <c r="E71" s="69">
        <v>22.1</v>
      </c>
      <c r="F71" s="69">
        <v>22</v>
      </c>
      <c r="G71" s="144">
        <f t="shared" si="18"/>
        <v>0.5</v>
      </c>
      <c r="H71" s="144">
        <f t="shared" si="24"/>
        <v>0.10000000000000142</v>
      </c>
      <c r="I71" s="69">
        <v>50.2</v>
      </c>
      <c r="J71" s="69">
        <v>11</v>
      </c>
      <c r="K71" s="131">
        <f t="shared" si="19"/>
        <v>0.21912350597609562</v>
      </c>
      <c r="L71" s="139">
        <f t="shared" si="17"/>
        <v>1.2806122448979593</v>
      </c>
      <c r="M71" s="131">
        <f t="shared" si="20"/>
        <v>-1.6194331983805755E-2</v>
      </c>
      <c r="N71" s="144">
        <f t="shared" si="11"/>
        <v>39.200000000000003</v>
      </c>
      <c r="O71" s="144">
        <v>25</v>
      </c>
      <c r="P71" s="69"/>
      <c r="Q71" s="131">
        <f t="shared" si="21"/>
        <v>0.63775510204081631</v>
      </c>
      <c r="R71" s="139">
        <f t="shared" si="22"/>
        <v>2.76056338028169</v>
      </c>
      <c r="S71" s="131">
        <f t="shared" si="23"/>
        <v>3.2098765432098698E-2</v>
      </c>
      <c r="T71" s="69">
        <f>+J71+O71</f>
        <v>36</v>
      </c>
      <c r="U71" s="118">
        <f t="shared" si="13"/>
        <v>14.200000000000003</v>
      </c>
      <c r="V71" s="131">
        <f t="shared" si="14"/>
        <v>0.71713147410358558</v>
      </c>
      <c r="W71" s="118"/>
      <c r="X71" s="69"/>
      <c r="Y71" s="69">
        <v>5.4</v>
      </c>
      <c r="Z71" s="134">
        <f t="shared" si="15"/>
        <v>0.40000000000000036</v>
      </c>
      <c r="AA71" s="133" t="s">
        <v>48</v>
      </c>
      <c r="AB71" s="134" t="s">
        <v>48</v>
      </c>
      <c r="AC71" s="69">
        <v>5.4</v>
      </c>
      <c r="AD71" s="145">
        <f t="shared" si="25"/>
        <v>0.40000000000000036</v>
      </c>
      <c r="AE71" s="50">
        <v>2.7</v>
      </c>
      <c r="AF71" s="50" t="s">
        <v>106</v>
      </c>
      <c r="AG71" s="142" t="s">
        <v>48</v>
      </c>
      <c r="AH71" s="109" t="s">
        <v>109</v>
      </c>
      <c r="AI71" s="149"/>
    </row>
    <row r="72" spans="1:35" x14ac:dyDescent="0.2">
      <c r="A72" s="11">
        <v>45800</v>
      </c>
      <c r="B72" s="15">
        <v>0.39583333333333331</v>
      </c>
      <c r="C72" s="69">
        <v>18.18</v>
      </c>
      <c r="D72" s="69">
        <v>17.2</v>
      </c>
      <c r="E72" s="69">
        <v>22.1</v>
      </c>
      <c r="F72" s="69">
        <v>21.2</v>
      </c>
      <c r="G72" s="144">
        <f t="shared" si="18"/>
        <v>0.98000000000000043</v>
      </c>
      <c r="H72" s="144">
        <f t="shared" si="24"/>
        <v>0.90000000000000213</v>
      </c>
      <c r="I72" s="69">
        <v>49.4</v>
      </c>
      <c r="J72" s="69">
        <f>+T72-O72</f>
        <v>8.8999999999999986</v>
      </c>
      <c r="K72" s="131">
        <f t="shared" si="19"/>
        <v>0.18016194331983804</v>
      </c>
      <c r="L72" s="139">
        <f t="shared" si="17"/>
        <v>1.219753086419753</v>
      </c>
      <c r="M72" s="131">
        <f t="shared" si="20"/>
        <v>1.984126984126984E-2</v>
      </c>
      <c r="N72" s="144">
        <f t="shared" si="11"/>
        <v>40.5</v>
      </c>
      <c r="O72" s="144">
        <v>20</v>
      </c>
      <c r="P72" s="50"/>
      <c r="Q72" s="131">
        <f t="shared" si="21"/>
        <v>0.49382716049382713</v>
      </c>
      <c r="R72" s="139">
        <f t="shared" si="22"/>
        <v>1.975609756097561</v>
      </c>
      <c r="S72" s="131">
        <f t="shared" si="23"/>
        <v>6.4665127020785154E-2</v>
      </c>
      <c r="T72" s="69">
        <v>28.9</v>
      </c>
      <c r="U72" s="118">
        <f t="shared" si="13"/>
        <v>20.5</v>
      </c>
      <c r="V72" s="131">
        <f t="shared" si="14"/>
        <v>0.58502024291497978</v>
      </c>
      <c r="W72" s="103"/>
      <c r="X72" s="69"/>
      <c r="Y72" s="69">
        <v>5.3</v>
      </c>
      <c r="Z72" s="134">
        <f t="shared" si="15"/>
        <v>-0.10000000000000053</v>
      </c>
      <c r="AA72" s="50" t="s">
        <v>74</v>
      </c>
      <c r="AB72" s="134" t="s">
        <v>48</v>
      </c>
      <c r="AC72" s="69">
        <v>5.3</v>
      </c>
      <c r="AD72" s="145">
        <f t="shared" ref="AA72:AD137" si="26">+AC72-AC71</f>
        <v>-0.10000000000000053</v>
      </c>
      <c r="AE72" s="50">
        <v>2.2999999999999998</v>
      </c>
      <c r="AF72" s="50" t="s">
        <v>106</v>
      </c>
      <c r="AG72" s="142" t="s">
        <v>48</v>
      </c>
      <c r="AH72" s="109" t="s">
        <v>109</v>
      </c>
      <c r="AI72" s="149"/>
    </row>
    <row r="73" spans="1:35" x14ac:dyDescent="0.2">
      <c r="A73" s="11">
        <v>45803</v>
      </c>
      <c r="B73" s="15">
        <v>0.39583333333333331</v>
      </c>
      <c r="C73" s="69">
        <v>17.760000000000002</v>
      </c>
      <c r="D73" s="69">
        <v>17.2</v>
      </c>
      <c r="E73" s="69">
        <v>22.4</v>
      </c>
      <c r="F73" s="69">
        <v>21.5</v>
      </c>
      <c r="G73" s="144">
        <f t="shared" si="18"/>
        <v>0.56000000000000227</v>
      </c>
      <c r="H73" s="144">
        <f t="shared" si="24"/>
        <v>0.89999999999999858</v>
      </c>
      <c r="I73" s="69">
        <v>50.4</v>
      </c>
      <c r="J73" s="69">
        <f>+T73-O73</f>
        <v>7.1000000000000014</v>
      </c>
      <c r="K73" s="131">
        <f t="shared" si="19"/>
        <v>0.1408730158730159</v>
      </c>
      <c r="L73" s="139">
        <f t="shared" si="17"/>
        <v>1.163972286374134</v>
      </c>
      <c r="M73" s="131">
        <f t="shared" si="20"/>
        <v>-5.9880239520957515E-3</v>
      </c>
      <c r="N73" s="144">
        <f t="shared" si="11"/>
        <v>43.3</v>
      </c>
      <c r="O73" s="144">
        <v>18</v>
      </c>
      <c r="P73" s="50"/>
      <c r="Q73" s="131">
        <f t="shared" si="21"/>
        <v>0.41570438799076215</v>
      </c>
      <c r="R73" s="139">
        <f t="shared" si="22"/>
        <v>1.7114624505928855</v>
      </c>
      <c r="S73" s="131">
        <f t="shared" si="23"/>
        <v>-9.324009324009291E-3</v>
      </c>
      <c r="T73" s="69">
        <v>25.1</v>
      </c>
      <c r="U73" s="118">
        <f t="shared" si="13"/>
        <v>25.299999999999997</v>
      </c>
      <c r="V73" s="131">
        <f t="shared" si="14"/>
        <v>0.49801587301587308</v>
      </c>
      <c r="W73" s="103"/>
      <c r="X73" s="69"/>
      <c r="Y73" s="69">
        <v>5.2</v>
      </c>
      <c r="Z73" s="134">
        <f t="shared" si="15"/>
        <v>-9.9999999999999645E-2</v>
      </c>
      <c r="AA73" s="50" t="s">
        <v>74</v>
      </c>
      <c r="AB73" s="134" t="s">
        <v>48</v>
      </c>
      <c r="AC73" s="69">
        <v>5.2</v>
      </c>
      <c r="AD73" s="145">
        <f t="shared" si="26"/>
        <v>-9.9999999999999645E-2</v>
      </c>
      <c r="AE73" s="50">
        <v>2.2999999999999998</v>
      </c>
      <c r="AF73" s="50" t="s">
        <v>106</v>
      </c>
      <c r="AG73" s="142" t="s">
        <v>48</v>
      </c>
      <c r="AH73" s="109" t="s">
        <v>109</v>
      </c>
      <c r="AI73" s="150"/>
    </row>
    <row r="74" spans="1:35" x14ac:dyDescent="0.2">
      <c r="A74" s="11">
        <v>45804</v>
      </c>
      <c r="B74" s="15">
        <v>0.45833333333333331</v>
      </c>
      <c r="C74" s="69">
        <v>17.399999999999999</v>
      </c>
      <c r="D74" s="69">
        <v>17</v>
      </c>
      <c r="E74" s="69">
        <v>22.1</v>
      </c>
      <c r="F74" s="69">
        <v>21.4</v>
      </c>
      <c r="G74" s="144">
        <f t="shared" si="18"/>
        <v>0.39999999999999858</v>
      </c>
      <c r="H74" s="144">
        <f t="shared" si="24"/>
        <v>0.70000000000000284</v>
      </c>
      <c r="I74" s="69">
        <v>50.1</v>
      </c>
      <c r="J74" s="69">
        <f t="shared" ref="J74:J102" si="27">T74-O74</f>
        <v>7.2000000000000028</v>
      </c>
      <c r="K74" s="131">
        <f t="shared" si="19"/>
        <v>0.14371257485029945</v>
      </c>
      <c r="L74" s="139">
        <f t="shared" si="17"/>
        <v>1.1678321678321679</v>
      </c>
      <c r="M74" s="131">
        <f t="shared" si="20"/>
        <v>3.976143141152997E-3</v>
      </c>
      <c r="N74" s="144">
        <f t="shared" si="11"/>
        <v>42.9</v>
      </c>
      <c r="O74" s="144">
        <v>17.399999999999999</v>
      </c>
      <c r="P74" s="50"/>
      <c r="Q74" s="131">
        <f t="shared" si="21"/>
        <v>0.40559440559440557</v>
      </c>
      <c r="R74" s="139">
        <f t="shared" si="22"/>
        <v>1.6823529411764706</v>
      </c>
      <c r="S74" s="131">
        <f t="shared" si="23"/>
        <v>-3.1250000000000104E-2</v>
      </c>
      <c r="T74" s="69">
        <v>24.6</v>
      </c>
      <c r="U74" s="118">
        <f t="shared" si="13"/>
        <v>25.5</v>
      </c>
      <c r="V74" s="131">
        <f t="shared" si="14"/>
        <v>0.49101796407185633</v>
      </c>
      <c r="W74" s="103"/>
      <c r="X74" s="69"/>
      <c r="Y74" s="69">
        <v>5.4</v>
      </c>
      <c r="Z74" s="134">
        <f t="shared" si="15"/>
        <v>0.20000000000000018</v>
      </c>
      <c r="AA74" s="50" t="s">
        <v>74</v>
      </c>
      <c r="AB74" s="134" t="s">
        <v>48</v>
      </c>
      <c r="AC74" s="69">
        <v>5.4</v>
      </c>
      <c r="AD74" s="145">
        <f t="shared" si="26"/>
        <v>0.20000000000000018</v>
      </c>
      <c r="AE74" s="50">
        <v>2.2000000000000002</v>
      </c>
      <c r="AF74" s="50" t="s">
        <v>106</v>
      </c>
      <c r="AG74" s="142" t="s">
        <v>48</v>
      </c>
      <c r="AH74" s="109" t="s">
        <v>109</v>
      </c>
      <c r="AI74" s="150"/>
    </row>
    <row r="75" spans="1:35" x14ac:dyDescent="0.2">
      <c r="A75" s="11">
        <v>45805</v>
      </c>
      <c r="B75" s="15">
        <v>0.36805555555555558</v>
      </c>
      <c r="C75" s="69">
        <v>17.2</v>
      </c>
      <c r="D75" s="69">
        <v>16.399999999999999</v>
      </c>
      <c r="E75" s="69">
        <v>21.9</v>
      </c>
      <c r="F75" s="69">
        <v>21.2</v>
      </c>
      <c r="G75" s="144">
        <f t="shared" si="18"/>
        <v>0.80000000000000071</v>
      </c>
      <c r="H75" s="144">
        <f t="shared" si="24"/>
        <v>0.69999999999999929</v>
      </c>
      <c r="I75" s="69">
        <v>50.3</v>
      </c>
      <c r="J75" s="69">
        <f t="shared" si="27"/>
        <v>8.6999999999999993</v>
      </c>
      <c r="K75" s="131">
        <f t="shared" si="19"/>
        <v>0.17296222664015903</v>
      </c>
      <c r="L75" s="139">
        <f t="shared" si="17"/>
        <v>1.2091346153846154</v>
      </c>
      <c r="M75" s="131">
        <f t="shared" si="20"/>
        <v>-0.10549450549450544</v>
      </c>
      <c r="N75" s="144">
        <f t="shared" si="11"/>
        <v>41.599999999999994</v>
      </c>
      <c r="O75" s="144">
        <v>16.2</v>
      </c>
      <c r="P75" s="50"/>
      <c r="Q75" s="131">
        <f t="shared" si="21"/>
        <v>0.38942307692307698</v>
      </c>
      <c r="R75" s="139">
        <f t="shared" si="22"/>
        <v>1.6377952755905514</v>
      </c>
      <c r="S75" s="131">
        <f t="shared" si="23"/>
        <v>-0.10344827586206873</v>
      </c>
      <c r="T75" s="69">
        <v>24.9</v>
      </c>
      <c r="U75" s="118">
        <f t="shared" si="13"/>
        <v>25.399999999999995</v>
      </c>
      <c r="V75" s="140">
        <f t="shared" si="14"/>
        <v>0.49502982107355864</v>
      </c>
      <c r="W75" s="103"/>
      <c r="X75" s="69"/>
      <c r="Y75" s="69">
        <v>5.2</v>
      </c>
      <c r="Z75" s="134">
        <f t="shared" si="15"/>
        <v>-0.20000000000000018</v>
      </c>
      <c r="AA75" s="50" t="s">
        <v>74</v>
      </c>
      <c r="AB75" s="134" t="s">
        <v>48</v>
      </c>
      <c r="AC75" s="69">
        <v>5.2</v>
      </c>
      <c r="AD75" s="145">
        <f t="shared" si="26"/>
        <v>-0.20000000000000018</v>
      </c>
      <c r="AE75" s="50">
        <v>1.6</v>
      </c>
      <c r="AF75" s="50" t="s">
        <v>106</v>
      </c>
      <c r="AG75" s="142" t="s">
        <v>48</v>
      </c>
      <c r="AH75" s="109" t="s">
        <v>109</v>
      </c>
      <c r="AI75" s="8"/>
    </row>
    <row r="76" spans="1:35" x14ac:dyDescent="0.2">
      <c r="A76" s="11">
        <v>45806</v>
      </c>
      <c r="B76" s="15">
        <v>0.39583333333333331</v>
      </c>
      <c r="C76" s="69">
        <v>17.899999999999999</v>
      </c>
      <c r="D76" s="69">
        <v>17.2</v>
      </c>
      <c r="E76" s="69">
        <v>22.9</v>
      </c>
      <c r="F76" s="69">
        <v>22.4</v>
      </c>
      <c r="G76" s="144">
        <f t="shared" si="18"/>
        <v>0.69999999999999929</v>
      </c>
      <c r="H76" s="144">
        <f t="shared" si="24"/>
        <v>0.5</v>
      </c>
      <c r="I76" s="69">
        <v>45.5</v>
      </c>
      <c r="J76" s="69">
        <f t="shared" si="27"/>
        <v>7.8000000000000007</v>
      </c>
      <c r="K76" s="131">
        <f t="shared" si="19"/>
        <v>0.17142857142857146</v>
      </c>
      <c r="L76" s="139">
        <f t="shared" si="17"/>
        <v>1.2068965517241381</v>
      </c>
      <c r="M76" s="131">
        <f t="shared" si="20"/>
        <v>6.1855670103092786E-2</v>
      </c>
      <c r="N76" s="144">
        <f t="shared" si="11"/>
        <v>37.700000000000003</v>
      </c>
      <c r="O76" s="144">
        <v>17.5</v>
      </c>
      <c r="P76" s="50"/>
      <c r="Q76" s="131">
        <f t="shared" si="21"/>
        <v>0.46419098143236071</v>
      </c>
      <c r="R76" s="139">
        <f t="shared" si="22"/>
        <v>1.8663366336633662</v>
      </c>
      <c r="S76" s="131">
        <f t="shared" si="23"/>
        <v>0.14898419864559809</v>
      </c>
      <c r="T76" s="69">
        <v>25.3</v>
      </c>
      <c r="U76" s="118">
        <f t="shared" si="13"/>
        <v>20.200000000000003</v>
      </c>
      <c r="V76" s="140">
        <f t="shared" si="14"/>
        <v>0.55604395604395607</v>
      </c>
      <c r="W76" s="103"/>
      <c r="X76" s="69"/>
      <c r="Y76" s="69">
        <v>5.3</v>
      </c>
      <c r="Z76" s="134">
        <f t="shared" si="15"/>
        <v>9.9999999999999645E-2</v>
      </c>
      <c r="AA76" s="50" t="s">
        <v>74</v>
      </c>
      <c r="AB76" s="134" t="s">
        <v>48</v>
      </c>
      <c r="AC76" s="69">
        <v>5.3</v>
      </c>
      <c r="AD76" s="145">
        <f t="shared" si="26"/>
        <v>9.9999999999999645E-2</v>
      </c>
      <c r="AE76" s="50">
        <v>2</v>
      </c>
      <c r="AF76" s="50" t="s">
        <v>106</v>
      </c>
      <c r="AG76" s="142" t="s">
        <v>48</v>
      </c>
      <c r="AH76" s="109" t="s">
        <v>109</v>
      </c>
      <c r="AI76" s="8"/>
    </row>
    <row r="77" spans="1:35" x14ac:dyDescent="0.2">
      <c r="A77" s="11">
        <v>45811</v>
      </c>
      <c r="B77" s="15">
        <v>0.5</v>
      </c>
      <c r="C77" s="69">
        <v>17.899999999999999</v>
      </c>
      <c r="D77" s="69">
        <v>17</v>
      </c>
      <c r="E77" s="69">
        <v>22.5</v>
      </c>
      <c r="F77" s="69">
        <v>22</v>
      </c>
      <c r="G77" s="144">
        <f t="shared" si="18"/>
        <v>0.89999999999999858</v>
      </c>
      <c r="H77" s="144">
        <f t="shared" si="24"/>
        <v>0.5</v>
      </c>
      <c r="I77" s="69">
        <v>48.5</v>
      </c>
      <c r="J77" s="69">
        <f t="shared" si="27"/>
        <v>4.1999999999999993</v>
      </c>
      <c r="K77" s="131">
        <f t="shared" si="19"/>
        <v>8.6597938144329881E-2</v>
      </c>
      <c r="L77" s="139">
        <f t="shared" si="17"/>
        <v>1.0948081264108351</v>
      </c>
      <c r="M77" s="131">
        <f t="shared" si="20"/>
        <v>-2.1052631578947368E-2</v>
      </c>
      <c r="N77" s="144">
        <f t="shared" si="11"/>
        <v>44.3</v>
      </c>
      <c r="O77" s="144">
        <v>17.5</v>
      </c>
      <c r="P77" s="50"/>
      <c r="Q77" s="131">
        <f t="shared" si="21"/>
        <v>0.39503386004514673</v>
      </c>
      <c r="R77" s="139">
        <f t="shared" si="22"/>
        <v>1.6529850746268657</v>
      </c>
      <c r="S77" s="131">
        <f t="shared" si="23"/>
        <v>-0.11868686868686858</v>
      </c>
      <c r="T77" s="69">
        <v>21.7</v>
      </c>
      <c r="U77" s="118">
        <f t="shared" si="13"/>
        <v>26.799999999999997</v>
      </c>
      <c r="V77" s="140">
        <f t="shared" si="14"/>
        <v>0.4474226804123711</v>
      </c>
      <c r="W77" s="103"/>
      <c r="X77" s="69"/>
      <c r="Y77" s="69">
        <v>5.2</v>
      </c>
      <c r="Z77" s="134">
        <f t="shared" si="15"/>
        <v>-9.9999999999999645E-2</v>
      </c>
      <c r="AA77" s="50" t="s">
        <v>74</v>
      </c>
      <c r="AB77" s="134" t="s">
        <v>48</v>
      </c>
      <c r="AC77" s="69">
        <v>5.2</v>
      </c>
      <c r="AD77" s="145">
        <f t="shared" si="26"/>
        <v>-9.9999999999999645E-2</v>
      </c>
      <c r="AE77" s="50">
        <v>2.2000000000000002</v>
      </c>
      <c r="AF77" s="50" t="s">
        <v>106</v>
      </c>
      <c r="AG77" s="142" t="s">
        <v>48</v>
      </c>
      <c r="AH77" s="109" t="s">
        <v>109</v>
      </c>
      <c r="AI77" s="8"/>
    </row>
    <row r="78" spans="1:35" x14ac:dyDescent="0.2">
      <c r="A78" s="11">
        <v>45812</v>
      </c>
      <c r="B78" s="15">
        <v>0.38472222222222224</v>
      </c>
      <c r="C78" s="69">
        <v>18.100000000000001</v>
      </c>
      <c r="D78" s="69">
        <v>17.2</v>
      </c>
      <c r="E78" s="69">
        <v>22.9</v>
      </c>
      <c r="F78" s="69">
        <v>22.2</v>
      </c>
      <c r="G78" s="144">
        <f t="shared" si="18"/>
        <v>0.90000000000000213</v>
      </c>
      <c r="H78" s="144">
        <f t="shared" si="24"/>
        <v>0.69999999999999929</v>
      </c>
      <c r="I78" s="69">
        <v>47.5</v>
      </c>
      <c r="J78" s="69">
        <f t="shared" si="27"/>
        <v>7.8999999999999986</v>
      </c>
      <c r="K78" s="131">
        <f t="shared" si="19"/>
        <v>0.16631578947368417</v>
      </c>
      <c r="L78" s="139">
        <f t="shared" si="17"/>
        <v>1.1994949494949494</v>
      </c>
      <c r="M78" s="131">
        <f t="shared" si="20"/>
        <v>2.8629856850715719E-2</v>
      </c>
      <c r="N78" s="144">
        <f t="shared" si="11"/>
        <v>39.6</v>
      </c>
      <c r="O78" s="144">
        <v>16</v>
      </c>
      <c r="P78" s="50"/>
      <c r="Q78" s="131">
        <f t="shared" si="21"/>
        <v>0.40404040404040403</v>
      </c>
      <c r="R78" s="139">
        <f t="shared" si="22"/>
        <v>1.677966101694915</v>
      </c>
      <c r="S78" s="131" t="e">
        <f>(#REF!-N78)/#REF!</f>
        <v>#REF!</v>
      </c>
      <c r="T78" s="69">
        <v>23.9</v>
      </c>
      <c r="U78" s="118">
        <f t="shared" si="13"/>
        <v>23.6</v>
      </c>
      <c r="V78" s="140">
        <f t="shared" si="14"/>
        <v>0.50315789473684203</v>
      </c>
      <c r="W78" s="103"/>
      <c r="X78" s="69"/>
      <c r="Y78" s="69">
        <v>5.2</v>
      </c>
      <c r="Z78" s="134">
        <f t="shared" si="15"/>
        <v>0</v>
      </c>
      <c r="AA78" s="50" t="s">
        <v>74</v>
      </c>
      <c r="AB78" s="134" t="s">
        <v>48</v>
      </c>
      <c r="AC78" s="69">
        <v>5.2</v>
      </c>
      <c r="AD78" s="145">
        <f t="shared" si="26"/>
        <v>0</v>
      </c>
      <c r="AE78" s="50">
        <v>2.2000000000000002</v>
      </c>
      <c r="AF78" s="50" t="s">
        <v>106</v>
      </c>
      <c r="AG78" s="142" t="s">
        <v>48</v>
      </c>
      <c r="AH78" s="109" t="s">
        <v>109</v>
      </c>
      <c r="AI78" s="8"/>
    </row>
    <row r="79" spans="1:35" x14ac:dyDescent="0.2">
      <c r="A79" s="11">
        <v>45814</v>
      </c>
      <c r="B79" s="15">
        <v>0.39583333333333331</v>
      </c>
      <c r="C79" s="69">
        <v>17.3</v>
      </c>
      <c r="D79" s="69">
        <v>17.100000000000001</v>
      </c>
      <c r="E79" s="69">
        <v>22.4</v>
      </c>
      <c r="F79" s="69">
        <v>22.1</v>
      </c>
      <c r="G79" s="144">
        <f t="shared" si="18"/>
        <v>0.19999999999999929</v>
      </c>
      <c r="H79" s="144">
        <f t="shared" si="24"/>
        <v>0.29999999999999716</v>
      </c>
      <c r="I79" s="69">
        <v>48.9</v>
      </c>
      <c r="J79" s="69">
        <f t="shared" si="27"/>
        <v>7.1000000000000014</v>
      </c>
      <c r="K79" s="131">
        <f t="shared" si="19"/>
        <v>0.14519427402862989</v>
      </c>
      <c r="L79" s="139">
        <f t="shared" si="17"/>
        <v>1.1698564593301435</v>
      </c>
      <c r="M79" s="131">
        <f t="shared" si="20"/>
        <v>5.7803468208092484E-2</v>
      </c>
      <c r="N79" s="144">
        <f t="shared" si="11"/>
        <v>41.8</v>
      </c>
      <c r="O79" s="144">
        <v>18</v>
      </c>
      <c r="P79" s="50"/>
      <c r="Q79" s="131">
        <f t="shared" si="21"/>
        <v>0.43062200956937802</v>
      </c>
      <c r="R79" s="139">
        <f t="shared" si="22"/>
        <v>1.7563025210084033</v>
      </c>
      <c r="S79" s="131" t="e">
        <f>(#REF!-N79)/#REF!</f>
        <v>#REF!</v>
      </c>
      <c r="T79" s="69">
        <v>25.1</v>
      </c>
      <c r="U79" s="118">
        <f t="shared" si="13"/>
        <v>23.799999999999997</v>
      </c>
      <c r="V79" s="140">
        <f t="shared" si="14"/>
        <v>0.51329243353783238</v>
      </c>
      <c r="W79" s="103"/>
      <c r="X79" s="69"/>
      <c r="Y79" s="69">
        <v>5.0999999999999996</v>
      </c>
      <c r="Z79" s="134" t="e">
        <f>+Y79-#REF!</f>
        <v>#REF!</v>
      </c>
      <c r="AA79" s="50" t="s">
        <v>74</v>
      </c>
      <c r="AB79" s="134" t="s">
        <v>48</v>
      </c>
      <c r="AC79" s="69">
        <v>5.0999999999999996</v>
      </c>
      <c r="AD79" s="145" t="e">
        <f>+AC79-#REF!</f>
        <v>#REF!</v>
      </c>
      <c r="AE79" s="50">
        <v>2.2999999999999998</v>
      </c>
      <c r="AF79" s="50" t="s">
        <v>106</v>
      </c>
      <c r="AG79" s="142" t="s">
        <v>48</v>
      </c>
      <c r="AH79" s="109" t="s">
        <v>109</v>
      </c>
      <c r="AI79" s="8"/>
    </row>
    <row r="80" spans="1:35" x14ac:dyDescent="0.2">
      <c r="A80" s="11">
        <v>45817</v>
      </c>
      <c r="B80" s="15">
        <v>0.35416666666666669</v>
      </c>
      <c r="C80" s="69">
        <v>17.600000000000001</v>
      </c>
      <c r="D80" s="69">
        <v>17</v>
      </c>
      <c r="E80" s="69">
        <v>22.3</v>
      </c>
      <c r="F80" s="69">
        <v>22</v>
      </c>
      <c r="G80" s="144">
        <f t="shared" si="18"/>
        <v>0.60000000000000142</v>
      </c>
      <c r="H80" s="144">
        <f t="shared" si="24"/>
        <v>0.30000000000000071</v>
      </c>
      <c r="I80" s="69">
        <v>51.9</v>
      </c>
      <c r="J80" s="69">
        <f t="shared" si="27"/>
        <v>15.100000000000001</v>
      </c>
      <c r="K80" s="131">
        <f t="shared" si="19"/>
        <v>0.29094412331406555</v>
      </c>
      <c r="L80" s="139">
        <f t="shared" si="17"/>
        <v>1.4103260869565217</v>
      </c>
      <c r="M80" s="131">
        <f t="shared" si="20"/>
        <v>-4.4265593561368118E-2</v>
      </c>
      <c r="N80" s="144">
        <f t="shared" si="11"/>
        <v>36.799999999999997</v>
      </c>
      <c r="O80" s="144">
        <v>16</v>
      </c>
      <c r="P80" s="50"/>
      <c r="Q80" s="131">
        <f t="shared" si="21"/>
        <v>0.43478260869565222</v>
      </c>
      <c r="R80" s="139">
        <f t="shared" si="22"/>
        <v>1.7692307692307694</v>
      </c>
      <c r="S80" s="131">
        <f t="shared" ref="S80:S111" si="28">(N81-N80)/N81</f>
        <v>8.0862533692723521E-3</v>
      </c>
      <c r="T80" s="69">
        <v>31.1</v>
      </c>
      <c r="U80" s="118">
        <f t="shared" si="13"/>
        <v>20.799999999999997</v>
      </c>
      <c r="V80" s="140">
        <f t="shared" si="14"/>
        <v>0.59922928709055878</v>
      </c>
      <c r="W80" s="103"/>
      <c r="X80" s="69"/>
      <c r="Y80" s="69">
        <v>5.0999999999999996</v>
      </c>
      <c r="Z80" s="134" t="e">
        <f>+Y80-#REF!</f>
        <v>#REF!</v>
      </c>
      <c r="AA80" s="50" t="s">
        <v>74</v>
      </c>
      <c r="AB80" s="134" t="s">
        <v>48</v>
      </c>
      <c r="AC80" s="69">
        <v>5.0999999999999996</v>
      </c>
      <c r="AD80" s="145" t="e">
        <f>+AC80-#REF!</f>
        <v>#REF!</v>
      </c>
      <c r="AE80" s="50">
        <v>3</v>
      </c>
      <c r="AF80" s="50" t="s">
        <v>106</v>
      </c>
      <c r="AG80" s="142" t="s">
        <v>48</v>
      </c>
      <c r="AH80" s="109" t="s">
        <v>109</v>
      </c>
      <c r="AI80" s="8"/>
    </row>
    <row r="81" spans="1:35" x14ac:dyDescent="0.2">
      <c r="A81" s="11">
        <v>45818</v>
      </c>
      <c r="B81" s="15">
        <v>0.41666666666666669</v>
      </c>
      <c r="C81" s="69">
        <v>17.8</v>
      </c>
      <c r="D81" s="69">
        <v>17</v>
      </c>
      <c r="E81" s="69">
        <v>22.7</v>
      </c>
      <c r="F81" s="50">
        <v>22</v>
      </c>
      <c r="G81" s="144">
        <f t="shared" si="18"/>
        <v>0.80000000000000071</v>
      </c>
      <c r="H81" s="144">
        <f t="shared" si="24"/>
        <v>0.69999999999999929</v>
      </c>
      <c r="I81" s="69">
        <v>49.7</v>
      </c>
      <c r="J81" s="69">
        <f t="shared" si="27"/>
        <v>12.600000000000001</v>
      </c>
      <c r="K81" s="131">
        <f t="shared" si="19"/>
        <v>0.25352112676056338</v>
      </c>
      <c r="L81" s="139">
        <f t="shared" si="17"/>
        <v>1.3396226415094339</v>
      </c>
      <c r="M81" s="131">
        <f>(I82-I81)/I82</f>
        <v>-6.1965811965812093E-2</v>
      </c>
      <c r="N81" s="144">
        <f t="shared" si="11"/>
        <v>37.1</v>
      </c>
      <c r="O81" s="144">
        <v>16</v>
      </c>
      <c r="P81" s="50"/>
      <c r="Q81" s="131">
        <f t="shared" si="21"/>
        <v>0.43126684636118595</v>
      </c>
      <c r="R81" s="139">
        <f t="shared" si="22"/>
        <v>1.7582938388625591</v>
      </c>
      <c r="S81" s="131">
        <f t="shared" si="28"/>
        <v>-0.11077844311377255</v>
      </c>
      <c r="T81" s="69">
        <v>28.6</v>
      </c>
      <c r="U81" s="118">
        <f t="shared" si="13"/>
        <v>21.1</v>
      </c>
      <c r="V81" s="140">
        <f t="shared" si="14"/>
        <v>0.57545271629778671</v>
      </c>
      <c r="W81" s="103"/>
      <c r="X81" s="69"/>
      <c r="Y81" s="69">
        <v>5.2</v>
      </c>
      <c r="Z81" s="134">
        <f t="shared" si="15"/>
        <v>0.10000000000000053</v>
      </c>
      <c r="AA81" s="50" t="s">
        <v>74</v>
      </c>
      <c r="AB81" s="134" t="s">
        <v>48</v>
      </c>
      <c r="AC81" s="69">
        <v>5.2</v>
      </c>
      <c r="AD81" s="145">
        <f t="shared" si="26"/>
        <v>0.10000000000000053</v>
      </c>
      <c r="AE81" s="50">
        <v>3</v>
      </c>
      <c r="AF81" s="50" t="s">
        <v>106</v>
      </c>
      <c r="AG81" s="142" t="s">
        <v>48</v>
      </c>
      <c r="AH81" s="109" t="s">
        <v>109</v>
      </c>
      <c r="AI81" s="8"/>
    </row>
    <row r="82" spans="1:35" x14ac:dyDescent="0.2">
      <c r="A82" s="11">
        <v>45819</v>
      </c>
      <c r="B82" s="15">
        <v>0.35416666666666669</v>
      </c>
      <c r="C82" s="69">
        <v>18.3</v>
      </c>
      <c r="D82" s="69">
        <v>17</v>
      </c>
      <c r="E82" s="69">
        <v>23.4</v>
      </c>
      <c r="F82" s="50">
        <v>23</v>
      </c>
      <c r="G82" s="144">
        <f t="shared" si="18"/>
        <v>1.3000000000000007</v>
      </c>
      <c r="H82" s="144">
        <f t="shared" si="24"/>
        <v>0.39999999999999858</v>
      </c>
      <c r="I82" s="69">
        <v>46.8</v>
      </c>
      <c r="J82" s="69">
        <f t="shared" si="27"/>
        <v>13.399999999999999</v>
      </c>
      <c r="K82" s="131">
        <f t="shared" si="19"/>
        <v>0.28632478632478631</v>
      </c>
      <c r="L82" s="139">
        <f t="shared" si="17"/>
        <v>1.4011976047904191</v>
      </c>
      <c r="M82" s="131">
        <f>(I82-I87)/I82</f>
        <v>-6.6239316239316268E-2</v>
      </c>
      <c r="N82" s="144">
        <f>I82-J82</f>
        <v>33.4</v>
      </c>
      <c r="O82" s="144">
        <v>14</v>
      </c>
      <c r="P82" s="50"/>
      <c r="Q82" s="131">
        <f t="shared" si="21"/>
        <v>0.41916167664670662</v>
      </c>
      <c r="R82" s="139">
        <f t="shared" si="22"/>
        <v>1.7216494845360824</v>
      </c>
      <c r="S82" s="131" t="e">
        <f>(K83-N82)/K83</f>
        <v>#DIV/0!</v>
      </c>
      <c r="T82" s="69">
        <v>27.4</v>
      </c>
      <c r="U82" s="118">
        <f t="shared" si="13"/>
        <v>19.399999999999999</v>
      </c>
      <c r="V82" s="140">
        <f t="shared" si="14"/>
        <v>0.5854700854700855</v>
      </c>
      <c r="W82" s="103"/>
      <c r="X82" s="69"/>
      <c r="Y82" s="69">
        <v>5.2</v>
      </c>
      <c r="Z82" s="134">
        <f t="shared" si="15"/>
        <v>0</v>
      </c>
      <c r="AA82" s="50" t="s">
        <v>74</v>
      </c>
      <c r="AB82" s="134" t="s">
        <v>48</v>
      </c>
      <c r="AC82" s="69">
        <v>5.2</v>
      </c>
      <c r="AD82" s="145">
        <f t="shared" si="26"/>
        <v>0</v>
      </c>
      <c r="AE82" s="50">
        <v>3.1</v>
      </c>
      <c r="AF82" s="50" t="s">
        <v>106</v>
      </c>
      <c r="AG82" s="142" t="s">
        <v>48</v>
      </c>
      <c r="AH82" s="109" t="s">
        <v>109</v>
      </c>
      <c r="AI82" s="8"/>
    </row>
    <row r="83" spans="1:35" hidden="1" x14ac:dyDescent="0.2">
      <c r="A83" s="11"/>
      <c r="B83" s="15"/>
      <c r="C83" s="69"/>
      <c r="D83" s="69"/>
      <c r="E83" s="69"/>
      <c r="F83" s="50"/>
      <c r="G83" s="144"/>
      <c r="H83" s="131"/>
      <c r="I83" s="141"/>
      <c r="J83" s="146"/>
      <c r="K83" s="144"/>
      <c r="L83" s="144"/>
      <c r="M83" s="118"/>
      <c r="N83" s="131"/>
      <c r="O83" s="139"/>
      <c r="P83" s="146"/>
      <c r="Q83" s="144"/>
      <c r="R83" s="118">
        <f t="shared" si="13"/>
        <v>0</v>
      </c>
      <c r="S83" s="140" t="e">
        <f>+Q83/G83</f>
        <v>#DIV/0!</v>
      </c>
      <c r="T83" s="103"/>
      <c r="U83" s="69"/>
      <c r="V83" s="69"/>
      <c r="W83" s="134">
        <f>+V83-Y82</f>
        <v>-5.2</v>
      </c>
      <c r="X83" s="50" t="s">
        <v>74</v>
      </c>
      <c r="Y83" s="134" t="s">
        <v>48</v>
      </c>
      <c r="Z83" s="69"/>
      <c r="AA83" s="145">
        <f>+Z83-AC82</f>
        <v>-5.2</v>
      </c>
      <c r="AB83" s="50"/>
      <c r="AC83" s="7"/>
      <c r="AD83" s="134" t="s">
        <v>48</v>
      </c>
      <c r="AE83" s="7" t="s">
        <v>109</v>
      </c>
      <c r="AF83" s="50"/>
      <c r="AH83" s="50"/>
    </row>
    <row r="84" spans="1:35" hidden="1" x14ac:dyDescent="0.2">
      <c r="A84" s="11"/>
      <c r="B84" s="15"/>
      <c r="C84" s="69"/>
      <c r="D84" s="69"/>
      <c r="E84" s="69"/>
      <c r="F84" s="50"/>
      <c r="G84" s="144"/>
      <c r="H84" s="131"/>
      <c r="I84" s="141"/>
      <c r="J84" s="146"/>
      <c r="K84" s="144"/>
      <c r="L84" s="144"/>
      <c r="M84" s="118"/>
      <c r="N84" s="131"/>
      <c r="O84" s="139"/>
      <c r="P84" s="146"/>
      <c r="Q84" s="144"/>
      <c r="R84" s="118">
        <f t="shared" si="13"/>
        <v>0</v>
      </c>
      <c r="S84" s="140" t="e">
        <f>+Q84/G84</f>
        <v>#DIV/0!</v>
      </c>
      <c r="T84" s="103"/>
      <c r="U84" s="69"/>
      <c r="V84" s="69"/>
      <c r="W84" s="134">
        <f t="shared" si="15"/>
        <v>0</v>
      </c>
      <c r="X84" s="50" t="s">
        <v>74</v>
      </c>
      <c r="Y84" s="134" t="s">
        <v>48</v>
      </c>
      <c r="Z84" s="69"/>
      <c r="AA84" s="145">
        <f t="shared" si="26"/>
        <v>0</v>
      </c>
      <c r="AB84" s="50"/>
      <c r="AC84" s="7"/>
      <c r="AD84" s="134" t="s">
        <v>48</v>
      </c>
      <c r="AE84" s="7" t="s">
        <v>109</v>
      </c>
      <c r="AF84" s="50"/>
      <c r="AH84" s="50"/>
    </row>
    <row r="85" spans="1:35" hidden="1" x14ac:dyDescent="0.2">
      <c r="A85" s="11"/>
      <c r="B85" s="15"/>
      <c r="C85" s="69"/>
      <c r="D85" s="69"/>
      <c r="E85" s="69"/>
      <c r="F85" s="50"/>
      <c r="G85" s="144"/>
      <c r="H85" s="131"/>
      <c r="I85" s="141"/>
      <c r="J85" s="146"/>
      <c r="K85" s="144"/>
      <c r="L85" s="144"/>
      <c r="M85" s="118"/>
      <c r="N85" s="131"/>
      <c r="O85" s="139"/>
      <c r="P85" s="146"/>
      <c r="Q85" s="144"/>
      <c r="R85" s="118">
        <f t="shared" si="13"/>
        <v>0</v>
      </c>
      <c r="S85" s="140" t="e">
        <f>+Q85/G85</f>
        <v>#DIV/0!</v>
      </c>
      <c r="T85" s="103"/>
      <c r="U85" s="69"/>
      <c r="V85" s="69"/>
      <c r="W85" s="134">
        <f t="shared" si="15"/>
        <v>0</v>
      </c>
      <c r="X85" s="50" t="s">
        <v>74</v>
      </c>
      <c r="Y85" s="134" t="s">
        <v>48</v>
      </c>
      <c r="Z85" s="69"/>
      <c r="AA85" s="145">
        <f t="shared" si="26"/>
        <v>0</v>
      </c>
      <c r="AB85" s="50"/>
      <c r="AC85" s="7"/>
      <c r="AD85" s="134" t="s">
        <v>48</v>
      </c>
      <c r="AE85" s="7" t="s">
        <v>109</v>
      </c>
      <c r="AF85" s="50"/>
      <c r="AH85" s="50"/>
    </row>
    <row r="86" spans="1:35" hidden="1" x14ac:dyDescent="0.2">
      <c r="A86" s="11"/>
      <c r="B86" s="15"/>
      <c r="C86" s="69"/>
      <c r="D86" s="69"/>
      <c r="E86" s="69"/>
      <c r="F86" s="50"/>
      <c r="G86" s="144"/>
      <c r="H86" s="131"/>
      <c r="I86" s="141"/>
      <c r="J86" s="146"/>
      <c r="K86" s="144"/>
      <c r="L86" s="144"/>
      <c r="M86" s="118"/>
      <c r="N86" s="131"/>
      <c r="O86" s="139"/>
      <c r="P86" s="146"/>
      <c r="Q86" s="144"/>
      <c r="R86" s="118">
        <f t="shared" si="13"/>
        <v>0</v>
      </c>
      <c r="S86" s="140" t="e">
        <f>+Q86/G86</f>
        <v>#DIV/0!</v>
      </c>
      <c r="T86" s="103"/>
      <c r="U86" s="69"/>
      <c r="V86" s="69"/>
      <c r="W86" s="134">
        <f t="shared" si="15"/>
        <v>0</v>
      </c>
      <c r="X86" s="50" t="s">
        <v>74</v>
      </c>
      <c r="Y86" s="134" t="s">
        <v>48</v>
      </c>
      <c r="Z86" s="69"/>
      <c r="AA86" s="145">
        <f t="shared" si="26"/>
        <v>0</v>
      </c>
      <c r="AB86" s="50"/>
      <c r="AC86" s="7"/>
      <c r="AD86" s="134" t="s">
        <v>48</v>
      </c>
      <c r="AE86" s="7" t="s">
        <v>109</v>
      </c>
      <c r="AF86" s="50"/>
      <c r="AH86" s="50"/>
    </row>
    <row r="87" spans="1:35" x14ac:dyDescent="0.2">
      <c r="A87" s="11">
        <v>45820</v>
      </c>
      <c r="B87" s="15">
        <v>0.39583333333333331</v>
      </c>
      <c r="C87" s="69">
        <v>17.5</v>
      </c>
      <c r="D87" s="69">
        <v>17</v>
      </c>
      <c r="E87" s="69">
        <v>22.4</v>
      </c>
      <c r="F87" s="50">
        <v>22</v>
      </c>
      <c r="G87" s="144">
        <f t="shared" si="18"/>
        <v>0.5</v>
      </c>
      <c r="H87" s="144">
        <f t="shared" si="24"/>
        <v>0.39999999999999858</v>
      </c>
      <c r="I87" s="69">
        <v>49.9</v>
      </c>
      <c r="J87" s="69">
        <f>T87-O87</f>
        <v>12.900000000000002</v>
      </c>
      <c r="K87" s="131">
        <f t="shared" si="19"/>
        <v>0.25851703406813631</v>
      </c>
      <c r="L87" s="139">
        <f t="shared" si="17"/>
        <v>1.3486486486486486</v>
      </c>
      <c r="M87" s="131">
        <f t="shared" si="20"/>
        <v>-4.1753653444676408E-2</v>
      </c>
      <c r="N87" s="145">
        <f>I87-J87</f>
        <v>37</v>
      </c>
      <c r="O87" s="144">
        <v>12.2</v>
      </c>
      <c r="P87" s="50"/>
      <c r="Q87" s="131">
        <f t="shared" si="21"/>
        <v>0.32972972972972969</v>
      </c>
      <c r="R87" s="139">
        <f t="shared" si="22"/>
        <v>1.4919354838709677</v>
      </c>
      <c r="S87" s="131">
        <f t="shared" si="28"/>
        <v>2.6954177897572595E-3</v>
      </c>
      <c r="T87" s="69">
        <v>25.1</v>
      </c>
      <c r="U87" s="118">
        <f t="shared" si="13"/>
        <v>24.8</v>
      </c>
      <c r="V87" s="140">
        <f t="shared" si="14"/>
        <v>0.50300601202404815</v>
      </c>
      <c r="W87" s="103"/>
      <c r="X87" s="69"/>
      <c r="Y87" s="69">
        <v>5.2</v>
      </c>
      <c r="Z87" s="134">
        <f>+Y87-V86</f>
        <v>5.2</v>
      </c>
      <c r="AA87" s="50" t="s">
        <v>74</v>
      </c>
      <c r="AB87" s="134" t="s">
        <v>48</v>
      </c>
      <c r="AC87" s="69">
        <v>5.2</v>
      </c>
      <c r="AD87" s="145">
        <f>+AC87-Z86</f>
        <v>5.2</v>
      </c>
      <c r="AE87" s="50">
        <v>2.2999999999999998</v>
      </c>
      <c r="AF87" s="50" t="s">
        <v>105</v>
      </c>
      <c r="AG87" s="154" t="s">
        <v>48</v>
      </c>
      <c r="AH87" s="50" t="s">
        <v>109</v>
      </c>
      <c r="AI87" s="155"/>
    </row>
    <row r="88" spans="1:35" x14ac:dyDescent="0.2">
      <c r="A88" s="11">
        <v>45821</v>
      </c>
      <c r="B88" s="15">
        <v>0.35416666666666669</v>
      </c>
      <c r="C88" s="69">
        <v>17.399999999999999</v>
      </c>
      <c r="D88" s="69">
        <v>17</v>
      </c>
      <c r="E88" s="69">
        <v>22.4</v>
      </c>
      <c r="F88" s="50">
        <v>22</v>
      </c>
      <c r="G88" s="144">
        <f t="shared" si="18"/>
        <v>0.39999999999999858</v>
      </c>
      <c r="H88" s="144">
        <f t="shared" si="24"/>
        <v>0.39999999999999858</v>
      </c>
      <c r="I88" s="69">
        <v>47.9</v>
      </c>
      <c r="J88" s="69">
        <f t="shared" si="27"/>
        <v>10.8</v>
      </c>
      <c r="K88" s="131">
        <f t="shared" si="19"/>
        <v>0.22546972860125264</v>
      </c>
      <c r="L88" s="139">
        <f t="shared" si="17"/>
        <v>1.2911051212938005</v>
      </c>
      <c r="M88" s="131">
        <f>(I91-I88)/I91</f>
        <v>-4.357298474945534E-2</v>
      </c>
      <c r="N88" s="144">
        <f t="shared" si="11"/>
        <v>37.099999999999994</v>
      </c>
      <c r="O88" s="144">
        <v>12.2</v>
      </c>
      <c r="P88" s="50"/>
      <c r="Q88" s="131">
        <f t="shared" si="21"/>
        <v>0.32884097035040433</v>
      </c>
      <c r="R88" s="139">
        <f t="shared" si="22"/>
        <v>1.4899598393574296</v>
      </c>
      <c r="S88" s="131" t="e">
        <f t="shared" si="28"/>
        <v>#DIV/0!</v>
      </c>
      <c r="T88" s="69">
        <v>23</v>
      </c>
      <c r="U88" s="118">
        <f t="shared" si="13"/>
        <v>24.899999999999995</v>
      </c>
      <c r="V88" s="140">
        <f t="shared" si="14"/>
        <v>0.4801670146137787</v>
      </c>
      <c r="W88" s="103"/>
      <c r="X88" s="69"/>
      <c r="Y88" s="69">
        <v>5.2</v>
      </c>
      <c r="Z88" s="134">
        <f t="shared" si="15"/>
        <v>0</v>
      </c>
      <c r="AA88" s="50" t="s">
        <v>74</v>
      </c>
      <c r="AB88" s="134" t="s">
        <v>48</v>
      </c>
      <c r="AC88" s="69">
        <v>5.2</v>
      </c>
      <c r="AD88" s="145">
        <f t="shared" si="26"/>
        <v>0</v>
      </c>
      <c r="AE88" s="50">
        <v>2.2000000000000002</v>
      </c>
      <c r="AF88" s="50" t="s">
        <v>105</v>
      </c>
      <c r="AG88" s="142" t="s">
        <v>48</v>
      </c>
      <c r="AH88" s="109"/>
      <c r="AI88" s="8"/>
    </row>
    <row r="89" spans="1:35" hidden="1" x14ac:dyDescent="0.2">
      <c r="A89" s="11">
        <v>45822</v>
      </c>
      <c r="B89" s="15"/>
      <c r="C89" s="69"/>
      <c r="D89" s="69"/>
      <c r="E89" s="69"/>
      <c r="F89" s="50"/>
      <c r="G89" s="144"/>
      <c r="H89" s="144"/>
      <c r="I89" s="69"/>
      <c r="J89" s="69"/>
      <c r="K89" s="131"/>
      <c r="L89" s="139"/>
      <c r="M89" s="131"/>
      <c r="N89" s="144"/>
      <c r="O89" s="144"/>
      <c r="P89" s="50"/>
      <c r="Q89" s="131" t="e">
        <f t="shared" si="21"/>
        <v>#DIV/0!</v>
      </c>
      <c r="R89" s="139" t="e">
        <f t="shared" si="22"/>
        <v>#DIV/0!</v>
      </c>
      <c r="S89" s="131" t="e">
        <f t="shared" si="28"/>
        <v>#DIV/0!</v>
      </c>
      <c r="T89" s="69"/>
      <c r="U89" s="118">
        <f t="shared" si="13"/>
        <v>0</v>
      </c>
      <c r="V89" s="140" t="e">
        <f t="shared" si="14"/>
        <v>#DIV/0!</v>
      </c>
      <c r="W89" s="103"/>
      <c r="X89" s="69"/>
      <c r="Y89" s="69"/>
      <c r="Z89" s="134">
        <f t="shared" si="15"/>
        <v>-5.2</v>
      </c>
      <c r="AA89" s="50" t="s">
        <v>74</v>
      </c>
      <c r="AB89" s="134" t="s">
        <v>48</v>
      </c>
      <c r="AC89" s="50"/>
      <c r="AD89" s="134">
        <f t="shared" si="26"/>
        <v>-5.2</v>
      </c>
      <c r="AE89" s="50"/>
      <c r="AF89" s="50" t="s">
        <v>105</v>
      </c>
      <c r="AG89" s="142" t="s">
        <v>48</v>
      </c>
      <c r="AH89" s="109"/>
      <c r="AI89" s="8"/>
    </row>
    <row r="90" spans="1:35" hidden="1" x14ac:dyDescent="0.2">
      <c r="A90" s="11">
        <v>45823</v>
      </c>
      <c r="B90" s="15"/>
      <c r="C90" s="69"/>
      <c r="D90" s="69"/>
      <c r="E90" s="69"/>
      <c r="F90" s="50"/>
      <c r="G90" s="144"/>
      <c r="H90" s="144"/>
      <c r="I90" s="69"/>
      <c r="J90" s="69"/>
      <c r="K90" s="131"/>
      <c r="L90" s="139"/>
      <c r="M90" s="131"/>
      <c r="N90" s="144"/>
      <c r="O90" s="144"/>
      <c r="P90" s="50"/>
      <c r="Q90" s="131" t="e">
        <f t="shared" si="21"/>
        <v>#DIV/0!</v>
      </c>
      <c r="R90" s="139" t="e">
        <f t="shared" si="22"/>
        <v>#DIV/0!</v>
      </c>
      <c r="S90" s="131">
        <f t="shared" si="28"/>
        <v>1</v>
      </c>
      <c r="T90" s="69"/>
      <c r="U90" s="118">
        <f t="shared" si="13"/>
        <v>0</v>
      </c>
      <c r="V90" s="140" t="e">
        <f t="shared" si="14"/>
        <v>#DIV/0!</v>
      </c>
      <c r="W90" s="103"/>
      <c r="X90" s="69"/>
      <c r="Y90" s="69"/>
      <c r="Z90" s="134">
        <f t="shared" si="15"/>
        <v>0</v>
      </c>
      <c r="AA90" s="50" t="s">
        <v>74</v>
      </c>
      <c r="AB90" s="118"/>
      <c r="AC90" s="50"/>
      <c r="AD90" s="134">
        <f t="shared" si="26"/>
        <v>0</v>
      </c>
      <c r="AE90" s="50"/>
      <c r="AF90" s="50" t="s">
        <v>105</v>
      </c>
      <c r="AG90" s="142" t="s">
        <v>48</v>
      </c>
      <c r="AH90" s="109"/>
      <c r="AI90" s="8"/>
    </row>
    <row r="91" spans="1:35" x14ac:dyDescent="0.2">
      <c r="A91" s="11">
        <v>45824</v>
      </c>
      <c r="B91" s="15">
        <v>0.33333333333333331</v>
      </c>
      <c r="C91" s="69">
        <v>18.7</v>
      </c>
      <c r="D91" s="69">
        <v>17.2</v>
      </c>
      <c r="E91" s="69">
        <v>24.5</v>
      </c>
      <c r="F91" s="50">
        <v>24</v>
      </c>
      <c r="G91" s="144">
        <f t="shared" si="18"/>
        <v>1.5</v>
      </c>
      <c r="H91" s="144">
        <f t="shared" si="24"/>
        <v>0.5</v>
      </c>
      <c r="I91" s="69">
        <v>45.9</v>
      </c>
      <c r="J91" s="69">
        <f t="shared" si="27"/>
        <v>29.4</v>
      </c>
      <c r="K91" s="131">
        <f t="shared" si="19"/>
        <v>0.64052287581699341</v>
      </c>
      <c r="L91" s="139">
        <f t="shared" si="17"/>
        <v>2.7818181818181813</v>
      </c>
      <c r="M91" s="131">
        <f t="shared" si="20"/>
        <v>0.12404580152671756</v>
      </c>
      <c r="N91" s="144">
        <f t="shared" si="11"/>
        <v>16.5</v>
      </c>
      <c r="O91" s="144">
        <v>10</v>
      </c>
      <c r="P91" s="50"/>
      <c r="Q91" s="131">
        <f t="shared" si="21"/>
        <v>0.60606060606060608</v>
      </c>
      <c r="R91" s="139">
        <f t="shared" si="22"/>
        <v>2.5384615384615388</v>
      </c>
      <c r="S91" s="131">
        <f t="shared" si="28"/>
        <v>0.34</v>
      </c>
      <c r="T91" s="69">
        <v>39.4</v>
      </c>
      <c r="U91" s="118">
        <f t="shared" si="13"/>
        <v>6.5</v>
      </c>
      <c r="V91" s="140">
        <f t="shared" si="14"/>
        <v>0.85838779956427014</v>
      </c>
      <c r="W91" s="103"/>
      <c r="X91" s="69"/>
      <c r="Y91" s="69">
        <v>5.3</v>
      </c>
      <c r="Z91" s="134">
        <f t="shared" si="15"/>
        <v>5.3</v>
      </c>
      <c r="AA91" s="50" t="s">
        <v>74</v>
      </c>
      <c r="AB91" s="134" t="s">
        <v>48</v>
      </c>
      <c r="AC91" s="50">
        <v>5.3</v>
      </c>
      <c r="AD91" s="134">
        <f t="shared" si="26"/>
        <v>5.3</v>
      </c>
      <c r="AE91" s="50">
        <v>3.2</v>
      </c>
      <c r="AF91" s="50" t="s">
        <v>105</v>
      </c>
      <c r="AG91" s="142" t="s">
        <v>48</v>
      </c>
      <c r="AH91" s="100" t="s">
        <v>104</v>
      </c>
      <c r="AI91" s="149" t="s">
        <v>102</v>
      </c>
    </row>
    <row r="92" spans="1:35" x14ac:dyDescent="0.2">
      <c r="A92" s="11">
        <v>45825</v>
      </c>
      <c r="B92" s="15">
        <v>0.35416666666666669</v>
      </c>
      <c r="C92" s="69">
        <v>17.2</v>
      </c>
      <c r="D92" s="69">
        <v>17</v>
      </c>
      <c r="E92" s="69">
        <v>22.6</v>
      </c>
      <c r="F92" s="50">
        <v>22</v>
      </c>
      <c r="G92" s="144">
        <f t="shared" si="18"/>
        <v>0.19999999999999929</v>
      </c>
      <c r="H92" s="144">
        <f t="shared" si="24"/>
        <v>0.60000000000000142</v>
      </c>
      <c r="I92" s="69">
        <v>52.4</v>
      </c>
      <c r="J92" s="69">
        <f t="shared" si="27"/>
        <v>27.4</v>
      </c>
      <c r="K92" s="131">
        <f t="shared" si="19"/>
        <v>0.52290076335877866</v>
      </c>
      <c r="L92" s="139">
        <f t="shared" si="17"/>
        <v>2.0960000000000001</v>
      </c>
      <c r="M92" s="131">
        <f t="shared" si="20"/>
        <v>-3.5573122529644209E-2</v>
      </c>
      <c r="N92" s="144">
        <f t="shared" ref="N92:N123" si="29">I92-J92</f>
        <v>25</v>
      </c>
      <c r="O92" s="144">
        <v>8</v>
      </c>
      <c r="P92" s="50"/>
      <c r="Q92" s="131">
        <f t="shared" si="21"/>
        <v>0.32</v>
      </c>
      <c r="R92" s="139">
        <f t="shared" si="22"/>
        <v>1.4705882352941178</v>
      </c>
      <c r="S92" s="131">
        <f t="shared" si="28"/>
        <v>-0.11111111111111094</v>
      </c>
      <c r="T92" s="69">
        <v>35.4</v>
      </c>
      <c r="U92" s="118">
        <f t="shared" ref="U92:U123" si="30">+N92-O92</f>
        <v>17</v>
      </c>
      <c r="V92" s="140">
        <f t="shared" ref="V92:V123" si="31">+T92/I92</f>
        <v>0.67557251908396942</v>
      </c>
      <c r="W92" s="103"/>
      <c r="X92" s="69"/>
      <c r="Y92" s="50">
        <v>5.2</v>
      </c>
      <c r="Z92" s="134">
        <f t="shared" si="15"/>
        <v>-9.9999999999999645E-2</v>
      </c>
      <c r="AA92" s="50" t="s">
        <v>74</v>
      </c>
      <c r="AB92" s="134" t="s">
        <v>48</v>
      </c>
      <c r="AC92" s="50">
        <v>5.2</v>
      </c>
      <c r="AD92" s="134">
        <f t="shared" si="26"/>
        <v>-9.9999999999999645E-2</v>
      </c>
      <c r="AE92" s="50">
        <v>2.2999999999999998</v>
      </c>
      <c r="AF92" s="50" t="s">
        <v>105</v>
      </c>
      <c r="AG92" s="142" t="s">
        <v>48</v>
      </c>
      <c r="AH92" s="109" t="s">
        <v>109</v>
      </c>
      <c r="AI92" s="149"/>
    </row>
    <row r="93" spans="1:35" s="2" customFormat="1" x14ac:dyDescent="0.2">
      <c r="A93" s="11">
        <v>45826</v>
      </c>
      <c r="B93" s="15">
        <v>0.4375</v>
      </c>
      <c r="C93" s="50">
        <v>17.600000000000001</v>
      </c>
      <c r="D93" s="50">
        <v>17</v>
      </c>
      <c r="E93" s="50">
        <v>23.2</v>
      </c>
      <c r="F93" s="50">
        <v>23</v>
      </c>
      <c r="G93" s="118">
        <f t="shared" si="18"/>
        <v>0.60000000000000142</v>
      </c>
      <c r="H93" s="118">
        <f t="shared" si="24"/>
        <v>0.19999999999999929</v>
      </c>
      <c r="I93" s="50">
        <v>50.6</v>
      </c>
      <c r="J93" s="50">
        <f t="shared" si="27"/>
        <v>28.099999999999998</v>
      </c>
      <c r="K93" s="131">
        <f t="shared" si="19"/>
        <v>0.55533596837944654</v>
      </c>
      <c r="L93" s="139">
        <f t="shared" si="17"/>
        <v>2.2488888888888883</v>
      </c>
      <c r="M93" s="131">
        <f t="shared" si="20"/>
        <v>-4.3298969072164975E-2</v>
      </c>
      <c r="N93" s="118">
        <f t="shared" si="29"/>
        <v>22.500000000000004</v>
      </c>
      <c r="O93" s="118">
        <v>5.2</v>
      </c>
      <c r="P93" s="50"/>
      <c r="Q93" s="131">
        <f t="shared" si="21"/>
        <v>0.23111111111111107</v>
      </c>
      <c r="R93" s="139">
        <f t="shared" si="22"/>
        <v>1.3005780346820808</v>
      </c>
      <c r="S93" s="131">
        <f t="shared" si="28"/>
        <v>5.4621848739495681E-2</v>
      </c>
      <c r="T93" s="50">
        <v>33.299999999999997</v>
      </c>
      <c r="U93" s="118">
        <f t="shared" si="30"/>
        <v>17.300000000000004</v>
      </c>
      <c r="V93" s="140">
        <f t="shared" si="31"/>
        <v>0.65810276679841895</v>
      </c>
      <c r="W93" s="147"/>
      <c r="X93" s="50"/>
      <c r="Y93" s="50">
        <v>5.3</v>
      </c>
      <c r="Z93" s="134">
        <f t="shared" si="15"/>
        <v>9.9999999999999645E-2</v>
      </c>
      <c r="AA93" s="50" t="s">
        <v>74</v>
      </c>
      <c r="AB93" s="134" t="s">
        <v>48</v>
      </c>
      <c r="AC93" s="50">
        <v>5.3</v>
      </c>
      <c r="AD93" s="134">
        <f t="shared" si="26"/>
        <v>9.9999999999999645E-2</v>
      </c>
      <c r="AE93" s="50">
        <v>2.4</v>
      </c>
      <c r="AF93" s="50" t="s">
        <v>105</v>
      </c>
      <c r="AG93" s="142" t="s">
        <v>48</v>
      </c>
      <c r="AH93" s="109" t="s">
        <v>109</v>
      </c>
      <c r="AI93" s="149"/>
    </row>
    <row r="94" spans="1:35" s="2" customFormat="1" x14ac:dyDescent="0.2">
      <c r="A94" s="11">
        <v>45827</v>
      </c>
      <c r="B94" s="15">
        <v>0.41666666666666669</v>
      </c>
      <c r="C94" s="50">
        <v>17.7</v>
      </c>
      <c r="D94" s="50">
        <v>17</v>
      </c>
      <c r="E94" s="50">
        <v>23.3</v>
      </c>
      <c r="F94" s="50">
        <v>23</v>
      </c>
      <c r="G94" s="118">
        <f t="shared" si="18"/>
        <v>0.69999999999999929</v>
      </c>
      <c r="H94" s="118">
        <f t="shared" si="24"/>
        <v>0.30000000000000071</v>
      </c>
      <c r="I94" s="50">
        <v>48.5</v>
      </c>
      <c r="J94" s="50">
        <f t="shared" si="27"/>
        <v>24.7</v>
      </c>
      <c r="K94" s="131">
        <f t="shared" si="19"/>
        <v>0.50927835051546388</v>
      </c>
      <c r="L94" s="139">
        <f t="shared" si="17"/>
        <v>2.03781512605042</v>
      </c>
      <c r="M94" s="131">
        <f>(I94-I99)/I94</f>
        <v>-0.20000000000000007</v>
      </c>
      <c r="N94" s="118">
        <f t="shared" si="29"/>
        <v>23.8</v>
      </c>
      <c r="O94" s="118">
        <v>5</v>
      </c>
      <c r="P94" s="50"/>
      <c r="Q94" s="131">
        <f t="shared" si="21"/>
        <v>0.21008403361344538</v>
      </c>
      <c r="R94" s="139">
        <f t="shared" si="22"/>
        <v>1.2659574468085106</v>
      </c>
      <c r="S94" s="131" t="e">
        <f t="shared" si="28"/>
        <v>#DIV/0!</v>
      </c>
      <c r="T94" s="50">
        <v>29.7</v>
      </c>
      <c r="U94" s="118">
        <f t="shared" si="30"/>
        <v>18.8</v>
      </c>
      <c r="V94" s="140">
        <f t="shared" si="31"/>
        <v>0.61237113402061849</v>
      </c>
      <c r="W94" s="103"/>
      <c r="X94" s="50"/>
      <c r="Y94" s="50">
        <v>5.0999999999999996</v>
      </c>
      <c r="Z94" s="134">
        <f t="shared" si="15"/>
        <v>-0.20000000000000018</v>
      </c>
      <c r="AA94" s="50" t="s">
        <v>74</v>
      </c>
      <c r="AB94" s="134" t="s">
        <v>48</v>
      </c>
      <c r="AC94" s="50">
        <v>5.0999999999999996</v>
      </c>
      <c r="AD94" s="134">
        <f t="shared" si="26"/>
        <v>-0.20000000000000018</v>
      </c>
      <c r="AE94" s="50">
        <v>2.4</v>
      </c>
      <c r="AF94" s="50" t="s">
        <v>105</v>
      </c>
      <c r="AG94" s="142" t="s">
        <v>48</v>
      </c>
      <c r="AH94" s="109" t="s">
        <v>109</v>
      </c>
      <c r="AI94" s="149"/>
    </row>
    <row r="95" spans="1:35" hidden="1" x14ac:dyDescent="0.2">
      <c r="A95" s="11">
        <v>45828</v>
      </c>
      <c r="B95" s="15"/>
      <c r="C95" s="50"/>
      <c r="D95" s="50"/>
      <c r="E95" s="50"/>
      <c r="F95" s="50"/>
      <c r="G95" s="118"/>
      <c r="H95" s="118"/>
      <c r="I95" s="50"/>
      <c r="J95" s="50"/>
      <c r="K95" s="131"/>
      <c r="L95" s="139"/>
      <c r="M95" s="131"/>
      <c r="N95" s="118"/>
      <c r="O95" s="118"/>
      <c r="P95" s="50"/>
      <c r="Q95" s="131" t="e">
        <f t="shared" si="21"/>
        <v>#DIV/0!</v>
      </c>
      <c r="R95" s="139" t="e">
        <f t="shared" si="22"/>
        <v>#DIV/0!</v>
      </c>
      <c r="S95" s="131" t="e">
        <f t="shared" si="28"/>
        <v>#DIV/0!</v>
      </c>
      <c r="T95" s="50"/>
      <c r="U95" s="118">
        <f t="shared" si="30"/>
        <v>0</v>
      </c>
      <c r="V95" s="140" t="e">
        <f t="shared" si="31"/>
        <v>#DIV/0!</v>
      </c>
      <c r="W95" s="103"/>
      <c r="X95" s="50"/>
      <c r="Y95" s="50"/>
      <c r="Z95" s="134">
        <f t="shared" si="15"/>
        <v>-5.0999999999999996</v>
      </c>
      <c r="AA95" s="50" t="s">
        <v>74</v>
      </c>
      <c r="AB95" s="134" t="s">
        <v>48</v>
      </c>
      <c r="AC95" s="50"/>
      <c r="AD95" s="134">
        <f t="shared" si="26"/>
        <v>-5.0999999999999996</v>
      </c>
      <c r="AE95" s="50"/>
      <c r="AF95" s="50"/>
      <c r="AG95" s="142" t="s">
        <v>48</v>
      </c>
      <c r="AH95" s="109" t="s">
        <v>109</v>
      </c>
      <c r="AI95" s="149" t="s">
        <v>103</v>
      </c>
    </row>
    <row r="96" spans="1:35" hidden="1" x14ac:dyDescent="0.2">
      <c r="A96" s="11">
        <v>45829</v>
      </c>
      <c r="B96" s="15"/>
      <c r="C96" s="50"/>
      <c r="D96" s="50"/>
      <c r="E96" s="50"/>
      <c r="F96" s="50"/>
      <c r="G96" s="118"/>
      <c r="H96" s="118"/>
      <c r="I96" s="50"/>
      <c r="J96" s="50"/>
      <c r="K96" s="131"/>
      <c r="L96" s="139"/>
      <c r="M96" s="131"/>
      <c r="N96" s="118"/>
      <c r="O96" s="118"/>
      <c r="P96" s="50"/>
      <c r="Q96" s="131" t="e">
        <f t="shared" si="21"/>
        <v>#DIV/0!</v>
      </c>
      <c r="R96" s="139" t="e">
        <f t="shared" si="22"/>
        <v>#DIV/0!</v>
      </c>
      <c r="S96" s="131" t="e">
        <f t="shared" si="28"/>
        <v>#DIV/0!</v>
      </c>
      <c r="T96" s="50"/>
      <c r="U96" s="118">
        <f t="shared" si="30"/>
        <v>0</v>
      </c>
      <c r="V96" s="140" t="e">
        <f t="shared" si="31"/>
        <v>#DIV/0!</v>
      </c>
      <c r="W96" s="103"/>
      <c r="X96" s="50"/>
      <c r="Y96" s="50"/>
      <c r="Z96" s="134">
        <f t="shared" si="15"/>
        <v>0</v>
      </c>
      <c r="AA96" s="50" t="s">
        <v>74</v>
      </c>
      <c r="AB96" s="134" t="s">
        <v>48</v>
      </c>
      <c r="AC96" s="50"/>
      <c r="AD96" s="134">
        <f t="shared" si="26"/>
        <v>0</v>
      </c>
      <c r="AE96" s="50"/>
      <c r="AF96" s="50"/>
      <c r="AG96" s="142" t="s">
        <v>48</v>
      </c>
      <c r="AH96" s="109" t="s">
        <v>109</v>
      </c>
      <c r="AI96" s="149"/>
    </row>
    <row r="97" spans="1:35" hidden="1" x14ac:dyDescent="0.2">
      <c r="A97" s="11">
        <v>45830</v>
      </c>
      <c r="B97" s="15"/>
      <c r="C97" s="50"/>
      <c r="D97" s="50"/>
      <c r="E97" s="50"/>
      <c r="F97" s="50"/>
      <c r="G97" s="118"/>
      <c r="H97" s="118"/>
      <c r="I97" s="50"/>
      <c r="J97" s="50"/>
      <c r="K97" s="131"/>
      <c r="L97" s="139"/>
      <c r="M97" s="131"/>
      <c r="N97" s="118"/>
      <c r="O97" s="118"/>
      <c r="P97" s="50"/>
      <c r="Q97" s="131" t="e">
        <f t="shared" si="21"/>
        <v>#DIV/0!</v>
      </c>
      <c r="R97" s="139" t="e">
        <f t="shared" si="22"/>
        <v>#DIV/0!</v>
      </c>
      <c r="S97" s="131" t="e">
        <f t="shared" si="28"/>
        <v>#DIV/0!</v>
      </c>
      <c r="T97" s="50"/>
      <c r="U97" s="118">
        <f t="shared" si="30"/>
        <v>0</v>
      </c>
      <c r="V97" s="140" t="e">
        <f t="shared" si="31"/>
        <v>#DIV/0!</v>
      </c>
      <c r="W97" s="103"/>
      <c r="X97" s="50"/>
      <c r="Y97" s="50"/>
      <c r="Z97" s="134">
        <f t="shared" si="15"/>
        <v>0</v>
      </c>
      <c r="AA97" s="50" t="s">
        <v>74</v>
      </c>
      <c r="AB97" s="134" t="s">
        <v>48</v>
      </c>
      <c r="AC97" s="50"/>
      <c r="AD97" s="134">
        <f t="shared" si="26"/>
        <v>0</v>
      </c>
      <c r="AE97" s="50"/>
      <c r="AF97" s="50"/>
      <c r="AG97" s="142" t="s">
        <v>48</v>
      </c>
      <c r="AH97" s="109" t="s">
        <v>109</v>
      </c>
      <c r="AI97" s="109"/>
    </row>
    <row r="98" spans="1:35" hidden="1" x14ac:dyDescent="0.2">
      <c r="A98" s="11">
        <v>45831</v>
      </c>
      <c r="B98" s="15"/>
      <c r="C98" s="50"/>
      <c r="D98" s="50"/>
      <c r="E98" s="50"/>
      <c r="F98" s="50"/>
      <c r="G98" s="118"/>
      <c r="H98" s="118"/>
      <c r="I98" s="50"/>
      <c r="J98" s="50"/>
      <c r="K98" s="131"/>
      <c r="L98" s="139"/>
      <c r="M98" s="131"/>
      <c r="N98" s="118"/>
      <c r="O98" s="118"/>
      <c r="P98" s="50"/>
      <c r="Q98" s="131" t="e">
        <f t="shared" si="21"/>
        <v>#DIV/0!</v>
      </c>
      <c r="R98" s="139" t="e">
        <f t="shared" si="22"/>
        <v>#DIV/0!</v>
      </c>
      <c r="S98" s="131">
        <f t="shared" si="28"/>
        <v>1</v>
      </c>
      <c r="T98" s="50"/>
      <c r="U98" s="118">
        <f t="shared" si="30"/>
        <v>0</v>
      </c>
      <c r="V98" s="140" t="e">
        <f t="shared" si="31"/>
        <v>#DIV/0!</v>
      </c>
      <c r="W98" s="103"/>
      <c r="X98" s="50"/>
      <c r="Y98" s="50"/>
      <c r="Z98" s="134">
        <f t="shared" si="15"/>
        <v>0</v>
      </c>
      <c r="AA98" s="50"/>
      <c r="AB98" s="134" t="s">
        <v>48</v>
      </c>
      <c r="AC98" s="50"/>
      <c r="AD98" s="134">
        <f t="shared" si="26"/>
        <v>0</v>
      </c>
      <c r="AE98" s="50"/>
      <c r="AF98" s="50"/>
      <c r="AG98" s="142" t="s">
        <v>48</v>
      </c>
      <c r="AH98" s="109" t="s">
        <v>109</v>
      </c>
      <c r="AI98" s="8"/>
    </row>
    <row r="99" spans="1:35" x14ac:dyDescent="0.2">
      <c r="A99" s="11">
        <v>45832</v>
      </c>
      <c r="B99" s="15">
        <v>0.35416666666666669</v>
      </c>
      <c r="C99" s="50">
        <v>17.100000000000001</v>
      </c>
      <c r="D99" s="50">
        <v>17</v>
      </c>
      <c r="E99" s="50">
        <v>22.3</v>
      </c>
      <c r="F99" s="50">
        <v>23</v>
      </c>
      <c r="G99" s="118">
        <f t="shared" si="18"/>
        <v>0.10000000000000142</v>
      </c>
      <c r="H99" s="118">
        <f>H107</f>
        <v>0</v>
      </c>
      <c r="I99" s="50">
        <v>58.2</v>
      </c>
      <c r="J99" s="50">
        <f t="shared" si="27"/>
        <v>25.2</v>
      </c>
      <c r="K99" s="131">
        <f t="shared" ref="K99:K129" si="32">J99/I99</f>
        <v>0.43298969072164945</v>
      </c>
      <c r="L99" s="139">
        <f t="shared" si="17"/>
        <v>1.7636363636363637</v>
      </c>
      <c r="M99" s="131">
        <f t="shared" ref="M99:M129" si="33">(I100-I99)/I100</f>
        <v>3.4246575342465023E-3</v>
      </c>
      <c r="N99" s="118">
        <f t="shared" si="29"/>
        <v>33</v>
      </c>
      <c r="O99" s="118">
        <v>5</v>
      </c>
      <c r="P99" s="50"/>
      <c r="Q99" s="131">
        <f t="shared" si="21"/>
        <v>0.15151515151515152</v>
      </c>
      <c r="R99" s="139">
        <f t="shared" si="22"/>
        <v>1.1785714285714286</v>
      </c>
      <c r="S99" s="131">
        <f t="shared" si="28"/>
        <v>2.3668639053254354E-2</v>
      </c>
      <c r="T99" s="50">
        <v>30.2</v>
      </c>
      <c r="U99" s="118">
        <f t="shared" si="30"/>
        <v>28</v>
      </c>
      <c r="V99" s="140">
        <f t="shared" si="31"/>
        <v>0.51890034364261162</v>
      </c>
      <c r="W99" s="103"/>
      <c r="X99" s="50"/>
      <c r="Y99" s="50">
        <v>4.4000000000000004</v>
      </c>
      <c r="Z99" s="134">
        <f t="shared" si="15"/>
        <v>4.4000000000000004</v>
      </c>
      <c r="AA99" s="50" t="s">
        <v>74</v>
      </c>
      <c r="AB99" s="134" t="s">
        <v>48</v>
      </c>
      <c r="AC99" s="50">
        <v>4.4000000000000004</v>
      </c>
      <c r="AD99" s="134">
        <f t="shared" si="26"/>
        <v>4.4000000000000004</v>
      </c>
      <c r="AE99" s="50">
        <v>3.1</v>
      </c>
      <c r="AF99" s="50" t="s">
        <v>105</v>
      </c>
      <c r="AG99" s="142" t="s">
        <v>48</v>
      </c>
      <c r="AH99" s="109" t="s">
        <v>109</v>
      </c>
      <c r="AI99" s="8"/>
    </row>
    <row r="100" spans="1:35" x14ac:dyDescent="0.2">
      <c r="A100" s="11">
        <v>45833</v>
      </c>
      <c r="B100" s="15">
        <v>0.375</v>
      </c>
      <c r="C100" s="50">
        <v>17.100000000000001</v>
      </c>
      <c r="D100" s="50">
        <v>17</v>
      </c>
      <c r="E100" s="50">
        <v>22.3</v>
      </c>
      <c r="F100" s="50">
        <v>22</v>
      </c>
      <c r="G100" s="118">
        <f t="shared" si="18"/>
        <v>0.10000000000000142</v>
      </c>
      <c r="H100" s="118">
        <f t="shared" si="24"/>
        <v>0.30000000000000071</v>
      </c>
      <c r="I100" s="50">
        <v>58.4</v>
      </c>
      <c r="J100" s="50">
        <f t="shared" si="27"/>
        <v>24.6</v>
      </c>
      <c r="K100" s="131">
        <f t="shared" si="32"/>
        <v>0.42123287671232879</v>
      </c>
      <c r="L100" s="139">
        <f t="shared" si="17"/>
        <v>1.7278106508875741</v>
      </c>
      <c r="M100" s="131">
        <f>(I101-I100)/I101</f>
        <v>-2.0979020979020904E-2</v>
      </c>
      <c r="N100" s="118">
        <f t="shared" si="29"/>
        <v>33.799999999999997</v>
      </c>
      <c r="O100" s="118">
        <v>5</v>
      </c>
      <c r="P100" s="50"/>
      <c r="Q100" s="131">
        <f t="shared" si="21"/>
        <v>0.14792899408284024</v>
      </c>
      <c r="R100" s="139">
        <f t="shared" si="22"/>
        <v>1.1736111111111112</v>
      </c>
      <c r="S100" s="131">
        <f t="shared" si="28"/>
        <v>-2.9673590504449348E-3</v>
      </c>
      <c r="T100" s="50">
        <v>29.6</v>
      </c>
      <c r="U100" s="118">
        <f t="shared" si="30"/>
        <v>28.799999999999997</v>
      </c>
      <c r="V100" s="140">
        <f t="shared" si="31"/>
        <v>0.50684931506849318</v>
      </c>
      <c r="W100" s="103"/>
      <c r="X100" s="50"/>
      <c r="Y100" s="50">
        <v>5</v>
      </c>
      <c r="Z100" s="134">
        <f t="shared" si="15"/>
        <v>0.59999999999999964</v>
      </c>
      <c r="AA100" s="50" t="s">
        <v>74</v>
      </c>
      <c r="AB100" s="134" t="s">
        <v>48</v>
      </c>
      <c r="AC100" s="50">
        <v>5</v>
      </c>
      <c r="AD100" s="52">
        <f t="shared" si="26"/>
        <v>0.59999999999999964</v>
      </c>
      <c r="AE100" s="48">
        <v>3.1</v>
      </c>
      <c r="AF100" s="50" t="s">
        <v>105</v>
      </c>
      <c r="AG100" s="52" t="s">
        <v>48</v>
      </c>
      <c r="AH100" s="109" t="s">
        <v>109</v>
      </c>
      <c r="AI100" s="8"/>
    </row>
    <row r="101" spans="1:35" x14ac:dyDescent="0.2">
      <c r="A101" s="11">
        <v>45834</v>
      </c>
      <c r="B101" s="15">
        <v>0.375</v>
      </c>
      <c r="C101" s="50">
        <v>17.100000000000001</v>
      </c>
      <c r="D101" s="50">
        <v>17</v>
      </c>
      <c r="E101" s="50">
        <v>22.4</v>
      </c>
      <c r="F101" s="50">
        <v>22</v>
      </c>
      <c r="G101" s="118">
        <f t="shared" si="18"/>
        <v>0.10000000000000142</v>
      </c>
      <c r="H101" s="118">
        <f t="shared" si="24"/>
        <v>0.39999999999999858</v>
      </c>
      <c r="I101" s="50">
        <v>57.2</v>
      </c>
      <c r="J101" s="50">
        <f t="shared" si="27"/>
        <v>23.5</v>
      </c>
      <c r="K101" s="131">
        <f t="shared" si="32"/>
        <v>0.41083916083916083</v>
      </c>
      <c r="L101" s="139">
        <f t="shared" si="17"/>
        <v>1.6973293768545994</v>
      </c>
      <c r="M101" s="131">
        <f t="shared" si="33"/>
        <v>3.484320557491215E-3</v>
      </c>
      <c r="N101" s="118">
        <f t="shared" si="29"/>
        <v>33.700000000000003</v>
      </c>
      <c r="O101" s="118">
        <v>5</v>
      </c>
      <c r="P101" s="50"/>
      <c r="Q101" s="131">
        <f t="shared" si="21"/>
        <v>0.14836795252225518</v>
      </c>
      <c r="R101" s="139">
        <f t="shared" si="22"/>
        <v>1.1742160278745646</v>
      </c>
      <c r="S101" s="131">
        <f t="shared" si="28"/>
        <v>-1.2012012012012184E-2</v>
      </c>
      <c r="T101" s="50">
        <v>28.5</v>
      </c>
      <c r="U101" s="118">
        <f t="shared" si="30"/>
        <v>28.700000000000003</v>
      </c>
      <c r="V101" s="140">
        <f t="shared" si="31"/>
        <v>0.49825174825174823</v>
      </c>
      <c r="W101" s="103"/>
      <c r="X101" s="50"/>
      <c r="Y101" s="50">
        <v>4.3</v>
      </c>
      <c r="Z101" s="134">
        <f>+Y101-Y100</f>
        <v>-0.70000000000000018</v>
      </c>
      <c r="AA101" s="50" t="s">
        <v>74</v>
      </c>
      <c r="AB101" s="134" t="s">
        <v>48</v>
      </c>
      <c r="AC101" s="50">
        <v>4.3</v>
      </c>
      <c r="AD101" s="52">
        <f t="shared" si="26"/>
        <v>-0.70000000000000018</v>
      </c>
      <c r="AE101" s="48">
        <v>3.1</v>
      </c>
      <c r="AF101" s="50" t="s">
        <v>105</v>
      </c>
      <c r="AG101" s="52" t="s">
        <v>48</v>
      </c>
      <c r="AH101" s="109" t="s">
        <v>109</v>
      </c>
      <c r="AI101" s="8"/>
    </row>
    <row r="102" spans="1:35" x14ac:dyDescent="0.2">
      <c r="A102" s="11">
        <v>45835</v>
      </c>
      <c r="B102" s="15">
        <v>0.41666666666666669</v>
      </c>
      <c r="C102" s="50">
        <v>17.2</v>
      </c>
      <c r="D102" s="50">
        <v>17</v>
      </c>
      <c r="E102" s="50">
        <v>22.4</v>
      </c>
      <c r="F102" s="50">
        <v>22</v>
      </c>
      <c r="G102" s="118">
        <f t="shared" si="18"/>
        <v>0.19999999999999929</v>
      </c>
      <c r="H102" s="118">
        <f t="shared" si="24"/>
        <v>0.39999999999999858</v>
      </c>
      <c r="I102" s="50">
        <v>57.4</v>
      </c>
      <c r="J102" s="50">
        <f t="shared" si="27"/>
        <v>24.1</v>
      </c>
      <c r="K102" s="131">
        <f t="shared" si="32"/>
        <v>0.4198606271777004</v>
      </c>
      <c r="L102" s="139">
        <f t="shared" si="17"/>
        <v>1.7237237237237237</v>
      </c>
      <c r="M102" s="131">
        <f>(I102-I107)/I102</f>
        <v>8.3623693379790892E-2</v>
      </c>
      <c r="N102" s="118">
        <f t="shared" si="29"/>
        <v>33.299999999999997</v>
      </c>
      <c r="O102" s="118">
        <v>5</v>
      </c>
      <c r="P102" s="50"/>
      <c r="Q102" s="131">
        <f t="shared" si="21"/>
        <v>0.15015015015015015</v>
      </c>
      <c r="R102" s="139">
        <f t="shared" si="22"/>
        <v>1.1766784452296819</v>
      </c>
      <c r="S102" s="131" t="e">
        <f t="shared" si="28"/>
        <v>#DIV/0!</v>
      </c>
      <c r="T102" s="50">
        <v>29.1</v>
      </c>
      <c r="U102" s="118">
        <f t="shared" si="30"/>
        <v>28.299999999999997</v>
      </c>
      <c r="V102" s="140">
        <f t="shared" si="31"/>
        <v>0.50696864111498263</v>
      </c>
      <c r="W102" s="103"/>
      <c r="X102" s="50"/>
      <c r="Y102" s="50">
        <v>5.0999999999999996</v>
      </c>
      <c r="Z102" s="134">
        <f t="shared" ref="Z102:Z165" si="34">+Y102-Y101</f>
        <v>0.79999999999999982</v>
      </c>
      <c r="AA102" s="50" t="s">
        <v>74</v>
      </c>
      <c r="AB102" s="134" t="s">
        <v>48</v>
      </c>
      <c r="AC102" s="50">
        <v>5.0999999999999996</v>
      </c>
      <c r="AD102" s="52">
        <f t="shared" si="26"/>
        <v>0.79999999999999982</v>
      </c>
      <c r="AE102" s="48">
        <v>3.1</v>
      </c>
      <c r="AF102" s="50" t="s">
        <v>105</v>
      </c>
      <c r="AG102" s="52" t="s">
        <v>48</v>
      </c>
      <c r="AH102" s="109" t="s">
        <v>109</v>
      </c>
      <c r="AI102" s="8"/>
    </row>
    <row r="103" spans="1:35" hidden="1" x14ac:dyDescent="0.2">
      <c r="A103" s="11">
        <v>45836</v>
      </c>
      <c r="B103" s="15"/>
      <c r="C103" s="50"/>
      <c r="D103" s="50"/>
      <c r="E103" s="50"/>
      <c r="F103" s="50"/>
      <c r="G103" s="118"/>
      <c r="H103" s="118"/>
      <c r="I103" s="50"/>
      <c r="J103" s="50"/>
      <c r="K103" s="131"/>
      <c r="L103" s="139"/>
      <c r="M103" s="131"/>
      <c r="N103" s="118"/>
      <c r="O103" s="118"/>
      <c r="P103" s="50"/>
      <c r="Q103" s="131" t="e">
        <f t="shared" si="21"/>
        <v>#DIV/0!</v>
      </c>
      <c r="R103" s="139" t="e">
        <f t="shared" si="22"/>
        <v>#DIV/0!</v>
      </c>
      <c r="S103" s="131" t="e">
        <f t="shared" si="28"/>
        <v>#DIV/0!</v>
      </c>
      <c r="T103" s="50"/>
      <c r="U103" s="118">
        <f t="shared" si="30"/>
        <v>0</v>
      </c>
      <c r="V103" s="140" t="e">
        <f t="shared" si="31"/>
        <v>#DIV/0!</v>
      </c>
      <c r="W103" s="103"/>
      <c r="X103" s="50"/>
      <c r="Y103" s="50"/>
      <c r="Z103" s="134">
        <f t="shared" si="34"/>
        <v>-5.0999999999999996</v>
      </c>
      <c r="AA103" s="50" t="s">
        <v>74</v>
      </c>
      <c r="AB103" s="134" t="s">
        <v>48</v>
      </c>
      <c r="AC103" s="50"/>
      <c r="AD103" s="52">
        <f t="shared" si="26"/>
        <v>-5.0999999999999996</v>
      </c>
      <c r="AE103" s="48"/>
      <c r="AF103" s="50"/>
      <c r="AG103" s="52" t="s">
        <v>48</v>
      </c>
      <c r="AH103" s="109"/>
      <c r="AI103" s="8"/>
    </row>
    <row r="104" spans="1:35" hidden="1" x14ac:dyDescent="0.2">
      <c r="A104" s="11">
        <v>45837</v>
      </c>
      <c r="B104" s="15"/>
      <c r="C104" s="50"/>
      <c r="D104" s="50"/>
      <c r="E104" s="50"/>
      <c r="F104" s="50"/>
      <c r="G104" s="118"/>
      <c r="H104" s="118"/>
      <c r="I104" s="50"/>
      <c r="J104" s="50"/>
      <c r="K104" s="131"/>
      <c r="L104" s="139"/>
      <c r="M104" s="131"/>
      <c r="N104" s="118"/>
      <c r="O104" s="118"/>
      <c r="P104" s="50"/>
      <c r="Q104" s="131" t="e">
        <f t="shared" si="21"/>
        <v>#DIV/0!</v>
      </c>
      <c r="R104" s="139" t="e">
        <f t="shared" si="22"/>
        <v>#DIV/0!</v>
      </c>
      <c r="S104" s="131" t="e">
        <f t="shared" si="28"/>
        <v>#DIV/0!</v>
      </c>
      <c r="T104" s="50"/>
      <c r="U104" s="118">
        <f t="shared" si="30"/>
        <v>0</v>
      </c>
      <c r="V104" s="140" t="e">
        <f t="shared" si="31"/>
        <v>#DIV/0!</v>
      </c>
      <c r="W104" s="103"/>
      <c r="X104" s="50"/>
      <c r="Y104" s="50"/>
      <c r="Z104" s="134">
        <f t="shared" si="34"/>
        <v>0</v>
      </c>
      <c r="AA104" s="50" t="s">
        <v>74</v>
      </c>
      <c r="AB104" s="134" t="s">
        <v>48</v>
      </c>
      <c r="AC104" s="50"/>
      <c r="AD104" s="52">
        <f t="shared" si="26"/>
        <v>0</v>
      </c>
      <c r="AE104" s="48"/>
      <c r="AF104" s="50"/>
      <c r="AG104" s="52" t="s">
        <v>48</v>
      </c>
      <c r="AH104" s="8"/>
      <c r="AI104" s="8"/>
    </row>
    <row r="105" spans="1:35" hidden="1" x14ac:dyDescent="0.2">
      <c r="A105" s="11">
        <v>45838</v>
      </c>
      <c r="B105" s="15"/>
      <c r="C105" s="50"/>
      <c r="D105" s="50"/>
      <c r="E105" s="50"/>
      <c r="F105" s="50"/>
      <c r="G105" s="118"/>
      <c r="H105" s="118"/>
      <c r="I105" s="50"/>
      <c r="J105" s="50"/>
      <c r="K105" s="131"/>
      <c r="L105" s="139"/>
      <c r="M105" s="131"/>
      <c r="N105" s="118"/>
      <c r="O105" s="118"/>
      <c r="P105" s="50"/>
      <c r="Q105" s="131" t="e">
        <f t="shared" si="21"/>
        <v>#DIV/0!</v>
      </c>
      <c r="R105" s="139" t="e">
        <f t="shared" si="22"/>
        <v>#DIV/0!</v>
      </c>
      <c r="S105" s="131" t="e">
        <f t="shared" si="28"/>
        <v>#DIV/0!</v>
      </c>
      <c r="T105" s="50"/>
      <c r="U105" s="118">
        <f t="shared" si="30"/>
        <v>0</v>
      </c>
      <c r="V105" s="140" t="e">
        <f t="shared" si="31"/>
        <v>#DIV/0!</v>
      </c>
      <c r="W105" s="103"/>
      <c r="X105" s="50"/>
      <c r="Y105" s="50"/>
      <c r="Z105" s="134">
        <f t="shared" si="34"/>
        <v>0</v>
      </c>
      <c r="AA105" s="50" t="s">
        <v>74</v>
      </c>
      <c r="AB105" s="134" t="s">
        <v>48</v>
      </c>
      <c r="AC105" s="50"/>
      <c r="AD105" s="52">
        <f t="shared" si="26"/>
        <v>0</v>
      </c>
      <c r="AE105" s="48"/>
      <c r="AF105" s="50"/>
      <c r="AG105" s="52" t="s">
        <v>48</v>
      </c>
      <c r="AH105" s="8"/>
      <c r="AI105" s="8"/>
    </row>
    <row r="106" spans="1:35" hidden="1" x14ac:dyDescent="0.2">
      <c r="A106" s="11">
        <v>45839</v>
      </c>
      <c r="B106" s="15"/>
      <c r="C106" s="50"/>
      <c r="D106" s="50"/>
      <c r="E106" s="50"/>
      <c r="F106" s="50"/>
      <c r="G106" s="118"/>
      <c r="H106" s="103"/>
      <c r="I106" s="50"/>
      <c r="J106" s="50"/>
      <c r="K106" s="131"/>
      <c r="L106" s="139"/>
      <c r="M106" s="131"/>
      <c r="N106" s="118"/>
      <c r="O106" s="118"/>
      <c r="P106" s="50"/>
      <c r="Q106" s="131" t="e">
        <f t="shared" si="21"/>
        <v>#DIV/0!</v>
      </c>
      <c r="R106" s="139" t="e">
        <f t="shared" si="22"/>
        <v>#DIV/0!</v>
      </c>
      <c r="S106" s="131">
        <f t="shared" si="28"/>
        <v>1</v>
      </c>
      <c r="T106" s="50"/>
      <c r="U106" s="118">
        <f t="shared" si="30"/>
        <v>0</v>
      </c>
      <c r="V106" s="140" t="e">
        <f t="shared" si="31"/>
        <v>#DIV/0!</v>
      </c>
      <c r="W106" s="103"/>
      <c r="X106" s="50"/>
      <c r="Y106" s="50"/>
      <c r="Z106" s="134">
        <f t="shared" si="34"/>
        <v>0</v>
      </c>
      <c r="AA106" s="50" t="s">
        <v>74</v>
      </c>
      <c r="AB106" s="134" t="s">
        <v>48</v>
      </c>
      <c r="AC106" s="50"/>
      <c r="AD106" s="52">
        <f t="shared" si="26"/>
        <v>0</v>
      </c>
      <c r="AE106" s="48"/>
      <c r="AF106" s="50"/>
      <c r="AG106" s="7"/>
      <c r="AH106" s="8"/>
      <c r="AI106" s="8"/>
    </row>
    <row r="107" spans="1:35" x14ac:dyDescent="0.2">
      <c r="A107" s="11">
        <v>45840</v>
      </c>
      <c r="B107" s="61">
        <v>0.35416666666666669</v>
      </c>
      <c r="C107" s="50">
        <v>18.399999999999999</v>
      </c>
      <c r="D107" s="50">
        <v>18</v>
      </c>
      <c r="E107" s="50">
        <v>24</v>
      </c>
      <c r="F107" s="50">
        <v>24</v>
      </c>
      <c r="G107" s="118">
        <f t="shared" si="18"/>
        <v>0.39999999999999858</v>
      </c>
      <c r="H107" s="118">
        <f t="shared" si="24"/>
        <v>0</v>
      </c>
      <c r="I107" s="50">
        <v>52.6</v>
      </c>
      <c r="J107" s="50">
        <v>30</v>
      </c>
      <c r="K107" s="131">
        <f t="shared" si="32"/>
        <v>0.57034220532319391</v>
      </c>
      <c r="L107" s="139">
        <f t="shared" si="17"/>
        <v>2.3274336283185839</v>
      </c>
      <c r="M107" s="131">
        <f t="shared" si="33"/>
        <v>1.4981273408239647E-2</v>
      </c>
      <c r="N107" s="118">
        <f t="shared" si="29"/>
        <v>22.6</v>
      </c>
      <c r="O107" s="118">
        <f t="shared" ref="O107:O155" si="35">T107-J107</f>
        <v>5.8999999999999986</v>
      </c>
      <c r="P107" s="95"/>
      <c r="Q107" s="131">
        <f t="shared" si="21"/>
        <v>0.26106194690265477</v>
      </c>
      <c r="R107" s="139">
        <f t="shared" si="22"/>
        <v>1.3532934131736525</v>
      </c>
      <c r="S107" s="131">
        <f t="shared" si="28"/>
        <v>7.3770491803278576E-2</v>
      </c>
      <c r="T107" s="50">
        <v>35.9</v>
      </c>
      <c r="U107" s="118">
        <f t="shared" si="30"/>
        <v>16.700000000000003</v>
      </c>
      <c r="V107" s="140">
        <f t="shared" si="31"/>
        <v>0.68250950570342206</v>
      </c>
      <c r="W107" s="103"/>
      <c r="X107" s="50"/>
      <c r="Y107" s="50">
        <v>5.0999999999999996</v>
      </c>
      <c r="Z107" s="134">
        <f t="shared" si="34"/>
        <v>5.0999999999999996</v>
      </c>
      <c r="AA107" s="50" t="s">
        <v>74</v>
      </c>
      <c r="AB107" s="134" t="s">
        <v>48</v>
      </c>
      <c r="AC107" s="50">
        <v>5.0999999999999996</v>
      </c>
      <c r="AD107" s="52">
        <f t="shared" si="26"/>
        <v>5.0999999999999996</v>
      </c>
      <c r="AE107" s="48">
        <v>3.3</v>
      </c>
      <c r="AF107" s="133" t="s">
        <v>105</v>
      </c>
      <c r="AG107" s="52" t="s">
        <v>48</v>
      </c>
      <c r="AH107" s="109" t="s">
        <v>109</v>
      </c>
      <c r="AI107" s="8"/>
    </row>
    <row r="108" spans="1:35" x14ac:dyDescent="0.2">
      <c r="A108" s="11">
        <v>45841</v>
      </c>
      <c r="B108" s="15">
        <v>0.375</v>
      </c>
      <c r="C108" s="50">
        <v>17.899999999999999</v>
      </c>
      <c r="D108" s="50">
        <v>17</v>
      </c>
      <c r="E108" s="50">
        <v>23.4</v>
      </c>
      <c r="F108" s="50">
        <v>23</v>
      </c>
      <c r="G108" s="118">
        <f>C108-D108</f>
        <v>0.89999999999999858</v>
      </c>
      <c r="H108" s="118">
        <f t="shared" si="24"/>
        <v>0.39999999999999858</v>
      </c>
      <c r="I108" s="50">
        <v>53.4</v>
      </c>
      <c r="J108" s="50">
        <v>29</v>
      </c>
      <c r="K108" s="131">
        <f t="shared" si="32"/>
        <v>0.54307116104868913</v>
      </c>
      <c r="L108" s="139">
        <f t="shared" si="17"/>
        <v>2.1885245901639343</v>
      </c>
      <c r="M108" s="131">
        <f t="shared" si="33"/>
        <v>6.8062827225130865E-2</v>
      </c>
      <c r="N108" s="118">
        <f t="shared" si="29"/>
        <v>24.4</v>
      </c>
      <c r="O108" s="118">
        <f t="shared" si="35"/>
        <v>2.8000000000000007</v>
      </c>
      <c r="P108" s="95"/>
      <c r="Q108" s="131">
        <f t="shared" si="21"/>
        <v>0.11475409836065577</v>
      </c>
      <c r="R108" s="139">
        <f t="shared" si="22"/>
        <v>1.1296296296296298</v>
      </c>
      <c r="S108" s="131">
        <f t="shared" si="28"/>
        <v>0.1378091872791519</v>
      </c>
      <c r="T108" s="50">
        <v>31.8</v>
      </c>
      <c r="U108" s="118">
        <f t="shared" si="30"/>
        <v>21.599999999999998</v>
      </c>
      <c r="V108" s="140">
        <f t="shared" si="31"/>
        <v>0.5955056179775281</v>
      </c>
      <c r="W108" s="103"/>
      <c r="X108" s="50"/>
      <c r="Y108" s="50">
        <v>5</v>
      </c>
      <c r="Z108" s="134">
        <f t="shared" si="34"/>
        <v>-9.9999999999999645E-2</v>
      </c>
      <c r="AA108" s="50" t="s">
        <v>74</v>
      </c>
      <c r="AB108" s="134" t="s">
        <v>48</v>
      </c>
      <c r="AC108" s="50">
        <v>5</v>
      </c>
      <c r="AD108" s="52">
        <f t="shared" si="26"/>
        <v>-9.9999999999999645E-2</v>
      </c>
      <c r="AE108" s="48">
        <v>3.1</v>
      </c>
      <c r="AF108" s="133" t="s">
        <v>105</v>
      </c>
      <c r="AG108" s="52" t="s">
        <v>48</v>
      </c>
      <c r="AH108" s="109" t="s">
        <v>109</v>
      </c>
      <c r="AI108" s="8"/>
    </row>
    <row r="109" spans="1:35" x14ac:dyDescent="0.2">
      <c r="A109" s="11">
        <v>45842</v>
      </c>
      <c r="B109" s="15">
        <v>0.35416666666666669</v>
      </c>
      <c r="C109" s="50">
        <v>17</v>
      </c>
      <c r="D109" s="50">
        <v>17</v>
      </c>
      <c r="E109" s="50">
        <v>22.2</v>
      </c>
      <c r="F109" s="50">
        <v>22</v>
      </c>
      <c r="G109" s="118">
        <f>C109-D109</f>
        <v>0</v>
      </c>
      <c r="H109" s="118">
        <f t="shared" si="24"/>
        <v>0.19999999999999929</v>
      </c>
      <c r="I109" s="50">
        <v>57.3</v>
      </c>
      <c r="J109" s="50">
        <v>29</v>
      </c>
      <c r="K109" s="131">
        <f t="shared" si="32"/>
        <v>0.50610820244328103</v>
      </c>
      <c r="L109" s="139">
        <f t="shared" ref="L109:L172" si="36">1/(1-K109)</f>
        <v>2.0247349823321557</v>
      </c>
      <c r="M109" s="131">
        <f>(I109-I112)/I109</f>
        <v>0.14834205933682373</v>
      </c>
      <c r="N109" s="118">
        <f t="shared" si="29"/>
        <v>28.299999999999997</v>
      </c>
      <c r="O109" s="118">
        <f t="shared" si="35"/>
        <v>1.5</v>
      </c>
      <c r="P109" s="95"/>
      <c r="Q109" s="131">
        <f t="shared" si="21"/>
        <v>5.3003533568904596E-2</v>
      </c>
      <c r="R109" s="139">
        <f t="shared" si="22"/>
        <v>1.0559701492537314</v>
      </c>
      <c r="S109" s="131" t="e">
        <f t="shared" si="28"/>
        <v>#DIV/0!</v>
      </c>
      <c r="T109" s="50">
        <v>30.5</v>
      </c>
      <c r="U109" s="118">
        <f t="shared" si="30"/>
        <v>26.799999999999997</v>
      </c>
      <c r="V109" s="140">
        <f t="shared" si="31"/>
        <v>0.53228621291448519</v>
      </c>
      <c r="W109" s="103"/>
      <c r="X109" s="50"/>
      <c r="Y109" s="50">
        <v>4.4000000000000004</v>
      </c>
      <c r="Z109" s="134">
        <f t="shared" si="34"/>
        <v>-0.59999999999999964</v>
      </c>
      <c r="AA109" s="50" t="s">
        <v>74</v>
      </c>
      <c r="AB109" s="134" t="s">
        <v>48</v>
      </c>
      <c r="AC109" s="50">
        <v>4.4000000000000004</v>
      </c>
      <c r="AD109" s="52">
        <f t="shared" si="26"/>
        <v>-0.59999999999999964</v>
      </c>
      <c r="AE109" s="48">
        <v>3.1</v>
      </c>
      <c r="AF109" s="133" t="s">
        <v>105</v>
      </c>
      <c r="AG109" s="52" t="s">
        <v>48</v>
      </c>
      <c r="AH109" s="109" t="s">
        <v>109</v>
      </c>
      <c r="AI109" s="8"/>
    </row>
    <row r="110" spans="1:35" hidden="1" x14ac:dyDescent="0.2">
      <c r="A110" s="11">
        <v>45843</v>
      </c>
      <c r="B110" s="15"/>
      <c r="C110" s="50"/>
      <c r="D110" s="50"/>
      <c r="E110" s="50"/>
      <c r="F110" s="50"/>
      <c r="G110" s="118"/>
      <c r="H110" s="118"/>
      <c r="I110" s="50"/>
      <c r="J110" s="50"/>
      <c r="K110" s="131"/>
      <c r="L110" s="139"/>
      <c r="M110" s="131"/>
      <c r="N110" s="118"/>
      <c r="O110" s="118"/>
      <c r="P110" s="95"/>
      <c r="Q110" s="131" t="e">
        <f t="shared" si="21"/>
        <v>#DIV/0!</v>
      </c>
      <c r="R110" s="139" t="e">
        <f t="shared" si="22"/>
        <v>#DIV/0!</v>
      </c>
      <c r="S110" s="131" t="e">
        <f t="shared" si="28"/>
        <v>#DIV/0!</v>
      </c>
      <c r="T110" s="50"/>
      <c r="U110" s="118">
        <f t="shared" si="30"/>
        <v>0</v>
      </c>
      <c r="V110" s="140" t="e">
        <f t="shared" si="31"/>
        <v>#DIV/0!</v>
      </c>
      <c r="W110" s="103"/>
      <c r="X110" s="50"/>
      <c r="Y110" s="50"/>
      <c r="Z110" s="134">
        <f t="shared" si="34"/>
        <v>-4.4000000000000004</v>
      </c>
      <c r="AA110" s="50" t="s">
        <v>74</v>
      </c>
      <c r="AB110" s="134" t="s">
        <v>48</v>
      </c>
      <c r="AC110" s="50"/>
      <c r="AD110" s="52">
        <f t="shared" si="26"/>
        <v>-4.4000000000000004</v>
      </c>
      <c r="AE110" s="48"/>
      <c r="AF110" s="50"/>
      <c r="AG110" s="52" t="s">
        <v>48</v>
      </c>
      <c r="AH110" s="109" t="s">
        <v>109</v>
      </c>
      <c r="AI110" s="8"/>
    </row>
    <row r="111" spans="1:35" hidden="1" x14ac:dyDescent="0.2">
      <c r="A111" s="11">
        <v>45844</v>
      </c>
      <c r="B111" s="15"/>
      <c r="C111" s="50"/>
      <c r="D111" s="50"/>
      <c r="E111" s="50"/>
      <c r="F111" s="50"/>
      <c r="G111" s="118"/>
      <c r="H111" s="118"/>
      <c r="I111" s="50"/>
      <c r="J111" s="50"/>
      <c r="K111" s="131"/>
      <c r="L111" s="139"/>
      <c r="M111" s="131"/>
      <c r="N111" s="118"/>
      <c r="O111" s="118"/>
      <c r="P111" s="95"/>
      <c r="Q111" s="131" t="e">
        <f t="shared" si="21"/>
        <v>#DIV/0!</v>
      </c>
      <c r="R111" s="139" t="e">
        <f t="shared" si="22"/>
        <v>#DIV/0!</v>
      </c>
      <c r="S111" s="131">
        <f t="shared" si="28"/>
        <v>1</v>
      </c>
      <c r="T111" s="50"/>
      <c r="U111" s="118">
        <f t="shared" si="30"/>
        <v>0</v>
      </c>
      <c r="V111" s="140" t="e">
        <f t="shared" si="31"/>
        <v>#DIV/0!</v>
      </c>
      <c r="W111" s="103"/>
      <c r="X111" s="50"/>
      <c r="Y111" s="50"/>
      <c r="Z111" s="134">
        <f t="shared" si="34"/>
        <v>0</v>
      </c>
      <c r="AA111" s="50" t="s">
        <v>74</v>
      </c>
      <c r="AB111" s="134" t="s">
        <v>48</v>
      </c>
      <c r="AC111" s="50"/>
      <c r="AD111" s="52">
        <f t="shared" si="26"/>
        <v>0</v>
      </c>
      <c r="AE111" s="48"/>
      <c r="AF111" s="50"/>
      <c r="AG111" s="52" t="s">
        <v>48</v>
      </c>
      <c r="AH111" s="109" t="s">
        <v>109</v>
      </c>
      <c r="AI111" s="8"/>
    </row>
    <row r="112" spans="1:35" x14ac:dyDescent="0.2">
      <c r="A112" s="11">
        <v>45845</v>
      </c>
      <c r="B112" s="15">
        <v>0.41666666666666669</v>
      </c>
      <c r="C112" s="50">
        <v>17.7</v>
      </c>
      <c r="D112" s="50">
        <v>17</v>
      </c>
      <c r="E112" s="50">
        <v>23.2</v>
      </c>
      <c r="F112" s="50">
        <v>23</v>
      </c>
      <c r="G112" s="118">
        <f t="shared" si="18"/>
        <v>0.69999999999999929</v>
      </c>
      <c r="H112" s="118">
        <f t="shared" si="24"/>
        <v>0.19999999999999929</v>
      </c>
      <c r="I112" s="50">
        <v>48.8</v>
      </c>
      <c r="J112" s="50">
        <v>29</v>
      </c>
      <c r="K112" s="131">
        <f t="shared" si="32"/>
        <v>0.59426229508196726</v>
      </c>
      <c r="L112" s="139">
        <f t="shared" si="36"/>
        <v>2.464646464646465</v>
      </c>
      <c r="M112" s="131">
        <f t="shared" si="33"/>
        <v>-1.8789144050104355E-2</v>
      </c>
      <c r="N112" s="118">
        <f t="shared" si="29"/>
        <v>19.799999999999997</v>
      </c>
      <c r="O112" s="118">
        <f t="shared" si="35"/>
        <v>-0.39999999999999858</v>
      </c>
      <c r="P112" s="95"/>
      <c r="Q112" s="131">
        <f t="shared" si="21"/>
        <v>-2.0202020202020134E-2</v>
      </c>
      <c r="R112" s="139">
        <f t="shared" si="22"/>
        <v>0.98019801980198029</v>
      </c>
      <c r="S112" s="131">
        <f t="shared" ref="S112:S140" si="37">(N113-N112)/N113</f>
        <v>-4.7619047619047547E-2</v>
      </c>
      <c r="T112" s="50">
        <v>28.6</v>
      </c>
      <c r="U112" s="118">
        <f t="shared" si="30"/>
        <v>20.199999999999996</v>
      </c>
      <c r="V112" s="140">
        <f t="shared" si="31"/>
        <v>0.58606557377049184</v>
      </c>
      <c r="W112" s="103"/>
      <c r="X112" s="50"/>
      <c r="Y112" s="50">
        <v>4.2</v>
      </c>
      <c r="Z112" s="134">
        <f t="shared" si="34"/>
        <v>4.2</v>
      </c>
      <c r="AA112" s="50" t="s">
        <v>74</v>
      </c>
      <c r="AB112" s="134" t="s">
        <v>48</v>
      </c>
      <c r="AC112" s="50">
        <v>4.2</v>
      </c>
      <c r="AD112" s="52">
        <f t="shared" si="26"/>
        <v>4.2</v>
      </c>
      <c r="AE112" s="48">
        <v>1</v>
      </c>
      <c r="AF112" s="50" t="s">
        <v>105</v>
      </c>
      <c r="AG112" s="52" t="s">
        <v>48</v>
      </c>
      <c r="AH112" s="109" t="s">
        <v>109</v>
      </c>
      <c r="AI112" s="8"/>
    </row>
    <row r="113" spans="1:35" x14ac:dyDescent="0.2">
      <c r="A113" s="11">
        <v>45846</v>
      </c>
      <c r="B113" s="15">
        <v>0.33333333333333331</v>
      </c>
      <c r="C113" s="50">
        <v>17.899999999999999</v>
      </c>
      <c r="D113" s="50">
        <v>17</v>
      </c>
      <c r="E113" s="50">
        <v>23.6</v>
      </c>
      <c r="F113" s="50">
        <v>23</v>
      </c>
      <c r="G113" s="118">
        <f t="shared" si="18"/>
        <v>0.89999999999999858</v>
      </c>
      <c r="H113" s="118">
        <f t="shared" si="24"/>
        <v>0.60000000000000142</v>
      </c>
      <c r="I113" s="50">
        <v>47.9</v>
      </c>
      <c r="J113" s="50">
        <v>29</v>
      </c>
      <c r="K113" s="131">
        <f t="shared" si="32"/>
        <v>0.60542797494780798</v>
      </c>
      <c r="L113" s="139">
        <f t="shared" si="36"/>
        <v>2.5343915343915349</v>
      </c>
      <c r="M113" s="131">
        <f t="shared" si="33"/>
        <v>-8.4210526315789177E-3</v>
      </c>
      <c r="N113" s="118">
        <f t="shared" si="29"/>
        <v>18.899999999999999</v>
      </c>
      <c r="O113" s="118">
        <f t="shared" si="35"/>
        <v>-0.39999999999999858</v>
      </c>
      <c r="P113" s="95"/>
      <c r="Q113" s="131">
        <f t="shared" si="21"/>
        <v>-2.116402116402109E-2</v>
      </c>
      <c r="R113" s="139">
        <f t="shared" si="22"/>
        <v>0.97927461139896377</v>
      </c>
      <c r="S113" s="131">
        <f t="shared" si="37"/>
        <v>-2.1621621621621546E-2</v>
      </c>
      <c r="T113" s="50">
        <v>28.6</v>
      </c>
      <c r="U113" s="118">
        <f t="shared" si="30"/>
        <v>19.299999999999997</v>
      </c>
      <c r="V113" s="140">
        <f t="shared" si="31"/>
        <v>0.59707724425887265</v>
      </c>
      <c r="W113" s="103"/>
      <c r="X113" s="50"/>
      <c r="Y113" s="50">
        <v>4.2</v>
      </c>
      <c r="Z113" s="134">
        <f t="shared" si="34"/>
        <v>0</v>
      </c>
      <c r="AA113" s="50" t="s">
        <v>74</v>
      </c>
      <c r="AB113" s="134" t="s">
        <v>48</v>
      </c>
      <c r="AC113" s="50">
        <v>4.2</v>
      </c>
      <c r="AD113" s="52">
        <f t="shared" si="26"/>
        <v>0</v>
      </c>
      <c r="AE113" s="48">
        <v>3.1</v>
      </c>
      <c r="AF113" s="50" t="s">
        <v>105</v>
      </c>
      <c r="AG113" s="52" t="s">
        <v>48</v>
      </c>
      <c r="AH113" s="109" t="s">
        <v>109</v>
      </c>
      <c r="AI113" s="8"/>
    </row>
    <row r="114" spans="1:35" x14ac:dyDescent="0.2">
      <c r="A114" s="11">
        <v>45847</v>
      </c>
      <c r="B114" s="15">
        <v>0.375</v>
      </c>
      <c r="C114" s="50">
        <v>17.3</v>
      </c>
      <c r="D114" s="50">
        <v>17</v>
      </c>
      <c r="E114" s="50">
        <v>23.4</v>
      </c>
      <c r="F114" s="50">
        <v>23</v>
      </c>
      <c r="G114" s="118">
        <f t="shared" si="18"/>
        <v>0.30000000000000071</v>
      </c>
      <c r="H114" s="118">
        <f t="shared" si="24"/>
        <v>0.39999999999999858</v>
      </c>
      <c r="I114" s="50">
        <v>47.5</v>
      </c>
      <c r="J114" s="50">
        <v>29</v>
      </c>
      <c r="K114" s="131">
        <f t="shared" si="32"/>
        <v>0.61052631578947369</v>
      </c>
      <c r="L114" s="139">
        <f t="shared" si="36"/>
        <v>2.5675675675675675</v>
      </c>
      <c r="M114" s="131">
        <f t="shared" si="33"/>
        <v>1.6563146997929549E-2</v>
      </c>
      <c r="N114" s="118">
        <f t="shared" si="29"/>
        <v>18.5</v>
      </c>
      <c r="O114" s="118">
        <f t="shared" si="35"/>
        <v>-1.6999999999999993</v>
      </c>
      <c r="P114" s="95"/>
      <c r="Q114" s="131">
        <f t="shared" si="21"/>
        <v>-9.1891891891891855E-2</v>
      </c>
      <c r="R114" s="139">
        <f t="shared" si="22"/>
        <v>0.91584158415841588</v>
      </c>
      <c r="S114" s="131">
        <f t="shared" si="37"/>
        <v>4.1450777202072395E-2</v>
      </c>
      <c r="T114" s="50">
        <v>27.3</v>
      </c>
      <c r="U114" s="118">
        <f t="shared" si="30"/>
        <v>20.2</v>
      </c>
      <c r="V114" s="140">
        <f t="shared" si="31"/>
        <v>0.57473684210526321</v>
      </c>
      <c r="W114" s="103"/>
      <c r="X114" s="50"/>
      <c r="Y114" s="50">
        <v>4.0999999999999996</v>
      </c>
      <c r="Z114" s="134">
        <f t="shared" si="34"/>
        <v>-0.10000000000000053</v>
      </c>
      <c r="AA114" s="50" t="s">
        <v>74</v>
      </c>
      <c r="AB114" s="134" t="s">
        <v>48</v>
      </c>
      <c r="AC114" s="50">
        <v>4.0999999999999996</v>
      </c>
      <c r="AD114" s="52">
        <f t="shared" si="26"/>
        <v>-0.10000000000000053</v>
      </c>
      <c r="AE114" s="48">
        <v>1</v>
      </c>
      <c r="AF114" s="133" t="s">
        <v>105</v>
      </c>
      <c r="AG114" s="52" t="s">
        <v>48</v>
      </c>
      <c r="AH114" s="109" t="s">
        <v>109</v>
      </c>
      <c r="AI114" s="8"/>
    </row>
    <row r="115" spans="1:35" x14ac:dyDescent="0.2">
      <c r="A115" s="11">
        <v>45848</v>
      </c>
      <c r="B115" s="15">
        <v>0.39583333333333331</v>
      </c>
      <c r="C115" s="50">
        <v>17.7</v>
      </c>
      <c r="D115" s="50">
        <v>17</v>
      </c>
      <c r="E115" s="50">
        <v>23.3</v>
      </c>
      <c r="F115" s="50">
        <v>23</v>
      </c>
      <c r="G115" s="118">
        <f t="shared" si="18"/>
        <v>0.69999999999999929</v>
      </c>
      <c r="H115" s="118">
        <f t="shared" si="24"/>
        <v>0.30000000000000071</v>
      </c>
      <c r="I115" s="50">
        <v>48.3</v>
      </c>
      <c r="J115" s="50">
        <v>29</v>
      </c>
      <c r="K115" s="131">
        <f t="shared" si="32"/>
        <v>0.60041407867494823</v>
      </c>
      <c r="L115" s="139">
        <f t="shared" si="36"/>
        <v>2.5025906735751295</v>
      </c>
      <c r="M115" s="131">
        <f>(I115-I119)/I115</f>
        <v>-0.13250517598343697</v>
      </c>
      <c r="N115" s="118">
        <f t="shared" si="29"/>
        <v>19.299999999999997</v>
      </c>
      <c r="O115" s="118">
        <f t="shared" si="35"/>
        <v>-0.39999999999999858</v>
      </c>
      <c r="P115" s="95"/>
      <c r="Q115" s="131">
        <f t="shared" si="21"/>
        <v>-2.0725388601036197E-2</v>
      </c>
      <c r="R115" s="139">
        <f t="shared" si="22"/>
        <v>0.97969543147208138</v>
      </c>
      <c r="S115" s="131" t="e">
        <f t="shared" si="37"/>
        <v>#DIV/0!</v>
      </c>
      <c r="T115" s="50">
        <v>28.6</v>
      </c>
      <c r="U115" s="118">
        <f t="shared" si="30"/>
        <v>19.699999999999996</v>
      </c>
      <c r="V115" s="140">
        <f t="shared" si="31"/>
        <v>0.59213250517598348</v>
      </c>
      <c r="W115" s="103"/>
      <c r="X115" s="50"/>
      <c r="Y115" s="50">
        <v>4.0999999999999996</v>
      </c>
      <c r="Z115" s="134">
        <f t="shared" si="34"/>
        <v>0</v>
      </c>
      <c r="AA115" s="50" t="s">
        <v>74</v>
      </c>
      <c r="AB115" s="134" t="s">
        <v>48</v>
      </c>
      <c r="AC115" s="50">
        <v>4.0999999999999996</v>
      </c>
      <c r="AD115" s="52">
        <f t="shared" si="26"/>
        <v>0</v>
      </c>
      <c r="AE115" s="48">
        <v>1</v>
      </c>
      <c r="AF115" s="50" t="s">
        <v>105</v>
      </c>
      <c r="AG115" s="52" t="s">
        <v>48</v>
      </c>
      <c r="AH115" s="109" t="s">
        <v>109</v>
      </c>
      <c r="AI115" s="8"/>
    </row>
    <row r="116" spans="1:35" hidden="1" x14ac:dyDescent="0.2">
      <c r="A116" s="11">
        <v>45849</v>
      </c>
      <c r="B116" s="15"/>
      <c r="C116" s="50"/>
      <c r="D116" s="50"/>
      <c r="E116" s="50"/>
      <c r="F116" s="50"/>
      <c r="G116" s="118"/>
      <c r="H116" s="118"/>
      <c r="I116" s="50"/>
      <c r="J116" s="50"/>
      <c r="K116" s="131"/>
      <c r="L116" s="139"/>
      <c r="M116" s="131"/>
      <c r="N116" s="118"/>
      <c r="O116" s="118">
        <f t="shared" si="35"/>
        <v>0</v>
      </c>
      <c r="P116" s="95"/>
      <c r="Q116" s="131" t="e">
        <f t="shared" si="21"/>
        <v>#DIV/0!</v>
      </c>
      <c r="R116" s="139" t="e">
        <f t="shared" si="22"/>
        <v>#DIV/0!</v>
      </c>
      <c r="S116" s="131" t="e">
        <f t="shared" si="37"/>
        <v>#DIV/0!</v>
      </c>
      <c r="T116" s="50"/>
      <c r="U116" s="118">
        <f t="shared" si="30"/>
        <v>0</v>
      </c>
      <c r="V116" s="140" t="e">
        <f t="shared" si="31"/>
        <v>#DIV/0!</v>
      </c>
      <c r="W116" s="103"/>
      <c r="X116" s="50"/>
      <c r="Y116" s="50"/>
      <c r="Z116" s="134">
        <f t="shared" si="34"/>
        <v>-4.0999999999999996</v>
      </c>
      <c r="AA116" s="50" t="s">
        <v>74</v>
      </c>
      <c r="AB116" s="134" t="s">
        <v>48</v>
      </c>
      <c r="AC116" s="50"/>
      <c r="AD116" s="52">
        <f t="shared" si="26"/>
        <v>-4.0999999999999996</v>
      </c>
      <c r="AE116" s="48"/>
      <c r="AF116" s="50"/>
      <c r="AG116" s="52" t="s">
        <v>48</v>
      </c>
      <c r="AH116" s="109"/>
      <c r="AI116" s="8"/>
    </row>
    <row r="117" spans="1:35" hidden="1" x14ac:dyDescent="0.2">
      <c r="A117" s="11">
        <v>45850</v>
      </c>
      <c r="B117" s="15"/>
      <c r="C117" s="50"/>
      <c r="D117" s="50"/>
      <c r="E117" s="50"/>
      <c r="F117" s="50"/>
      <c r="G117" s="118"/>
      <c r="H117" s="118"/>
      <c r="I117" s="50"/>
      <c r="J117" s="50"/>
      <c r="K117" s="131"/>
      <c r="L117" s="139"/>
      <c r="M117" s="131"/>
      <c r="N117" s="118"/>
      <c r="O117" s="118">
        <f t="shared" si="35"/>
        <v>0</v>
      </c>
      <c r="P117" s="95"/>
      <c r="Q117" s="131" t="e">
        <f t="shared" si="21"/>
        <v>#DIV/0!</v>
      </c>
      <c r="R117" s="139" t="e">
        <f t="shared" si="22"/>
        <v>#DIV/0!</v>
      </c>
      <c r="S117" s="131" t="e">
        <f t="shared" si="37"/>
        <v>#DIV/0!</v>
      </c>
      <c r="T117" s="50"/>
      <c r="U117" s="118">
        <f t="shared" si="30"/>
        <v>0</v>
      </c>
      <c r="V117" s="140" t="e">
        <f t="shared" si="31"/>
        <v>#DIV/0!</v>
      </c>
      <c r="W117" s="103"/>
      <c r="X117" s="50"/>
      <c r="Y117" s="50"/>
      <c r="Z117" s="134">
        <f t="shared" si="34"/>
        <v>0</v>
      </c>
      <c r="AA117" s="50" t="s">
        <v>74</v>
      </c>
      <c r="AB117" s="134" t="s">
        <v>48</v>
      </c>
      <c r="AC117" s="50"/>
      <c r="AD117" s="52">
        <f t="shared" si="26"/>
        <v>0</v>
      </c>
      <c r="AE117" s="48"/>
      <c r="AF117" s="50"/>
      <c r="AG117" s="52" t="s">
        <v>48</v>
      </c>
      <c r="AH117" s="109"/>
      <c r="AI117" s="8"/>
    </row>
    <row r="118" spans="1:35" hidden="1" x14ac:dyDescent="0.2">
      <c r="A118" s="11">
        <v>45851</v>
      </c>
      <c r="B118" s="15"/>
      <c r="C118" s="50"/>
      <c r="D118" s="50"/>
      <c r="E118" s="50"/>
      <c r="F118" s="50"/>
      <c r="G118" s="118"/>
      <c r="H118" s="118"/>
      <c r="I118" s="50"/>
      <c r="J118" s="50"/>
      <c r="K118" s="131"/>
      <c r="L118" s="139"/>
      <c r="M118" s="131"/>
      <c r="N118" s="118"/>
      <c r="O118" s="118">
        <f t="shared" si="35"/>
        <v>0</v>
      </c>
      <c r="P118" s="95"/>
      <c r="Q118" s="131" t="e">
        <f t="shared" si="21"/>
        <v>#DIV/0!</v>
      </c>
      <c r="R118" s="139" t="e">
        <f t="shared" si="22"/>
        <v>#DIV/0!</v>
      </c>
      <c r="S118" s="131">
        <f t="shared" si="37"/>
        <v>1</v>
      </c>
      <c r="T118" s="50"/>
      <c r="U118" s="118">
        <f t="shared" si="30"/>
        <v>0</v>
      </c>
      <c r="V118" s="140" t="e">
        <f t="shared" si="31"/>
        <v>#DIV/0!</v>
      </c>
      <c r="W118" s="103"/>
      <c r="X118" s="50"/>
      <c r="Y118" s="50"/>
      <c r="Z118" s="134">
        <f t="shared" si="34"/>
        <v>0</v>
      </c>
      <c r="AA118" s="50" t="s">
        <v>74</v>
      </c>
      <c r="AB118" s="134" t="s">
        <v>48</v>
      </c>
      <c r="AC118" s="50"/>
      <c r="AD118" s="52">
        <f t="shared" si="26"/>
        <v>0</v>
      </c>
      <c r="AE118" s="48"/>
      <c r="AF118" s="50"/>
      <c r="AG118" s="52" t="s">
        <v>48</v>
      </c>
      <c r="AH118" s="109"/>
      <c r="AI118" s="8"/>
    </row>
    <row r="119" spans="1:35" x14ac:dyDescent="0.2">
      <c r="A119" s="11">
        <v>45852</v>
      </c>
      <c r="B119" s="15">
        <v>0.35416666666666669</v>
      </c>
      <c r="C119" s="50">
        <v>17.2</v>
      </c>
      <c r="D119" s="50">
        <v>17</v>
      </c>
      <c r="E119" s="50">
        <v>22.6</v>
      </c>
      <c r="F119" s="50">
        <v>23</v>
      </c>
      <c r="G119" s="118">
        <f t="shared" si="18"/>
        <v>0.19999999999999929</v>
      </c>
      <c r="H119" s="118">
        <f t="shared" si="24"/>
        <v>-0.39999999999999858</v>
      </c>
      <c r="I119" s="50">
        <v>54.7</v>
      </c>
      <c r="J119" s="50">
        <v>29</v>
      </c>
      <c r="K119" s="131">
        <f t="shared" si="32"/>
        <v>0.53016453382084094</v>
      </c>
      <c r="L119" s="139">
        <f t="shared" si="36"/>
        <v>2.1284046692607004</v>
      </c>
      <c r="M119" s="131">
        <f t="shared" si="33"/>
        <v>-0.39540816326530609</v>
      </c>
      <c r="N119" s="118">
        <f t="shared" si="29"/>
        <v>25.700000000000003</v>
      </c>
      <c r="O119" s="118">
        <f t="shared" si="35"/>
        <v>15.399999999999999</v>
      </c>
      <c r="P119" s="95"/>
      <c r="Q119" s="131">
        <f t="shared" si="21"/>
        <v>0.59922178988326835</v>
      </c>
      <c r="R119" s="139">
        <f t="shared" si="22"/>
        <v>2.4951456310679605</v>
      </c>
      <c r="S119" s="131">
        <f t="shared" si="37"/>
        <v>-0.49418604651162784</v>
      </c>
      <c r="T119" s="50">
        <v>44.4</v>
      </c>
      <c r="U119" s="118">
        <f t="shared" si="30"/>
        <v>10.300000000000004</v>
      </c>
      <c r="V119" s="140">
        <f t="shared" si="31"/>
        <v>0.81170018281535639</v>
      </c>
      <c r="W119" s="103"/>
      <c r="X119" s="50"/>
      <c r="Y119" s="50">
        <v>4.3</v>
      </c>
      <c r="Z119" s="134">
        <f t="shared" si="34"/>
        <v>4.3</v>
      </c>
      <c r="AA119" s="50" t="s">
        <v>74</v>
      </c>
      <c r="AB119" s="134" t="s">
        <v>48</v>
      </c>
      <c r="AC119" s="50">
        <v>4.3</v>
      </c>
      <c r="AD119" s="52">
        <f t="shared" si="26"/>
        <v>4.3</v>
      </c>
      <c r="AE119" s="48">
        <v>2.2999999999999998</v>
      </c>
      <c r="AF119" s="50" t="s">
        <v>106</v>
      </c>
      <c r="AG119" s="52" t="s">
        <v>48</v>
      </c>
      <c r="AH119" s="109" t="s">
        <v>104</v>
      </c>
      <c r="AI119" s="149" t="s">
        <v>107</v>
      </c>
    </row>
    <row r="120" spans="1:35" x14ac:dyDescent="0.2">
      <c r="A120" s="11">
        <v>45853</v>
      </c>
      <c r="B120" s="15">
        <v>0.35416666666666669</v>
      </c>
      <c r="C120" s="50">
        <v>16.600000000000001</v>
      </c>
      <c r="D120" s="50">
        <v>16.5</v>
      </c>
      <c r="E120" s="50">
        <v>22.5</v>
      </c>
      <c r="F120" s="50">
        <v>22</v>
      </c>
      <c r="G120" s="118">
        <f t="shared" si="18"/>
        <v>0.10000000000000142</v>
      </c>
      <c r="H120" s="118">
        <f t="shared" si="24"/>
        <v>0.5</v>
      </c>
      <c r="I120" s="50">
        <v>39.200000000000003</v>
      </c>
      <c r="J120" s="50">
        <v>22</v>
      </c>
      <c r="K120" s="131">
        <f t="shared" si="32"/>
        <v>0.56122448979591832</v>
      </c>
      <c r="L120" s="139">
        <f t="shared" si="36"/>
        <v>2.2790697674418601</v>
      </c>
      <c r="M120" s="131">
        <f t="shared" si="33"/>
        <v>-0.32881355932203399</v>
      </c>
      <c r="N120" s="118">
        <f t="shared" si="29"/>
        <v>17.200000000000003</v>
      </c>
      <c r="O120" s="118">
        <f t="shared" si="35"/>
        <v>6.1000000000000014</v>
      </c>
      <c r="P120" s="95"/>
      <c r="Q120" s="131">
        <f t="shared" si="21"/>
        <v>0.35465116279069769</v>
      </c>
      <c r="R120" s="139">
        <f t="shared" si="22"/>
        <v>1.5495495495495495</v>
      </c>
      <c r="S120" s="131">
        <f t="shared" si="37"/>
        <v>-1.0235294117647062</v>
      </c>
      <c r="T120" s="50">
        <v>28.1</v>
      </c>
      <c r="U120" s="118">
        <f t="shared" si="30"/>
        <v>11.100000000000001</v>
      </c>
      <c r="V120" s="140">
        <f t="shared" si="31"/>
        <v>0.71683673469387754</v>
      </c>
      <c r="W120" s="103"/>
      <c r="X120" s="50"/>
      <c r="Y120" s="50">
        <v>6</v>
      </c>
      <c r="Z120" s="134">
        <f t="shared" si="34"/>
        <v>1.7000000000000002</v>
      </c>
      <c r="AA120" s="50" t="s">
        <v>74</v>
      </c>
      <c r="AB120" s="134" t="s">
        <v>48</v>
      </c>
      <c r="AC120" s="50">
        <v>6</v>
      </c>
      <c r="AD120" s="52">
        <f t="shared" si="26"/>
        <v>1.7000000000000002</v>
      </c>
      <c r="AE120" s="48">
        <v>1</v>
      </c>
      <c r="AF120" s="133" t="s">
        <v>105</v>
      </c>
      <c r="AG120" s="52" t="s">
        <v>48</v>
      </c>
      <c r="AH120" s="109" t="s">
        <v>109</v>
      </c>
      <c r="AI120" s="149"/>
    </row>
    <row r="121" spans="1:35" x14ac:dyDescent="0.2">
      <c r="A121" s="11">
        <v>45854</v>
      </c>
      <c r="B121" s="15">
        <v>0.375</v>
      </c>
      <c r="C121" s="50">
        <v>16.899999999999999</v>
      </c>
      <c r="D121" s="50">
        <v>16.5</v>
      </c>
      <c r="E121" s="50">
        <v>23</v>
      </c>
      <c r="F121" s="50">
        <v>23</v>
      </c>
      <c r="G121" s="118">
        <f t="shared" si="18"/>
        <v>0.39999999999999858</v>
      </c>
      <c r="H121" s="118">
        <f t="shared" si="24"/>
        <v>0</v>
      </c>
      <c r="I121" s="50">
        <v>29.5</v>
      </c>
      <c r="J121" s="50">
        <v>21</v>
      </c>
      <c r="K121" s="131">
        <f t="shared" si="32"/>
        <v>0.71186440677966101</v>
      </c>
      <c r="L121" s="139">
        <f t="shared" si="36"/>
        <v>3.4705882352941178</v>
      </c>
      <c r="M121" s="131">
        <f t="shared" si="33"/>
        <v>0.17827298050139273</v>
      </c>
      <c r="N121" s="118">
        <f t="shared" si="29"/>
        <v>8.5</v>
      </c>
      <c r="O121" s="118">
        <f t="shared" si="35"/>
        <v>3.1000000000000014</v>
      </c>
      <c r="P121" s="95"/>
      <c r="Q121" s="131">
        <f t="shared" si="21"/>
        <v>0.36470588235294132</v>
      </c>
      <c r="R121" s="139">
        <f t="shared" si="22"/>
        <v>1.5740740740740744</v>
      </c>
      <c r="S121" s="131">
        <f t="shared" si="37"/>
        <v>0.38848920863309344</v>
      </c>
      <c r="T121" s="50">
        <v>24.1</v>
      </c>
      <c r="U121" s="118">
        <f t="shared" si="30"/>
        <v>5.3999999999999986</v>
      </c>
      <c r="V121" s="140">
        <f t="shared" si="31"/>
        <v>0.81694915254237288</v>
      </c>
      <c r="W121" s="103"/>
      <c r="X121" s="50"/>
      <c r="Y121" s="50">
        <v>6.1</v>
      </c>
      <c r="Z121" s="134">
        <f t="shared" si="34"/>
        <v>9.9999999999999645E-2</v>
      </c>
      <c r="AA121" s="50" t="s">
        <v>74</v>
      </c>
      <c r="AB121" s="134" t="s">
        <v>48</v>
      </c>
      <c r="AC121" s="50">
        <v>6.1</v>
      </c>
      <c r="AD121" s="52">
        <f t="shared" si="26"/>
        <v>9.9999999999999645E-2</v>
      </c>
      <c r="AE121" s="48">
        <v>1</v>
      </c>
      <c r="AF121" s="133" t="s">
        <v>105</v>
      </c>
      <c r="AG121" s="52" t="s">
        <v>48</v>
      </c>
      <c r="AH121" s="109" t="s">
        <v>109</v>
      </c>
      <c r="AI121" s="149" t="s">
        <v>122</v>
      </c>
    </row>
    <row r="122" spans="1:35" x14ac:dyDescent="0.2">
      <c r="A122" s="11">
        <v>45855</v>
      </c>
      <c r="B122" s="15">
        <v>0.375</v>
      </c>
      <c r="C122" s="50">
        <v>17.2</v>
      </c>
      <c r="D122" s="50">
        <v>17</v>
      </c>
      <c r="E122" s="50">
        <v>23.1</v>
      </c>
      <c r="F122" s="50">
        <v>23</v>
      </c>
      <c r="G122" s="118">
        <f t="shared" si="18"/>
        <v>0.19999999999999929</v>
      </c>
      <c r="H122" s="118">
        <f t="shared" si="24"/>
        <v>0.10000000000000142</v>
      </c>
      <c r="I122" s="50">
        <v>35.9</v>
      </c>
      <c r="J122" s="50">
        <v>22</v>
      </c>
      <c r="K122" s="131">
        <f t="shared" si="32"/>
        <v>0.61281337047353768</v>
      </c>
      <c r="L122" s="139">
        <f t="shared" si="36"/>
        <v>2.5827338129496407</v>
      </c>
      <c r="M122" s="131">
        <f t="shared" si="33"/>
        <v>-7.1641791044776082E-2</v>
      </c>
      <c r="N122" s="118">
        <f t="shared" si="29"/>
        <v>13.899999999999999</v>
      </c>
      <c r="O122" s="118">
        <f t="shared" si="35"/>
        <v>2</v>
      </c>
      <c r="P122" s="95"/>
      <c r="Q122" s="131">
        <f t="shared" si="21"/>
        <v>0.14388489208633096</v>
      </c>
      <c r="R122" s="139">
        <f t="shared" si="22"/>
        <v>1.1680672268907564</v>
      </c>
      <c r="S122" s="131">
        <f t="shared" si="37"/>
        <v>-2.0888888888888886</v>
      </c>
      <c r="T122" s="50">
        <v>24</v>
      </c>
      <c r="U122" s="118">
        <f t="shared" si="30"/>
        <v>11.899999999999999</v>
      </c>
      <c r="V122" s="140">
        <f t="shared" si="31"/>
        <v>0.66852367688022285</v>
      </c>
      <c r="W122" s="103"/>
      <c r="X122" s="50"/>
      <c r="Y122" s="50">
        <v>6</v>
      </c>
      <c r="Z122" s="134">
        <f t="shared" si="34"/>
        <v>-9.9999999999999645E-2</v>
      </c>
      <c r="AA122" s="50" t="s">
        <v>74</v>
      </c>
      <c r="AB122" s="134" t="s">
        <v>48</v>
      </c>
      <c r="AC122" s="50">
        <v>6</v>
      </c>
      <c r="AD122" s="52">
        <f t="shared" si="26"/>
        <v>-9.9999999999999645E-2</v>
      </c>
      <c r="AE122" s="48">
        <v>2</v>
      </c>
      <c r="AF122" s="133" t="s">
        <v>105</v>
      </c>
      <c r="AG122" s="52" t="s">
        <v>48</v>
      </c>
      <c r="AH122" s="109" t="s">
        <v>109</v>
      </c>
      <c r="AI122" s="149" t="s">
        <v>123</v>
      </c>
    </row>
    <row r="123" spans="1:35" x14ac:dyDescent="0.2">
      <c r="A123" s="11">
        <v>45856</v>
      </c>
      <c r="B123" s="15">
        <v>0.35416666666666669</v>
      </c>
      <c r="C123" s="50">
        <v>16.100000000000001</v>
      </c>
      <c r="D123" s="50">
        <v>16</v>
      </c>
      <c r="E123" s="50">
        <v>22.9</v>
      </c>
      <c r="F123" s="50">
        <v>23</v>
      </c>
      <c r="G123" s="118">
        <f t="shared" si="18"/>
        <v>0.10000000000000142</v>
      </c>
      <c r="H123" s="118">
        <f t="shared" si="24"/>
        <v>-0.10000000000000142</v>
      </c>
      <c r="I123" s="50">
        <v>33.5</v>
      </c>
      <c r="J123" s="50">
        <v>29</v>
      </c>
      <c r="K123" s="131">
        <f t="shared" si="32"/>
        <v>0.86567164179104472</v>
      </c>
      <c r="L123" s="139">
        <f t="shared" si="36"/>
        <v>7.4444444444444411</v>
      </c>
      <c r="M123" s="131"/>
      <c r="N123" s="118">
        <f t="shared" si="29"/>
        <v>4.5</v>
      </c>
      <c r="O123" s="118">
        <f t="shared" si="35"/>
        <v>-7.1000000000000014</v>
      </c>
      <c r="P123" s="95"/>
      <c r="Q123" s="131">
        <f t="shared" si="21"/>
        <v>-1.5777777777777782</v>
      </c>
      <c r="R123" s="139">
        <f t="shared" si="22"/>
        <v>0.38793103448275851</v>
      </c>
      <c r="S123" s="131" t="e">
        <f t="shared" si="37"/>
        <v>#DIV/0!</v>
      </c>
      <c r="T123" s="50">
        <v>21.9</v>
      </c>
      <c r="U123" s="118">
        <f t="shared" si="30"/>
        <v>11.600000000000001</v>
      </c>
      <c r="V123" s="140">
        <f t="shared" si="31"/>
        <v>0.65373134328358207</v>
      </c>
      <c r="W123" s="103"/>
      <c r="X123" s="50"/>
      <c r="Y123" s="50">
        <v>6.1</v>
      </c>
      <c r="Z123" s="134">
        <f t="shared" si="34"/>
        <v>9.9999999999999645E-2</v>
      </c>
      <c r="AA123" s="50" t="s">
        <v>74</v>
      </c>
      <c r="AB123" s="134" t="s">
        <v>48</v>
      </c>
      <c r="AC123" s="50">
        <v>6.1</v>
      </c>
      <c r="AD123" s="52">
        <f t="shared" si="26"/>
        <v>9.9999999999999645E-2</v>
      </c>
      <c r="AE123" s="48">
        <v>3</v>
      </c>
      <c r="AF123" s="133" t="s">
        <v>105</v>
      </c>
      <c r="AG123" s="52" t="s">
        <v>48</v>
      </c>
      <c r="AH123" s="109" t="s">
        <v>109</v>
      </c>
      <c r="AI123" s="149"/>
    </row>
    <row r="124" spans="1:35" hidden="1" x14ac:dyDescent="0.2">
      <c r="A124" s="11">
        <v>45857</v>
      </c>
      <c r="B124" s="15"/>
      <c r="C124" s="50"/>
      <c r="D124" s="50"/>
      <c r="E124" s="50"/>
      <c r="F124" s="50"/>
      <c r="G124" s="118"/>
      <c r="H124" s="118"/>
      <c r="I124" s="50"/>
      <c r="J124" s="50"/>
      <c r="K124" s="131"/>
      <c r="L124" s="139"/>
      <c r="M124" s="131"/>
      <c r="N124" s="118"/>
      <c r="O124" s="118"/>
      <c r="P124" s="95"/>
      <c r="Q124" s="131" t="e">
        <f t="shared" si="21"/>
        <v>#DIV/0!</v>
      </c>
      <c r="R124" s="139" t="e">
        <f t="shared" si="22"/>
        <v>#DIV/0!</v>
      </c>
      <c r="S124" s="131" t="e">
        <f t="shared" si="37"/>
        <v>#DIV/0!</v>
      </c>
      <c r="T124" s="50"/>
      <c r="U124" s="118">
        <f t="shared" ref="U124:U155" si="38">+N124-O124</f>
        <v>0</v>
      </c>
      <c r="V124" s="140" t="e">
        <f t="shared" ref="V124:V155" si="39">+T124/I124</f>
        <v>#DIV/0!</v>
      </c>
      <c r="W124" s="103"/>
      <c r="X124" s="50"/>
      <c r="Y124" s="50"/>
      <c r="Z124" s="134">
        <f t="shared" si="34"/>
        <v>-6.1</v>
      </c>
      <c r="AA124" s="50" t="s">
        <v>74</v>
      </c>
      <c r="AB124" s="134" t="s">
        <v>48</v>
      </c>
      <c r="AC124" s="50"/>
      <c r="AD124" s="52">
        <f t="shared" si="26"/>
        <v>-6.1</v>
      </c>
      <c r="AE124" s="48"/>
      <c r="AF124" s="133" t="s">
        <v>105</v>
      </c>
      <c r="AG124" s="52" t="s">
        <v>48</v>
      </c>
      <c r="AH124" s="109"/>
      <c r="AI124" s="149"/>
    </row>
    <row r="125" spans="1:35" hidden="1" x14ac:dyDescent="0.2">
      <c r="A125" s="11">
        <v>45858</v>
      </c>
      <c r="B125" s="15"/>
      <c r="C125" s="50"/>
      <c r="D125" s="50"/>
      <c r="E125" s="50"/>
      <c r="F125" s="50"/>
      <c r="G125" s="118"/>
      <c r="H125" s="118"/>
      <c r="I125" s="50"/>
      <c r="J125" s="50"/>
      <c r="K125" s="131"/>
      <c r="L125" s="139"/>
      <c r="M125" s="131"/>
      <c r="N125" s="118"/>
      <c r="O125" s="118"/>
      <c r="P125" s="95"/>
      <c r="Q125" s="131" t="e">
        <f t="shared" si="21"/>
        <v>#DIV/0!</v>
      </c>
      <c r="R125" s="139" t="e">
        <f t="shared" si="22"/>
        <v>#DIV/0!</v>
      </c>
      <c r="S125" s="131">
        <f t="shared" si="37"/>
        <v>1</v>
      </c>
      <c r="T125" s="50"/>
      <c r="U125" s="118">
        <f t="shared" si="38"/>
        <v>0</v>
      </c>
      <c r="V125" s="140" t="e">
        <f t="shared" si="39"/>
        <v>#DIV/0!</v>
      </c>
      <c r="W125" s="103"/>
      <c r="X125" s="50"/>
      <c r="Y125" s="50"/>
      <c r="Z125" s="134">
        <f t="shared" si="34"/>
        <v>0</v>
      </c>
      <c r="AA125" s="50" t="s">
        <v>74</v>
      </c>
      <c r="AB125" s="134" t="s">
        <v>48</v>
      </c>
      <c r="AC125" s="50"/>
      <c r="AD125" s="52">
        <f t="shared" si="26"/>
        <v>0</v>
      </c>
      <c r="AE125" s="48"/>
      <c r="AF125" s="133" t="s">
        <v>105</v>
      </c>
      <c r="AG125" s="52" t="s">
        <v>48</v>
      </c>
      <c r="AH125" s="120" t="s">
        <v>104</v>
      </c>
      <c r="AI125" s="149" t="s">
        <v>125</v>
      </c>
    </row>
    <row r="126" spans="1:35" x14ac:dyDescent="0.2">
      <c r="A126" s="11">
        <v>45859</v>
      </c>
      <c r="B126" s="15">
        <v>0.35416666666666669</v>
      </c>
      <c r="C126" s="50">
        <v>16.3</v>
      </c>
      <c r="D126" s="50">
        <v>16</v>
      </c>
      <c r="E126" s="50">
        <v>22.1</v>
      </c>
      <c r="F126" s="50">
        <v>23</v>
      </c>
      <c r="G126" s="118">
        <f t="shared" si="18"/>
        <v>0.30000000000000071</v>
      </c>
      <c r="H126" s="118">
        <f t="shared" si="24"/>
        <v>-0.89999999999999858</v>
      </c>
      <c r="I126" s="50">
        <v>43.3</v>
      </c>
      <c r="J126" s="50">
        <v>29</v>
      </c>
      <c r="K126" s="131">
        <f t="shared" si="32"/>
        <v>0.66974595842956119</v>
      </c>
      <c r="L126" s="139">
        <f t="shared" si="36"/>
        <v>3.0279720279720279</v>
      </c>
      <c r="M126" s="131">
        <f t="shared" si="33"/>
        <v>-0.1766304347826087</v>
      </c>
      <c r="N126" s="118">
        <f t="shared" ref="N126:N136" si="40">I126-J126</f>
        <v>14.299999999999997</v>
      </c>
      <c r="O126" s="118">
        <f t="shared" si="35"/>
        <v>7.8999999999999986</v>
      </c>
      <c r="P126" s="95"/>
      <c r="Q126" s="131">
        <f t="shared" si="21"/>
        <v>0.5524475524475525</v>
      </c>
      <c r="R126" s="139">
        <f t="shared" si="22"/>
        <v>2.2343750000000004</v>
      </c>
      <c r="S126" s="131">
        <f t="shared" si="37"/>
        <v>-0.62500000000000022</v>
      </c>
      <c r="T126" s="50">
        <v>36.9</v>
      </c>
      <c r="U126" s="118">
        <f t="shared" si="38"/>
        <v>6.3999999999999986</v>
      </c>
      <c r="V126" s="140">
        <f t="shared" si="39"/>
        <v>0.85219399538106233</v>
      </c>
      <c r="W126" s="103"/>
      <c r="X126" s="50"/>
      <c r="Y126" s="50">
        <v>5.2</v>
      </c>
      <c r="Z126" s="134">
        <f t="shared" si="34"/>
        <v>5.2</v>
      </c>
      <c r="AA126" s="133" t="s">
        <v>74</v>
      </c>
      <c r="AB126" s="134" t="s">
        <v>48</v>
      </c>
      <c r="AC126" s="50">
        <v>5.2</v>
      </c>
      <c r="AD126" s="52">
        <f t="shared" si="26"/>
        <v>5.2</v>
      </c>
      <c r="AE126" s="48">
        <v>3.1</v>
      </c>
      <c r="AF126" s="133" t="s">
        <v>105</v>
      </c>
      <c r="AG126" s="52" t="s">
        <v>48</v>
      </c>
      <c r="AH126" s="120" t="s">
        <v>104</v>
      </c>
      <c r="AI126" s="149" t="s">
        <v>126</v>
      </c>
    </row>
    <row r="127" spans="1:35" x14ac:dyDescent="0.2">
      <c r="A127" s="11">
        <v>45860</v>
      </c>
      <c r="B127" s="15">
        <v>0.35416666666666669</v>
      </c>
      <c r="C127" s="50">
        <v>17.5</v>
      </c>
      <c r="D127" s="50">
        <v>17</v>
      </c>
      <c r="E127" s="50">
        <v>23</v>
      </c>
      <c r="F127" s="50">
        <v>23</v>
      </c>
      <c r="G127" s="118">
        <f t="shared" si="18"/>
        <v>0.5</v>
      </c>
      <c r="H127" s="118">
        <f t="shared" si="24"/>
        <v>0</v>
      </c>
      <c r="I127" s="50">
        <v>36.799999999999997</v>
      </c>
      <c r="J127" s="50">
        <v>28</v>
      </c>
      <c r="K127" s="131">
        <f t="shared" si="32"/>
        <v>0.76086956521739135</v>
      </c>
      <c r="L127" s="139">
        <f t="shared" si="36"/>
        <v>4.1818181818181825</v>
      </c>
      <c r="M127" s="131"/>
      <c r="N127" s="118">
        <f t="shared" si="40"/>
        <v>8.7999999999999972</v>
      </c>
      <c r="O127" s="118">
        <f t="shared" si="35"/>
        <v>2.8000000000000007</v>
      </c>
      <c r="P127" s="95"/>
      <c r="Q127" s="131">
        <f t="shared" si="21"/>
        <v>0.31818181818181834</v>
      </c>
      <c r="R127" s="139">
        <f t="shared" si="22"/>
        <v>1.466666666666667</v>
      </c>
      <c r="S127" s="131" t="e">
        <f t="shared" si="37"/>
        <v>#DIV/0!</v>
      </c>
      <c r="T127" s="50">
        <v>30.8</v>
      </c>
      <c r="U127" s="118">
        <f t="shared" si="38"/>
        <v>5.9999999999999964</v>
      </c>
      <c r="V127" s="140">
        <f t="shared" si="39"/>
        <v>0.83695652173913049</v>
      </c>
      <c r="W127" s="103"/>
      <c r="X127" s="50"/>
      <c r="Y127" s="50">
        <v>5.0999999999999996</v>
      </c>
      <c r="Z127" s="134">
        <f t="shared" si="34"/>
        <v>-0.10000000000000053</v>
      </c>
      <c r="AA127" s="50" t="s">
        <v>74</v>
      </c>
      <c r="AB127" s="134" t="s">
        <v>48</v>
      </c>
      <c r="AC127" s="50">
        <v>5.0999999999999996</v>
      </c>
      <c r="AD127" s="52">
        <f t="shared" si="26"/>
        <v>-0.10000000000000053</v>
      </c>
      <c r="AE127" s="48">
        <v>4</v>
      </c>
      <c r="AF127" s="133" t="s">
        <v>105</v>
      </c>
      <c r="AG127" s="52" t="s">
        <v>48</v>
      </c>
      <c r="AH127" s="109" t="s">
        <v>109</v>
      </c>
      <c r="AI127" s="149"/>
    </row>
    <row r="128" spans="1:35" hidden="1" x14ac:dyDescent="0.2">
      <c r="A128" s="11">
        <v>45861</v>
      </c>
      <c r="B128" s="15"/>
      <c r="C128" s="50"/>
      <c r="D128" s="50"/>
      <c r="E128" s="50"/>
      <c r="F128" s="50"/>
      <c r="G128" s="118"/>
      <c r="H128" s="118"/>
      <c r="I128" s="50"/>
      <c r="J128" s="50"/>
      <c r="K128" s="131"/>
      <c r="L128" s="139"/>
      <c r="M128" s="131"/>
      <c r="N128" s="118"/>
      <c r="O128" s="118"/>
      <c r="P128" s="95"/>
      <c r="Q128" s="131" t="e">
        <f t="shared" si="21"/>
        <v>#DIV/0!</v>
      </c>
      <c r="R128" s="139" t="e">
        <f t="shared" si="22"/>
        <v>#DIV/0!</v>
      </c>
      <c r="S128" s="131">
        <f t="shared" si="37"/>
        <v>1</v>
      </c>
      <c r="T128" s="50"/>
      <c r="U128" s="118">
        <f t="shared" si="38"/>
        <v>0</v>
      </c>
      <c r="V128" s="140" t="e">
        <f t="shared" si="39"/>
        <v>#DIV/0!</v>
      </c>
      <c r="W128" s="103"/>
      <c r="X128" s="50"/>
      <c r="Y128" s="50"/>
      <c r="Z128" s="134">
        <f t="shared" si="34"/>
        <v>-5.0999999999999996</v>
      </c>
      <c r="AA128" s="50" t="s">
        <v>74</v>
      </c>
      <c r="AB128" s="134" t="s">
        <v>48</v>
      </c>
      <c r="AC128" s="50"/>
      <c r="AD128" s="52">
        <f t="shared" si="26"/>
        <v>-5.0999999999999996</v>
      </c>
      <c r="AE128" s="48"/>
      <c r="AF128" s="133"/>
      <c r="AG128" s="52" t="s">
        <v>48</v>
      </c>
      <c r="AH128" s="109"/>
      <c r="AI128" s="149" t="s">
        <v>127</v>
      </c>
    </row>
    <row r="129" spans="1:36" x14ac:dyDescent="0.2">
      <c r="A129" s="11">
        <v>45862</v>
      </c>
      <c r="B129" s="15">
        <v>0.375</v>
      </c>
      <c r="C129" s="50">
        <v>17.2</v>
      </c>
      <c r="D129" s="50">
        <v>17</v>
      </c>
      <c r="E129" s="50">
        <v>23.3</v>
      </c>
      <c r="F129" s="50">
        <v>23</v>
      </c>
      <c r="G129" s="118">
        <f t="shared" si="18"/>
        <v>0.19999999999999929</v>
      </c>
      <c r="H129" s="118">
        <f t="shared" si="24"/>
        <v>0.30000000000000071</v>
      </c>
      <c r="I129" s="50">
        <v>32</v>
      </c>
      <c r="J129" s="50">
        <v>22</v>
      </c>
      <c r="K129" s="131">
        <f t="shared" si="32"/>
        <v>0.6875</v>
      </c>
      <c r="L129" s="139">
        <f t="shared" si="36"/>
        <v>3.2</v>
      </c>
      <c r="M129" s="131">
        <f t="shared" si="33"/>
        <v>-0.12280701754385964</v>
      </c>
      <c r="N129" s="118">
        <f t="shared" si="40"/>
        <v>10</v>
      </c>
      <c r="O129" s="118">
        <f t="shared" si="35"/>
        <v>3.8000000000000007</v>
      </c>
      <c r="P129" s="95"/>
      <c r="Q129" s="131">
        <f t="shared" si="21"/>
        <v>0.38000000000000006</v>
      </c>
      <c r="R129" s="139">
        <f t="shared" si="22"/>
        <v>1.612903225806452</v>
      </c>
      <c r="S129" s="131">
        <f t="shared" si="37"/>
        <v>-0.33333333333333331</v>
      </c>
      <c r="T129" s="50">
        <v>25.8</v>
      </c>
      <c r="U129" s="118">
        <f t="shared" si="38"/>
        <v>6.1999999999999993</v>
      </c>
      <c r="V129" s="140">
        <f t="shared" si="39"/>
        <v>0.80625000000000002</v>
      </c>
      <c r="W129" s="103"/>
      <c r="X129" s="50"/>
      <c r="Y129" s="50">
        <v>6.1</v>
      </c>
      <c r="Z129" s="134">
        <f t="shared" si="34"/>
        <v>6.1</v>
      </c>
      <c r="AA129" s="50" t="s">
        <v>74</v>
      </c>
      <c r="AB129" s="134" t="s">
        <v>48</v>
      </c>
      <c r="AC129" s="50">
        <v>6.1</v>
      </c>
      <c r="AD129" s="52">
        <f t="shared" si="26"/>
        <v>6.1</v>
      </c>
      <c r="AE129" s="48">
        <v>4</v>
      </c>
      <c r="AF129" s="50" t="s">
        <v>105</v>
      </c>
      <c r="AG129" s="52" t="s">
        <v>48</v>
      </c>
      <c r="AH129" s="109" t="s">
        <v>109</v>
      </c>
      <c r="AI129" s="149"/>
    </row>
    <row r="130" spans="1:36" x14ac:dyDescent="0.2">
      <c r="A130" s="11">
        <v>45863</v>
      </c>
      <c r="B130" s="15">
        <v>0.35416666666666669</v>
      </c>
      <c r="C130" s="50">
        <v>18.399999999999999</v>
      </c>
      <c r="D130" s="50">
        <v>17</v>
      </c>
      <c r="E130" s="50">
        <v>24.6</v>
      </c>
      <c r="F130" s="50">
        <v>24</v>
      </c>
      <c r="G130" s="118">
        <f t="shared" ref="G130:G193" si="41">C130-D130</f>
        <v>1.3999999999999986</v>
      </c>
      <c r="H130" s="118">
        <f t="shared" ref="H130:H193" si="42">E130-F130</f>
        <v>0.60000000000000142</v>
      </c>
      <c r="I130" s="50">
        <v>28.5</v>
      </c>
      <c r="J130" s="50">
        <v>21</v>
      </c>
      <c r="K130" s="131">
        <f t="shared" ref="K130:K161" si="43">J130/I130</f>
        <v>0.73684210526315785</v>
      </c>
      <c r="L130" s="139">
        <f t="shared" si="36"/>
        <v>3.7999999999999994</v>
      </c>
      <c r="M130" s="131"/>
      <c r="N130" s="118">
        <f t="shared" si="40"/>
        <v>7.5</v>
      </c>
      <c r="O130" s="118">
        <f t="shared" si="35"/>
        <v>2.8000000000000007</v>
      </c>
      <c r="P130" s="95"/>
      <c r="Q130" s="131">
        <f t="shared" ref="Q130:Q193" si="44">O130/N130</f>
        <v>0.37333333333333341</v>
      </c>
      <c r="R130" s="139">
        <f t="shared" ref="R130:R193" si="45">1/(1-Q130)</f>
        <v>1.595744680851064</v>
      </c>
      <c r="S130" s="131" t="e">
        <f t="shared" si="37"/>
        <v>#DIV/0!</v>
      </c>
      <c r="T130" s="50">
        <v>23.8</v>
      </c>
      <c r="U130" s="118">
        <f t="shared" si="38"/>
        <v>4.6999999999999993</v>
      </c>
      <c r="V130" s="140">
        <f t="shared" si="39"/>
        <v>0.83508771929824566</v>
      </c>
      <c r="W130" s="103"/>
      <c r="X130" s="50"/>
      <c r="Y130" s="50">
        <v>6.1</v>
      </c>
      <c r="Z130" s="134">
        <f t="shared" si="34"/>
        <v>0</v>
      </c>
      <c r="AA130" s="50" t="s">
        <v>74</v>
      </c>
      <c r="AB130" s="134" t="s">
        <v>48</v>
      </c>
      <c r="AC130" s="50">
        <v>6.1</v>
      </c>
      <c r="AD130" s="52">
        <f t="shared" si="26"/>
        <v>0</v>
      </c>
      <c r="AE130" s="48">
        <v>4.2</v>
      </c>
      <c r="AF130" s="133" t="s">
        <v>105</v>
      </c>
      <c r="AG130" s="52" t="s">
        <v>48</v>
      </c>
      <c r="AH130" s="109" t="s">
        <v>109</v>
      </c>
      <c r="AI130" s="149"/>
    </row>
    <row r="131" spans="1:36" hidden="1" x14ac:dyDescent="0.2">
      <c r="A131" s="11">
        <v>45864</v>
      </c>
      <c r="B131" s="15"/>
      <c r="C131" s="50"/>
      <c r="D131" s="50"/>
      <c r="E131" s="50"/>
      <c r="F131" s="50"/>
      <c r="G131" s="118"/>
      <c r="H131" s="118"/>
      <c r="I131" s="50"/>
      <c r="J131" s="50"/>
      <c r="K131" s="131"/>
      <c r="L131" s="139"/>
      <c r="M131" s="131"/>
      <c r="N131" s="118"/>
      <c r="O131" s="118"/>
      <c r="P131" s="95"/>
      <c r="Q131" s="131" t="e">
        <f t="shared" si="44"/>
        <v>#DIV/0!</v>
      </c>
      <c r="R131" s="139" t="e">
        <f t="shared" si="45"/>
        <v>#DIV/0!</v>
      </c>
      <c r="S131" s="131" t="e">
        <f t="shared" si="37"/>
        <v>#DIV/0!</v>
      </c>
      <c r="T131" s="50"/>
      <c r="U131" s="118">
        <f t="shared" si="38"/>
        <v>0</v>
      </c>
      <c r="V131" s="140" t="e">
        <f t="shared" si="39"/>
        <v>#DIV/0!</v>
      </c>
      <c r="W131" s="103"/>
      <c r="X131" s="50"/>
      <c r="Y131" s="50"/>
      <c r="Z131" s="134">
        <f t="shared" si="34"/>
        <v>-6.1</v>
      </c>
      <c r="AA131" s="50" t="s">
        <v>74</v>
      </c>
      <c r="AB131" s="134" t="s">
        <v>48</v>
      </c>
      <c r="AC131" s="50"/>
      <c r="AD131" s="52">
        <f t="shared" si="26"/>
        <v>-6.1</v>
      </c>
      <c r="AE131" s="48"/>
      <c r="AF131" s="50"/>
      <c r="AG131" s="52" t="s">
        <v>48</v>
      </c>
      <c r="AH131" s="8"/>
      <c r="AI131" s="149" t="s">
        <v>128</v>
      </c>
    </row>
    <row r="132" spans="1:36" hidden="1" x14ac:dyDescent="0.2">
      <c r="A132" s="11">
        <v>45865</v>
      </c>
      <c r="B132" s="15"/>
      <c r="C132" s="50"/>
      <c r="D132" s="50"/>
      <c r="E132" s="50"/>
      <c r="F132" s="50"/>
      <c r="G132" s="118"/>
      <c r="H132" s="118"/>
      <c r="I132" s="50"/>
      <c r="J132" s="50"/>
      <c r="K132" s="131"/>
      <c r="L132" s="139"/>
      <c r="M132" s="131"/>
      <c r="N132" s="118"/>
      <c r="O132" s="118"/>
      <c r="P132" s="95"/>
      <c r="Q132" s="131" t="e">
        <f t="shared" si="44"/>
        <v>#DIV/0!</v>
      </c>
      <c r="R132" s="139" t="e">
        <f t="shared" si="45"/>
        <v>#DIV/0!</v>
      </c>
      <c r="S132" s="131">
        <f t="shared" si="37"/>
        <v>1</v>
      </c>
      <c r="T132" s="50"/>
      <c r="U132" s="118">
        <f t="shared" si="38"/>
        <v>0</v>
      </c>
      <c r="V132" s="140" t="e">
        <f t="shared" si="39"/>
        <v>#DIV/0!</v>
      </c>
      <c r="W132" s="103"/>
      <c r="X132" s="50"/>
      <c r="Y132" s="50"/>
      <c r="Z132" s="134">
        <f t="shared" si="34"/>
        <v>0</v>
      </c>
      <c r="AA132" s="50" t="s">
        <v>74</v>
      </c>
      <c r="AB132" s="134" t="s">
        <v>48</v>
      </c>
      <c r="AC132" s="50"/>
      <c r="AD132" s="52">
        <f t="shared" si="26"/>
        <v>0</v>
      </c>
      <c r="AE132" s="48"/>
      <c r="AF132" s="50"/>
      <c r="AG132" s="52" t="s">
        <v>48</v>
      </c>
      <c r="AH132" s="120" t="s">
        <v>104</v>
      </c>
      <c r="AI132" s="149" t="s">
        <v>124</v>
      </c>
    </row>
    <row r="133" spans="1:36" x14ac:dyDescent="0.2">
      <c r="A133" s="11">
        <v>45866</v>
      </c>
      <c r="B133" s="15">
        <v>0.45833333333333331</v>
      </c>
      <c r="C133" s="50">
        <v>18.399999999999999</v>
      </c>
      <c r="D133" s="50">
        <v>18</v>
      </c>
      <c r="E133" s="50">
        <v>24</v>
      </c>
      <c r="F133" s="50">
        <v>24</v>
      </c>
      <c r="G133" s="118">
        <f t="shared" si="41"/>
        <v>0.39999999999999858</v>
      </c>
      <c r="H133" s="118">
        <f t="shared" si="42"/>
        <v>0</v>
      </c>
      <c r="I133" s="50">
        <v>32.4</v>
      </c>
      <c r="J133" s="50">
        <v>22</v>
      </c>
      <c r="K133" s="131">
        <f t="shared" si="43"/>
        <v>0.67901234567901236</v>
      </c>
      <c r="L133" s="139">
        <f t="shared" si="36"/>
        <v>3.1153846153846154</v>
      </c>
      <c r="M133" s="131">
        <f t="shared" ref="M133:M161" si="46">(I134-I133)/I134</f>
        <v>7.428571428571433E-2</v>
      </c>
      <c r="N133" s="118">
        <f t="shared" si="40"/>
        <v>10.399999999999999</v>
      </c>
      <c r="O133" s="118">
        <f t="shared" si="35"/>
        <v>6.1999999999999993</v>
      </c>
      <c r="P133" s="95"/>
      <c r="Q133" s="131">
        <f t="shared" si="44"/>
        <v>0.59615384615384615</v>
      </c>
      <c r="R133" s="139">
        <f t="shared" si="45"/>
        <v>2.4761904761904763</v>
      </c>
      <c r="S133" s="131">
        <f t="shared" si="37"/>
        <v>0.25714285714285723</v>
      </c>
      <c r="T133" s="50">
        <v>28.2</v>
      </c>
      <c r="U133" s="118">
        <f t="shared" si="38"/>
        <v>4.1999999999999993</v>
      </c>
      <c r="V133" s="140">
        <f t="shared" si="39"/>
        <v>0.87037037037037035</v>
      </c>
      <c r="W133" s="103"/>
      <c r="X133" s="50"/>
      <c r="Y133" s="50">
        <v>6.1</v>
      </c>
      <c r="Z133" s="134">
        <f t="shared" si="34"/>
        <v>6.1</v>
      </c>
      <c r="AA133" s="50" t="s">
        <v>74</v>
      </c>
      <c r="AB133" s="134" t="s">
        <v>48</v>
      </c>
      <c r="AC133" s="50">
        <v>6.1</v>
      </c>
      <c r="AD133" s="52">
        <f t="shared" si="26"/>
        <v>6.1</v>
      </c>
      <c r="AE133" s="48">
        <v>4.4000000000000004</v>
      </c>
      <c r="AF133" s="133" t="s">
        <v>105</v>
      </c>
      <c r="AG133" s="52" t="s">
        <v>48</v>
      </c>
      <c r="AH133" s="120" t="s">
        <v>104</v>
      </c>
      <c r="AI133" s="149"/>
    </row>
    <row r="134" spans="1:36" x14ac:dyDescent="0.2">
      <c r="A134" s="11">
        <v>45867</v>
      </c>
      <c r="B134" s="15">
        <v>0.35416666666666669</v>
      </c>
      <c r="C134" s="50">
        <v>16.5</v>
      </c>
      <c r="D134" s="50">
        <v>16.3</v>
      </c>
      <c r="E134" s="50">
        <v>22.4</v>
      </c>
      <c r="F134" s="50">
        <v>22</v>
      </c>
      <c r="G134" s="118">
        <f t="shared" si="41"/>
        <v>0.19999999999999929</v>
      </c>
      <c r="H134" s="118">
        <f t="shared" si="42"/>
        <v>0.39999999999999858</v>
      </c>
      <c r="I134" s="50">
        <v>35</v>
      </c>
      <c r="J134" s="50">
        <v>21</v>
      </c>
      <c r="K134" s="131">
        <f t="shared" si="43"/>
        <v>0.6</v>
      </c>
      <c r="L134" s="139">
        <f t="shared" si="36"/>
        <v>2.5</v>
      </c>
      <c r="M134" s="131">
        <f t="shared" si="46"/>
        <v>-0.14754098360655737</v>
      </c>
      <c r="N134" s="118">
        <f t="shared" si="40"/>
        <v>14</v>
      </c>
      <c r="O134" s="118">
        <f t="shared" si="35"/>
        <v>3.8000000000000007</v>
      </c>
      <c r="P134" s="95"/>
      <c r="Q134" s="131">
        <f t="shared" si="44"/>
        <v>0.27142857142857146</v>
      </c>
      <c r="R134" s="139">
        <f t="shared" si="45"/>
        <v>1.3725490196078431</v>
      </c>
      <c r="S134" s="131">
        <f t="shared" si="37"/>
        <v>-0.47368421052631576</v>
      </c>
      <c r="T134" s="50">
        <v>24.8</v>
      </c>
      <c r="U134" s="118">
        <f t="shared" si="38"/>
        <v>10.199999999999999</v>
      </c>
      <c r="V134" s="140">
        <f t="shared" si="39"/>
        <v>0.70857142857142863</v>
      </c>
      <c r="W134" s="103"/>
      <c r="X134" s="50"/>
      <c r="Y134" s="50">
        <v>5.4</v>
      </c>
      <c r="Z134" s="134">
        <f t="shared" si="34"/>
        <v>-0.69999999999999929</v>
      </c>
      <c r="AA134" s="50" t="s">
        <v>74</v>
      </c>
      <c r="AB134" s="134" t="s">
        <v>48</v>
      </c>
      <c r="AC134" s="50">
        <v>5.4</v>
      </c>
      <c r="AD134" s="52">
        <f t="shared" si="26"/>
        <v>-0.69999999999999929</v>
      </c>
      <c r="AE134" s="48">
        <v>4.0999999999999996</v>
      </c>
      <c r="AF134" s="133" t="s">
        <v>105</v>
      </c>
      <c r="AG134" s="52" t="s">
        <v>48</v>
      </c>
      <c r="AH134" s="109" t="s">
        <v>109</v>
      </c>
      <c r="AI134" s="149" t="s">
        <v>129</v>
      </c>
    </row>
    <row r="135" spans="1:36" x14ac:dyDescent="0.2">
      <c r="A135" s="11">
        <v>45868</v>
      </c>
      <c r="B135" s="15">
        <v>0.375</v>
      </c>
      <c r="C135" s="50">
        <v>18.100000000000001</v>
      </c>
      <c r="D135" s="50">
        <v>18</v>
      </c>
      <c r="E135" s="50">
        <v>24.1</v>
      </c>
      <c r="F135" s="50">
        <v>24</v>
      </c>
      <c r="G135" s="118">
        <f t="shared" si="41"/>
        <v>0.10000000000000142</v>
      </c>
      <c r="H135" s="118">
        <f t="shared" si="42"/>
        <v>0.10000000000000142</v>
      </c>
      <c r="I135" s="50">
        <v>30.5</v>
      </c>
      <c r="J135" s="50">
        <v>21</v>
      </c>
      <c r="K135" s="131">
        <f t="shared" si="43"/>
        <v>0.68852459016393441</v>
      </c>
      <c r="L135" s="139">
        <f t="shared" si="36"/>
        <v>3.2105263157894735</v>
      </c>
      <c r="M135" s="131">
        <f t="shared" si="46"/>
        <v>5.5727554179566478E-2</v>
      </c>
      <c r="N135" s="118">
        <f t="shared" si="40"/>
        <v>9.5</v>
      </c>
      <c r="O135" s="118">
        <f t="shared" si="35"/>
        <v>1.6000000000000014</v>
      </c>
      <c r="P135" s="95"/>
      <c r="Q135" s="131">
        <f t="shared" si="44"/>
        <v>0.16842105263157911</v>
      </c>
      <c r="R135" s="139">
        <f t="shared" si="45"/>
        <v>1.2025316455696204</v>
      </c>
      <c r="S135" s="131">
        <f t="shared" si="37"/>
        <v>7.7669902912621103E-2</v>
      </c>
      <c r="T135" s="50">
        <v>22.6</v>
      </c>
      <c r="U135" s="118">
        <f t="shared" si="38"/>
        <v>7.8999999999999986</v>
      </c>
      <c r="V135" s="140">
        <f t="shared" si="39"/>
        <v>0.74098360655737705</v>
      </c>
      <c r="W135" s="128"/>
      <c r="X135" s="50"/>
      <c r="Y135" s="50">
        <v>5.4</v>
      </c>
      <c r="Z135" s="134">
        <f t="shared" si="34"/>
        <v>0</v>
      </c>
      <c r="AA135" s="50" t="s">
        <v>74</v>
      </c>
      <c r="AB135" s="134" t="s">
        <v>48</v>
      </c>
      <c r="AC135" s="50">
        <v>5.4</v>
      </c>
      <c r="AD135" s="52">
        <f t="shared" si="26"/>
        <v>0</v>
      </c>
      <c r="AE135" s="48">
        <v>4.2</v>
      </c>
      <c r="AF135" s="133" t="s">
        <v>105</v>
      </c>
      <c r="AG135" s="52" t="s">
        <v>48</v>
      </c>
      <c r="AH135" s="109" t="s">
        <v>109</v>
      </c>
      <c r="AI135" s="149"/>
    </row>
    <row r="136" spans="1:36" x14ac:dyDescent="0.2">
      <c r="A136" s="11">
        <v>45869</v>
      </c>
      <c r="B136" s="61">
        <v>0.35416666666666669</v>
      </c>
      <c r="C136" s="50">
        <v>17.399999999999999</v>
      </c>
      <c r="D136" s="50">
        <v>17</v>
      </c>
      <c r="E136" s="50">
        <v>23.4</v>
      </c>
      <c r="F136" s="50">
        <v>23</v>
      </c>
      <c r="G136" s="118">
        <f t="shared" si="41"/>
        <v>0.39999999999999858</v>
      </c>
      <c r="H136" s="118">
        <f t="shared" si="42"/>
        <v>0.39999999999999858</v>
      </c>
      <c r="I136" s="50">
        <v>32.299999999999997</v>
      </c>
      <c r="J136" s="50">
        <v>22</v>
      </c>
      <c r="K136" s="131">
        <f t="shared" si="43"/>
        <v>0.68111455108359142</v>
      </c>
      <c r="L136" s="139">
        <f t="shared" si="36"/>
        <v>3.1359223300970882</v>
      </c>
      <c r="M136" s="131"/>
      <c r="N136" s="118">
        <f t="shared" si="40"/>
        <v>10.299999999999997</v>
      </c>
      <c r="O136" s="118">
        <f t="shared" si="35"/>
        <v>1.6999999999999993</v>
      </c>
      <c r="P136" s="50"/>
      <c r="Q136" s="131">
        <f t="shared" si="44"/>
        <v>0.16504854368932037</v>
      </c>
      <c r="R136" s="139">
        <f t="shared" si="45"/>
        <v>1.1976744186046511</v>
      </c>
      <c r="S136" s="131" t="e">
        <f t="shared" si="37"/>
        <v>#DIV/0!</v>
      </c>
      <c r="T136" s="50">
        <v>23.7</v>
      </c>
      <c r="U136" s="103">
        <f t="shared" si="38"/>
        <v>8.5999999999999979</v>
      </c>
      <c r="V136" s="140">
        <f t="shared" si="39"/>
        <v>0.73374613003095979</v>
      </c>
      <c r="W136" s="103"/>
      <c r="X136" s="50"/>
      <c r="Y136" s="50">
        <v>6</v>
      </c>
      <c r="Z136" s="134">
        <f t="shared" si="34"/>
        <v>0.59999999999999964</v>
      </c>
      <c r="AA136" s="50" t="s">
        <v>74</v>
      </c>
      <c r="AB136" s="134" t="s">
        <v>48</v>
      </c>
      <c r="AC136" s="50">
        <v>6</v>
      </c>
      <c r="AD136" s="52">
        <f t="shared" si="26"/>
        <v>0.59999999999999964</v>
      </c>
      <c r="AE136" s="48">
        <v>4.2</v>
      </c>
      <c r="AF136" s="50" t="s">
        <v>105</v>
      </c>
      <c r="AG136" s="52" t="s">
        <v>48</v>
      </c>
      <c r="AH136" s="120" t="s">
        <v>109</v>
      </c>
      <c r="AI136" s="149" t="s">
        <v>130</v>
      </c>
    </row>
    <row r="137" spans="1:36" hidden="1" x14ac:dyDescent="0.2">
      <c r="A137" s="11">
        <v>45870</v>
      </c>
      <c r="B137" s="15">
        <v>0.41666666666666669</v>
      </c>
      <c r="C137" s="141"/>
      <c r="D137" s="50"/>
      <c r="E137" s="50"/>
      <c r="F137" s="50"/>
      <c r="G137" s="118"/>
      <c r="H137" s="118"/>
      <c r="I137" s="141"/>
      <c r="J137" s="50"/>
      <c r="K137" s="131"/>
      <c r="L137" s="139"/>
      <c r="M137" s="131"/>
      <c r="N137" s="118"/>
      <c r="O137" s="118"/>
      <c r="P137" s="50"/>
      <c r="Q137" s="131"/>
      <c r="R137" s="139">
        <f t="shared" si="45"/>
        <v>1</v>
      </c>
      <c r="S137" s="131" t="e">
        <f t="shared" si="37"/>
        <v>#DIV/0!</v>
      </c>
      <c r="T137" s="141"/>
      <c r="U137" s="103">
        <f t="shared" si="38"/>
        <v>0</v>
      </c>
      <c r="V137" s="140" t="e">
        <f t="shared" si="39"/>
        <v>#DIV/0!</v>
      </c>
      <c r="W137" s="103"/>
      <c r="X137" s="141"/>
      <c r="Y137" s="50"/>
      <c r="Z137" s="134">
        <f t="shared" si="34"/>
        <v>-6</v>
      </c>
      <c r="AA137" s="50" t="s">
        <v>74</v>
      </c>
      <c r="AB137" s="134" t="s">
        <v>48</v>
      </c>
      <c r="AC137" s="50"/>
      <c r="AD137" s="52">
        <f t="shared" si="26"/>
        <v>-6</v>
      </c>
      <c r="AE137" s="48"/>
      <c r="AF137" s="50"/>
      <c r="AG137" s="52" t="s">
        <v>48</v>
      </c>
      <c r="AH137" s="109"/>
      <c r="AI137" s="109"/>
    </row>
    <row r="138" spans="1:36" hidden="1" x14ac:dyDescent="0.2">
      <c r="A138" s="11">
        <v>45871</v>
      </c>
      <c r="B138" s="15"/>
      <c r="C138" s="50"/>
      <c r="D138" s="50"/>
      <c r="E138" s="50"/>
      <c r="F138" s="50"/>
      <c r="G138" s="118"/>
      <c r="H138" s="118"/>
      <c r="I138" s="50"/>
      <c r="J138" s="50"/>
      <c r="K138" s="131"/>
      <c r="L138" s="139"/>
      <c r="M138" s="131"/>
      <c r="N138" s="118"/>
      <c r="O138" s="118"/>
      <c r="P138" s="50"/>
      <c r="Q138" s="131"/>
      <c r="R138" s="139">
        <f t="shared" si="45"/>
        <v>1</v>
      </c>
      <c r="S138" s="131" t="e">
        <f t="shared" si="37"/>
        <v>#DIV/0!</v>
      </c>
      <c r="T138" s="50"/>
      <c r="U138" s="103">
        <f t="shared" si="38"/>
        <v>0</v>
      </c>
      <c r="V138" s="140" t="e">
        <f t="shared" si="39"/>
        <v>#DIV/0!</v>
      </c>
      <c r="W138" s="103"/>
      <c r="X138" s="50"/>
      <c r="Y138" s="50"/>
      <c r="Z138" s="134">
        <f t="shared" si="34"/>
        <v>0</v>
      </c>
      <c r="AA138" s="50" t="s">
        <v>74</v>
      </c>
      <c r="AB138" s="134" t="s">
        <v>48</v>
      </c>
      <c r="AC138" s="50"/>
      <c r="AD138" s="52">
        <f t="shared" ref="AD138:AD184" si="47">+AC138-AC137</f>
        <v>0</v>
      </c>
      <c r="AE138" s="48"/>
      <c r="AF138" s="50"/>
      <c r="AG138" s="52" t="s">
        <v>48</v>
      </c>
      <c r="AH138" s="109"/>
      <c r="AI138" s="109"/>
    </row>
    <row r="139" spans="1:36" hidden="1" x14ac:dyDescent="0.2">
      <c r="A139" s="11">
        <v>45872</v>
      </c>
      <c r="B139" s="15"/>
      <c r="C139" s="50"/>
      <c r="D139" s="50"/>
      <c r="E139" s="50"/>
      <c r="F139" s="50"/>
      <c r="G139" s="118"/>
      <c r="H139" s="118"/>
      <c r="I139" s="50"/>
      <c r="J139" s="50"/>
      <c r="K139" s="131"/>
      <c r="L139" s="139"/>
      <c r="M139" s="131"/>
      <c r="N139" s="118"/>
      <c r="O139" s="118"/>
      <c r="P139" s="50"/>
      <c r="Q139" s="131"/>
      <c r="R139" s="139">
        <f t="shared" si="45"/>
        <v>1</v>
      </c>
      <c r="S139" s="131">
        <f t="shared" si="37"/>
        <v>1</v>
      </c>
      <c r="T139" s="50"/>
      <c r="U139" s="103">
        <f t="shared" si="38"/>
        <v>0</v>
      </c>
      <c r="V139" s="140" t="e">
        <f t="shared" si="39"/>
        <v>#DIV/0!</v>
      </c>
      <c r="W139" s="103"/>
      <c r="X139" s="50"/>
      <c r="Y139" s="50"/>
      <c r="Z139" s="134">
        <f t="shared" si="34"/>
        <v>0</v>
      </c>
      <c r="AA139" s="50" t="s">
        <v>74</v>
      </c>
      <c r="AB139" s="134" t="s">
        <v>48</v>
      </c>
      <c r="AC139" s="50"/>
      <c r="AD139" s="52">
        <f t="shared" si="47"/>
        <v>0</v>
      </c>
      <c r="AE139" s="48"/>
      <c r="AF139" s="50"/>
      <c r="AG139" s="52" t="s">
        <v>48</v>
      </c>
      <c r="AH139" s="109"/>
      <c r="AI139" s="109"/>
    </row>
    <row r="140" spans="1:36" x14ac:dyDescent="0.2">
      <c r="A140" s="11">
        <v>45873</v>
      </c>
      <c r="B140" s="15">
        <v>0.41666666666666669</v>
      </c>
      <c r="C140" s="50">
        <v>10.1</v>
      </c>
      <c r="D140" s="50">
        <v>9</v>
      </c>
      <c r="E140" s="50">
        <v>16.100000000000001</v>
      </c>
      <c r="F140" s="50">
        <v>16</v>
      </c>
      <c r="G140" s="118">
        <f t="shared" si="41"/>
        <v>1.0999999999999996</v>
      </c>
      <c r="H140" s="118">
        <f t="shared" si="42"/>
        <v>0.10000000000000142</v>
      </c>
      <c r="I140" s="50">
        <v>32.1</v>
      </c>
      <c r="J140" s="50">
        <v>14</v>
      </c>
      <c r="K140" s="131">
        <f t="shared" si="43"/>
        <v>0.43613707165109034</v>
      </c>
      <c r="L140" s="139">
        <f t="shared" si="36"/>
        <v>1.7734806629834257</v>
      </c>
      <c r="M140" s="131"/>
      <c r="N140" s="118">
        <f>I140-J140</f>
        <v>18.100000000000001</v>
      </c>
      <c r="O140" s="118">
        <f t="shared" si="35"/>
        <v>6.5</v>
      </c>
      <c r="P140" s="50"/>
      <c r="Q140" s="131">
        <f t="shared" si="44"/>
        <v>0.35911602209944748</v>
      </c>
      <c r="R140" s="139">
        <f t="shared" si="45"/>
        <v>1.5603448275862069</v>
      </c>
      <c r="S140" s="131" t="e">
        <f t="shared" si="37"/>
        <v>#DIV/0!</v>
      </c>
      <c r="T140" s="50">
        <v>20.5</v>
      </c>
      <c r="U140" s="103">
        <f t="shared" si="38"/>
        <v>11.600000000000001</v>
      </c>
      <c r="V140" s="140">
        <f t="shared" si="39"/>
        <v>0.63862928348909653</v>
      </c>
      <c r="W140" s="103"/>
      <c r="X140" s="50"/>
      <c r="Y140" s="50">
        <v>6</v>
      </c>
      <c r="Z140" s="134">
        <f t="shared" si="34"/>
        <v>6</v>
      </c>
      <c r="AA140" s="50" t="s">
        <v>74</v>
      </c>
      <c r="AB140" s="134" t="s">
        <v>48</v>
      </c>
      <c r="AC140" s="50">
        <v>6</v>
      </c>
      <c r="AD140" s="52">
        <f t="shared" si="47"/>
        <v>6</v>
      </c>
      <c r="AE140" s="48">
        <v>4.3</v>
      </c>
      <c r="AF140" s="50" t="s">
        <v>105</v>
      </c>
      <c r="AG140" s="52" t="s">
        <v>48</v>
      </c>
      <c r="AH140" s="109" t="s">
        <v>109</v>
      </c>
      <c r="AI140" s="149" t="s">
        <v>116</v>
      </c>
    </row>
    <row r="141" spans="1:36" hidden="1" x14ac:dyDescent="0.2">
      <c r="A141" s="11">
        <v>45874</v>
      </c>
      <c r="B141" s="15" t="s">
        <v>114</v>
      </c>
      <c r="C141" s="50"/>
      <c r="D141" s="50"/>
      <c r="E141" s="50"/>
      <c r="F141" s="50"/>
      <c r="G141" s="118"/>
      <c r="H141" s="118"/>
      <c r="I141" s="50"/>
      <c r="J141" s="50"/>
      <c r="K141" s="131"/>
      <c r="L141" s="139"/>
      <c r="M141" s="131"/>
      <c r="N141" s="118"/>
      <c r="O141" s="118"/>
      <c r="P141" s="50"/>
      <c r="Q141" s="131"/>
      <c r="R141" s="139"/>
      <c r="S141" s="131"/>
      <c r="T141" s="50"/>
      <c r="U141" s="103">
        <f t="shared" si="38"/>
        <v>0</v>
      </c>
      <c r="V141" s="140" t="e">
        <f t="shared" si="39"/>
        <v>#DIV/0!</v>
      </c>
      <c r="W141" s="103"/>
      <c r="X141" s="50"/>
      <c r="Y141" s="50"/>
      <c r="Z141" s="134">
        <f t="shared" si="34"/>
        <v>-6</v>
      </c>
      <c r="AA141" s="50" t="s">
        <v>74</v>
      </c>
      <c r="AB141" s="134" t="s">
        <v>48</v>
      </c>
      <c r="AC141" s="50"/>
      <c r="AD141" s="52">
        <f t="shared" si="47"/>
        <v>-6</v>
      </c>
      <c r="AE141" s="48"/>
      <c r="AF141" s="50"/>
      <c r="AG141" s="52" t="s">
        <v>48</v>
      </c>
      <c r="AH141" s="109" t="s">
        <v>109</v>
      </c>
      <c r="AI141" s="149" t="s">
        <v>131</v>
      </c>
      <c r="AJ141" t="s">
        <v>110</v>
      </c>
    </row>
    <row r="142" spans="1:36" hidden="1" x14ac:dyDescent="0.2">
      <c r="A142" s="11">
        <v>45875</v>
      </c>
      <c r="B142" s="15" t="s">
        <v>108</v>
      </c>
      <c r="C142" s="50"/>
      <c r="D142" s="50"/>
      <c r="E142" s="50"/>
      <c r="F142" s="50"/>
      <c r="G142" s="118"/>
      <c r="H142" s="118"/>
      <c r="I142" s="50"/>
      <c r="J142" s="50"/>
      <c r="K142" s="131"/>
      <c r="L142" s="139"/>
      <c r="M142" s="131"/>
      <c r="N142" s="118"/>
      <c r="O142" s="118"/>
      <c r="P142" s="50"/>
      <c r="Q142" s="131"/>
      <c r="R142" s="139"/>
      <c r="S142" s="131"/>
      <c r="T142" s="50"/>
      <c r="U142" s="103">
        <f t="shared" si="38"/>
        <v>0</v>
      </c>
      <c r="V142" s="140" t="e">
        <f t="shared" si="39"/>
        <v>#DIV/0!</v>
      </c>
      <c r="W142" s="103"/>
      <c r="X142" s="50"/>
      <c r="Y142" s="50"/>
      <c r="Z142" s="134">
        <f t="shared" si="34"/>
        <v>0</v>
      </c>
      <c r="AA142" s="50" t="s">
        <v>74</v>
      </c>
      <c r="AB142" s="134" t="s">
        <v>48</v>
      </c>
      <c r="AC142" s="50"/>
      <c r="AD142" s="52">
        <f t="shared" si="47"/>
        <v>0</v>
      </c>
      <c r="AE142" s="48"/>
      <c r="AF142" s="50"/>
      <c r="AG142" s="52" t="s">
        <v>48</v>
      </c>
      <c r="AH142" s="109" t="s">
        <v>109</v>
      </c>
      <c r="AI142" s="149" t="s">
        <v>132</v>
      </c>
      <c r="AJ142" t="s">
        <v>111</v>
      </c>
    </row>
    <row r="143" spans="1:36" hidden="1" x14ac:dyDescent="0.2">
      <c r="A143" s="11">
        <v>45876</v>
      </c>
      <c r="B143" s="15" t="s">
        <v>114</v>
      </c>
      <c r="C143" s="50"/>
      <c r="D143" s="50"/>
      <c r="E143" s="50"/>
      <c r="F143" s="50"/>
      <c r="G143" s="118"/>
      <c r="H143" s="118"/>
      <c r="I143" s="50"/>
      <c r="J143" s="50"/>
      <c r="K143" s="131"/>
      <c r="L143" s="139"/>
      <c r="M143" s="131"/>
      <c r="N143" s="118"/>
      <c r="O143" s="118"/>
      <c r="P143" s="50"/>
      <c r="Q143" s="131"/>
      <c r="R143" s="139"/>
      <c r="S143" s="131"/>
      <c r="T143" s="50"/>
      <c r="U143" s="103">
        <f t="shared" si="38"/>
        <v>0</v>
      </c>
      <c r="V143" s="140" t="e">
        <f t="shared" si="39"/>
        <v>#DIV/0!</v>
      </c>
      <c r="W143" s="103"/>
      <c r="X143" s="50"/>
      <c r="Y143" s="50"/>
      <c r="Z143" s="134">
        <f t="shared" si="34"/>
        <v>0</v>
      </c>
      <c r="AA143" s="50" t="s">
        <v>74</v>
      </c>
      <c r="AB143" s="134" t="s">
        <v>48</v>
      </c>
      <c r="AC143" s="50"/>
      <c r="AD143" s="52">
        <f t="shared" si="47"/>
        <v>0</v>
      </c>
      <c r="AE143" s="48"/>
      <c r="AF143" s="50"/>
      <c r="AG143" s="52" t="s">
        <v>48</v>
      </c>
      <c r="AH143" s="109" t="s">
        <v>109</v>
      </c>
      <c r="AI143" s="149"/>
      <c r="AJ143" t="s">
        <v>112</v>
      </c>
    </row>
    <row r="144" spans="1:36" hidden="1" x14ac:dyDescent="0.2">
      <c r="A144" s="11">
        <v>45877</v>
      </c>
      <c r="B144" s="15" t="s">
        <v>114</v>
      </c>
      <c r="C144" s="50"/>
      <c r="D144" s="50"/>
      <c r="E144" s="50"/>
      <c r="F144" s="50"/>
      <c r="G144" s="118"/>
      <c r="H144" s="118"/>
      <c r="I144" s="50"/>
      <c r="J144" s="50"/>
      <c r="K144" s="131"/>
      <c r="L144" s="139"/>
      <c r="M144" s="131"/>
      <c r="N144" s="118"/>
      <c r="O144" s="118"/>
      <c r="P144" s="50"/>
      <c r="Q144" s="131"/>
      <c r="R144" s="139"/>
      <c r="S144" s="131"/>
      <c r="T144" s="50"/>
      <c r="U144" s="103">
        <f t="shared" si="38"/>
        <v>0</v>
      </c>
      <c r="V144" s="140" t="e">
        <f t="shared" si="39"/>
        <v>#DIV/0!</v>
      </c>
      <c r="W144" s="103"/>
      <c r="X144" s="50"/>
      <c r="Y144" s="50"/>
      <c r="Z144" s="134">
        <f t="shared" si="34"/>
        <v>0</v>
      </c>
      <c r="AA144" s="50" t="s">
        <v>74</v>
      </c>
      <c r="AB144" s="134" t="s">
        <v>48</v>
      </c>
      <c r="AC144" s="50"/>
      <c r="AD144" s="52">
        <f t="shared" si="47"/>
        <v>0</v>
      </c>
      <c r="AE144" s="48"/>
      <c r="AF144" s="50"/>
      <c r="AG144" s="52" t="s">
        <v>48</v>
      </c>
      <c r="AH144" s="109" t="s">
        <v>109</v>
      </c>
      <c r="AI144" s="149" t="s">
        <v>133</v>
      </c>
      <c r="AJ144" t="s">
        <v>113</v>
      </c>
    </row>
    <row r="145" spans="1:35" hidden="1" x14ac:dyDescent="0.2">
      <c r="A145" s="11">
        <v>45878</v>
      </c>
      <c r="B145" s="15"/>
      <c r="C145" s="50"/>
      <c r="D145" s="50"/>
      <c r="E145" s="50"/>
      <c r="F145" s="50"/>
      <c r="G145" s="118"/>
      <c r="H145" s="118"/>
      <c r="I145" s="50"/>
      <c r="J145" s="50"/>
      <c r="K145" s="131"/>
      <c r="L145" s="139"/>
      <c r="M145" s="131"/>
      <c r="N145" s="118"/>
      <c r="O145" s="118"/>
      <c r="P145" s="50"/>
      <c r="Q145" s="131"/>
      <c r="R145" s="139"/>
      <c r="S145" s="131"/>
      <c r="T145" s="50"/>
      <c r="U145" s="103">
        <f t="shared" si="38"/>
        <v>0</v>
      </c>
      <c r="V145" s="140" t="e">
        <f t="shared" si="39"/>
        <v>#DIV/0!</v>
      </c>
      <c r="W145" s="103"/>
      <c r="X145" s="50"/>
      <c r="Y145" s="50"/>
      <c r="Z145" s="134">
        <f t="shared" si="34"/>
        <v>0</v>
      </c>
      <c r="AA145" s="50" t="s">
        <v>74</v>
      </c>
      <c r="AB145" s="134" t="s">
        <v>48</v>
      </c>
      <c r="AC145" s="50"/>
      <c r="AD145" s="52">
        <f t="shared" si="47"/>
        <v>0</v>
      </c>
      <c r="AE145" s="48"/>
      <c r="AF145" s="50"/>
      <c r="AG145" s="52" t="s">
        <v>48</v>
      </c>
      <c r="AH145" s="109"/>
      <c r="AI145" s="149" t="s">
        <v>117</v>
      </c>
    </row>
    <row r="146" spans="1:35" s="3" customFormat="1" hidden="1" x14ac:dyDescent="0.2">
      <c r="A146" s="11">
        <v>45879</v>
      </c>
      <c r="B146" s="15"/>
      <c r="C146" s="50"/>
      <c r="D146" s="50"/>
      <c r="E146" s="50"/>
      <c r="F146" s="50"/>
      <c r="G146" s="118"/>
      <c r="H146" s="118"/>
      <c r="I146" s="50"/>
      <c r="J146" s="50"/>
      <c r="K146" s="131"/>
      <c r="L146" s="139"/>
      <c r="M146" s="131"/>
      <c r="N146" s="118"/>
      <c r="O146" s="118"/>
      <c r="P146" s="50"/>
      <c r="Q146" s="131"/>
      <c r="R146" s="139"/>
      <c r="S146" s="131"/>
      <c r="T146" s="50"/>
      <c r="U146" s="103">
        <f t="shared" si="38"/>
        <v>0</v>
      </c>
      <c r="V146" s="140" t="e">
        <f t="shared" si="39"/>
        <v>#DIV/0!</v>
      </c>
      <c r="W146" s="103"/>
      <c r="X146" s="50"/>
      <c r="Y146" s="50"/>
      <c r="Z146" s="134">
        <f t="shared" si="34"/>
        <v>0</v>
      </c>
      <c r="AA146" s="50" t="s">
        <v>74</v>
      </c>
      <c r="AB146" s="134" t="s">
        <v>48</v>
      </c>
      <c r="AC146" s="50"/>
      <c r="AD146" s="52">
        <f t="shared" si="47"/>
        <v>0</v>
      </c>
      <c r="AE146" s="48"/>
      <c r="AF146" s="50"/>
      <c r="AG146" s="52" t="s">
        <v>48</v>
      </c>
      <c r="AH146" s="109"/>
      <c r="AI146" s="149" t="s">
        <v>118</v>
      </c>
    </row>
    <row r="147" spans="1:35" s="3" customFormat="1" hidden="1" x14ac:dyDescent="0.2">
      <c r="A147" s="11">
        <v>45880</v>
      </c>
      <c r="B147" s="15"/>
      <c r="C147" s="50"/>
      <c r="D147" s="50"/>
      <c r="E147" s="50"/>
      <c r="F147" s="50"/>
      <c r="G147" s="118"/>
      <c r="H147" s="118"/>
      <c r="I147" s="50"/>
      <c r="J147" s="50"/>
      <c r="K147" s="131"/>
      <c r="L147" s="139"/>
      <c r="M147" s="131"/>
      <c r="N147" s="118"/>
      <c r="O147" s="118"/>
      <c r="P147" s="50"/>
      <c r="Q147" s="131" t="e">
        <f t="shared" si="44"/>
        <v>#DIV/0!</v>
      </c>
      <c r="R147" s="139"/>
      <c r="S147" s="131">
        <f t="shared" ref="S147:S172" si="48">(N148-N147)/N148</f>
        <v>1</v>
      </c>
      <c r="T147" s="50"/>
      <c r="U147" s="103">
        <f t="shared" si="38"/>
        <v>0</v>
      </c>
      <c r="V147" s="140" t="e">
        <f t="shared" si="39"/>
        <v>#DIV/0!</v>
      </c>
      <c r="W147" s="103"/>
      <c r="X147" s="50"/>
      <c r="Y147" s="50"/>
      <c r="Z147" s="134">
        <f t="shared" si="34"/>
        <v>0</v>
      </c>
      <c r="AA147" s="50"/>
      <c r="AB147" s="134" t="s">
        <v>48</v>
      </c>
      <c r="AC147" s="50"/>
      <c r="AD147" s="52">
        <f t="shared" si="47"/>
        <v>0</v>
      </c>
      <c r="AE147" s="48"/>
      <c r="AF147" s="50"/>
      <c r="AG147" s="52" t="s">
        <v>48</v>
      </c>
      <c r="AH147" s="109"/>
      <c r="AI147" s="149" t="s">
        <v>115</v>
      </c>
    </row>
    <row r="148" spans="1:35" s="3" customFormat="1" x14ac:dyDescent="0.2">
      <c r="A148" s="11">
        <v>45881</v>
      </c>
      <c r="B148" s="15" t="s">
        <v>119</v>
      </c>
      <c r="C148" s="50">
        <v>12.1</v>
      </c>
      <c r="D148" s="50">
        <v>12</v>
      </c>
      <c r="E148" s="50">
        <v>18.3</v>
      </c>
      <c r="F148" s="50">
        <v>18</v>
      </c>
      <c r="G148" s="118">
        <f t="shared" si="41"/>
        <v>9.9999999999999645E-2</v>
      </c>
      <c r="H148" s="118">
        <f t="shared" si="42"/>
        <v>0.30000000000000071</v>
      </c>
      <c r="I148" s="50">
        <v>24.7</v>
      </c>
      <c r="J148" s="50">
        <v>15</v>
      </c>
      <c r="K148" s="131">
        <f t="shared" si="43"/>
        <v>0.60728744939271262</v>
      </c>
      <c r="L148" s="139">
        <f t="shared" si="36"/>
        <v>2.5463917525773199</v>
      </c>
      <c r="M148" s="131">
        <f t="shared" si="46"/>
        <v>4.2635658914728737E-2</v>
      </c>
      <c r="N148" s="118">
        <f t="shared" ref="N148:N172" si="49">I148-J148</f>
        <v>9.6999999999999993</v>
      </c>
      <c r="O148" s="118">
        <f t="shared" si="35"/>
        <v>2.6000000000000014</v>
      </c>
      <c r="P148" s="50"/>
      <c r="Q148" s="131">
        <f t="shared" si="44"/>
        <v>0.26804123711340222</v>
      </c>
      <c r="R148" s="139">
        <f t="shared" si="45"/>
        <v>1.3661971830985919</v>
      </c>
      <c r="S148" s="131">
        <f t="shared" si="48"/>
        <v>-0.67241379310344795</v>
      </c>
      <c r="T148" s="50">
        <v>17.600000000000001</v>
      </c>
      <c r="U148" s="103">
        <f t="shared" si="38"/>
        <v>7.0999999999999979</v>
      </c>
      <c r="V148" s="140">
        <f t="shared" si="39"/>
        <v>0.71255060728744946</v>
      </c>
      <c r="W148" s="103"/>
      <c r="X148" s="50"/>
      <c r="Y148" s="50">
        <v>6.1</v>
      </c>
      <c r="Z148" s="134">
        <f t="shared" si="34"/>
        <v>6.1</v>
      </c>
      <c r="AA148" s="50" t="s">
        <v>74</v>
      </c>
      <c r="AB148" s="134" t="s">
        <v>48</v>
      </c>
      <c r="AC148" s="50">
        <v>6.1</v>
      </c>
      <c r="AD148" s="52">
        <f t="shared" si="47"/>
        <v>6.1</v>
      </c>
      <c r="AE148" s="48">
        <v>4.4000000000000004</v>
      </c>
      <c r="AF148" s="133" t="s">
        <v>105</v>
      </c>
      <c r="AG148" s="52" t="s">
        <v>48</v>
      </c>
      <c r="AH148" s="120" t="s">
        <v>109</v>
      </c>
      <c r="AI148" s="149" t="s">
        <v>120</v>
      </c>
    </row>
    <row r="149" spans="1:35" x14ac:dyDescent="0.2">
      <c r="A149" s="11">
        <v>45882</v>
      </c>
      <c r="B149" s="15">
        <v>0.64583333333333337</v>
      </c>
      <c r="C149" s="50">
        <v>11.8</v>
      </c>
      <c r="D149" s="50">
        <v>12</v>
      </c>
      <c r="E149" s="50">
        <v>18</v>
      </c>
      <c r="F149" s="50">
        <v>18</v>
      </c>
      <c r="G149" s="118">
        <f t="shared" si="41"/>
        <v>-0.19999999999999929</v>
      </c>
      <c r="H149" s="118">
        <f t="shared" si="42"/>
        <v>0</v>
      </c>
      <c r="I149" s="50">
        <v>25.8</v>
      </c>
      <c r="J149" s="50">
        <v>20</v>
      </c>
      <c r="K149" s="131">
        <f t="shared" si="43"/>
        <v>0.77519379844961234</v>
      </c>
      <c r="L149" s="139">
        <f t="shared" si="36"/>
        <v>4.4482758620689644</v>
      </c>
      <c r="M149" s="131">
        <f t="shared" si="46"/>
        <v>-6.61157024793389E-2</v>
      </c>
      <c r="N149" s="118">
        <f t="shared" si="49"/>
        <v>5.8000000000000007</v>
      </c>
      <c r="O149" s="118">
        <f t="shared" si="35"/>
        <v>-1.3000000000000007</v>
      </c>
      <c r="P149" s="50"/>
      <c r="Q149" s="131">
        <f t="shared" si="44"/>
        <v>-0.22413793103448285</v>
      </c>
      <c r="R149" s="139">
        <f t="shared" si="45"/>
        <v>0.81690140845070414</v>
      </c>
      <c r="S149" s="131">
        <f t="shared" si="48"/>
        <v>0.36956521739130421</v>
      </c>
      <c r="T149" s="50">
        <v>18.7</v>
      </c>
      <c r="U149" s="103">
        <f t="shared" si="38"/>
        <v>7.1000000000000014</v>
      </c>
      <c r="V149" s="140">
        <f t="shared" si="39"/>
        <v>0.72480620155038755</v>
      </c>
      <c r="W149" s="103"/>
      <c r="X149" s="50"/>
      <c r="Y149" s="50">
        <v>6.1</v>
      </c>
      <c r="Z149" s="134">
        <f t="shared" si="34"/>
        <v>0</v>
      </c>
      <c r="AA149" s="50" t="s">
        <v>74</v>
      </c>
      <c r="AB149" s="134" t="s">
        <v>48</v>
      </c>
      <c r="AC149" s="50">
        <v>6.1</v>
      </c>
      <c r="AD149" s="52">
        <f t="shared" si="47"/>
        <v>0</v>
      </c>
      <c r="AE149" s="48">
        <v>4.3</v>
      </c>
      <c r="AF149" s="133" t="s">
        <v>105</v>
      </c>
      <c r="AG149" s="52" t="s">
        <v>48</v>
      </c>
      <c r="AH149" s="120" t="s">
        <v>109</v>
      </c>
      <c r="AI149" s="149"/>
    </row>
    <row r="150" spans="1:35" x14ac:dyDescent="0.2">
      <c r="A150" s="11">
        <v>45883</v>
      </c>
      <c r="B150" s="15">
        <v>0.68194444444444446</v>
      </c>
      <c r="C150" s="50">
        <v>11.8</v>
      </c>
      <c r="D150" s="50">
        <v>12</v>
      </c>
      <c r="E150" s="50">
        <v>18</v>
      </c>
      <c r="F150" s="50">
        <v>18</v>
      </c>
      <c r="G150" s="118">
        <f t="shared" si="41"/>
        <v>-0.19999999999999929</v>
      </c>
      <c r="H150" s="118">
        <f t="shared" si="42"/>
        <v>0</v>
      </c>
      <c r="I150" s="50">
        <v>24.2</v>
      </c>
      <c r="J150" s="50">
        <v>15</v>
      </c>
      <c r="K150" s="131">
        <f t="shared" si="43"/>
        <v>0.6198347107438017</v>
      </c>
      <c r="L150" s="139">
        <f t="shared" si="36"/>
        <v>2.6304347826086958</v>
      </c>
      <c r="M150" s="131">
        <f t="shared" si="46"/>
        <v>-2.1097046413502109E-2</v>
      </c>
      <c r="N150" s="118">
        <f t="shared" si="49"/>
        <v>9.1999999999999993</v>
      </c>
      <c r="O150" s="118">
        <f t="shared" si="35"/>
        <v>2.1999999999999993</v>
      </c>
      <c r="P150" s="50"/>
      <c r="Q150" s="131">
        <f t="shared" si="44"/>
        <v>0.23913043478260865</v>
      </c>
      <c r="R150" s="139">
        <f t="shared" si="45"/>
        <v>1.3142857142857143</v>
      </c>
      <c r="S150" s="131">
        <f t="shared" si="48"/>
        <v>-0.61403508771929827</v>
      </c>
      <c r="T150" s="50">
        <v>17.2</v>
      </c>
      <c r="U150" s="103">
        <f t="shared" si="38"/>
        <v>7</v>
      </c>
      <c r="V150" s="140">
        <f t="shared" si="39"/>
        <v>0.71074380165289253</v>
      </c>
      <c r="W150" s="103"/>
      <c r="X150" s="50"/>
      <c r="Y150" s="50">
        <v>6.1</v>
      </c>
      <c r="Z150" s="134">
        <f t="shared" si="34"/>
        <v>0</v>
      </c>
      <c r="AA150" s="50" t="s">
        <v>74</v>
      </c>
      <c r="AB150" s="134" t="s">
        <v>48</v>
      </c>
      <c r="AC150" s="50">
        <v>6.1</v>
      </c>
      <c r="AD150" s="52">
        <f t="shared" si="47"/>
        <v>0</v>
      </c>
      <c r="AE150" s="48">
        <v>4.2</v>
      </c>
      <c r="AF150" s="133" t="s">
        <v>105</v>
      </c>
      <c r="AG150" s="52" t="s">
        <v>48</v>
      </c>
      <c r="AH150" s="120" t="s">
        <v>109</v>
      </c>
      <c r="AI150" s="149"/>
    </row>
    <row r="151" spans="1:35" x14ac:dyDescent="0.2">
      <c r="A151" s="11">
        <v>45884</v>
      </c>
      <c r="B151" s="15">
        <v>0.60972222222222228</v>
      </c>
      <c r="C151" s="50">
        <v>11.7</v>
      </c>
      <c r="D151" s="50">
        <v>12</v>
      </c>
      <c r="E151" s="50">
        <v>17.899999999999999</v>
      </c>
      <c r="F151" s="50">
        <v>18</v>
      </c>
      <c r="G151" s="118">
        <f t="shared" si="41"/>
        <v>-0.30000000000000071</v>
      </c>
      <c r="H151" s="118">
        <f t="shared" si="42"/>
        <v>-0.10000000000000142</v>
      </c>
      <c r="I151" s="50">
        <v>23.7</v>
      </c>
      <c r="J151" s="50">
        <v>18</v>
      </c>
      <c r="K151" s="131">
        <f t="shared" si="43"/>
        <v>0.759493670886076</v>
      </c>
      <c r="L151" s="139">
        <f t="shared" si="36"/>
        <v>4.1578947368421062</v>
      </c>
      <c r="M151" s="131"/>
      <c r="N151" s="118">
        <f t="shared" si="49"/>
        <v>5.6999999999999993</v>
      </c>
      <c r="O151" s="118">
        <f t="shared" si="35"/>
        <v>-0.89999999999999858</v>
      </c>
      <c r="P151" s="50"/>
      <c r="Q151" s="131">
        <f t="shared" si="44"/>
        <v>-0.15789473684210503</v>
      </c>
      <c r="R151" s="139">
        <f t="shared" si="45"/>
        <v>0.86363636363636376</v>
      </c>
      <c r="S151" s="131" t="e">
        <f t="shared" si="48"/>
        <v>#DIV/0!</v>
      </c>
      <c r="T151" s="50">
        <v>17.100000000000001</v>
      </c>
      <c r="U151" s="103">
        <f t="shared" si="38"/>
        <v>6.5999999999999979</v>
      </c>
      <c r="V151" s="140">
        <f t="shared" si="39"/>
        <v>0.72151898734177222</v>
      </c>
      <c r="W151" s="128"/>
      <c r="X151" s="50"/>
      <c r="Y151" s="50">
        <v>6</v>
      </c>
      <c r="Z151" s="134">
        <f t="shared" si="34"/>
        <v>-9.9999999999999645E-2</v>
      </c>
      <c r="AA151" s="50" t="s">
        <v>74</v>
      </c>
      <c r="AB151" s="134" t="s">
        <v>48</v>
      </c>
      <c r="AC151" s="50">
        <v>6</v>
      </c>
      <c r="AD151" s="52">
        <f t="shared" si="47"/>
        <v>-9.9999999999999645E-2</v>
      </c>
      <c r="AE151" s="48">
        <v>4.2</v>
      </c>
      <c r="AF151" s="133" t="s">
        <v>105</v>
      </c>
      <c r="AG151" s="52" t="s">
        <v>48</v>
      </c>
      <c r="AH151" s="109"/>
      <c r="AI151" s="149"/>
    </row>
    <row r="152" spans="1:35" ht="15" hidden="1" customHeight="1" x14ac:dyDescent="0.2">
      <c r="A152" s="11">
        <v>45885</v>
      </c>
      <c r="B152" s="15"/>
      <c r="C152" s="50"/>
      <c r="D152" s="50"/>
      <c r="E152" s="50"/>
      <c r="F152" s="50"/>
      <c r="G152" s="118"/>
      <c r="H152" s="118"/>
      <c r="I152" s="50"/>
      <c r="J152" s="50"/>
      <c r="K152" s="131"/>
      <c r="L152" s="139"/>
      <c r="M152" s="131"/>
      <c r="N152" s="118"/>
      <c r="O152" s="118">
        <f t="shared" si="35"/>
        <v>0</v>
      </c>
      <c r="P152" s="50"/>
      <c r="Q152" s="131" t="e">
        <f t="shared" si="44"/>
        <v>#DIV/0!</v>
      </c>
      <c r="R152" s="139" t="e">
        <f t="shared" si="45"/>
        <v>#DIV/0!</v>
      </c>
      <c r="S152" s="131" t="e">
        <f t="shared" si="48"/>
        <v>#DIV/0!</v>
      </c>
      <c r="T152" s="50"/>
      <c r="U152" s="103">
        <f t="shared" si="38"/>
        <v>0</v>
      </c>
      <c r="V152" s="140" t="e">
        <f t="shared" si="39"/>
        <v>#DIV/0!</v>
      </c>
      <c r="W152" s="103"/>
      <c r="X152" s="50"/>
      <c r="Y152" s="50"/>
      <c r="Z152" s="134">
        <f t="shared" si="34"/>
        <v>-6</v>
      </c>
      <c r="AA152" s="50" t="s">
        <v>74</v>
      </c>
      <c r="AB152" s="134" t="s">
        <v>48</v>
      </c>
      <c r="AC152" s="50"/>
      <c r="AD152" s="52">
        <f t="shared" si="47"/>
        <v>-6</v>
      </c>
      <c r="AE152" s="48"/>
      <c r="AF152" s="50"/>
      <c r="AG152" s="52" t="s">
        <v>48</v>
      </c>
      <c r="AH152" s="109"/>
      <c r="AI152" s="149"/>
    </row>
    <row r="153" spans="1:35" hidden="1" x14ac:dyDescent="0.2">
      <c r="A153" s="11">
        <v>45886</v>
      </c>
      <c r="B153" s="15"/>
      <c r="C153" s="50"/>
      <c r="D153" s="50"/>
      <c r="E153" s="50"/>
      <c r="F153" s="50"/>
      <c r="G153" s="118"/>
      <c r="H153" s="118"/>
      <c r="I153" s="50"/>
      <c r="J153" s="50"/>
      <c r="K153" s="131"/>
      <c r="L153" s="139"/>
      <c r="M153" s="131"/>
      <c r="N153" s="118"/>
      <c r="O153" s="118">
        <f t="shared" si="35"/>
        <v>0</v>
      </c>
      <c r="P153" s="50"/>
      <c r="Q153" s="131" t="e">
        <f t="shared" si="44"/>
        <v>#DIV/0!</v>
      </c>
      <c r="R153" s="139" t="e">
        <f t="shared" si="45"/>
        <v>#DIV/0!</v>
      </c>
      <c r="S153" s="131" t="e">
        <f t="shared" si="48"/>
        <v>#DIV/0!</v>
      </c>
      <c r="T153" s="50"/>
      <c r="U153" s="103">
        <f t="shared" si="38"/>
        <v>0</v>
      </c>
      <c r="V153" s="140" t="e">
        <f t="shared" si="39"/>
        <v>#DIV/0!</v>
      </c>
      <c r="W153" s="103"/>
      <c r="X153" s="50"/>
      <c r="Y153" s="50"/>
      <c r="Z153" s="134">
        <f t="shared" si="34"/>
        <v>0</v>
      </c>
      <c r="AA153" s="50" t="s">
        <v>74</v>
      </c>
      <c r="AB153" s="134" t="s">
        <v>48</v>
      </c>
      <c r="AC153" s="50"/>
      <c r="AD153" s="52">
        <f t="shared" si="47"/>
        <v>0</v>
      </c>
      <c r="AE153" s="48"/>
      <c r="AF153" s="50"/>
      <c r="AG153" s="52" t="s">
        <v>48</v>
      </c>
      <c r="AH153" s="120" t="s">
        <v>104</v>
      </c>
      <c r="AI153" s="149" t="s">
        <v>134</v>
      </c>
    </row>
    <row r="154" spans="1:35" hidden="1" x14ac:dyDescent="0.2">
      <c r="A154" s="11">
        <v>45887</v>
      </c>
      <c r="B154" s="15"/>
      <c r="C154" s="50"/>
      <c r="D154" s="50"/>
      <c r="E154" s="50"/>
      <c r="F154" s="50"/>
      <c r="G154" s="118"/>
      <c r="H154" s="118"/>
      <c r="I154" s="50"/>
      <c r="J154" s="50"/>
      <c r="K154" s="131"/>
      <c r="L154" s="139"/>
      <c r="M154" s="131"/>
      <c r="N154" s="118"/>
      <c r="O154" s="118">
        <f t="shared" si="35"/>
        <v>0</v>
      </c>
      <c r="P154" s="50"/>
      <c r="Q154" s="131" t="e">
        <f t="shared" si="44"/>
        <v>#DIV/0!</v>
      </c>
      <c r="R154" s="139" t="e">
        <f t="shared" si="45"/>
        <v>#DIV/0!</v>
      </c>
      <c r="S154" s="131">
        <f t="shared" si="48"/>
        <v>1</v>
      </c>
      <c r="T154" s="50"/>
      <c r="U154" s="103">
        <f t="shared" si="38"/>
        <v>0</v>
      </c>
      <c r="V154" s="140" t="e">
        <f t="shared" si="39"/>
        <v>#DIV/0!</v>
      </c>
      <c r="W154" s="103"/>
      <c r="X154" s="50"/>
      <c r="Y154" s="50"/>
      <c r="Z154" s="134">
        <f t="shared" si="34"/>
        <v>0</v>
      </c>
      <c r="AA154" s="50" t="s">
        <v>74</v>
      </c>
      <c r="AB154" s="134" t="s">
        <v>48</v>
      </c>
      <c r="AC154" s="50"/>
      <c r="AD154" s="52">
        <f t="shared" si="47"/>
        <v>0</v>
      </c>
      <c r="AE154" s="48"/>
      <c r="AF154" s="50"/>
      <c r="AG154" s="52" t="s">
        <v>48</v>
      </c>
      <c r="AH154" s="109"/>
      <c r="AI154" s="149"/>
    </row>
    <row r="155" spans="1:35" x14ac:dyDescent="0.2">
      <c r="A155" s="11">
        <v>45888</v>
      </c>
      <c r="B155" s="15">
        <v>0.375</v>
      </c>
      <c r="C155" s="50">
        <v>11.7</v>
      </c>
      <c r="D155" s="50">
        <v>11</v>
      </c>
      <c r="E155" s="50">
        <v>16.899999999999999</v>
      </c>
      <c r="F155" s="50">
        <v>17</v>
      </c>
      <c r="G155" s="118">
        <f t="shared" si="41"/>
        <v>0.69999999999999929</v>
      </c>
      <c r="H155" s="118">
        <f t="shared" si="42"/>
        <v>-0.10000000000000142</v>
      </c>
      <c r="I155" s="50">
        <v>38.5</v>
      </c>
      <c r="J155" s="50">
        <v>21</v>
      </c>
      <c r="K155" s="131">
        <f t="shared" si="43"/>
        <v>0.54545454545454541</v>
      </c>
      <c r="L155" s="139">
        <f t="shared" si="36"/>
        <v>2.1999999999999997</v>
      </c>
      <c r="M155" s="131">
        <f t="shared" si="46"/>
        <v>-0.29194630872483218</v>
      </c>
      <c r="N155" s="118">
        <f t="shared" si="49"/>
        <v>17.5</v>
      </c>
      <c r="O155" s="118">
        <f t="shared" si="35"/>
        <v>11.200000000000003</v>
      </c>
      <c r="P155" s="50"/>
      <c r="Q155" s="131">
        <f t="shared" si="44"/>
        <v>0.64000000000000012</v>
      </c>
      <c r="R155" s="139">
        <f t="shared" si="45"/>
        <v>2.7777777777777786</v>
      </c>
      <c r="S155" s="131">
        <f t="shared" si="48"/>
        <v>-0.98863636363636342</v>
      </c>
      <c r="T155" s="50">
        <v>32.200000000000003</v>
      </c>
      <c r="U155" s="103">
        <f t="shared" si="38"/>
        <v>6.2999999999999972</v>
      </c>
      <c r="V155" s="140">
        <f t="shared" si="39"/>
        <v>0.83636363636363642</v>
      </c>
      <c r="W155" s="103"/>
      <c r="X155" s="50"/>
      <c r="Y155" s="50">
        <v>6</v>
      </c>
      <c r="Z155" s="134">
        <f t="shared" si="34"/>
        <v>6</v>
      </c>
      <c r="AA155" s="50" t="s">
        <v>74</v>
      </c>
      <c r="AB155" s="134" t="s">
        <v>48</v>
      </c>
      <c r="AC155" s="50">
        <v>6</v>
      </c>
      <c r="AD155" s="52">
        <f t="shared" si="47"/>
        <v>6</v>
      </c>
      <c r="AE155" s="48">
        <v>3.3</v>
      </c>
      <c r="AF155" s="133" t="s">
        <v>106</v>
      </c>
      <c r="AG155" s="52" t="s">
        <v>48</v>
      </c>
      <c r="AH155" s="109"/>
      <c r="AI155" s="149" t="s">
        <v>121</v>
      </c>
    </row>
    <row r="156" spans="1:35" x14ac:dyDescent="0.2">
      <c r="A156" s="11">
        <v>45889</v>
      </c>
      <c r="B156" s="15">
        <v>0.64930555555555558</v>
      </c>
      <c r="C156" s="50">
        <v>11.9</v>
      </c>
      <c r="D156" s="50">
        <v>12</v>
      </c>
      <c r="E156" s="50">
        <v>17.899999999999999</v>
      </c>
      <c r="F156" s="50">
        <v>18</v>
      </c>
      <c r="G156" s="118">
        <f t="shared" si="41"/>
        <v>-9.9999999999999645E-2</v>
      </c>
      <c r="H156" s="118">
        <f t="shared" si="42"/>
        <v>-0.10000000000000142</v>
      </c>
      <c r="I156" s="50">
        <v>29.8</v>
      </c>
      <c r="J156" s="50">
        <v>21</v>
      </c>
      <c r="K156" s="131">
        <f t="shared" si="43"/>
        <v>0.70469798657718119</v>
      </c>
      <c r="L156" s="139">
        <f t="shared" si="36"/>
        <v>3.3863636363636362</v>
      </c>
      <c r="M156" s="131">
        <f t="shared" si="46"/>
        <v>-0.15057915057915067</v>
      </c>
      <c r="N156" s="118">
        <f t="shared" si="49"/>
        <v>8.8000000000000007</v>
      </c>
      <c r="O156" s="118">
        <f t="shared" ref="O156:O178" si="50">T156-J156</f>
        <v>2.5</v>
      </c>
      <c r="P156" s="50"/>
      <c r="Q156" s="131">
        <f t="shared" si="44"/>
        <v>0.28409090909090906</v>
      </c>
      <c r="R156" s="139">
        <f t="shared" si="45"/>
        <v>1.3968253968253967</v>
      </c>
      <c r="S156" s="131">
        <f t="shared" si="48"/>
        <v>-0.49152542372881403</v>
      </c>
      <c r="T156" s="50">
        <v>23.5</v>
      </c>
      <c r="U156" s="103">
        <f t="shared" ref="U156:U186" si="51">+N156-O156</f>
        <v>6.3000000000000007</v>
      </c>
      <c r="V156" s="140">
        <f t="shared" ref="V156:V186" si="52">+T156/I156</f>
        <v>0.78859060402684567</v>
      </c>
      <c r="W156" s="103"/>
      <c r="X156" s="50"/>
      <c r="Y156" s="50">
        <v>6</v>
      </c>
      <c r="Z156" s="134">
        <f t="shared" si="34"/>
        <v>0</v>
      </c>
      <c r="AA156" s="50" t="s">
        <v>74</v>
      </c>
      <c r="AB156" s="134" t="s">
        <v>48</v>
      </c>
      <c r="AC156" s="50">
        <v>6</v>
      </c>
      <c r="AD156" s="52">
        <f t="shared" si="47"/>
        <v>0</v>
      </c>
      <c r="AE156" s="48">
        <v>4</v>
      </c>
      <c r="AF156" s="133" t="s">
        <v>106</v>
      </c>
      <c r="AG156" s="52" t="s">
        <v>48</v>
      </c>
      <c r="AH156" s="120" t="s">
        <v>109</v>
      </c>
      <c r="AI156" s="149"/>
    </row>
    <row r="157" spans="1:35" x14ac:dyDescent="0.2">
      <c r="A157" s="11">
        <v>45890</v>
      </c>
      <c r="B157" s="61" t="s">
        <v>135</v>
      </c>
      <c r="C157" s="50">
        <v>12.2</v>
      </c>
      <c r="D157" s="50">
        <v>12</v>
      </c>
      <c r="E157" s="50">
        <v>18.3</v>
      </c>
      <c r="F157" s="50">
        <v>18</v>
      </c>
      <c r="G157" s="118">
        <f t="shared" si="41"/>
        <v>0.19999999999999929</v>
      </c>
      <c r="H157" s="118">
        <f t="shared" si="42"/>
        <v>0.30000000000000071</v>
      </c>
      <c r="I157" s="50">
        <v>25.9</v>
      </c>
      <c r="J157" s="50">
        <v>20</v>
      </c>
      <c r="K157" s="131">
        <f t="shared" si="43"/>
        <v>0.77220077220077221</v>
      </c>
      <c r="L157" s="139">
        <f t="shared" si="36"/>
        <v>4.3898305084745761</v>
      </c>
      <c r="M157" s="131">
        <f t="shared" si="46"/>
        <v>-4.0160642570281124E-2</v>
      </c>
      <c r="N157" s="118">
        <f t="shared" si="49"/>
        <v>5.8999999999999986</v>
      </c>
      <c r="O157" s="118">
        <f t="shared" si="50"/>
        <v>0.39999999999999858</v>
      </c>
      <c r="P157" s="50"/>
      <c r="Q157" s="131">
        <f t="shared" si="44"/>
        <v>6.7796610169491303E-2</v>
      </c>
      <c r="R157" s="139">
        <f t="shared" si="45"/>
        <v>1.0727272727272725</v>
      </c>
      <c r="S157" s="131">
        <f t="shared" si="48"/>
        <v>-0.20408163265306128</v>
      </c>
      <c r="T157" s="50">
        <v>20.399999999999999</v>
      </c>
      <c r="U157" s="103">
        <f t="shared" si="51"/>
        <v>5.5</v>
      </c>
      <c r="V157" s="140">
        <f t="shared" si="52"/>
        <v>0.78764478764478763</v>
      </c>
      <c r="W157" s="103"/>
      <c r="X157" s="50"/>
      <c r="Y157" s="50">
        <v>6</v>
      </c>
      <c r="Z157" s="134">
        <f t="shared" si="34"/>
        <v>0</v>
      </c>
      <c r="AA157" s="50" t="s">
        <v>74</v>
      </c>
      <c r="AB157" s="134" t="s">
        <v>48</v>
      </c>
      <c r="AC157" s="50">
        <v>6</v>
      </c>
      <c r="AD157" s="52">
        <f t="shared" si="47"/>
        <v>0</v>
      </c>
      <c r="AE157" s="48">
        <v>4</v>
      </c>
      <c r="AF157" s="133" t="s">
        <v>106</v>
      </c>
      <c r="AG157" s="52" t="s">
        <v>48</v>
      </c>
      <c r="AH157" s="120" t="s">
        <v>109</v>
      </c>
      <c r="AI157" s="8"/>
    </row>
    <row r="158" spans="1:35" ht="12" customHeight="1" x14ac:dyDescent="0.2">
      <c r="A158" s="11">
        <v>45891</v>
      </c>
      <c r="B158" s="15">
        <v>0.66666666666666663</v>
      </c>
      <c r="C158" s="50">
        <v>12.1</v>
      </c>
      <c r="D158" s="50">
        <v>12</v>
      </c>
      <c r="E158" s="50">
        <v>18.899999999999999</v>
      </c>
      <c r="F158" s="50">
        <v>18</v>
      </c>
      <c r="G158" s="118">
        <f t="shared" si="41"/>
        <v>9.9999999999999645E-2</v>
      </c>
      <c r="H158" s="118">
        <f t="shared" si="42"/>
        <v>0.89999999999999858</v>
      </c>
      <c r="I158" s="50">
        <v>24.9</v>
      </c>
      <c r="J158" s="50">
        <v>20</v>
      </c>
      <c r="K158" s="131">
        <f t="shared" si="43"/>
        <v>0.80321285140562249</v>
      </c>
      <c r="L158" s="139">
        <f t="shared" si="36"/>
        <v>5.0816326530612246</v>
      </c>
      <c r="M158" s="131">
        <f t="shared" si="46"/>
        <v>0.12631578947368427</v>
      </c>
      <c r="N158" s="118">
        <f t="shared" si="49"/>
        <v>4.8999999999999986</v>
      </c>
      <c r="O158" s="118">
        <f t="shared" si="50"/>
        <v>-1.1000000000000014</v>
      </c>
      <c r="P158" s="50"/>
      <c r="Q158" s="131">
        <f t="shared" si="44"/>
        <v>-0.22448979591836771</v>
      </c>
      <c r="R158" s="139">
        <f t="shared" si="45"/>
        <v>0.81666666666666632</v>
      </c>
      <c r="S158" s="131">
        <f t="shared" si="48"/>
        <v>0.34666666666666685</v>
      </c>
      <c r="T158" s="50">
        <v>18.899999999999999</v>
      </c>
      <c r="U158" s="103">
        <f t="shared" si="51"/>
        <v>6</v>
      </c>
      <c r="V158" s="140">
        <f t="shared" si="52"/>
        <v>0.75903614457831325</v>
      </c>
      <c r="W158" s="103"/>
      <c r="X158" s="50"/>
      <c r="Y158" s="50">
        <v>6</v>
      </c>
      <c r="Z158" s="134">
        <f t="shared" si="34"/>
        <v>0</v>
      </c>
      <c r="AA158" s="50" t="s">
        <v>74</v>
      </c>
      <c r="AB158" s="134" t="s">
        <v>48</v>
      </c>
      <c r="AC158" s="50">
        <v>6</v>
      </c>
      <c r="AD158" s="52">
        <f t="shared" si="47"/>
        <v>0</v>
      </c>
      <c r="AE158" s="48">
        <v>4</v>
      </c>
      <c r="AF158" s="133" t="s">
        <v>106</v>
      </c>
      <c r="AG158" s="52" t="s">
        <v>48</v>
      </c>
      <c r="AH158" s="120" t="s">
        <v>109</v>
      </c>
      <c r="AI158" s="8"/>
    </row>
    <row r="159" spans="1:35" x14ac:dyDescent="0.2">
      <c r="A159" s="11">
        <v>45892</v>
      </c>
      <c r="B159" s="15">
        <v>0.64930555555555558</v>
      </c>
      <c r="C159" s="50">
        <v>12.6</v>
      </c>
      <c r="D159" s="50">
        <v>12.5</v>
      </c>
      <c r="E159" s="50">
        <v>18.7</v>
      </c>
      <c r="F159" s="50">
        <v>19</v>
      </c>
      <c r="G159" s="118">
        <f t="shared" si="41"/>
        <v>9.9999999999999645E-2</v>
      </c>
      <c r="H159" s="118">
        <f t="shared" si="42"/>
        <v>-0.30000000000000071</v>
      </c>
      <c r="I159" s="50">
        <v>28.5</v>
      </c>
      <c r="J159" s="50">
        <v>21</v>
      </c>
      <c r="K159" s="131">
        <f t="shared" si="43"/>
        <v>0.73684210526315785</v>
      </c>
      <c r="L159" s="139">
        <f t="shared" si="36"/>
        <v>3.7999999999999994</v>
      </c>
      <c r="M159" s="131"/>
      <c r="N159" s="118">
        <f t="shared" si="49"/>
        <v>7.5</v>
      </c>
      <c r="O159" s="118">
        <f t="shared" si="50"/>
        <v>-21</v>
      </c>
      <c r="P159" s="50"/>
      <c r="Q159" s="131">
        <f t="shared" si="44"/>
        <v>-2.8</v>
      </c>
      <c r="R159" s="139">
        <f t="shared" si="45"/>
        <v>0.26315789473684209</v>
      </c>
      <c r="S159" s="131" t="e">
        <f t="shared" si="48"/>
        <v>#DIV/0!</v>
      </c>
      <c r="T159" s="50"/>
      <c r="U159" s="103">
        <f t="shared" si="51"/>
        <v>28.5</v>
      </c>
      <c r="V159" s="140">
        <f t="shared" si="52"/>
        <v>0</v>
      </c>
      <c r="W159" s="103"/>
      <c r="X159" s="50"/>
      <c r="Y159" s="50"/>
      <c r="Z159" s="134">
        <f t="shared" si="34"/>
        <v>-6</v>
      </c>
      <c r="AA159" s="50" t="s">
        <v>74</v>
      </c>
      <c r="AB159" s="134" t="s">
        <v>48</v>
      </c>
      <c r="AC159" s="50"/>
      <c r="AD159" s="52">
        <f t="shared" si="47"/>
        <v>-6</v>
      </c>
      <c r="AE159" s="48"/>
      <c r="AF159" s="133" t="s">
        <v>106</v>
      </c>
      <c r="AG159" s="52" t="s">
        <v>48</v>
      </c>
      <c r="AH159" s="109"/>
      <c r="AI159" s="159"/>
    </row>
    <row r="160" spans="1:35" hidden="1" x14ac:dyDescent="0.2">
      <c r="A160" s="11">
        <v>45893</v>
      </c>
      <c r="B160" s="15"/>
      <c r="C160" s="50"/>
      <c r="D160" s="50"/>
      <c r="E160" s="50"/>
      <c r="F160" s="50"/>
      <c r="G160" s="118"/>
      <c r="H160" s="118"/>
      <c r="I160" s="50"/>
      <c r="J160" s="50"/>
      <c r="K160" s="131"/>
      <c r="L160" s="139"/>
      <c r="M160" s="131"/>
      <c r="N160" s="118"/>
      <c r="O160" s="118"/>
      <c r="P160" s="50"/>
      <c r="Q160" s="131" t="e">
        <f t="shared" si="44"/>
        <v>#DIV/0!</v>
      </c>
      <c r="R160" s="139" t="e">
        <f t="shared" si="45"/>
        <v>#DIV/0!</v>
      </c>
      <c r="S160" s="131">
        <f t="shared" si="48"/>
        <v>1</v>
      </c>
      <c r="T160" s="50"/>
      <c r="U160" s="103">
        <f t="shared" si="51"/>
        <v>0</v>
      </c>
      <c r="V160" s="140" t="e">
        <f t="shared" si="52"/>
        <v>#DIV/0!</v>
      </c>
      <c r="W160" s="103"/>
      <c r="X160" s="50"/>
      <c r="Y160" s="50"/>
      <c r="Z160" s="134">
        <f t="shared" si="34"/>
        <v>0</v>
      </c>
      <c r="AA160" s="50" t="s">
        <v>74</v>
      </c>
      <c r="AB160" s="134" t="s">
        <v>48</v>
      </c>
      <c r="AC160" s="50"/>
      <c r="AD160" s="52">
        <f t="shared" si="47"/>
        <v>0</v>
      </c>
      <c r="AE160" s="48"/>
      <c r="AF160" s="50"/>
      <c r="AG160" s="52" t="s">
        <v>48</v>
      </c>
      <c r="AH160" s="120" t="s">
        <v>104</v>
      </c>
      <c r="AI160" s="76" t="s">
        <v>136</v>
      </c>
    </row>
    <row r="161" spans="1:35" x14ac:dyDescent="0.2">
      <c r="A161" s="11">
        <v>45894</v>
      </c>
      <c r="B161" s="15">
        <v>0.64444444444444449</v>
      </c>
      <c r="C161" s="50">
        <v>12.6</v>
      </c>
      <c r="D161" s="50">
        <v>12</v>
      </c>
      <c r="E161" s="50">
        <v>18.7</v>
      </c>
      <c r="F161" s="50">
        <v>19</v>
      </c>
      <c r="G161" s="118">
        <f t="shared" si="41"/>
        <v>0.59999999999999964</v>
      </c>
      <c r="H161" s="118">
        <f t="shared" si="42"/>
        <v>-0.30000000000000071</v>
      </c>
      <c r="I161" s="50">
        <v>28.5</v>
      </c>
      <c r="J161" s="50">
        <v>21</v>
      </c>
      <c r="K161" s="131">
        <f t="shared" si="43"/>
        <v>0.73684210526315785</v>
      </c>
      <c r="L161" s="139">
        <f t="shared" si="36"/>
        <v>3.7999999999999994</v>
      </c>
      <c r="M161" s="131">
        <f t="shared" si="46"/>
        <v>0.12037037037037034</v>
      </c>
      <c r="N161" s="118">
        <f t="shared" si="49"/>
        <v>7.5</v>
      </c>
      <c r="O161" s="118">
        <f t="shared" si="50"/>
        <v>0.39999999999999858</v>
      </c>
      <c r="P161" s="50"/>
      <c r="Q161" s="131">
        <f t="shared" si="44"/>
        <v>5.3333333333333142E-2</v>
      </c>
      <c r="R161" s="139">
        <f t="shared" si="45"/>
        <v>1.0563380281690138</v>
      </c>
      <c r="S161" s="131">
        <f t="shared" si="48"/>
        <v>0.34210526315789463</v>
      </c>
      <c r="T161" s="50">
        <v>21.4</v>
      </c>
      <c r="U161" s="103">
        <f t="shared" si="51"/>
        <v>7.1000000000000014</v>
      </c>
      <c r="V161" s="140">
        <f t="shared" si="52"/>
        <v>0.75087719298245614</v>
      </c>
      <c r="W161" s="103"/>
      <c r="X161" s="50"/>
      <c r="Y161" s="50">
        <v>5.3</v>
      </c>
      <c r="Z161" s="134">
        <v>0</v>
      </c>
      <c r="AA161" s="50" t="s">
        <v>74</v>
      </c>
      <c r="AB161" s="134" t="s">
        <v>48</v>
      </c>
      <c r="AC161" s="50">
        <v>5.3</v>
      </c>
      <c r="AD161" s="52">
        <v>0</v>
      </c>
      <c r="AE161" s="48">
        <v>4.3</v>
      </c>
      <c r="AF161" s="133" t="s">
        <v>105</v>
      </c>
      <c r="AG161" s="52" t="s">
        <v>48</v>
      </c>
      <c r="AH161" s="120" t="s">
        <v>109</v>
      </c>
      <c r="AI161" s="8"/>
    </row>
    <row r="162" spans="1:35" x14ac:dyDescent="0.2">
      <c r="A162" s="11">
        <v>45895</v>
      </c>
      <c r="B162" s="61">
        <v>0.35416666666666669</v>
      </c>
      <c r="C162" s="50">
        <v>12.4</v>
      </c>
      <c r="D162" s="50">
        <v>12</v>
      </c>
      <c r="E162" s="50">
        <v>18.399999999999999</v>
      </c>
      <c r="F162" s="50">
        <v>18</v>
      </c>
      <c r="G162" s="118">
        <f t="shared" si="41"/>
        <v>0.40000000000000036</v>
      </c>
      <c r="H162" s="118">
        <f t="shared" si="42"/>
        <v>0.39999999999999858</v>
      </c>
      <c r="I162" s="50">
        <v>32.4</v>
      </c>
      <c r="J162" s="50">
        <v>21</v>
      </c>
      <c r="K162" s="131">
        <f t="shared" ref="K162:K172" si="53">J162/I162</f>
        <v>0.64814814814814814</v>
      </c>
      <c r="L162" s="139">
        <f t="shared" si="36"/>
        <v>2.8421052631578947</v>
      </c>
      <c r="M162" s="131">
        <f t="shared" ref="M162:M171" si="54">(I163-I162)/I163</f>
        <v>-9.0909090909090884E-2</v>
      </c>
      <c r="N162" s="118">
        <f t="shared" si="49"/>
        <v>11.399999999999999</v>
      </c>
      <c r="O162" s="118">
        <f t="shared" si="50"/>
        <v>0.60000000000000142</v>
      </c>
      <c r="P162" s="50"/>
      <c r="Q162" s="131">
        <f t="shared" si="44"/>
        <v>5.263157894736855E-2</v>
      </c>
      <c r="R162" s="139">
        <f t="shared" si="45"/>
        <v>1.0555555555555558</v>
      </c>
      <c r="S162" s="131">
        <f t="shared" si="48"/>
        <v>-0.31034482758620685</v>
      </c>
      <c r="T162" s="50">
        <v>21.6</v>
      </c>
      <c r="U162" s="103">
        <f t="shared" si="51"/>
        <v>10.799999999999997</v>
      </c>
      <c r="V162" s="140">
        <f t="shared" si="52"/>
        <v>0.66666666666666674</v>
      </c>
      <c r="W162" s="103"/>
      <c r="X162" s="50"/>
      <c r="Y162" s="50">
        <v>0</v>
      </c>
      <c r="Z162" s="134">
        <v>0</v>
      </c>
      <c r="AA162" s="50" t="s">
        <v>74</v>
      </c>
      <c r="AB162" s="134" t="s">
        <v>48</v>
      </c>
      <c r="AC162" s="50">
        <v>0</v>
      </c>
      <c r="AD162" s="52">
        <v>0</v>
      </c>
      <c r="AE162" s="48">
        <v>4.4000000000000004</v>
      </c>
      <c r="AF162" s="133" t="s">
        <v>105</v>
      </c>
      <c r="AG162" s="52" t="s">
        <v>48</v>
      </c>
      <c r="AH162" s="120" t="s">
        <v>109</v>
      </c>
      <c r="AI162" s="8"/>
    </row>
    <row r="163" spans="1:35" x14ac:dyDescent="0.2">
      <c r="A163" s="11">
        <v>45896</v>
      </c>
      <c r="B163" s="15">
        <v>0.50069444444444444</v>
      </c>
      <c r="C163" s="50">
        <v>12.3</v>
      </c>
      <c r="D163" s="50">
        <v>12</v>
      </c>
      <c r="E163" s="50">
        <v>28.4</v>
      </c>
      <c r="F163" s="50">
        <v>18</v>
      </c>
      <c r="G163" s="118">
        <f t="shared" si="41"/>
        <v>0.30000000000000071</v>
      </c>
      <c r="H163" s="118">
        <f t="shared" si="42"/>
        <v>10.399999999999999</v>
      </c>
      <c r="I163" s="50">
        <v>29.7</v>
      </c>
      <c r="J163" s="50">
        <v>21</v>
      </c>
      <c r="K163" s="131">
        <f t="shared" si="53"/>
        <v>0.70707070707070707</v>
      </c>
      <c r="L163" s="139">
        <f t="shared" si="36"/>
        <v>3.4137931034482758</v>
      </c>
      <c r="M163" s="131">
        <f t="shared" si="54"/>
        <v>-0.12500000000000003</v>
      </c>
      <c r="N163" s="118">
        <f t="shared" si="49"/>
        <v>8.6999999999999993</v>
      </c>
      <c r="O163" s="118">
        <f t="shared" si="50"/>
        <v>0.39999999999999858</v>
      </c>
      <c r="P163" s="50"/>
      <c r="Q163" s="131">
        <f t="shared" si="44"/>
        <v>4.5977011494252713E-2</v>
      </c>
      <c r="R163" s="139">
        <f t="shared" si="45"/>
        <v>1.0481927710843371</v>
      </c>
      <c r="S163" s="131">
        <f t="shared" si="48"/>
        <v>0.67045454545454541</v>
      </c>
      <c r="T163" s="50">
        <v>21.4</v>
      </c>
      <c r="U163" s="103">
        <f t="shared" si="51"/>
        <v>8.3000000000000007</v>
      </c>
      <c r="V163" s="140">
        <f t="shared" si="52"/>
        <v>0.72053872053872048</v>
      </c>
      <c r="W163" s="103"/>
      <c r="X163" s="50"/>
      <c r="Y163" s="50">
        <v>0</v>
      </c>
      <c r="Z163" s="134">
        <f t="shared" si="34"/>
        <v>0</v>
      </c>
      <c r="AA163" s="50" t="s">
        <v>74</v>
      </c>
      <c r="AB163" s="134" t="s">
        <v>48</v>
      </c>
      <c r="AC163" s="50">
        <v>0</v>
      </c>
      <c r="AD163" s="52">
        <f t="shared" si="47"/>
        <v>0</v>
      </c>
      <c r="AE163" s="48">
        <v>5.2</v>
      </c>
      <c r="AF163" s="50" t="s">
        <v>106</v>
      </c>
      <c r="AG163" s="52" t="s">
        <v>48</v>
      </c>
      <c r="AH163" s="120" t="s">
        <v>109</v>
      </c>
      <c r="AI163" s="8"/>
    </row>
    <row r="164" spans="1:35" hidden="1" x14ac:dyDescent="0.2">
      <c r="A164" s="11">
        <v>45897</v>
      </c>
      <c r="B164" s="15">
        <v>12</v>
      </c>
      <c r="C164" s="50"/>
      <c r="D164" s="50"/>
      <c r="E164" s="50"/>
      <c r="F164" s="50"/>
      <c r="G164" s="118">
        <f t="shared" si="41"/>
        <v>0</v>
      </c>
      <c r="H164" s="118">
        <f t="shared" si="42"/>
        <v>0</v>
      </c>
      <c r="I164" s="50">
        <v>26.4</v>
      </c>
      <c r="J164" s="50"/>
      <c r="K164" s="131">
        <f t="shared" si="53"/>
        <v>0</v>
      </c>
      <c r="L164" s="139">
        <f t="shared" si="36"/>
        <v>1</v>
      </c>
      <c r="M164" s="131">
        <f t="shared" si="54"/>
        <v>-0.17333333333333328</v>
      </c>
      <c r="N164" s="118">
        <f t="shared" si="49"/>
        <v>26.4</v>
      </c>
      <c r="O164" s="118">
        <f t="shared" si="50"/>
        <v>18.7</v>
      </c>
      <c r="P164" s="50"/>
      <c r="Q164" s="131">
        <f t="shared" si="44"/>
        <v>0.70833333333333337</v>
      </c>
      <c r="R164" s="139">
        <f t="shared" si="45"/>
        <v>3.4285714285714288</v>
      </c>
      <c r="S164" s="131">
        <f t="shared" si="48"/>
        <v>-2.52</v>
      </c>
      <c r="T164" s="50">
        <v>18.7</v>
      </c>
      <c r="U164" s="103">
        <f t="shared" si="51"/>
        <v>7.6999999999999993</v>
      </c>
      <c r="V164" s="140">
        <f t="shared" si="52"/>
        <v>0.70833333333333337</v>
      </c>
      <c r="W164" s="103"/>
      <c r="X164" s="50"/>
      <c r="Y164" s="50"/>
      <c r="Z164" s="134">
        <f t="shared" si="34"/>
        <v>0</v>
      </c>
      <c r="AA164" s="50" t="s">
        <v>74</v>
      </c>
      <c r="AB164" s="134" t="s">
        <v>48</v>
      </c>
      <c r="AC164" s="50"/>
      <c r="AD164" s="52">
        <f t="shared" si="47"/>
        <v>0</v>
      </c>
      <c r="AE164" s="48"/>
      <c r="AF164" s="50"/>
      <c r="AG164" s="52" t="s">
        <v>48</v>
      </c>
      <c r="AH164" s="109"/>
      <c r="AI164" s="8"/>
    </row>
    <row r="165" spans="1:35" x14ac:dyDescent="0.2">
      <c r="A165" s="11">
        <v>45898</v>
      </c>
      <c r="B165" s="15">
        <v>0.52638888888888891</v>
      </c>
      <c r="C165" s="50">
        <v>9.6</v>
      </c>
      <c r="D165" s="50">
        <v>9</v>
      </c>
      <c r="E165" s="50">
        <v>15.7</v>
      </c>
      <c r="F165" s="50">
        <v>16</v>
      </c>
      <c r="G165" s="118">
        <f t="shared" si="41"/>
        <v>0.59999999999999964</v>
      </c>
      <c r="H165" s="118">
        <f t="shared" si="42"/>
        <v>-0.30000000000000071</v>
      </c>
      <c r="I165" s="50">
        <v>22.5</v>
      </c>
      <c r="J165" s="50">
        <v>15</v>
      </c>
      <c r="K165" s="131">
        <f t="shared" si="53"/>
        <v>0.66666666666666663</v>
      </c>
      <c r="L165" s="139">
        <f t="shared" si="36"/>
        <v>2.9999999999999996</v>
      </c>
      <c r="M165" s="131"/>
      <c r="N165" s="118">
        <f t="shared" si="49"/>
        <v>7.5</v>
      </c>
      <c r="O165" s="118">
        <f t="shared" si="50"/>
        <v>0.69999999999999929</v>
      </c>
      <c r="P165" s="50"/>
      <c r="Q165" s="131">
        <f t="shared" si="44"/>
        <v>9.333333333333324E-2</v>
      </c>
      <c r="R165" s="139">
        <f t="shared" si="45"/>
        <v>1.1029411764705881</v>
      </c>
      <c r="S165" s="131" t="e">
        <f t="shared" si="48"/>
        <v>#DIV/0!</v>
      </c>
      <c r="T165" s="50">
        <v>15.7</v>
      </c>
      <c r="U165" s="103">
        <f t="shared" si="51"/>
        <v>6.8000000000000007</v>
      </c>
      <c r="V165" s="140">
        <f t="shared" si="52"/>
        <v>0.69777777777777772</v>
      </c>
      <c r="W165" s="103"/>
      <c r="X165" s="50"/>
      <c r="Y165" s="50">
        <v>0</v>
      </c>
      <c r="Z165" s="134">
        <f t="shared" si="34"/>
        <v>0</v>
      </c>
      <c r="AA165" s="133" t="s">
        <v>74</v>
      </c>
      <c r="AB165" s="134" t="s">
        <v>48</v>
      </c>
      <c r="AC165" s="50">
        <v>0</v>
      </c>
      <c r="AD165" s="52">
        <f t="shared" si="47"/>
        <v>0</v>
      </c>
      <c r="AE165" s="48">
        <v>5.2</v>
      </c>
      <c r="AF165" s="133" t="s">
        <v>105</v>
      </c>
      <c r="AG165" s="52" t="s">
        <v>48</v>
      </c>
      <c r="AH165" s="120" t="s">
        <v>109</v>
      </c>
      <c r="AI165" s="8"/>
    </row>
    <row r="166" spans="1:35" hidden="1" x14ac:dyDescent="0.2">
      <c r="A166" s="11">
        <v>45899</v>
      </c>
      <c r="B166" s="15"/>
      <c r="C166" s="50"/>
      <c r="D166" s="50"/>
      <c r="E166" s="50"/>
      <c r="F166" s="50"/>
      <c r="G166" s="118"/>
      <c r="H166" s="118"/>
      <c r="I166" s="50"/>
      <c r="J166" s="50"/>
      <c r="K166" s="131"/>
      <c r="L166" s="139"/>
      <c r="M166" s="131"/>
      <c r="N166" s="118"/>
      <c r="O166" s="118"/>
      <c r="P166" s="50"/>
      <c r="Q166" s="131" t="e">
        <f t="shared" si="44"/>
        <v>#DIV/0!</v>
      </c>
      <c r="R166" s="139" t="e">
        <f t="shared" si="45"/>
        <v>#DIV/0!</v>
      </c>
      <c r="S166" s="131" t="e">
        <f t="shared" si="48"/>
        <v>#DIV/0!</v>
      </c>
      <c r="T166" s="50"/>
      <c r="U166" s="103">
        <f t="shared" si="51"/>
        <v>0</v>
      </c>
      <c r="V166" s="140" t="e">
        <f t="shared" si="52"/>
        <v>#DIV/0!</v>
      </c>
      <c r="W166" s="103"/>
      <c r="X166" s="50"/>
      <c r="Y166" s="50"/>
      <c r="Z166" s="134">
        <f t="shared" ref="Z166:Z206" si="55">+Y166-Y165</f>
        <v>0</v>
      </c>
      <c r="AA166" s="50" t="s">
        <v>74</v>
      </c>
      <c r="AB166" s="134" t="s">
        <v>48</v>
      </c>
      <c r="AC166" s="50"/>
      <c r="AD166" s="52">
        <f t="shared" si="47"/>
        <v>0</v>
      </c>
      <c r="AE166" s="48"/>
      <c r="AF166" s="50"/>
      <c r="AG166" s="52" t="s">
        <v>48</v>
      </c>
      <c r="AH166" s="109"/>
      <c r="AI166" s="8"/>
    </row>
    <row r="167" spans="1:35" hidden="1" x14ac:dyDescent="0.2">
      <c r="A167" s="11">
        <v>45900</v>
      </c>
      <c r="B167" s="15"/>
      <c r="C167" s="50"/>
      <c r="D167" s="50"/>
      <c r="E167" s="50"/>
      <c r="F167" s="50"/>
      <c r="G167" s="118"/>
      <c r="H167" s="118"/>
      <c r="I167" s="50"/>
      <c r="J167" s="50"/>
      <c r="K167" s="131"/>
      <c r="L167" s="139"/>
      <c r="M167" s="131"/>
      <c r="N167" s="118"/>
      <c r="O167" s="118"/>
      <c r="P167" s="50"/>
      <c r="Q167" s="131" t="e">
        <f t="shared" si="44"/>
        <v>#DIV/0!</v>
      </c>
      <c r="R167" s="139" t="e">
        <f t="shared" si="45"/>
        <v>#DIV/0!</v>
      </c>
      <c r="S167" s="131">
        <f t="shared" si="48"/>
        <v>1</v>
      </c>
      <c r="T167" s="50"/>
      <c r="U167" s="103">
        <f t="shared" si="51"/>
        <v>0</v>
      </c>
      <c r="V167" s="140" t="e">
        <f t="shared" si="52"/>
        <v>#DIV/0!</v>
      </c>
      <c r="W167" s="103"/>
      <c r="X167" s="50"/>
      <c r="Y167" s="50"/>
      <c r="Z167" s="134">
        <f t="shared" si="55"/>
        <v>0</v>
      </c>
      <c r="AA167" s="50" t="s">
        <v>74</v>
      </c>
      <c r="AB167" s="134" t="s">
        <v>48</v>
      </c>
      <c r="AC167" s="50"/>
      <c r="AD167" s="52">
        <f t="shared" si="47"/>
        <v>0</v>
      </c>
      <c r="AE167" s="48"/>
      <c r="AF167" s="50"/>
      <c r="AG167" s="52" t="s">
        <v>48</v>
      </c>
      <c r="AH167" s="109"/>
      <c r="AI167" s="8"/>
    </row>
    <row r="168" spans="1:35" x14ac:dyDescent="0.2">
      <c r="A168" s="11">
        <v>45901</v>
      </c>
      <c r="B168" s="15">
        <v>3</v>
      </c>
      <c r="C168" s="133">
        <v>10.1</v>
      </c>
      <c r="D168" s="50">
        <v>9</v>
      </c>
      <c r="E168" s="50">
        <v>15.7</v>
      </c>
      <c r="F168" s="50">
        <v>15.5</v>
      </c>
      <c r="G168" s="118">
        <f t="shared" si="41"/>
        <v>1.0999999999999996</v>
      </c>
      <c r="H168" s="118">
        <f t="shared" si="42"/>
        <v>0.19999999999999929</v>
      </c>
      <c r="I168" s="133">
        <v>47.2</v>
      </c>
      <c r="J168" s="50">
        <v>22</v>
      </c>
      <c r="K168" s="131">
        <f t="shared" si="53"/>
        <v>0.46610169491525422</v>
      </c>
      <c r="L168" s="139">
        <f t="shared" si="36"/>
        <v>1.873015873015873</v>
      </c>
      <c r="M168" s="131">
        <f t="shared" si="54"/>
        <v>-0.31111111111111117</v>
      </c>
      <c r="N168" s="118">
        <f t="shared" si="49"/>
        <v>25.200000000000003</v>
      </c>
      <c r="O168" s="118">
        <f t="shared" si="50"/>
        <v>12.899999999999999</v>
      </c>
      <c r="P168" s="50"/>
      <c r="Q168" s="131">
        <f t="shared" si="44"/>
        <v>0.51190476190476175</v>
      </c>
      <c r="R168" s="139">
        <f t="shared" si="45"/>
        <v>2.0487804878048772</v>
      </c>
      <c r="S168" s="131">
        <f t="shared" si="48"/>
        <v>-0.68000000000000016</v>
      </c>
      <c r="T168" s="133">
        <v>34.9</v>
      </c>
      <c r="U168" s="103">
        <f t="shared" si="51"/>
        <v>12.300000000000004</v>
      </c>
      <c r="V168" s="140">
        <f t="shared" si="52"/>
        <v>0.73940677966101687</v>
      </c>
      <c r="W168" s="103"/>
      <c r="X168" s="133"/>
      <c r="Y168" s="50">
        <v>0</v>
      </c>
      <c r="Z168" s="134">
        <f t="shared" si="55"/>
        <v>0</v>
      </c>
      <c r="AA168" s="50" t="s">
        <v>74</v>
      </c>
      <c r="AB168" s="134" t="s">
        <v>48</v>
      </c>
      <c r="AC168" s="50">
        <v>0</v>
      </c>
      <c r="AD168" s="52">
        <f t="shared" si="47"/>
        <v>0</v>
      </c>
      <c r="AE168" s="48">
        <v>5.2</v>
      </c>
      <c r="AF168" s="133" t="s">
        <v>105</v>
      </c>
      <c r="AG168" s="52" t="s">
        <v>48</v>
      </c>
      <c r="AH168" s="120" t="s">
        <v>109</v>
      </c>
      <c r="AI168" s="8"/>
    </row>
    <row r="169" spans="1:35" x14ac:dyDescent="0.2">
      <c r="A169" s="11">
        <v>45902</v>
      </c>
      <c r="B169" s="15">
        <v>0.375</v>
      </c>
      <c r="C169" s="133">
        <v>8.9</v>
      </c>
      <c r="D169" s="50">
        <v>8.5</v>
      </c>
      <c r="E169" s="133">
        <v>14.8</v>
      </c>
      <c r="F169" s="50">
        <v>14.6</v>
      </c>
      <c r="G169" s="118">
        <f t="shared" si="41"/>
        <v>0.40000000000000036</v>
      </c>
      <c r="H169" s="118">
        <f t="shared" si="42"/>
        <v>0.20000000000000107</v>
      </c>
      <c r="I169" s="133">
        <v>36</v>
      </c>
      <c r="J169" s="50">
        <v>21</v>
      </c>
      <c r="K169" s="131">
        <f t="shared" si="53"/>
        <v>0.58333333333333337</v>
      </c>
      <c r="L169" s="139">
        <f t="shared" si="36"/>
        <v>2.4000000000000004</v>
      </c>
      <c r="M169" s="131">
        <f t="shared" si="54"/>
        <v>-0.2857142857142857</v>
      </c>
      <c r="N169" s="118">
        <f t="shared" si="49"/>
        <v>15</v>
      </c>
      <c r="O169" s="118">
        <f t="shared" si="50"/>
        <v>3.1999999999999993</v>
      </c>
      <c r="P169" s="50"/>
      <c r="Q169" s="131">
        <f t="shared" si="44"/>
        <v>0.21333333333333329</v>
      </c>
      <c r="R169" s="139">
        <f t="shared" si="45"/>
        <v>1.271186440677966</v>
      </c>
      <c r="S169" s="131">
        <f t="shared" si="48"/>
        <v>-7.1428571428571425E-2</v>
      </c>
      <c r="T169" s="133">
        <v>24.2</v>
      </c>
      <c r="U169" s="103">
        <f t="shared" si="51"/>
        <v>11.8</v>
      </c>
      <c r="V169" s="140">
        <f t="shared" si="52"/>
        <v>0.67222222222222217</v>
      </c>
      <c r="W169" s="103"/>
      <c r="X169" s="133"/>
      <c r="Y169" s="50">
        <v>0</v>
      </c>
      <c r="Z169" s="134">
        <f t="shared" si="55"/>
        <v>0</v>
      </c>
      <c r="AA169" s="50" t="s">
        <v>74</v>
      </c>
      <c r="AB169" s="134" t="s">
        <v>48</v>
      </c>
      <c r="AC169" s="50">
        <v>0</v>
      </c>
      <c r="AD169" s="52">
        <f t="shared" si="47"/>
        <v>0</v>
      </c>
      <c r="AE169" s="48">
        <v>5.4</v>
      </c>
      <c r="AF169" s="133" t="s">
        <v>105</v>
      </c>
      <c r="AG169" s="52" t="s">
        <v>48</v>
      </c>
      <c r="AH169" s="120" t="s">
        <v>109</v>
      </c>
      <c r="AI169" s="8"/>
    </row>
    <row r="170" spans="1:35" x14ac:dyDescent="0.2">
      <c r="A170" s="11">
        <v>45903</v>
      </c>
      <c r="B170" s="15">
        <v>0.58333333333333337</v>
      </c>
      <c r="C170" s="50">
        <v>7.1</v>
      </c>
      <c r="D170" s="50">
        <v>7</v>
      </c>
      <c r="E170" s="50">
        <v>13</v>
      </c>
      <c r="F170" s="50">
        <v>13</v>
      </c>
      <c r="G170" s="118">
        <f t="shared" si="41"/>
        <v>9.9999999999999645E-2</v>
      </c>
      <c r="H170" s="118">
        <f t="shared" si="42"/>
        <v>0</v>
      </c>
      <c r="I170" s="50">
        <v>28</v>
      </c>
      <c r="J170" s="50">
        <v>14</v>
      </c>
      <c r="K170" s="131">
        <f t="shared" si="53"/>
        <v>0.5</v>
      </c>
      <c r="L170" s="139">
        <f t="shared" si="36"/>
        <v>2</v>
      </c>
      <c r="M170" s="131">
        <f t="shared" si="54"/>
        <v>0.13846153846153847</v>
      </c>
      <c r="N170" s="118">
        <f t="shared" si="49"/>
        <v>14</v>
      </c>
      <c r="O170" s="118">
        <f t="shared" si="50"/>
        <v>3.6000000000000014</v>
      </c>
      <c r="P170" s="50"/>
      <c r="Q170" s="131">
        <f t="shared" si="44"/>
        <v>0.25714285714285723</v>
      </c>
      <c r="R170" s="139">
        <f t="shared" si="45"/>
        <v>1.3461538461538463</v>
      </c>
      <c r="S170" s="131">
        <f t="shared" si="48"/>
        <v>0.24324324324324326</v>
      </c>
      <c r="T170" s="50">
        <v>17.600000000000001</v>
      </c>
      <c r="U170" s="103">
        <f t="shared" si="51"/>
        <v>10.399999999999999</v>
      </c>
      <c r="V170" s="140">
        <f t="shared" si="52"/>
        <v>0.62857142857142867</v>
      </c>
      <c r="W170" s="103"/>
      <c r="X170" s="50"/>
      <c r="Y170" s="50">
        <v>0</v>
      </c>
      <c r="Z170" s="134">
        <f t="shared" si="55"/>
        <v>0</v>
      </c>
      <c r="AA170" s="50" t="s">
        <v>74</v>
      </c>
      <c r="AB170" s="134" t="s">
        <v>48</v>
      </c>
      <c r="AC170" s="50">
        <v>0</v>
      </c>
      <c r="AD170" s="52">
        <f t="shared" si="47"/>
        <v>0</v>
      </c>
      <c r="AE170" s="48">
        <v>5.4</v>
      </c>
      <c r="AF170" s="133" t="s">
        <v>105</v>
      </c>
      <c r="AG170" s="52" t="s">
        <v>48</v>
      </c>
      <c r="AH170" s="120" t="s">
        <v>109</v>
      </c>
      <c r="AI170" s="8"/>
    </row>
    <row r="171" spans="1:35" x14ac:dyDescent="0.2">
      <c r="A171" s="11">
        <v>45904</v>
      </c>
      <c r="B171" s="15">
        <v>0.35416666666666669</v>
      </c>
      <c r="C171" s="50">
        <v>9.9</v>
      </c>
      <c r="D171" s="50">
        <v>9</v>
      </c>
      <c r="E171" s="50">
        <v>14.7</v>
      </c>
      <c r="F171" s="50">
        <v>14</v>
      </c>
      <c r="G171" s="118">
        <f t="shared" si="41"/>
        <v>0.90000000000000036</v>
      </c>
      <c r="H171" s="118">
        <f t="shared" si="42"/>
        <v>0.69999999999999929</v>
      </c>
      <c r="I171" s="50">
        <v>32.5</v>
      </c>
      <c r="J171" s="50">
        <v>14</v>
      </c>
      <c r="K171" s="131">
        <f t="shared" si="53"/>
        <v>0.43076923076923079</v>
      </c>
      <c r="L171" s="139">
        <f t="shared" si="36"/>
        <v>1.7567567567567568</v>
      </c>
      <c r="M171" s="131">
        <f t="shared" si="54"/>
        <v>0.21875000000000003</v>
      </c>
      <c r="N171" s="118">
        <f t="shared" si="49"/>
        <v>18.5</v>
      </c>
      <c r="O171" s="118">
        <f t="shared" si="50"/>
        <v>-14</v>
      </c>
      <c r="P171" s="50"/>
      <c r="Q171" s="131">
        <f t="shared" si="44"/>
        <v>-0.7567567567567568</v>
      </c>
      <c r="R171" s="139">
        <f t="shared" si="45"/>
        <v>0.56923076923076921</v>
      </c>
      <c r="S171" s="131">
        <f t="shared" si="48"/>
        <v>5.6122448979591906E-2</v>
      </c>
      <c r="T171" s="50"/>
      <c r="U171" s="103">
        <f t="shared" si="51"/>
        <v>32.5</v>
      </c>
      <c r="V171" s="140">
        <f t="shared" si="52"/>
        <v>0</v>
      </c>
      <c r="W171" s="103"/>
      <c r="X171" s="50"/>
      <c r="Y171" s="50">
        <v>0</v>
      </c>
      <c r="Z171" s="134">
        <f t="shared" si="55"/>
        <v>0</v>
      </c>
      <c r="AA171" s="50" t="s">
        <v>74</v>
      </c>
      <c r="AB171" s="134" t="s">
        <v>48</v>
      </c>
      <c r="AC171" s="50">
        <v>0</v>
      </c>
      <c r="AD171" s="52">
        <f t="shared" si="47"/>
        <v>0</v>
      </c>
      <c r="AE171" s="48">
        <v>5</v>
      </c>
      <c r="AF171" s="133" t="s">
        <v>105</v>
      </c>
      <c r="AG171" s="52" t="s">
        <v>48</v>
      </c>
      <c r="AH171" s="120" t="s">
        <v>109</v>
      </c>
      <c r="AI171" s="8"/>
    </row>
    <row r="172" spans="1:35" x14ac:dyDescent="0.2">
      <c r="A172" s="11">
        <v>45905</v>
      </c>
      <c r="B172" s="15">
        <v>0.39583333333333331</v>
      </c>
      <c r="C172" s="50">
        <v>11.7</v>
      </c>
      <c r="D172" s="50">
        <v>11</v>
      </c>
      <c r="E172" s="50">
        <v>17.399999999999999</v>
      </c>
      <c r="F172" s="50">
        <v>17</v>
      </c>
      <c r="G172" s="118">
        <f t="shared" si="41"/>
        <v>0.69999999999999929</v>
      </c>
      <c r="H172" s="118">
        <f t="shared" si="42"/>
        <v>0.39999999999999858</v>
      </c>
      <c r="I172" s="50">
        <v>41.6</v>
      </c>
      <c r="J172" s="50">
        <v>22</v>
      </c>
      <c r="K172" s="131">
        <f t="shared" si="53"/>
        <v>0.52884615384615385</v>
      </c>
      <c r="L172" s="139">
        <f t="shared" si="36"/>
        <v>2.1224489795918369</v>
      </c>
      <c r="M172" s="131">
        <f>(I176-I172)/I176</f>
        <v>0.11677282377919321</v>
      </c>
      <c r="N172" s="118">
        <f t="shared" si="49"/>
        <v>19.600000000000001</v>
      </c>
      <c r="O172" s="118">
        <f t="shared" si="50"/>
        <v>6.1000000000000014</v>
      </c>
      <c r="P172" s="50"/>
      <c r="Q172" s="131">
        <f t="shared" si="44"/>
        <v>0.31122448979591844</v>
      </c>
      <c r="R172" s="139">
        <f t="shared" si="45"/>
        <v>1.4518518518518519</v>
      </c>
      <c r="S172" s="131" t="e">
        <f t="shared" si="48"/>
        <v>#DIV/0!</v>
      </c>
      <c r="T172" s="50">
        <v>28.1</v>
      </c>
      <c r="U172" s="103">
        <f t="shared" si="51"/>
        <v>13.5</v>
      </c>
      <c r="V172" s="140">
        <f t="shared" si="52"/>
        <v>0.67548076923076927</v>
      </c>
      <c r="W172" s="103"/>
      <c r="X172" s="50"/>
      <c r="Y172" s="50">
        <v>0</v>
      </c>
      <c r="Z172" s="134">
        <f t="shared" si="55"/>
        <v>0</v>
      </c>
      <c r="AA172" s="50" t="s">
        <v>74</v>
      </c>
      <c r="AB172" s="134" t="s">
        <v>48</v>
      </c>
      <c r="AC172" s="50">
        <v>0</v>
      </c>
      <c r="AD172" s="52">
        <f t="shared" si="47"/>
        <v>0</v>
      </c>
      <c r="AE172" s="48">
        <v>5</v>
      </c>
      <c r="AF172" s="133" t="s">
        <v>105</v>
      </c>
      <c r="AG172" s="52" t="s">
        <v>48</v>
      </c>
      <c r="AH172" s="120" t="s">
        <v>109</v>
      </c>
      <c r="AI172" s="8"/>
    </row>
    <row r="173" spans="1:35" hidden="1" x14ac:dyDescent="0.2">
      <c r="A173" s="11">
        <v>45906</v>
      </c>
      <c r="B173" s="15"/>
      <c r="C173" s="50"/>
      <c r="D173" s="50"/>
      <c r="E173" s="50"/>
      <c r="F173" s="50"/>
      <c r="G173" s="118"/>
      <c r="H173" s="118"/>
      <c r="I173" s="50"/>
      <c r="J173" s="50"/>
      <c r="K173" s="131"/>
      <c r="L173" s="139"/>
      <c r="M173" s="131"/>
      <c r="N173" s="118"/>
      <c r="O173" s="118"/>
      <c r="P173" s="50"/>
      <c r="Q173" s="135"/>
      <c r="R173" s="139"/>
      <c r="S173" s="131"/>
      <c r="T173" s="50"/>
      <c r="U173" s="103"/>
      <c r="V173" s="140"/>
      <c r="W173" s="103"/>
      <c r="X173" s="50"/>
      <c r="Y173" s="50"/>
      <c r="Z173" s="134">
        <f t="shared" si="55"/>
        <v>0</v>
      </c>
      <c r="AA173" s="50" t="s">
        <v>74</v>
      </c>
      <c r="AB173" s="134" t="s">
        <v>48</v>
      </c>
      <c r="AC173" s="50">
        <v>0</v>
      </c>
      <c r="AD173" s="52">
        <f t="shared" si="47"/>
        <v>0</v>
      </c>
      <c r="AE173" s="48"/>
      <c r="AF173" s="50"/>
      <c r="AG173" s="52" t="s">
        <v>48</v>
      </c>
      <c r="AH173" s="109"/>
      <c r="AI173" s="8"/>
    </row>
    <row r="174" spans="1:35" hidden="1" x14ac:dyDescent="0.2">
      <c r="A174" s="11">
        <v>45907</v>
      </c>
      <c r="B174" s="15"/>
      <c r="C174" s="50"/>
      <c r="D174" s="50"/>
      <c r="E174" s="50"/>
      <c r="F174" s="50"/>
      <c r="G174" s="118"/>
      <c r="H174" s="118"/>
      <c r="I174" s="50"/>
      <c r="J174" s="50"/>
      <c r="K174" s="131"/>
      <c r="L174" s="139"/>
      <c r="M174" s="131"/>
      <c r="N174" s="118"/>
      <c r="O174" s="118"/>
      <c r="P174" s="50"/>
      <c r="Q174" s="131"/>
      <c r="R174" s="139"/>
      <c r="S174" s="131"/>
      <c r="T174" s="50"/>
      <c r="U174" s="103"/>
      <c r="V174" s="140"/>
      <c r="W174" s="103"/>
      <c r="X174" s="109"/>
      <c r="Y174" s="48"/>
      <c r="Z174" s="52">
        <f t="shared" si="55"/>
        <v>0</v>
      </c>
      <c r="AA174" s="48" t="s">
        <v>74</v>
      </c>
      <c r="AB174" s="52" t="s">
        <v>48</v>
      </c>
      <c r="AC174" s="48"/>
      <c r="AD174" s="52">
        <f t="shared" si="47"/>
        <v>0</v>
      </c>
      <c r="AE174" s="48"/>
      <c r="AF174" s="50"/>
      <c r="AG174" s="52" t="s">
        <v>48</v>
      </c>
      <c r="AH174" s="109"/>
      <c r="AI174" s="8"/>
    </row>
    <row r="175" spans="1:35" hidden="1" x14ac:dyDescent="0.2">
      <c r="A175" s="11">
        <v>45908</v>
      </c>
      <c r="B175" s="15"/>
      <c r="C175" s="50"/>
      <c r="D175" s="50"/>
      <c r="E175" s="50"/>
      <c r="F175" s="50"/>
      <c r="G175" s="118"/>
      <c r="H175" s="118"/>
      <c r="I175" s="50"/>
      <c r="J175" s="50"/>
      <c r="K175" s="131"/>
      <c r="L175" s="139"/>
      <c r="M175" s="131"/>
      <c r="N175" s="118"/>
      <c r="O175" s="118"/>
      <c r="P175" s="50"/>
      <c r="Q175" s="131"/>
      <c r="R175" s="139"/>
      <c r="S175" s="131"/>
      <c r="T175" s="50"/>
      <c r="U175" s="103"/>
      <c r="V175" s="140"/>
      <c r="W175" s="103"/>
      <c r="X175" s="109"/>
      <c r="Y175" s="48"/>
      <c r="Z175" s="52">
        <f t="shared" si="55"/>
        <v>0</v>
      </c>
      <c r="AA175" s="48" t="s">
        <v>74</v>
      </c>
      <c r="AB175" s="52" t="s">
        <v>48</v>
      </c>
      <c r="AC175" s="48"/>
      <c r="AD175" s="52">
        <f t="shared" si="47"/>
        <v>0</v>
      </c>
      <c r="AE175" s="48"/>
      <c r="AF175" s="50"/>
      <c r="AG175" s="52" t="s">
        <v>48</v>
      </c>
      <c r="AH175" s="109"/>
      <c r="AI175" s="8"/>
    </row>
    <row r="176" spans="1:35" x14ac:dyDescent="0.2">
      <c r="A176" s="11">
        <v>45909</v>
      </c>
      <c r="B176" s="15">
        <v>3.5</v>
      </c>
      <c r="C176" s="50">
        <v>10.8</v>
      </c>
      <c r="D176" s="50">
        <v>10</v>
      </c>
      <c r="E176" s="50">
        <v>16.399999999999999</v>
      </c>
      <c r="F176" s="50">
        <v>16</v>
      </c>
      <c r="G176" s="118">
        <f t="shared" si="41"/>
        <v>0.80000000000000071</v>
      </c>
      <c r="H176" s="118">
        <f t="shared" si="42"/>
        <v>0.39999999999999858</v>
      </c>
      <c r="I176" s="50">
        <v>47.1</v>
      </c>
      <c r="J176" s="50">
        <v>23</v>
      </c>
      <c r="K176" s="131">
        <f>J176/I176</f>
        <v>0.48832271762208068</v>
      </c>
      <c r="L176" s="139">
        <f t="shared" ref="L176:L235" si="56">1/(1-K176)</f>
        <v>1.954356846473029</v>
      </c>
      <c r="M176" s="131">
        <f>(I178-I176)/I178</f>
        <v>-0.22976501305483041</v>
      </c>
      <c r="N176" s="118">
        <f t="shared" ref="N176:N207" si="57">I176-J176</f>
        <v>24.1</v>
      </c>
      <c r="O176" s="118">
        <f t="shared" si="50"/>
        <v>13.100000000000001</v>
      </c>
      <c r="P176" s="50"/>
      <c r="Q176" s="131">
        <f t="shared" si="44"/>
        <v>0.54356846473029052</v>
      </c>
      <c r="R176" s="139">
        <f t="shared" si="45"/>
        <v>2.1909090909090914</v>
      </c>
      <c r="S176" s="131" t="e">
        <f t="shared" ref="S176:S207" si="58">(N177-N176)/N177</f>
        <v>#DIV/0!</v>
      </c>
      <c r="T176" s="50">
        <v>36.1</v>
      </c>
      <c r="U176" s="103">
        <f t="shared" si="51"/>
        <v>11</v>
      </c>
      <c r="V176" s="140">
        <f t="shared" si="52"/>
        <v>0.76645435244161364</v>
      </c>
      <c r="W176" s="103"/>
      <c r="X176" s="109"/>
      <c r="Y176" s="48">
        <v>0</v>
      </c>
      <c r="Z176" s="52">
        <f t="shared" si="55"/>
        <v>0</v>
      </c>
      <c r="AA176" s="48" t="s">
        <v>74</v>
      </c>
      <c r="AB176" s="52" t="s">
        <v>48</v>
      </c>
      <c r="AC176" s="48">
        <v>0</v>
      </c>
      <c r="AD176" s="52">
        <f t="shared" si="47"/>
        <v>0</v>
      </c>
      <c r="AE176" s="48">
        <v>4.0999999999999996</v>
      </c>
      <c r="AF176" s="133" t="s">
        <v>105</v>
      </c>
      <c r="AG176" s="52" t="s">
        <v>48</v>
      </c>
      <c r="AH176" s="120" t="s">
        <v>109</v>
      </c>
      <c r="AI176" s="150"/>
    </row>
    <row r="177" spans="1:35" hidden="1" x14ac:dyDescent="0.2">
      <c r="A177" s="11">
        <v>45910</v>
      </c>
      <c r="B177" s="15"/>
      <c r="C177" s="50"/>
      <c r="D177" s="50"/>
      <c r="E177" s="50"/>
      <c r="F177" s="50"/>
      <c r="G177" s="118"/>
      <c r="H177" s="118"/>
      <c r="I177" s="50"/>
      <c r="J177" s="50"/>
      <c r="K177" s="131"/>
      <c r="L177" s="139"/>
      <c r="M177" s="131"/>
      <c r="N177" s="118"/>
      <c r="O177" s="118"/>
      <c r="P177" s="50"/>
      <c r="Q177" s="131"/>
      <c r="R177" s="139"/>
      <c r="S177" s="131"/>
      <c r="T177" s="50"/>
      <c r="U177" s="103"/>
      <c r="V177" s="140"/>
      <c r="W177" s="103"/>
      <c r="X177" s="109"/>
      <c r="Y177" s="48">
        <v>0</v>
      </c>
      <c r="Z177" s="52">
        <f t="shared" si="55"/>
        <v>0</v>
      </c>
      <c r="AA177" s="48" t="s">
        <v>74</v>
      </c>
      <c r="AB177" s="52" t="s">
        <v>48</v>
      </c>
      <c r="AC177" s="48">
        <v>0</v>
      </c>
      <c r="AD177" s="52">
        <f t="shared" si="47"/>
        <v>0</v>
      </c>
      <c r="AE177" s="48"/>
      <c r="AF177" s="50"/>
      <c r="AG177" s="52" t="s">
        <v>48</v>
      </c>
      <c r="AH177" s="109"/>
      <c r="AI177" s="149" t="s">
        <v>177</v>
      </c>
    </row>
    <row r="178" spans="1:35" x14ac:dyDescent="0.2">
      <c r="A178" s="11">
        <v>45911</v>
      </c>
      <c r="B178" s="15">
        <v>2.5833333333333335</v>
      </c>
      <c r="C178" s="50">
        <v>10.5</v>
      </c>
      <c r="D178" s="50">
        <v>10</v>
      </c>
      <c r="E178" s="50">
        <v>16.3</v>
      </c>
      <c r="F178" s="50">
        <v>16</v>
      </c>
      <c r="G178" s="118">
        <f t="shared" si="41"/>
        <v>0.5</v>
      </c>
      <c r="H178" s="118">
        <f t="shared" si="42"/>
        <v>0.30000000000000071</v>
      </c>
      <c r="I178" s="50">
        <v>38.299999999999997</v>
      </c>
      <c r="J178" s="50">
        <v>22</v>
      </c>
      <c r="K178" s="131">
        <f>J178/I178</f>
        <v>0.57441253263707581</v>
      </c>
      <c r="L178" s="139">
        <f t="shared" si="56"/>
        <v>2.349693251533743</v>
      </c>
      <c r="M178" s="131">
        <f>(I184-I178)/I184</f>
        <v>0.19027484143763215</v>
      </c>
      <c r="N178" s="118">
        <f t="shared" si="57"/>
        <v>16.299999999999997</v>
      </c>
      <c r="O178" s="118">
        <f t="shared" si="50"/>
        <v>7.8999999999999986</v>
      </c>
      <c r="P178" s="50"/>
      <c r="Q178" s="131">
        <f t="shared" si="44"/>
        <v>0.48466257668711654</v>
      </c>
      <c r="R178" s="139">
        <f t="shared" si="45"/>
        <v>1.9404761904761905</v>
      </c>
      <c r="S178" s="131" t="e">
        <f t="shared" si="58"/>
        <v>#DIV/0!</v>
      </c>
      <c r="T178" s="50">
        <v>29.9</v>
      </c>
      <c r="U178" s="103">
        <f t="shared" si="51"/>
        <v>8.3999999999999986</v>
      </c>
      <c r="V178" s="140">
        <f t="shared" si="52"/>
        <v>0.78067885117493474</v>
      </c>
      <c r="W178" s="103"/>
      <c r="X178" s="109"/>
      <c r="Y178" s="48">
        <v>0</v>
      </c>
      <c r="Z178" s="52">
        <f t="shared" si="55"/>
        <v>0</v>
      </c>
      <c r="AA178" s="48" t="s">
        <v>74</v>
      </c>
      <c r="AB178" s="52" t="s">
        <v>48</v>
      </c>
      <c r="AC178" s="48">
        <v>0</v>
      </c>
      <c r="AD178" s="52">
        <f t="shared" si="47"/>
        <v>0</v>
      </c>
      <c r="AE178" s="48">
        <v>4.3</v>
      </c>
      <c r="AF178" s="133" t="s">
        <v>105</v>
      </c>
      <c r="AG178" s="52" t="s">
        <v>48</v>
      </c>
      <c r="AH178" s="120" t="s">
        <v>109</v>
      </c>
      <c r="AI178" s="149"/>
    </row>
    <row r="179" spans="1:35" hidden="1" x14ac:dyDescent="0.2">
      <c r="A179" s="11">
        <v>45912</v>
      </c>
      <c r="B179" s="15"/>
      <c r="C179" s="50"/>
      <c r="D179" s="50"/>
      <c r="E179" s="50"/>
      <c r="F179" s="50"/>
      <c r="G179" s="118"/>
      <c r="H179" s="118"/>
      <c r="I179" s="50"/>
      <c r="J179" s="50"/>
      <c r="K179" s="131"/>
      <c r="L179" s="139"/>
      <c r="M179" s="131"/>
      <c r="N179" s="118"/>
      <c r="O179" s="118"/>
      <c r="P179" s="50"/>
      <c r="Q179" s="131"/>
      <c r="R179" s="139"/>
      <c r="S179" s="131"/>
      <c r="T179" s="50"/>
      <c r="U179" s="103"/>
      <c r="V179" s="140"/>
      <c r="W179" s="103"/>
      <c r="X179" s="109"/>
      <c r="Y179" s="48">
        <v>0</v>
      </c>
      <c r="Z179" s="52">
        <f t="shared" si="55"/>
        <v>0</v>
      </c>
      <c r="AA179" s="48" t="s">
        <v>74</v>
      </c>
      <c r="AB179" s="52" t="s">
        <v>48</v>
      </c>
      <c r="AC179" s="48">
        <v>0</v>
      </c>
      <c r="AD179" s="52">
        <f t="shared" si="47"/>
        <v>0</v>
      </c>
      <c r="AE179" s="48"/>
      <c r="AF179" s="50"/>
      <c r="AG179" s="7"/>
      <c r="AH179" s="109"/>
      <c r="AI179" s="149" t="s">
        <v>137</v>
      </c>
    </row>
    <row r="180" spans="1:35" hidden="1" x14ac:dyDescent="0.2">
      <c r="A180" s="11">
        <v>45913</v>
      </c>
      <c r="B180" s="15"/>
      <c r="C180" s="50"/>
      <c r="D180" s="50"/>
      <c r="E180" s="50"/>
      <c r="F180" s="50"/>
      <c r="G180" s="118"/>
      <c r="H180" s="118"/>
      <c r="I180" s="50"/>
      <c r="J180" s="50"/>
      <c r="K180" s="131"/>
      <c r="L180" s="139"/>
      <c r="M180" s="131"/>
      <c r="N180" s="118"/>
      <c r="O180" s="118"/>
      <c r="P180" s="50"/>
      <c r="Q180" s="131"/>
      <c r="R180" s="139"/>
      <c r="S180" s="131"/>
      <c r="T180" s="50"/>
      <c r="U180" s="103"/>
      <c r="V180" s="140"/>
      <c r="W180" s="103"/>
      <c r="X180" s="109"/>
      <c r="Y180" s="48">
        <v>0</v>
      </c>
      <c r="Z180" s="52">
        <f t="shared" si="55"/>
        <v>0</v>
      </c>
      <c r="AA180" s="48" t="s">
        <v>74</v>
      </c>
      <c r="AB180" s="52" t="s">
        <v>48</v>
      </c>
      <c r="AC180" s="48">
        <v>0</v>
      </c>
      <c r="AD180" s="52">
        <f t="shared" si="47"/>
        <v>0</v>
      </c>
      <c r="AE180" s="48"/>
      <c r="AF180" s="50"/>
      <c r="AG180" s="7"/>
      <c r="AH180" s="109"/>
      <c r="AI180" s="149"/>
    </row>
    <row r="181" spans="1:35" hidden="1" x14ac:dyDescent="0.2">
      <c r="A181" s="11">
        <v>45914</v>
      </c>
      <c r="B181" s="15"/>
      <c r="C181" s="50"/>
      <c r="D181" s="50"/>
      <c r="E181" s="50"/>
      <c r="F181" s="50"/>
      <c r="G181" s="118"/>
      <c r="H181" s="118"/>
      <c r="I181" s="50"/>
      <c r="J181" s="50"/>
      <c r="K181" s="131"/>
      <c r="L181" s="139"/>
      <c r="M181" s="131"/>
      <c r="N181" s="118"/>
      <c r="O181" s="118"/>
      <c r="P181" s="50"/>
      <c r="Q181" s="131"/>
      <c r="R181" s="139"/>
      <c r="S181" s="131"/>
      <c r="T181" s="50"/>
      <c r="U181" s="103"/>
      <c r="V181" s="140"/>
      <c r="W181" s="103"/>
      <c r="X181" s="109"/>
      <c r="Y181" s="48">
        <v>0</v>
      </c>
      <c r="Z181" s="52">
        <f t="shared" si="55"/>
        <v>0</v>
      </c>
      <c r="AA181" s="48" t="s">
        <v>74</v>
      </c>
      <c r="AB181" s="52" t="s">
        <v>48</v>
      </c>
      <c r="AC181" s="48">
        <v>0</v>
      </c>
      <c r="AD181" s="52">
        <f t="shared" si="47"/>
        <v>0</v>
      </c>
      <c r="AE181" s="48"/>
      <c r="AF181" s="50"/>
      <c r="AG181" s="7"/>
      <c r="AH181" s="109"/>
      <c r="AI181" s="149"/>
    </row>
    <row r="182" spans="1:35" hidden="1" x14ac:dyDescent="0.2">
      <c r="A182" s="11">
        <v>45915</v>
      </c>
      <c r="B182" s="15"/>
      <c r="C182" s="50"/>
      <c r="D182" s="50"/>
      <c r="E182" s="50"/>
      <c r="F182" s="50"/>
      <c r="G182" s="118"/>
      <c r="H182" s="118"/>
      <c r="I182" s="50"/>
      <c r="J182" s="50"/>
      <c r="K182" s="131"/>
      <c r="L182" s="139"/>
      <c r="M182" s="131"/>
      <c r="N182" s="118"/>
      <c r="O182" s="118"/>
      <c r="P182" s="50"/>
      <c r="Q182" s="131"/>
      <c r="R182" s="139"/>
      <c r="S182" s="131"/>
      <c r="T182" s="50"/>
      <c r="U182" s="103"/>
      <c r="V182" s="140"/>
      <c r="W182" s="103"/>
      <c r="X182" s="109"/>
      <c r="Y182" s="48">
        <v>0</v>
      </c>
      <c r="Z182" s="52">
        <f t="shared" si="55"/>
        <v>0</v>
      </c>
      <c r="AA182" s="48" t="s">
        <v>74</v>
      </c>
      <c r="AB182" s="52" t="s">
        <v>48</v>
      </c>
      <c r="AC182" s="48">
        <v>0</v>
      </c>
      <c r="AD182" s="52">
        <f t="shared" si="47"/>
        <v>0</v>
      </c>
      <c r="AE182" s="48"/>
      <c r="AF182" s="50"/>
      <c r="AG182" s="7"/>
      <c r="AH182" s="109"/>
      <c r="AI182" s="149" t="s">
        <v>138</v>
      </c>
    </row>
    <row r="183" spans="1:35" hidden="1" x14ac:dyDescent="0.2">
      <c r="A183" s="11">
        <v>45916</v>
      </c>
      <c r="B183" s="15">
        <v>0.33333333333333331</v>
      </c>
      <c r="C183" s="50"/>
      <c r="D183" s="50"/>
      <c r="E183" s="50"/>
      <c r="F183" s="50"/>
      <c r="G183" s="118"/>
      <c r="H183" s="118"/>
      <c r="I183" s="50"/>
      <c r="J183" s="50"/>
      <c r="K183" s="131"/>
      <c r="L183" s="139"/>
      <c r="M183" s="131"/>
      <c r="N183" s="118"/>
      <c r="O183" s="118"/>
      <c r="P183" s="50"/>
      <c r="Q183" s="131"/>
      <c r="R183" s="139"/>
      <c r="S183" s="131"/>
      <c r="T183" s="50"/>
      <c r="U183" s="103"/>
      <c r="V183" s="140"/>
      <c r="W183" s="103"/>
      <c r="X183" s="109"/>
      <c r="Y183" s="48">
        <v>0</v>
      </c>
      <c r="Z183" s="52">
        <f t="shared" si="55"/>
        <v>0</v>
      </c>
      <c r="AA183" s="48" t="s">
        <v>74</v>
      </c>
      <c r="AB183" s="52" t="s">
        <v>48</v>
      </c>
      <c r="AC183" s="48">
        <v>0</v>
      </c>
      <c r="AD183" s="52">
        <f t="shared" si="47"/>
        <v>0</v>
      </c>
      <c r="AE183" s="48"/>
      <c r="AF183" s="50"/>
      <c r="AG183" s="7"/>
      <c r="AH183" s="109"/>
      <c r="AI183" s="149" t="s">
        <v>138</v>
      </c>
    </row>
    <row r="184" spans="1:35" x14ac:dyDescent="0.2">
      <c r="A184" s="11">
        <v>45917</v>
      </c>
      <c r="B184" s="15">
        <v>0.53333333333333333</v>
      </c>
      <c r="C184" s="50">
        <v>11</v>
      </c>
      <c r="D184" s="50">
        <v>10</v>
      </c>
      <c r="E184" s="50">
        <v>16.399999999999999</v>
      </c>
      <c r="F184" s="50">
        <v>16</v>
      </c>
      <c r="G184" s="118">
        <f t="shared" si="41"/>
        <v>1</v>
      </c>
      <c r="H184" s="118">
        <f t="shared" si="42"/>
        <v>0.39999999999999858</v>
      </c>
      <c r="I184" s="50">
        <v>47.3</v>
      </c>
      <c r="J184" s="50">
        <v>23</v>
      </c>
      <c r="K184" s="131">
        <f>J184/I184</f>
        <v>0.48625792811839325</v>
      </c>
      <c r="L184" s="139">
        <f t="shared" si="56"/>
        <v>1.9465020576131686</v>
      </c>
      <c r="M184" s="131">
        <f>(I186-I184)/I186</f>
        <v>-0.11294117647058817</v>
      </c>
      <c r="N184" s="118">
        <f t="shared" si="57"/>
        <v>24.299999999999997</v>
      </c>
      <c r="O184" s="118">
        <f t="shared" ref="O184:O207" si="59">T184-J184</f>
        <v>13.700000000000003</v>
      </c>
      <c r="P184" s="50"/>
      <c r="Q184" s="131">
        <f t="shared" si="44"/>
        <v>0.56378600823045288</v>
      </c>
      <c r="R184" s="139">
        <f t="shared" si="45"/>
        <v>2.2924528301886804</v>
      </c>
      <c r="S184" s="131" t="e">
        <f t="shared" si="58"/>
        <v>#DIV/0!</v>
      </c>
      <c r="T184" s="50">
        <v>36.700000000000003</v>
      </c>
      <c r="U184" s="103">
        <f t="shared" si="51"/>
        <v>10.599999999999994</v>
      </c>
      <c r="V184" s="140">
        <f t="shared" si="52"/>
        <v>0.77589852008456672</v>
      </c>
      <c r="W184" s="103"/>
      <c r="X184" s="109"/>
      <c r="Y184" s="48">
        <v>0</v>
      </c>
      <c r="Z184" s="52">
        <f t="shared" si="55"/>
        <v>0</v>
      </c>
      <c r="AA184" s="48" t="s">
        <v>74</v>
      </c>
      <c r="AB184" s="52" t="s">
        <v>48</v>
      </c>
      <c r="AC184" s="48">
        <v>0</v>
      </c>
      <c r="AD184" s="52">
        <f t="shared" si="47"/>
        <v>0</v>
      </c>
      <c r="AE184" s="48">
        <v>5</v>
      </c>
      <c r="AF184" s="133" t="s">
        <v>106</v>
      </c>
      <c r="AG184" s="52" t="s">
        <v>48</v>
      </c>
      <c r="AH184" s="109" t="s">
        <v>109</v>
      </c>
      <c r="AI184" s="149"/>
    </row>
    <row r="185" spans="1:35" hidden="1" x14ac:dyDescent="0.2">
      <c r="A185" s="11">
        <v>45918</v>
      </c>
      <c r="B185" s="15"/>
      <c r="C185" s="50"/>
      <c r="D185" s="50"/>
      <c r="E185" s="50"/>
      <c r="F185" s="50"/>
      <c r="G185" s="118">
        <f t="shared" si="41"/>
        <v>0</v>
      </c>
      <c r="H185" s="118">
        <f t="shared" si="42"/>
        <v>0</v>
      </c>
      <c r="I185" s="50"/>
      <c r="J185" s="50"/>
      <c r="K185" s="131"/>
      <c r="L185" s="139"/>
      <c r="M185" s="131"/>
      <c r="N185" s="118"/>
      <c r="O185" s="118"/>
      <c r="P185" s="50"/>
      <c r="Q185" s="131"/>
      <c r="R185" s="139"/>
      <c r="S185" s="131"/>
      <c r="T185" s="50"/>
      <c r="U185" s="103"/>
      <c r="V185" s="140"/>
      <c r="W185" s="103"/>
      <c r="X185" s="109"/>
      <c r="Y185" s="48"/>
      <c r="Z185" s="73"/>
      <c r="AA185" s="53" t="s">
        <v>74</v>
      </c>
      <c r="AB185" s="52" t="s">
        <v>48</v>
      </c>
      <c r="AC185" s="48"/>
      <c r="AD185" s="74"/>
      <c r="AE185" s="48"/>
      <c r="AF185" s="50"/>
      <c r="AG185" s="52" t="s">
        <v>48</v>
      </c>
      <c r="AH185" s="109"/>
      <c r="AI185" s="149" t="s">
        <v>140</v>
      </c>
    </row>
    <row r="186" spans="1:35" x14ac:dyDescent="0.2">
      <c r="A186" s="11">
        <v>45919</v>
      </c>
      <c r="B186" s="15">
        <v>0.50763888888888886</v>
      </c>
      <c r="C186" s="50">
        <v>10.199999999999999</v>
      </c>
      <c r="D186" s="50">
        <v>10</v>
      </c>
      <c r="E186" s="50">
        <v>15.8</v>
      </c>
      <c r="F186" s="50">
        <v>15.5</v>
      </c>
      <c r="G186" s="118">
        <f t="shared" si="41"/>
        <v>0.19999999999999929</v>
      </c>
      <c r="H186" s="118">
        <f t="shared" si="42"/>
        <v>0.30000000000000071</v>
      </c>
      <c r="I186" s="50">
        <v>42.5</v>
      </c>
      <c r="J186" s="50">
        <v>22</v>
      </c>
      <c r="K186" s="131">
        <f>J186/I186</f>
        <v>0.51764705882352946</v>
      </c>
      <c r="L186" s="139">
        <f t="shared" si="56"/>
        <v>2.0731707317073171</v>
      </c>
      <c r="M186" s="131">
        <f>(I189-I186)/I189</f>
        <v>-0.25739644970414211</v>
      </c>
      <c r="N186" s="118">
        <f t="shared" si="57"/>
        <v>20.5</v>
      </c>
      <c r="O186" s="118">
        <f t="shared" si="59"/>
        <v>8.5</v>
      </c>
      <c r="P186" s="50"/>
      <c r="Q186" s="131">
        <f t="shared" si="44"/>
        <v>0.41463414634146339</v>
      </c>
      <c r="R186" s="139">
        <f t="shared" si="45"/>
        <v>1.708333333333333</v>
      </c>
      <c r="S186" s="131" t="e">
        <f t="shared" si="58"/>
        <v>#DIV/0!</v>
      </c>
      <c r="T186" s="50">
        <v>30.5</v>
      </c>
      <c r="U186" s="103">
        <f t="shared" si="51"/>
        <v>12</v>
      </c>
      <c r="V186" s="140">
        <f t="shared" si="52"/>
        <v>0.71764705882352942</v>
      </c>
      <c r="W186" s="103"/>
      <c r="X186" s="109"/>
      <c r="Y186" s="48">
        <v>0</v>
      </c>
      <c r="Z186" s="52">
        <f t="shared" si="55"/>
        <v>0</v>
      </c>
      <c r="AA186" s="48" t="s">
        <v>74</v>
      </c>
      <c r="AB186" s="52" t="s">
        <v>48</v>
      </c>
      <c r="AC186" s="48">
        <v>0</v>
      </c>
      <c r="AD186" s="52">
        <f t="shared" ref="AD186:AD206" si="60">+AC186-AC185</f>
        <v>0</v>
      </c>
      <c r="AE186" s="48">
        <v>5.0999999999999996</v>
      </c>
      <c r="AF186" s="133" t="s">
        <v>106</v>
      </c>
      <c r="AG186" s="52" t="s">
        <v>48</v>
      </c>
      <c r="AH186" s="109" t="s">
        <v>109</v>
      </c>
      <c r="AI186" s="149"/>
    </row>
    <row r="187" spans="1:35" hidden="1" x14ac:dyDescent="0.2">
      <c r="A187" s="11">
        <v>45920</v>
      </c>
      <c r="B187" s="15"/>
      <c r="C187" s="50"/>
      <c r="D187" s="50"/>
      <c r="E187" s="50"/>
      <c r="F187" s="50"/>
      <c r="G187" s="118"/>
      <c r="H187" s="118"/>
      <c r="I187" s="50"/>
      <c r="J187" s="50"/>
      <c r="K187" s="131"/>
      <c r="L187" s="139"/>
      <c r="M187" s="131"/>
      <c r="N187" s="118"/>
      <c r="O187" s="118"/>
      <c r="P187" s="50"/>
      <c r="Q187" s="131"/>
      <c r="R187" s="139"/>
      <c r="S187" s="131"/>
      <c r="T187" s="50"/>
      <c r="U187" s="103"/>
      <c r="V187" s="140"/>
      <c r="W187" s="103"/>
      <c r="X187" s="109"/>
      <c r="Y187" s="48">
        <v>0</v>
      </c>
      <c r="Z187" s="52">
        <f t="shared" si="55"/>
        <v>0</v>
      </c>
      <c r="AA187" s="48" t="s">
        <v>74</v>
      </c>
      <c r="AB187" s="52" t="s">
        <v>48</v>
      </c>
      <c r="AC187" s="48">
        <v>0</v>
      </c>
      <c r="AD187" s="52">
        <f t="shared" si="60"/>
        <v>0</v>
      </c>
      <c r="AE187" s="48"/>
      <c r="AF187" s="50"/>
      <c r="AG187" s="52" t="s">
        <v>48</v>
      </c>
      <c r="AH187" s="109"/>
      <c r="AI187" s="149"/>
    </row>
    <row r="188" spans="1:35" hidden="1" x14ac:dyDescent="0.2">
      <c r="A188" s="11">
        <v>45921</v>
      </c>
      <c r="B188" s="15"/>
      <c r="C188" s="50"/>
      <c r="D188" s="50"/>
      <c r="E188" s="50"/>
      <c r="F188" s="50"/>
      <c r="G188" s="118"/>
      <c r="H188" s="118"/>
      <c r="I188" s="50"/>
      <c r="J188" s="50"/>
      <c r="K188" s="131"/>
      <c r="L188" s="139"/>
      <c r="M188" s="131"/>
      <c r="N188" s="118"/>
      <c r="O188" s="118"/>
      <c r="P188" s="50"/>
      <c r="Q188" s="131"/>
      <c r="R188" s="139"/>
      <c r="S188" s="131"/>
      <c r="T188" s="50"/>
      <c r="U188" s="103"/>
      <c r="V188" s="140"/>
      <c r="W188" s="103"/>
      <c r="X188" s="109"/>
      <c r="Y188" s="48">
        <v>0</v>
      </c>
      <c r="Z188" s="52">
        <f t="shared" si="55"/>
        <v>0</v>
      </c>
      <c r="AA188" s="48" t="s">
        <v>74</v>
      </c>
      <c r="AB188" s="52" t="s">
        <v>48</v>
      </c>
      <c r="AC188" s="48">
        <v>0</v>
      </c>
      <c r="AD188" s="52">
        <f t="shared" si="60"/>
        <v>0</v>
      </c>
      <c r="AE188" s="48"/>
      <c r="AF188" s="50"/>
      <c r="AG188" s="52" t="s">
        <v>48</v>
      </c>
      <c r="AH188" s="109"/>
      <c r="AI188" s="149"/>
    </row>
    <row r="189" spans="1:35" x14ac:dyDescent="0.2">
      <c r="A189" s="11">
        <v>45922</v>
      </c>
      <c r="B189" s="15">
        <v>0.65902777777777777</v>
      </c>
      <c r="C189" s="50">
        <v>6.5</v>
      </c>
      <c r="D189" s="50">
        <v>6</v>
      </c>
      <c r="E189" s="50">
        <v>12.3</v>
      </c>
      <c r="F189" s="50">
        <v>12</v>
      </c>
      <c r="G189" s="118">
        <f t="shared" si="41"/>
        <v>0.5</v>
      </c>
      <c r="H189" s="118">
        <f t="shared" si="42"/>
        <v>0.30000000000000071</v>
      </c>
      <c r="I189" s="50">
        <v>33.799999999999997</v>
      </c>
      <c r="J189" s="50">
        <v>15</v>
      </c>
      <c r="K189" s="131">
        <f>J189/I189</f>
        <v>0.44378698224852076</v>
      </c>
      <c r="L189" s="139">
        <f t="shared" si="56"/>
        <v>1.7978723404255321</v>
      </c>
      <c r="M189" s="131">
        <f>(I190-I189)/I190</f>
        <v>-0.10457516339869266</v>
      </c>
      <c r="N189" s="118">
        <f t="shared" si="57"/>
        <v>18.799999999999997</v>
      </c>
      <c r="O189" s="118">
        <f t="shared" si="59"/>
        <v>7</v>
      </c>
      <c r="P189" s="50"/>
      <c r="Q189" s="131">
        <f t="shared" si="44"/>
        <v>0.37234042553191493</v>
      </c>
      <c r="R189" s="139">
        <f t="shared" si="45"/>
        <v>1.593220338983051</v>
      </c>
      <c r="S189" s="131">
        <f t="shared" si="58"/>
        <v>-0.20512820512820484</v>
      </c>
      <c r="T189" s="50">
        <v>22</v>
      </c>
      <c r="U189" s="103">
        <f t="shared" ref="U189:U203" si="61">+N189-O189</f>
        <v>11.799999999999997</v>
      </c>
      <c r="V189" s="140">
        <f t="shared" ref="V189:V207" si="62">+T189/I189</f>
        <v>0.65088757396449715</v>
      </c>
      <c r="W189" s="103"/>
      <c r="X189" s="109"/>
      <c r="Y189" s="48">
        <v>0</v>
      </c>
      <c r="Z189" s="52">
        <f t="shared" si="55"/>
        <v>0</v>
      </c>
      <c r="AA189" s="48" t="s">
        <v>74</v>
      </c>
      <c r="AB189" s="52" t="s">
        <v>48</v>
      </c>
      <c r="AC189" s="48">
        <v>0</v>
      </c>
      <c r="AD189" s="52">
        <f t="shared" si="60"/>
        <v>0</v>
      </c>
      <c r="AE189" s="48">
        <v>5</v>
      </c>
      <c r="AF189" s="133" t="s">
        <v>106</v>
      </c>
      <c r="AG189" s="52" t="s">
        <v>48</v>
      </c>
      <c r="AH189" s="109" t="s">
        <v>109</v>
      </c>
      <c r="AI189" s="149" t="s">
        <v>139</v>
      </c>
    </row>
    <row r="190" spans="1:35" x14ac:dyDescent="0.2">
      <c r="A190" s="11">
        <v>45923</v>
      </c>
      <c r="B190" s="61">
        <v>10.5</v>
      </c>
      <c r="C190" s="50">
        <v>6.2</v>
      </c>
      <c r="D190" s="50">
        <v>6</v>
      </c>
      <c r="E190" s="50">
        <v>12.1</v>
      </c>
      <c r="F190" s="50">
        <v>12</v>
      </c>
      <c r="G190" s="118">
        <f t="shared" si="41"/>
        <v>0.20000000000000018</v>
      </c>
      <c r="H190" s="118">
        <f t="shared" si="42"/>
        <v>9.9999999999999645E-2</v>
      </c>
      <c r="I190" s="50">
        <v>30.6</v>
      </c>
      <c r="J190" s="50">
        <v>15</v>
      </c>
      <c r="K190" s="131">
        <f>J190/I190</f>
        <v>0.49019607843137253</v>
      </c>
      <c r="L190" s="139">
        <f t="shared" si="56"/>
        <v>1.9615384615384617</v>
      </c>
      <c r="M190" s="131">
        <f>(I193-I190)/I193</f>
        <v>-0.186046511627907</v>
      </c>
      <c r="N190" s="118">
        <f t="shared" si="57"/>
        <v>15.600000000000001</v>
      </c>
      <c r="O190" s="118">
        <f t="shared" si="59"/>
        <v>5.6000000000000014</v>
      </c>
      <c r="P190" s="50"/>
      <c r="Q190" s="131">
        <f t="shared" si="44"/>
        <v>0.35897435897435903</v>
      </c>
      <c r="R190" s="139">
        <f t="shared" si="45"/>
        <v>1.56</v>
      </c>
      <c r="S190" s="131" t="e">
        <f t="shared" si="58"/>
        <v>#DIV/0!</v>
      </c>
      <c r="T190" s="50">
        <v>20.6</v>
      </c>
      <c r="U190" s="103">
        <f t="shared" si="61"/>
        <v>10</v>
      </c>
      <c r="V190" s="140">
        <f t="shared" si="62"/>
        <v>0.67320261437908502</v>
      </c>
      <c r="W190" s="103"/>
      <c r="X190" s="109"/>
      <c r="Y190" s="48">
        <v>0</v>
      </c>
      <c r="Z190" s="52">
        <f t="shared" si="55"/>
        <v>0</v>
      </c>
      <c r="AA190" s="48" t="s">
        <v>74</v>
      </c>
      <c r="AB190" s="52" t="s">
        <v>48</v>
      </c>
      <c r="AC190" s="48">
        <v>0</v>
      </c>
      <c r="AD190" s="52">
        <f t="shared" si="60"/>
        <v>0</v>
      </c>
      <c r="AE190" s="48">
        <v>5</v>
      </c>
      <c r="AF190" s="133" t="s">
        <v>106</v>
      </c>
      <c r="AG190" s="52" t="s">
        <v>48</v>
      </c>
      <c r="AH190" s="109" t="s">
        <v>109</v>
      </c>
      <c r="AI190" s="149" t="s">
        <v>139</v>
      </c>
    </row>
    <row r="191" spans="1:35" hidden="1" x14ac:dyDescent="0.2">
      <c r="A191" s="11">
        <v>45924</v>
      </c>
      <c r="B191" s="15"/>
      <c r="C191" s="50"/>
      <c r="D191" s="50"/>
      <c r="E191" s="50"/>
      <c r="F191" s="50"/>
      <c r="G191" s="118"/>
      <c r="H191" s="118"/>
      <c r="I191" s="50"/>
      <c r="J191" s="50"/>
      <c r="K191" s="131"/>
      <c r="L191" s="139"/>
      <c r="M191" s="131"/>
      <c r="N191" s="118">
        <f t="shared" si="57"/>
        <v>0</v>
      </c>
      <c r="O191" s="118">
        <f t="shared" si="59"/>
        <v>0</v>
      </c>
      <c r="P191" s="50"/>
      <c r="Q191" s="131" t="e">
        <f t="shared" si="44"/>
        <v>#DIV/0!</v>
      </c>
      <c r="R191" s="139" t="e">
        <f t="shared" si="45"/>
        <v>#DIV/0!</v>
      </c>
      <c r="S191" s="131" t="e">
        <f t="shared" si="58"/>
        <v>#DIV/0!</v>
      </c>
      <c r="T191" s="50"/>
      <c r="U191" s="103">
        <f t="shared" si="61"/>
        <v>0</v>
      </c>
      <c r="V191" s="140" t="e">
        <f t="shared" si="62"/>
        <v>#DIV/0!</v>
      </c>
      <c r="W191" s="103"/>
      <c r="X191" s="109"/>
      <c r="Y191" s="48">
        <v>0</v>
      </c>
      <c r="Z191" s="52">
        <f t="shared" si="55"/>
        <v>0</v>
      </c>
      <c r="AA191" s="48" t="s">
        <v>74</v>
      </c>
      <c r="AB191" s="52" t="s">
        <v>48</v>
      </c>
      <c r="AC191" s="48">
        <v>0</v>
      </c>
      <c r="AD191" s="52">
        <f t="shared" si="60"/>
        <v>0</v>
      </c>
      <c r="AE191" s="48"/>
      <c r="AF191" s="50"/>
      <c r="AG191" s="52" t="s">
        <v>48</v>
      </c>
      <c r="AH191" s="8"/>
      <c r="AI191" s="149" t="s">
        <v>150</v>
      </c>
    </row>
    <row r="192" spans="1:35" hidden="1" x14ac:dyDescent="0.2">
      <c r="A192" s="11">
        <v>45925</v>
      </c>
      <c r="B192" s="15"/>
      <c r="C192" s="50"/>
      <c r="D192" s="50"/>
      <c r="E192" s="50"/>
      <c r="F192" s="50"/>
      <c r="G192" s="118"/>
      <c r="H192" s="118"/>
      <c r="I192" s="50"/>
      <c r="J192" s="50"/>
      <c r="K192" s="131"/>
      <c r="L192" s="139"/>
      <c r="M192" s="131"/>
      <c r="N192" s="118">
        <f t="shared" si="57"/>
        <v>0</v>
      </c>
      <c r="O192" s="118">
        <f t="shared" si="59"/>
        <v>0</v>
      </c>
      <c r="P192" s="50"/>
      <c r="Q192" s="131" t="e">
        <f t="shared" si="44"/>
        <v>#DIV/0!</v>
      </c>
      <c r="R192" s="139" t="e">
        <f t="shared" si="45"/>
        <v>#DIV/0!</v>
      </c>
      <c r="S192" s="131">
        <f t="shared" si="58"/>
        <v>1</v>
      </c>
      <c r="T192" s="50"/>
      <c r="U192" s="103">
        <f t="shared" si="61"/>
        <v>0</v>
      </c>
      <c r="V192" s="140" t="e">
        <f t="shared" si="62"/>
        <v>#DIV/0!</v>
      </c>
      <c r="W192" s="103"/>
      <c r="X192" s="109"/>
      <c r="Y192" s="48">
        <v>0</v>
      </c>
      <c r="Z192" s="52">
        <f t="shared" si="55"/>
        <v>0</v>
      </c>
      <c r="AA192" s="48" t="s">
        <v>74</v>
      </c>
      <c r="AB192" s="52" t="s">
        <v>48</v>
      </c>
      <c r="AC192" s="48">
        <v>0</v>
      </c>
      <c r="AD192" s="52">
        <f t="shared" si="60"/>
        <v>0</v>
      </c>
      <c r="AE192" s="48"/>
      <c r="AF192" s="50"/>
      <c r="AG192" s="52" t="s">
        <v>48</v>
      </c>
      <c r="AH192" s="8"/>
      <c r="AI192" s="149" t="s">
        <v>141</v>
      </c>
    </row>
    <row r="193" spans="1:35" x14ac:dyDescent="0.2">
      <c r="A193" s="11">
        <v>45926</v>
      </c>
      <c r="B193" s="15">
        <v>0.61250000000000004</v>
      </c>
      <c r="C193" s="50">
        <v>6.6</v>
      </c>
      <c r="D193" s="50">
        <v>6</v>
      </c>
      <c r="E193" s="50">
        <v>12.5</v>
      </c>
      <c r="F193" s="50">
        <v>12</v>
      </c>
      <c r="G193" s="118">
        <f t="shared" si="41"/>
        <v>0.59999999999999964</v>
      </c>
      <c r="H193" s="118">
        <f t="shared" si="42"/>
        <v>0.5</v>
      </c>
      <c r="I193" s="50">
        <v>25.8</v>
      </c>
      <c r="J193" s="50">
        <v>14</v>
      </c>
      <c r="K193" s="131">
        <f>J193/I193</f>
        <v>0.54263565891472865</v>
      </c>
      <c r="L193" s="139">
        <f t="shared" si="56"/>
        <v>2.1864406779661016</v>
      </c>
      <c r="M193" s="131">
        <f>(I196-I193)/I196</f>
        <v>0.24117647058823527</v>
      </c>
      <c r="N193" s="118">
        <f t="shared" si="57"/>
        <v>11.8</v>
      </c>
      <c r="O193" s="118">
        <f t="shared" si="59"/>
        <v>7.6999999999999993</v>
      </c>
      <c r="P193" s="50"/>
      <c r="Q193" s="131">
        <f t="shared" si="44"/>
        <v>0.65254237288135586</v>
      </c>
      <c r="R193" s="139">
        <f t="shared" si="45"/>
        <v>2.8780487804878043</v>
      </c>
      <c r="S193" s="131" t="e">
        <f t="shared" si="58"/>
        <v>#DIV/0!</v>
      </c>
      <c r="T193" s="50">
        <v>21.7</v>
      </c>
      <c r="U193" s="103">
        <f t="shared" si="61"/>
        <v>4.1000000000000014</v>
      </c>
      <c r="V193" s="140">
        <f t="shared" si="62"/>
        <v>0.8410852713178294</v>
      </c>
      <c r="W193" s="103"/>
      <c r="X193" s="109"/>
      <c r="Y193" s="48">
        <v>0</v>
      </c>
      <c r="Z193" s="52">
        <f t="shared" si="55"/>
        <v>0</v>
      </c>
      <c r="AA193" s="48" t="s">
        <v>74</v>
      </c>
      <c r="AB193" s="52" t="s">
        <v>48</v>
      </c>
      <c r="AC193" s="48">
        <v>0</v>
      </c>
      <c r="AD193" s="52">
        <f t="shared" si="60"/>
        <v>0</v>
      </c>
      <c r="AE193" s="48">
        <v>5</v>
      </c>
      <c r="AF193" s="133" t="s">
        <v>106</v>
      </c>
      <c r="AG193" s="52" t="s">
        <v>48</v>
      </c>
      <c r="AH193" s="120" t="s">
        <v>109</v>
      </c>
      <c r="AI193" s="149" t="s">
        <v>143</v>
      </c>
    </row>
    <row r="194" spans="1:35" hidden="1" x14ac:dyDescent="0.2">
      <c r="A194" s="11">
        <v>45927</v>
      </c>
      <c r="B194" s="15"/>
      <c r="C194" s="50"/>
      <c r="D194" s="50"/>
      <c r="E194" s="50"/>
      <c r="F194" s="50"/>
      <c r="G194" s="118"/>
      <c r="H194" s="118"/>
      <c r="I194" s="50"/>
      <c r="J194" s="50"/>
      <c r="K194" s="131"/>
      <c r="L194" s="139"/>
      <c r="M194" s="131"/>
      <c r="N194" s="118"/>
      <c r="O194" s="118"/>
      <c r="P194" s="50"/>
      <c r="Q194" s="131" t="e">
        <f t="shared" ref="Q194:Q207" si="63">O194/N194</f>
        <v>#DIV/0!</v>
      </c>
      <c r="R194" s="139" t="e">
        <f t="shared" ref="R194:R207" si="64">1/(1-Q194)</f>
        <v>#DIV/0!</v>
      </c>
      <c r="S194" s="131" t="e">
        <f t="shared" si="58"/>
        <v>#DIV/0!</v>
      </c>
      <c r="T194" s="50"/>
      <c r="U194" s="103">
        <f t="shared" si="61"/>
        <v>0</v>
      </c>
      <c r="V194" s="140" t="e">
        <f t="shared" si="62"/>
        <v>#DIV/0!</v>
      </c>
      <c r="W194" s="103"/>
      <c r="X194" s="109"/>
      <c r="Y194" s="48">
        <v>0</v>
      </c>
      <c r="Z194" s="52">
        <f t="shared" si="55"/>
        <v>0</v>
      </c>
      <c r="AA194" s="48" t="s">
        <v>74</v>
      </c>
      <c r="AB194" s="52" t="s">
        <v>48</v>
      </c>
      <c r="AC194" s="48">
        <v>0</v>
      </c>
      <c r="AD194" s="52">
        <f t="shared" si="60"/>
        <v>0</v>
      </c>
      <c r="AE194" s="48"/>
      <c r="AF194" s="50"/>
      <c r="AG194" s="52" t="s">
        <v>48</v>
      </c>
      <c r="AH194" s="109"/>
      <c r="AI194" s="149"/>
    </row>
    <row r="195" spans="1:35" hidden="1" x14ac:dyDescent="0.2">
      <c r="A195" s="11">
        <v>45928</v>
      </c>
      <c r="B195" s="15"/>
      <c r="C195" s="50"/>
      <c r="D195" s="50"/>
      <c r="E195" s="50"/>
      <c r="F195" s="50"/>
      <c r="G195" s="118"/>
      <c r="H195" s="118"/>
      <c r="I195" s="50"/>
      <c r="J195" s="50"/>
      <c r="K195" s="131"/>
      <c r="L195" s="139"/>
      <c r="M195" s="131"/>
      <c r="N195" s="118"/>
      <c r="O195" s="118"/>
      <c r="P195" s="50"/>
      <c r="Q195" s="131" t="e">
        <f t="shared" si="63"/>
        <v>#DIV/0!</v>
      </c>
      <c r="R195" s="139" t="e">
        <f t="shared" si="64"/>
        <v>#DIV/0!</v>
      </c>
      <c r="S195" s="131">
        <f t="shared" si="58"/>
        <v>1</v>
      </c>
      <c r="T195" s="50"/>
      <c r="U195" s="103">
        <f t="shared" si="61"/>
        <v>0</v>
      </c>
      <c r="V195" s="140" t="e">
        <f t="shared" si="62"/>
        <v>#DIV/0!</v>
      </c>
      <c r="W195" s="103"/>
      <c r="X195" s="109"/>
      <c r="Y195" s="48">
        <v>0</v>
      </c>
      <c r="Z195" s="52">
        <f t="shared" si="55"/>
        <v>0</v>
      </c>
      <c r="AA195" s="48" t="s">
        <v>74</v>
      </c>
      <c r="AB195" s="52" t="s">
        <v>48</v>
      </c>
      <c r="AC195" s="48">
        <v>0</v>
      </c>
      <c r="AD195" s="52">
        <f t="shared" si="60"/>
        <v>0</v>
      </c>
      <c r="AE195" s="48"/>
      <c r="AF195" s="50"/>
      <c r="AG195" s="52" t="s">
        <v>48</v>
      </c>
      <c r="AH195" s="109"/>
      <c r="AI195" s="149"/>
    </row>
    <row r="196" spans="1:35" x14ac:dyDescent="0.2">
      <c r="A196" s="11">
        <v>45929</v>
      </c>
      <c r="B196" s="15">
        <v>0.6875</v>
      </c>
      <c r="C196" s="50">
        <v>5.6</v>
      </c>
      <c r="D196" s="50">
        <v>5</v>
      </c>
      <c r="E196" s="50">
        <v>11.2</v>
      </c>
      <c r="F196" s="50">
        <v>11</v>
      </c>
      <c r="G196" s="118">
        <f t="shared" ref="G196:G207" si="65">C196-D196</f>
        <v>0.59999999999999964</v>
      </c>
      <c r="H196" s="118">
        <f t="shared" ref="H196:H207" si="66">E196-F196</f>
        <v>0.19999999999999929</v>
      </c>
      <c r="I196" s="50">
        <v>34</v>
      </c>
      <c r="J196" s="50">
        <v>13</v>
      </c>
      <c r="K196" s="131">
        <f>J196/I196</f>
        <v>0.38235294117647056</v>
      </c>
      <c r="L196" s="139">
        <f t="shared" si="56"/>
        <v>1.6190476190476191</v>
      </c>
      <c r="M196" s="131">
        <f>(I204-I196)/I204</f>
        <v>0</v>
      </c>
      <c r="N196" s="118">
        <f t="shared" si="57"/>
        <v>21</v>
      </c>
      <c r="O196" s="118">
        <f t="shared" si="59"/>
        <v>12.899999999999999</v>
      </c>
      <c r="P196" s="50"/>
      <c r="Q196" s="131">
        <f t="shared" si="63"/>
        <v>0.61428571428571421</v>
      </c>
      <c r="R196" s="139">
        <f t="shared" si="64"/>
        <v>2.5925925925925921</v>
      </c>
      <c r="S196" s="131" t="e">
        <f t="shared" si="58"/>
        <v>#DIV/0!</v>
      </c>
      <c r="T196" s="50">
        <v>25.9</v>
      </c>
      <c r="U196" s="103">
        <f t="shared" si="61"/>
        <v>8.1000000000000014</v>
      </c>
      <c r="V196" s="140">
        <f t="shared" si="62"/>
        <v>0.7617647058823529</v>
      </c>
      <c r="W196" s="103"/>
      <c r="X196" s="109"/>
      <c r="Y196" s="48">
        <v>0</v>
      </c>
      <c r="Z196" s="52">
        <f t="shared" si="55"/>
        <v>0</v>
      </c>
      <c r="AA196" s="48" t="s">
        <v>74</v>
      </c>
      <c r="AB196" s="52" t="s">
        <v>48</v>
      </c>
      <c r="AC196" s="48">
        <v>0</v>
      </c>
      <c r="AD196" s="52">
        <f t="shared" si="60"/>
        <v>0</v>
      </c>
      <c r="AE196" s="48">
        <v>4.4000000000000004</v>
      </c>
      <c r="AF196" s="133" t="s">
        <v>106</v>
      </c>
      <c r="AG196" s="52" t="s">
        <v>48</v>
      </c>
      <c r="AH196" s="120" t="s">
        <v>109</v>
      </c>
      <c r="AI196" s="149"/>
    </row>
    <row r="197" spans="1:35" hidden="1" x14ac:dyDescent="0.2">
      <c r="A197" s="11">
        <v>45930</v>
      </c>
      <c r="B197" s="15"/>
      <c r="C197" s="50"/>
      <c r="D197" s="50"/>
      <c r="E197" s="50"/>
      <c r="F197" s="50"/>
      <c r="G197" s="118"/>
      <c r="H197" s="118"/>
      <c r="I197" s="50"/>
      <c r="J197" s="50"/>
      <c r="K197" s="131"/>
      <c r="L197" s="139"/>
      <c r="M197" s="131"/>
      <c r="N197" s="118"/>
      <c r="O197" s="118"/>
      <c r="P197" s="50"/>
      <c r="Q197" s="131" t="e">
        <f t="shared" si="63"/>
        <v>#DIV/0!</v>
      </c>
      <c r="R197" s="139" t="e">
        <f t="shared" si="64"/>
        <v>#DIV/0!</v>
      </c>
      <c r="S197" s="131" t="e">
        <f t="shared" si="58"/>
        <v>#DIV/0!</v>
      </c>
      <c r="T197" s="50"/>
      <c r="U197" s="103">
        <f t="shared" si="61"/>
        <v>0</v>
      </c>
      <c r="V197" s="140" t="e">
        <f t="shared" si="62"/>
        <v>#DIV/0!</v>
      </c>
      <c r="W197" s="103"/>
      <c r="X197" s="109"/>
      <c r="Y197" s="48"/>
      <c r="Z197" s="52">
        <f t="shared" si="55"/>
        <v>0</v>
      </c>
      <c r="AA197" s="48" t="s">
        <v>74</v>
      </c>
      <c r="AB197" s="52" t="s">
        <v>48</v>
      </c>
      <c r="AC197" s="48">
        <v>0</v>
      </c>
      <c r="AD197" s="52">
        <f t="shared" si="60"/>
        <v>0</v>
      </c>
      <c r="AE197" s="48"/>
      <c r="AF197" s="50"/>
      <c r="AG197" s="7"/>
      <c r="AH197" s="109"/>
      <c r="AI197" s="149" t="s">
        <v>142</v>
      </c>
    </row>
    <row r="198" spans="1:35" hidden="1" x14ac:dyDescent="0.2">
      <c r="A198" s="11">
        <v>45931</v>
      </c>
      <c r="B198" s="15"/>
      <c r="C198" s="50"/>
      <c r="D198" s="50"/>
      <c r="E198" s="50"/>
      <c r="F198" s="50"/>
      <c r="G198" s="118"/>
      <c r="H198" s="118"/>
      <c r="I198" s="50"/>
      <c r="J198" s="50"/>
      <c r="K198" s="131"/>
      <c r="L198" s="139"/>
      <c r="M198" s="131"/>
      <c r="N198" s="118"/>
      <c r="O198" s="118"/>
      <c r="P198" s="50"/>
      <c r="Q198" s="131" t="e">
        <f t="shared" si="63"/>
        <v>#DIV/0!</v>
      </c>
      <c r="R198" s="139" t="e">
        <f t="shared" si="64"/>
        <v>#DIV/0!</v>
      </c>
      <c r="S198" s="131" t="e">
        <f t="shared" si="58"/>
        <v>#DIV/0!</v>
      </c>
      <c r="T198" s="50"/>
      <c r="U198" s="103">
        <f t="shared" si="61"/>
        <v>0</v>
      </c>
      <c r="V198" s="140" t="e">
        <f t="shared" si="62"/>
        <v>#DIV/0!</v>
      </c>
      <c r="W198" s="103"/>
      <c r="X198" s="109"/>
      <c r="Y198" s="48"/>
      <c r="Z198" s="52">
        <f t="shared" si="55"/>
        <v>0</v>
      </c>
      <c r="AA198" s="48" t="s">
        <v>74</v>
      </c>
      <c r="AB198" s="52" t="s">
        <v>48</v>
      </c>
      <c r="AC198" s="48">
        <v>0</v>
      </c>
      <c r="AD198" s="52">
        <f t="shared" si="60"/>
        <v>0</v>
      </c>
      <c r="AE198" s="48"/>
      <c r="AF198" s="50"/>
      <c r="AG198" s="7"/>
      <c r="AH198" s="109"/>
      <c r="AI198" s="149" t="s">
        <v>151</v>
      </c>
    </row>
    <row r="199" spans="1:35" hidden="1" x14ac:dyDescent="0.2">
      <c r="A199" s="11">
        <v>45932</v>
      </c>
      <c r="B199" s="15"/>
      <c r="C199" s="50"/>
      <c r="D199" s="50"/>
      <c r="E199" s="50"/>
      <c r="F199" s="50"/>
      <c r="G199" s="118"/>
      <c r="H199" s="118"/>
      <c r="I199" s="50"/>
      <c r="J199" s="50"/>
      <c r="K199" s="131"/>
      <c r="L199" s="139"/>
      <c r="M199" s="131"/>
      <c r="N199" s="118"/>
      <c r="O199" s="118"/>
      <c r="P199" s="50"/>
      <c r="Q199" s="131" t="e">
        <f t="shared" si="63"/>
        <v>#DIV/0!</v>
      </c>
      <c r="R199" s="139" t="e">
        <f t="shared" si="64"/>
        <v>#DIV/0!</v>
      </c>
      <c r="S199" s="131" t="e">
        <f t="shared" si="58"/>
        <v>#DIV/0!</v>
      </c>
      <c r="T199" s="50"/>
      <c r="U199" s="103">
        <f t="shared" si="61"/>
        <v>0</v>
      </c>
      <c r="V199" s="140" t="e">
        <f t="shared" si="62"/>
        <v>#DIV/0!</v>
      </c>
      <c r="W199" s="103"/>
      <c r="X199" s="109"/>
      <c r="Y199" s="48"/>
      <c r="Z199" s="52">
        <f t="shared" si="55"/>
        <v>0</v>
      </c>
      <c r="AA199" s="48" t="s">
        <v>74</v>
      </c>
      <c r="AB199" s="52" t="s">
        <v>48</v>
      </c>
      <c r="AC199" s="48">
        <v>0</v>
      </c>
      <c r="AD199" s="52">
        <f t="shared" si="60"/>
        <v>0</v>
      </c>
      <c r="AE199" s="48"/>
      <c r="AF199" s="50"/>
      <c r="AG199" s="7"/>
      <c r="AH199" s="109"/>
      <c r="AI199" s="149"/>
    </row>
    <row r="200" spans="1:35" hidden="1" x14ac:dyDescent="0.2">
      <c r="A200" s="11">
        <v>45933</v>
      </c>
      <c r="B200" s="15"/>
      <c r="C200" s="50"/>
      <c r="D200" s="50"/>
      <c r="E200" s="50"/>
      <c r="F200" s="50"/>
      <c r="G200" s="118"/>
      <c r="H200" s="118"/>
      <c r="I200" s="50"/>
      <c r="J200" s="50"/>
      <c r="K200" s="131"/>
      <c r="L200" s="139"/>
      <c r="M200" s="131"/>
      <c r="N200" s="118"/>
      <c r="O200" s="118"/>
      <c r="P200" s="50"/>
      <c r="Q200" s="131" t="e">
        <f t="shared" si="63"/>
        <v>#DIV/0!</v>
      </c>
      <c r="R200" s="139" t="e">
        <f t="shared" si="64"/>
        <v>#DIV/0!</v>
      </c>
      <c r="S200" s="131" t="e">
        <f t="shared" si="58"/>
        <v>#DIV/0!</v>
      </c>
      <c r="T200" s="50"/>
      <c r="U200" s="103">
        <f t="shared" si="61"/>
        <v>0</v>
      </c>
      <c r="V200" s="140" t="e">
        <f t="shared" si="62"/>
        <v>#DIV/0!</v>
      </c>
      <c r="W200" s="103"/>
      <c r="X200" s="109"/>
      <c r="Y200" s="48"/>
      <c r="Z200" s="52">
        <f t="shared" si="55"/>
        <v>0</v>
      </c>
      <c r="AA200" s="48" t="s">
        <v>74</v>
      </c>
      <c r="AB200" s="52" t="s">
        <v>48</v>
      </c>
      <c r="AC200" s="48">
        <v>0</v>
      </c>
      <c r="AD200" s="52">
        <f t="shared" si="60"/>
        <v>0</v>
      </c>
      <c r="AE200" s="48"/>
      <c r="AF200" s="50"/>
      <c r="AG200" s="7"/>
      <c r="AH200" s="109"/>
      <c r="AI200" s="149"/>
    </row>
    <row r="201" spans="1:35" hidden="1" x14ac:dyDescent="0.2">
      <c r="A201" s="11">
        <v>45934</v>
      </c>
      <c r="B201" s="15"/>
      <c r="C201" s="50"/>
      <c r="D201" s="50"/>
      <c r="E201" s="50"/>
      <c r="F201" s="50"/>
      <c r="G201" s="118"/>
      <c r="H201" s="118"/>
      <c r="I201" s="50"/>
      <c r="J201" s="50"/>
      <c r="K201" s="131"/>
      <c r="L201" s="139"/>
      <c r="M201" s="131"/>
      <c r="N201" s="118"/>
      <c r="O201" s="118"/>
      <c r="P201" s="50"/>
      <c r="Q201" s="131" t="e">
        <f t="shared" si="63"/>
        <v>#DIV/0!</v>
      </c>
      <c r="R201" s="139" t="e">
        <f t="shared" si="64"/>
        <v>#DIV/0!</v>
      </c>
      <c r="S201" s="131" t="e">
        <f t="shared" si="58"/>
        <v>#DIV/0!</v>
      </c>
      <c r="T201" s="50"/>
      <c r="U201" s="103">
        <f t="shared" si="61"/>
        <v>0</v>
      </c>
      <c r="V201" s="140" t="e">
        <f t="shared" si="62"/>
        <v>#DIV/0!</v>
      </c>
      <c r="W201" s="103"/>
      <c r="X201" s="109"/>
      <c r="Y201" s="48"/>
      <c r="Z201" s="52">
        <f t="shared" si="55"/>
        <v>0</v>
      </c>
      <c r="AA201" s="48" t="s">
        <v>74</v>
      </c>
      <c r="AB201" s="52" t="s">
        <v>48</v>
      </c>
      <c r="AC201" s="48">
        <v>0</v>
      </c>
      <c r="AD201" s="52">
        <f t="shared" si="60"/>
        <v>0</v>
      </c>
      <c r="AE201" s="48"/>
      <c r="AF201" s="50"/>
      <c r="AG201" s="7"/>
      <c r="AH201" s="109"/>
      <c r="AI201" s="149" t="s">
        <v>147</v>
      </c>
    </row>
    <row r="202" spans="1:35" hidden="1" x14ac:dyDescent="0.2">
      <c r="A202" s="11">
        <v>45935</v>
      </c>
      <c r="B202" s="15"/>
      <c r="C202" s="50"/>
      <c r="D202" s="50"/>
      <c r="E202" s="50"/>
      <c r="F202" s="50"/>
      <c r="G202" s="118"/>
      <c r="H202" s="118"/>
      <c r="I202" s="50"/>
      <c r="J202" s="50"/>
      <c r="K202" s="131"/>
      <c r="L202" s="139"/>
      <c r="M202" s="131"/>
      <c r="N202" s="118"/>
      <c r="O202" s="118"/>
      <c r="P202" s="50"/>
      <c r="Q202" s="131" t="e">
        <f t="shared" si="63"/>
        <v>#DIV/0!</v>
      </c>
      <c r="R202" s="139" t="e">
        <f t="shared" si="64"/>
        <v>#DIV/0!</v>
      </c>
      <c r="S202" s="131" t="e">
        <f t="shared" si="58"/>
        <v>#DIV/0!</v>
      </c>
      <c r="T202" s="50"/>
      <c r="U202" s="103">
        <f t="shared" si="61"/>
        <v>0</v>
      </c>
      <c r="V202" s="140" t="e">
        <f t="shared" si="62"/>
        <v>#DIV/0!</v>
      </c>
      <c r="W202" s="103"/>
      <c r="X202" s="109"/>
      <c r="Y202" s="48"/>
      <c r="Z202" s="52">
        <f t="shared" si="55"/>
        <v>0</v>
      </c>
      <c r="AA202" s="48" t="s">
        <v>74</v>
      </c>
      <c r="AB202" s="52" t="s">
        <v>48</v>
      </c>
      <c r="AC202" s="48">
        <v>0</v>
      </c>
      <c r="AD202" s="52">
        <f t="shared" si="60"/>
        <v>0</v>
      </c>
      <c r="AE202" s="48"/>
      <c r="AF202" s="50"/>
      <c r="AG202" s="7"/>
      <c r="AH202" s="109"/>
      <c r="AI202" s="149"/>
    </row>
    <row r="203" spans="1:35" hidden="1" x14ac:dyDescent="0.2">
      <c r="A203" s="11">
        <v>45936</v>
      </c>
      <c r="B203" s="15"/>
      <c r="C203" s="50"/>
      <c r="D203" s="50"/>
      <c r="E203" s="50"/>
      <c r="F203" s="50"/>
      <c r="G203" s="118"/>
      <c r="H203" s="118"/>
      <c r="I203" s="50"/>
      <c r="J203" s="50"/>
      <c r="K203" s="131"/>
      <c r="L203" s="139"/>
      <c r="M203" s="131"/>
      <c r="N203" s="118"/>
      <c r="O203" s="118"/>
      <c r="P203" s="50"/>
      <c r="Q203" s="131" t="e">
        <f t="shared" si="63"/>
        <v>#DIV/0!</v>
      </c>
      <c r="R203" s="139" t="e">
        <f t="shared" si="64"/>
        <v>#DIV/0!</v>
      </c>
      <c r="S203" s="131">
        <f t="shared" si="58"/>
        <v>1</v>
      </c>
      <c r="T203" s="50"/>
      <c r="U203" s="103">
        <f t="shared" si="61"/>
        <v>0</v>
      </c>
      <c r="V203" s="140" t="e">
        <f t="shared" si="62"/>
        <v>#DIV/0!</v>
      </c>
      <c r="W203" s="103"/>
      <c r="X203" s="109"/>
      <c r="Y203" s="48"/>
      <c r="Z203" s="52">
        <f t="shared" si="55"/>
        <v>0</v>
      </c>
      <c r="AA203" s="48" t="s">
        <v>74</v>
      </c>
      <c r="AB203" s="52" t="s">
        <v>48</v>
      </c>
      <c r="AC203" s="48">
        <v>0</v>
      </c>
      <c r="AD203" s="52">
        <f t="shared" si="60"/>
        <v>0</v>
      </c>
      <c r="AE203" s="48"/>
      <c r="AF203" s="50"/>
      <c r="AG203" s="7"/>
      <c r="AH203" s="109"/>
      <c r="AI203" s="149" t="s">
        <v>142</v>
      </c>
    </row>
    <row r="204" spans="1:35" x14ac:dyDescent="0.2">
      <c r="A204" s="11">
        <v>45937</v>
      </c>
      <c r="B204" s="15">
        <v>0.69374999999999998</v>
      </c>
      <c r="C204" s="50">
        <v>6.2</v>
      </c>
      <c r="D204" s="50">
        <v>6</v>
      </c>
      <c r="E204" s="50">
        <v>11.8</v>
      </c>
      <c r="F204" s="50">
        <v>11</v>
      </c>
      <c r="G204" s="118">
        <f t="shared" si="65"/>
        <v>0.20000000000000018</v>
      </c>
      <c r="H204" s="118">
        <f t="shared" si="66"/>
        <v>0.80000000000000071</v>
      </c>
      <c r="I204" s="50">
        <v>34</v>
      </c>
      <c r="J204" s="50">
        <v>13</v>
      </c>
      <c r="K204" s="131">
        <f>J204/I204</f>
        <v>0.38235294117647056</v>
      </c>
      <c r="L204" s="139">
        <f t="shared" si="56"/>
        <v>1.6190476190476191</v>
      </c>
      <c r="M204" s="131">
        <f>(I205-I204)/I205</f>
        <v>-6.5830721003134848E-2</v>
      </c>
      <c r="N204" s="118">
        <f t="shared" si="57"/>
        <v>21</v>
      </c>
      <c r="O204" s="118">
        <f t="shared" si="59"/>
        <v>15.2</v>
      </c>
      <c r="P204" s="50"/>
      <c r="Q204" s="131">
        <f t="shared" si="63"/>
        <v>0.72380952380952379</v>
      </c>
      <c r="R204" s="139">
        <f t="shared" si="64"/>
        <v>3.6206896551724137</v>
      </c>
      <c r="S204" s="131">
        <f t="shared" si="58"/>
        <v>-0.17318435754189954</v>
      </c>
      <c r="T204" s="50">
        <v>28.2</v>
      </c>
      <c r="U204" s="103">
        <f>+I204-T204</f>
        <v>5.8000000000000007</v>
      </c>
      <c r="V204" s="140">
        <f t="shared" si="62"/>
        <v>0.82941176470588229</v>
      </c>
      <c r="W204" s="103"/>
      <c r="X204" s="109"/>
      <c r="Y204" s="48">
        <v>0</v>
      </c>
      <c r="Z204" s="52">
        <f t="shared" si="55"/>
        <v>0</v>
      </c>
      <c r="AA204" s="48" t="s">
        <v>74</v>
      </c>
      <c r="AB204" s="52" t="s">
        <v>48</v>
      </c>
      <c r="AC204" s="48">
        <v>0</v>
      </c>
      <c r="AD204" s="52">
        <f t="shared" si="60"/>
        <v>0</v>
      </c>
      <c r="AE204" s="48">
        <v>5.3</v>
      </c>
      <c r="AF204" s="133" t="s">
        <v>106</v>
      </c>
      <c r="AG204" s="52" t="s">
        <v>48</v>
      </c>
      <c r="AH204" s="120" t="s">
        <v>109</v>
      </c>
      <c r="AI204" s="149" t="s">
        <v>144</v>
      </c>
    </row>
    <row r="205" spans="1:35" x14ac:dyDescent="0.2">
      <c r="A205" s="11">
        <v>45938</v>
      </c>
      <c r="B205" s="15">
        <v>0.32291666666666669</v>
      </c>
      <c r="C205" s="50">
        <v>6.2</v>
      </c>
      <c r="D205" s="50">
        <v>6</v>
      </c>
      <c r="E205" s="50">
        <v>11.8</v>
      </c>
      <c r="F205" s="50">
        <v>11</v>
      </c>
      <c r="G205" s="118">
        <f t="shared" si="65"/>
        <v>0.20000000000000018</v>
      </c>
      <c r="H205" s="118">
        <f t="shared" si="66"/>
        <v>0.80000000000000071</v>
      </c>
      <c r="I205" s="50">
        <v>31.9</v>
      </c>
      <c r="J205" s="50">
        <v>14</v>
      </c>
      <c r="K205" s="131">
        <f>J205/I205</f>
        <v>0.43887147335423199</v>
      </c>
      <c r="L205" s="139">
        <f t="shared" si="56"/>
        <v>1.7821229050279332</v>
      </c>
      <c r="M205" s="131">
        <f>(I206-I205)/I206</f>
        <v>-8.8737201365187632E-2</v>
      </c>
      <c r="N205" s="118">
        <f t="shared" si="57"/>
        <v>17.899999999999999</v>
      </c>
      <c r="O205" s="118">
        <f t="shared" si="59"/>
        <v>11.5</v>
      </c>
      <c r="P205" s="50"/>
      <c r="Q205" s="131">
        <f t="shared" si="63"/>
        <v>0.64245810055865926</v>
      </c>
      <c r="R205" s="139">
        <f t="shared" si="64"/>
        <v>2.7968750000000004</v>
      </c>
      <c r="S205" s="131">
        <f t="shared" si="58"/>
        <v>-0.16993464052287566</v>
      </c>
      <c r="T205" s="50">
        <v>25.5</v>
      </c>
      <c r="U205" s="103">
        <f>+I205-T205</f>
        <v>6.3999999999999986</v>
      </c>
      <c r="V205" s="140">
        <f t="shared" si="62"/>
        <v>0.79937304075235116</v>
      </c>
      <c r="W205" s="103"/>
      <c r="X205" s="109"/>
      <c r="Y205" s="48">
        <v>0</v>
      </c>
      <c r="Z205" s="52">
        <f t="shared" si="55"/>
        <v>0</v>
      </c>
      <c r="AA205" s="48" t="s">
        <v>74</v>
      </c>
      <c r="AB205" s="52" t="s">
        <v>48</v>
      </c>
      <c r="AC205" s="48">
        <v>0</v>
      </c>
      <c r="AD205" s="52">
        <f t="shared" si="60"/>
        <v>0</v>
      </c>
      <c r="AE205" s="48">
        <v>5.3</v>
      </c>
      <c r="AF205" s="133" t="s">
        <v>106</v>
      </c>
      <c r="AG205" s="52" t="s">
        <v>48</v>
      </c>
      <c r="AH205" s="120" t="s">
        <v>109</v>
      </c>
      <c r="AI205" s="149" t="s">
        <v>145</v>
      </c>
    </row>
    <row r="206" spans="1:35" x14ac:dyDescent="0.2">
      <c r="A206" s="11">
        <v>45939</v>
      </c>
      <c r="B206" s="15">
        <v>0.55694444444444446</v>
      </c>
      <c r="C206" s="50">
        <v>6.2</v>
      </c>
      <c r="D206" s="50">
        <v>6</v>
      </c>
      <c r="E206" s="50">
        <v>11.9</v>
      </c>
      <c r="F206" s="50">
        <v>11</v>
      </c>
      <c r="G206" s="118">
        <f t="shared" si="65"/>
        <v>0.20000000000000018</v>
      </c>
      <c r="H206" s="118">
        <f t="shared" si="66"/>
        <v>0.90000000000000036</v>
      </c>
      <c r="I206" s="50">
        <v>29.3</v>
      </c>
      <c r="J206" s="50">
        <v>14</v>
      </c>
      <c r="K206" s="131">
        <f>J206/I206</f>
        <v>0.47781569965870307</v>
      </c>
      <c r="L206" s="139">
        <f t="shared" si="56"/>
        <v>1.9150326797385622</v>
      </c>
      <c r="M206" s="131">
        <f>(I207-I206)/I207</f>
        <v>0.13313609467455612</v>
      </c>
      <c r="N206" s="118">
        <f t="shared" si="57"/>
        <v>15.3</v>
      </c>
      <c r="O206" s="118">
        <f t="shared" si="59"/>
        <v>9.1999999999999993</v>
      </c>
      <c r="P206" s="50"/>
      <c r="Q206" s="131">
        <f t="shared" si="63"/>
        <v>0.60130718954248363</v>
      </c>
      <c r="R206" s="139">
        <f t="shared" si="64"/>
        <v>2.5081967213114753</v>
      </c>
      <c r="S206" s="131">
        <f t="shared" si="58"/>
        <v>0.26442307692307676</v>
      </c>
      <c r="T206" s="50">
        <v>23.2</v>
      </c>
      <c r="U206" s="103">
        <f>+I206-T206</f>
        <v>6.1000000000000014</v>
      </c>
      <c r="V206" s="140">
        <f t="shared" si="62"/>
        <v>0.79180887372013653</v>
      </c>
      <c r="W206" s="103"/>
      <c r="X206" s="109"/>
      <c r="Y206" s="48">
        <v>0</v>
      </c>
      <c r="Z206" s="52">
        <f t="shared" si="55"/>
        <v>0</v>
      </c>
      <c r="AA206" s="48" t="s">
        <v>74</v>
      </c>
      <c r="AB206" s="52" t="s">
        <v>48</v>
      </c>
      <c r="AC206" s="48">
        <v>0</v>
      </c>
      <c r="AD206" s="52">
        <f t="shared" si="60"/>
        <v>0</v>
      </c>
      <c r="AE206" s="48">
        <v>5.3</v>
      </c>
      <c r="AF206" s="133" t="s">
        <v>106</v>
      </c>
      <c r="AG206" s="52" t="s">
        <v>48</v>
      </c>
      <c r="AH206" s="120" t="s">
        <v>109</v>
      </c>
      <c r="AI206" s="149"/>
    </row>
    <row r="207" spans="1:35" x14ac:dyDescent="0.2">
      <c r="A207" s="11">
        <v>45940</v>
      </c>
      <c r="B207" s="15">
        <v>300.5</v>
      </c>
      <c r="C207" s="50">
        <v>5.5</v>
      </c>
      <c r="D207" s="50">
        <v>4</v>
      </c>
      <c r="E207" s="50">
        <v>10.9</v>
      </c>
      <c r="F207" s="50">
        <v>10</v>
      </c>
      <c r="G207" s="118">
        <f t="shared" si="65"/>
        <v>1.5</v>
      </c>
      <c r="H207" s="118">
        <f t="shared" si="66"/>
        <v>0.90000000000000036</v>
      </c>
      <c r="I207" s="50">
        <v>33.799999999999997</v>
      </c>
      <c r="J207" s="50">
        <v>13</v>
      </c>
      <c r="K207" s="131">
        <f>J207/I207</f>
        <v>0.38461538461538464</v>
      </c>
      <c r="L207" s="139">
        <f t="shared" si="56"/>
        <v>1.625</v>
      </c>
      <c r="M207" s="131"/>
      <c r="N207" s="118">
        <f t="shared" si="57"/>
        <v>20.799999999999997</v>
      </c>
      <c r="O207" s="118">
        <f t="shared" si="59"/>
        <v>8.3000000000000007</v>
      </c>
      <c r="P207" s="50"/>
      <c r="Q207" s="131">
        <f t="shared" si="63"/>
        <v>0.39903846153846162</v>
      </c>
      <c r="R207" s="139">
        <f t="shared" si="64"/>
        <v>1.6640000000000004</v>
      </c>
      <c r="S207" s="131" t="e">
        <f t="shared" si="58"/>
        <v>#DIV/0!</v>
      </c>
      <c r="T207" s="50">
        <v>21.3</v>
      </c>
      <c r="U207" s="103">
        <f>+I207-T207</f>
        <v>12.499999999999996</v>
      </c>
      <c r="V207" s="140">
        <f t="shared" si="62"/>
        <v>0.63017751479289952</v>
      </c>
      <c r="W207" s="103"/>
      <c r="X207" s="109"/>
      <c r="Y207" s="48">
        <v>0</v>
      </c>
      <c r="Z207" s="73">
        <v>0</v>
      </c>
      <c r="AA207" s="48" t="s">
        <v>74</v>
      </c>
      <c r="AB207" s="52" t="s">
        <v>48</v>
      </c>
      <c r="AC207" s="48">
        <v>0</v>
      </c>
      <c r="AD207" s="74">
        <v>0</v>
      </c>
      <c r="AE207" s="48">
        <v>5.3</v>
      </c>
      <c r="AF207" s="50" t="s">
        <v>106</v>
      </c>
      <c r="AG207" s="52" t="s">
        <v>48</v>
      </c>
      <c r="AH207" s="109" t="s">
        <v>109</v>
      </c>
      <c r="AI207" s="149" t="s">
        <v>178</v>
      </c>
    </row>
    <row r="208" spans="1:35" hidden="1" x14ac:dyDescent="0.2">
      <c r="A208" s="11">
        <v>45941</v>
      </c>
      <c r="B208" s="15"/>
      <c r="C208" s="50"/>
      <c r="D208" s="50"/>
      <c r="E208" s="50"/>
      <c r="F208" s="50"/>
      <c r="G208" s="118"/>
      <c r="H208" s="118"/>
      <c r="I208" s="50"/>
      <c r="J208" s="50"/>
      <c r="K208" s="131"/>
      <c r="L208" s="139"/>
      <c r="M208" s="131"/>
      <c r="N208" s="118"/>
      <c r="O208" s="118"/>
      <c r="P208" s="50"/>
      <c r="Q208" s="131"/>
      <c r="R208" s="118"/>
      <c r="S208" s="131"/>
      <c r="T208" s="50"/>
      <c r="U208" s="103"/>
      <c r="V208" s="140"/>
      <c r="W208" s="103"/>
      <c r="X208" s="109"/>
      <c r="Y208" s="48"/>
      <c r="Z208" s="73"/>
      <c r="AA208" s="48"/>
      <c r="AB208" s="52"/>
      <c r="AC208" s="48"/>
      <c r="AD208" s="74"/>
      <c r="AE208" s="48"/>
      <c r="AF208" s="50"/>
      <c r="AG208" s="7"/>
      <c r="AH208" s="109"/>
      <c r="AI208" s="149"/>
    </row>
    <row r="209" spans="1:35" hidden="1" x14ac:dyDescent="0.2">
      <c r="A209" s="11">
        <v>45942</v>
      </c>
      <c r="B209" s="15"/>
      <c r="C209" s="50"/>
      <c r="D209" s="50"/>
      <c r="E209" s="50"/>
      <c r="F209" s="50"/>
      <c r="G209" s="118"/>
      <c r="H209" s="118"/>
      <c r="I209" s="50"/>
      <c r="J209" s="50"/>
      <c r="K209" s="131"/>
      <c r="L209" s="139"/>
      <c r="M209" s="131"/>
      <c r="N209" s="118"/>
      <c r="O209" s="118"/>
      <c r="P209" s="50"/>
      <c r="Q209" s="131"/>
      <c r="R209" s="118"/>
      <c r="S209" s="131"/>
      <c r="T209" s="50"/>
      <c r="U209" s="103"/>
      <c r="V209" s="140"/>
      <c r="W209" s="103"/>
      <c r="X209" s="109"/>
      <c r="Y209" s="48"/>
      <c r="Z209" s="73"/>
      <c r="AA209" s="48"/>
      <c r="AB209" s="52"/>
      <c r="AC209" s="48"/>
      <c r="AD209" s="74"/>
      <c r="AE209" s="48"/>
      <c r="AF209" s="50"/>
      <c r="AG209" s="7"/>
      <c r="AH209" s="109"/>
      <c r="AI209" s="149" t="s">
        <v>149</v>
      </c>
    </row>
    <row r="210" spans="1:35" hidden="1" x14ac:dyDescent="0.2">
      <c r="A210" s="11">
        <v>45943</v>
      </c>
      <c r="B210" s="15"/>
      <c r="C210" s="50"/>
      <c r="D210" s="50"/>
      <c r="E210" s="50"/>
      <c r="F210" s="50"/>
      <c r="G210" s="118"/>
      <c r="H210" s="118"/>
      <c r="I210" s="50"/>
      <c r="J210" s="50"/>
      <c r="K210" s="131"/>
      <c r="L210" s="139"/>
      <c r="M210" s="131"/>
      <c r="N210" s="118"/>
      <c r="O210" s="118"/>
      <c r="P210" s="50"/>
      <c r="Q210" s="131"/>
      <c r="R210" s="118"/>
      <c r="S210" s="131"/>
      <c r="T210" s="50"/>
      <c r="U210" s="103"/>
      <c r="V210" s="140"/>
      <c r="W210" s="103"/>
      <c r="X210" s="109"/>
      <c r="Y210" s="48"/>
      <c r="Z210" s="73"/>
      <c r="AA210" s="48"/>
      <c r="AB210" s="52"/>
      <c r="AC210" s="48"/>
      <c r="AD210" s="74"/>
      <c r="AE210" s="48"/>
      <c r="AF210" s="50"/>
      <c r="AG210" s="7"/>
      <c r="AH210" s="109"/>
      <c r="AI210" s="149" t="s">
        <v>148</v>
      </c>
    </row>
    <row r="211" spans="1:35" x14ac:dyDescent="0.2">
      <c r="A211" s="11">
        <v>45944</v>
      </c>
      <c r="B211" s="15">
        <v>0.59583333333333333</v>
      </c>
      <c r="C211" s="50">
        <v>5.7</v>
      </c>
      <c r="D211" s="50">
        <v>5</v>
      </c>
      <c r="E211" s="50">
        <v>11.2</v>
      </c>
      <c r="F211" s="50">
        <v>11</v>
      </c>
      <c r="G211" s="118">
        <f t="shared" ref="G211:G235" si="67">C211-D211</f>
        <v>0.70000000000000018</v>
      </c>
      <c r="H211" s="118">
        <f t="shared" ref="H211:H235" si="68">E211-F211</f>
        <v>0.19999999999999929</v>
      </c>
      <c r="I211" s="50">
        <v>33.5</v>
      </c>
      <c r="J211" s="50">
        <v>14</v>
      </c>
      <c r="K211" s="131">
        <f t="shared" ref="K211:K235" si="69">J211/I211</f>
        <v>0.41791044776119401</v>
      </c>
      <c r="L211" s="139">
        <f t="shared" si="56"/>
        <v>1.7179487179487178</v>
      </c>
      <c r="M211" s="131">
        <f t="shared" ref="M211:M274" si="70">(I212-I211)/I212</f>
        <v>-0.22262773722627743</v>
      </c>
      <c r="N211" s="118">
        <f t="shared" ref="N211:N217" si="71">I211-J211</f>
        <v>19.5</v>
      </c>
      <c r="O211" s="118">
        <f t="shared" ref="O211:O226" si="72">T211-J211</f>
        <v>12.600000000000001</v>
      </c>
      <c r="P211" s="50"/>
      <c r="Q211" s="131">
        <f t="shared" ref="Q211:Q235" si="73">O211/N211</f>
        <v>0.64615384615384619</v>
      </c>
      <c r="R211" s="139">
        <f t="shared" ref="R211:R235" si="74">1/(1-Q211)</f>
        <v>2.8260869565217392</v>
      </c>
      <c r="S211" s="131">
        <f t="shared" ref="S211:S235" si="75">(N212-N211)/N212</f>
        <v>-0.45522388059701507</v>
      </c>
      <c r="T211" s="50">
        <v>26.6</v>
      </c>
      <c r="U211" s="103">
        <f t="shared" ref="U211:U226" si="76">+I211-T211</f>
        <v>6.8999999999999986</v>
      </c>
      <c r="V211" s="140">
        <f t="shared" ref="V211:V226" si="77">+T211/I211</f>
        <v>0.79402985074626875</v>
      </c>
      <c r="W211" s="103"/>
      <c r="X211" s="109"/>
      <c r="Y211" s="48">
        <v>0</v>
      </c>
      <c r="Z211" s="73">
        <v>0</v>
      </c>
      <c r="AA211" s="48" t="s">
        <v>74</v>
      </c>
      <c r="AB211" s="52" t="s">
        <v>48</v>
      </c>
      <c r="AC211" s="48">
        <v>0</v>
      </c>
      <c r="AD211" s="74">
        <v>0</v>
      </c>
      <c r="AE211" s="48">
        <v>5.2</v>
      </c>
      <c r="AF211" s="133" t="s">
        <v>106</v>
      </c>
      <c r="AG211" s="52" t="s">
        <v>48</v>
      </c>
      <c r="AH211" s="120" t="s">
        <v>109</v>
      </c>
      <c r="AI211" s="149" t="s">
        <v>186</v>
      </c>
    </row>
    <row r="212" spans="1:35" x14ac:dyDescent="0.2">
      <c r="A212" s="11">
        <v>45945</v>
      </c>
      <c r="B212" s="15">
        <v>0.61805555555555558</v>
      </c>
      <c r="C212" s="50">
        <v>6.2</v>
      </c>
      <c r="D212" s="50">
        <v>5</v>
      </c>
      <c r="E212" s="50">
        <v>11.2</v>
      </c>
      <c r="F212" s="50">
        <v>10.5</v>
      </c>
      <c r="G212" s="118">
        <f t="shared" si="67"/>
        <v>1.2000000000000002</v>
      </c>
      <c r="H212" s="118">
        <f t="shared" si="68"/>
        <v>0.69999999999999929</v>
      </c>
      <c r="I212" s="50">
        <v>27.4</v>
      </c>
      <c r="J212" s="50">
        <v>14</v>
      </c>
      <c r="K212" s="131">
        <f t="shared" si="69"/>
        <v>0.51094890510948909</v>
      </c>
      <c r="L212" s="139">
        <f t="shared" si="56"/>
        <v>2.0447761194029854</v>
      </c>
      <c r="M212" s="131">
        <f t="shared" si="70"/>
        <v>0.16969696969696973</v>
      </c>
      <c r="N212" s="118">
        <f t="shared" si="71"/>
        <v>13.399999999999999</v>
      </c>
      <c r="O212" s="118">
        <f t="shared" si="72"/>
        <v>6.8000000000000007</v>
      </c>
      <c r="P212" s="50"/>
      <c r="Q212" s="131">
        <f t="shared" si="73"/>
        <v>0.50746268656716431</v>
      </c>
      <c r="R212" s="139">
        <f t="shared" si="74"/>
        <v>2.0303030303030307</v>
      </c>
      <c r="S212" s="131">
        <f t="shared" si="75"/>
        <v>0.29473684210526324</v>
      </c>
      <c r="T212" s="50">
        <v>20.8</v>
      </c>
      <c r="U212" s="103">
        <f t="shared" si="76"/>
        <v>6.5999999999999979</v>
      </c>
      <c r="V212" s="140">
        <f t="shared" si="77"/>
        <v>0.75912408759124095</v>
      </c>
      <c r="W212" s="103"/>
      <c r="X212" s="50"/>
      <c r="Y212" s="50">
        <v>0</v>
      </c>
      <c r="Z212" s="118">
        <v>0</v>
      </c>
      <c r="AA212" s="50" t="s">
        <v>74</v>
      </c>
      <c r="AB212" s="134" t="s">
        <v>48</v>
      </c>
      <c r="AC212" s="50">
        <v>0</v>
      </c>
      <c r="AD212" s="118">
        <v>0</v>
      </c>
      <c r="AE212" s="50">
        <v>4.3</v>
      </c>
      <c r="AF212" s="133" t="s">
        <v>105</v>
      </c>
      <c r="AG212" s="52" t="s">
        <v>48</v>
      </c>
      <c r="AH212" s="109" t="s">
        <v>109</v>
      </c>
      <c r="AI212" s="109"/>
    </row>
    <row r="213" spans="1:35" x14ac:dyDescent="0.2">
      <c r="A213" s="11">
        <v>45946</v>
      </c>
      <c r="B213" s="15">
        <v>0.44444444444444442</v>
      </c>
      <c r="C213" s="50">
        <v>6.2</v>
      </c>
      <c r="D213" s="50">
        <v>5</v>
      </c>
      <c r="E213" s="50">
        <v>11.8</v>
      </c>
      <c r="F213" s="50">
        <v>11</v>
      </c>
      <c r="G213" s="118">
        <f t="shared" si="67"/>
        <v>1.2000000000000002</v>
      </c>
      <c r="H213" s="118">
        <f t="shared" si="68"/>
        <v>0.80000000000000071</v>
      </c>
      <c r="I213" s="50">
        <v>33</v>
      </c>
      <c r="J213" s="50">
        <v>14</v>
      </c>
      <c r="K213" s="131">
        <f t="shared" si="69"/>
        <v>0.42424242424242425</v>
      </c>
      <c r="L213" s="139">
        <f t="shared" si="56"/>
        <v>1.7368421052631582</v>
      </c>
      <c r="M213" s="131">
        <f t="shared" si="70"/>
        <v>-2.8037383177570048E-2</v>
      </c>
      <c r="N213" s="118">
        <f t="shared" si="71"/>
        <v>19</v>
      </c>
      <c r="O213" s="118">
        <f t="shared" si="72"/>
        <v>10.5</v>
      </c>
      <c r="P213" s="50"/>
      <c r="Q213" s="131">
        <f t="shared" si="73"/>
        <v>0.55263157894736847</v>
      </c>
      <c r="R213" s="139">
        <f t="shared" si="74"/>
        <v>2.2352941176470589</v>
      </c>
      <c r="S213" s="131">
        <f t="shared" si="75"/>
        <v>5.2356020942409117E-3</v>
      </c>
      <c r="T213" s="50">
        <v>24.5</v>
      </c>
      <c r="U213" s="103">
        <f t="shared" si="76"/>
        <v>8.5</v>
      </c>
      <c r="V213" s="140">
        <f t="shared" si="77"/>
        <v>0.74242424242424243</v>
      </c>
      <c r="W213" s="103"/>
      <c r="X213" s="50"/>
      <c r="Y213" s="50">
        <v>0</v>
      </c>
      <c r="Z213" s="118">
        <v>0</v>
      </c>
      <c r="AA213" s="50" t="s">
        <v>74</v>
      </c>
      <c r="AB213" s="134" t="s">
        <v>48</v>
      </c>
      <c r="AC213" s="50">
        <v>0</v>
      </c>
      <c r="AD213" s="118">
        <v>0</v>
      </c>
      <c r="AE213" s="50">
        <v>4.2</v>
      </c>
      <c r="AF213" s="133" t="s">
        <v>105</v>
      </c>
      <c r="AG213" s="52" t="s">
        <v>48</v>
      </c>
      <c r="AH213" s="120" t="s">
        <v>109</v>
      </c>
      <c r="AI213" s="8"/>
    </row>
    <row r="214" spans="1:35" x14ac:dyDescent="0.2">
      <c r="A214" s="11">
        <v>45947</v>
      </c>
      <c r="B214" s="15">
        <v>0.5625</v>
      </c>
      <c r="C214" s="50">
        <v>5.7</v>
      </c>
      <c r="D214" s="50">
        <v>5</v>
      </c>
      <c r="E214" s="50">
        <v>11.2</v>
      </c>
      <c r="F214" s="50">
        <v>11</v>
      </c>
      <c r="G214" s="118">
        <f t="shared" si="67"/>
        <v>0.70000000000000018</v>
      </c>
      <c r="H214" s="118">
        <f t="shared" si="68"/>
        <v>0.19999999999999929</v>
      </c>
      <c r="I214" s="50">
        <v>32.1</v>
      </c>
      <c r="J214" s="50">
        <v>13</v>
      </c>
      <c r="K214" s="131">
        <f t="shared" si="69"/>
        <v>0.40498442367601245</v>
      </c>
      <c r="L214" s="139">
        <f t="shared" si="56"/>
        <v>1.6806282722513091</v>
      </c>
      <c r="M214" s="131"/>
      <c r="N214" s="118">
        <f t="shared" si="71"/>
        <v>19.100000000000001</v>
      </c>
      <c r="O214" s="118">
        <f t="shared" si="72"/>
        <v>10.399999999999999</v>
      </c>
      <c r="P214" s="50"/>
      <c r="Q214" s="131">
        <f t="shared" si="73"/>
        <v>0.54450261780104703</v>
      </c>
      <c r="R214" s="139">
        <f t="shared" si="74"/>
        <v>2.1954022988505741</v>
      </c>
      <c r="S214" s="131" t="e">
        <f t="shared" si="75"/>
        <v>#DIV/0!</v>
      </c>
      <c r="T214" s="50">
        <v>23.4</v>
      </c>
      <c r="U214" s="103">
        <f t="shared" si="76"/>
        <v>8.7000000000000028</v>
      </c>
      <c r="V214" s="140">
        <f t="shared" si="77"/>
        <v>0.7289719626168224</v>
      </c>
      <c r="W214" s="103"/>
      <c r="X214" s="50"/>
      <c r="Y214" s="50">
        <v>0</v>
      </c>
      <c r="Z214" s="118">
        <v>0</v>
      </c>
      <c r="AA214" s="50" t="s">
        <v>74</v>
      </c>
      <c r="AB214" s="134" t="s">
        <v>48</v>
      </c>
      <c r="AC214" s="50">
        <v>0</v>
      </c>
      <c r="AD214" s="118">
        <v>0</v>
      </c>
      <c r="AE214" s="50">
        <v>5</v>
      </c>
      <c r="AF214" s="133" t="s">
        <v>105</v>
      </c>
      <c r="AG214" s="52" t="s">
        <v>48</v>
      </c>
      <c r="AH214" s="120" t="s">
        <v>109</v>
      </c>
      <c r="AI214" s="150"/>
    </row>
    <row r="215" spans="1:35" hidden="1" x14ac:dyDescent="0.2">
      <c r="A215" s="11">
        <v>45948</v>
      </c>
      <c r="B215" s="15"/>
      <c r="C215" s="50"/>
      <c r="D215" s="50"/>
      <c r="E215" s="50"/>
      <c r="F215" s="50"/>
      <c r="G215" s="118"/>
      <c r="H215" s="118"/>
      <c r="I215" s="50"/>
      <c r="J215" s="50"/>
      <c r="K215" s="131"/>
      <c r="L215" s="139"/>
      <c r="M215" s="131"/>
      <c r="N215" s="118"/>
      <c r="O215" s="118"/>
      <c r="P215" s="50"/>
      <c r="Q215" s="131"/>
      <c r="R215" s="118">
        <f t="shared" si="74"/>
        <v>1</v>
      </c>
      <c r="S215" s="131" t="e">
        <f t="shared" si="75"/>
        <v>#DIV/0!</v>
      </c>
      <c r="T215" s="50"/>
      <c r="U215" s="103">
        <f t="shared" si="76"/>
        <v>0</v>
      </c>
      <c r="V215" s="140" t="e">
        <f t="shared" si="77"/>
        <v>#DIV/0!</v>
      </c>
      <c r="W215" s="103"/>
      <c r="X215" s="50"/>
      <c r="Y215" s="50">
        <v>0</v>
      </c>
      <c r="Z215" s="118">
        <v>0</v>
      </c>
      <c r="AA215" s="50" t="s">
        <v>74</v>
      </c>
      <c r="AB215" s="134" t="s">
        <v>48</v>
      </c>
      <c r="AC215" s="50">
        <v>0</v>
      </c>
      <c r="AD215" s="118">
        <v>0</v>
      </c>
      <c r="AE215" s="50"/>
      <c r="AF215" s="50"/>
      <c r="AG215" s="52" t="s">
        <v>48</v>
      </c>
      <c r="AH215" s="120" t="s">
        <v>146</v>
      </c>
      <c r="AI215" s="149" t="s">
        <v>185</v>
      </c>
    </row>
    <row r="216" spans="1:35" hidden="1" x14ac:dyDescent="0.2">
      <c r="A216" s="11">
        <v>45949</v>
      </c>
      <c r="B216" s="15"/>
      <c r="C216" s="50"/>
      <c r="D216" s="50"/>
      <c r="E216" s="50"/>
      <c r="F216" s="50"/>
      <c r="G216" s="118"/>
      <c r="H216" s="118"/>
      <c r="I216" s="50"/>
      <c r="J216" s="50"/>
      <c r="K216" s="131"/>
      <c r="L216" s="139"/>
      <c r="M216" s="131"/>
      <c r="N216" s="118"/>
      <c r="O216" s="118"/>
      <c r="P216" s="50"/>
      <c r="Q216" s="131"/>
      <c r="R216" s="118">
        <f t="shared" si="74"/>
        <v>1</v>
      </c>
      <c r="S216" s="131">
        <f t="shared" si="75"/>
        <v>1</v>
      </c>
      <c r="T216" s="50"/>
      <c r="U216" s="103">
        <f t="shared" si="76"/>
        <v>0</v>
      </c>
      <c r="V216" s="140" t="e">
        <f t="shared" si="77"/>
        <v>#DIV/0!</v>
      </c>
      <c r="W216" s="103"/>
      <c r="X216" s="50"/>
      <c r="Y216" s="50">
        <v>0</v>
      </c>
      <c r="Z216" s="118">
        <v>0</v>
      </c>
      <c r="AA216" s="50" t="s">
        <v>74</v>
      </c>
      <c r="AB216" s="134" t="s">
        <v>48</v>
      </c>
      <c r="AC216" s="50">
        <v>0</v>
      </c>
      <c r="AD216" s="118">
        <v>0</v>
      </c>
      <c r="AE216" s="50"/>
      <c r="AF216" s="50"/>
      <c r="AG216" s="52" t="s">
        <v>48</v>
      </c>
      <c r="AH216" s="109" t="s">
        <v>146</v>
      </c>
      <c r="AI216" s="149"/>
    </row>
    <row r="217" spans="1:35" x14ac:dyDescent="0.2">
      <c r="A217" s="11">
        <v>45950</v>
      </c>
      <c r="B217" s="61">
        <v>0.71319444444444446</v>
      </c>
      <c r="C217" s="50">
        <v>5.2</v>
      </c>
      <c r="D217" s="50">
        <v>4</v>
      </c>
      <c r="E217" s="50">
        <v>10.7</v>
      </c>
      <c r="F217" s="50">
        <v>10</v>
      </c>
      <c r="G217" s="118">
        <f t="shared" si="67"/>
        <v>1.2000000000000002</v>
      </c>
      <c r="H217" s="118">
        <f t="shared" si="68"/>
        <v>0.69999999999999929</v>
      </c>
      <c r="I217" s="50">
        <v>32.6</v>
      </c>
      <c r="J217" s="50">
        <v>13</v>
      </c>
      <c r="K217" s="131">
        <f t="shared" si="69"/>
        <v>0.3987730061349693</v>
      </c>
      <c r="L217" s="139">
        <f t="shared" si="56"/>
        <v>1.6632653061224487</v>
      </c>
      <c r="M217" s="131"/>
      <c r="N217" s="118">
        <f t="shared" si="71"/>
        <v>19.600000000000001</v>
      </c>
      <c r="O217" s="118">
        <f t="shared" si="72"/>
        <v>11.8</v>
      </c>
      <c r="P217" s="50"/>
      <c r="Q217" s="131">
        <f t="shared" si="73"/>
        <v>0.60204081632653061</v>
      </c>
      <c r="R217" s="139">
        <f t="shared" si="74"/>
        <v>2.5128205128205128</v>
      </c>
      <c r="S217" s="131" t="e">
        <f t="shared" si="75"/>
        <v>#DIV/0!</v>
      </c>
      <c r="T217" s="50">
        <v>24.8</v>
      </c>
      <c r="U217" s="103">
        <f t="shared" si="76"/>
        <v>7.8000000000000007</v>
      </c>
      <c r="V217" s="140">
        <f t="shared" si="77"/>
        <v>0.76073619631901834</v>
      </c>
      <c r="W217" s="103"/>
      <c r="X217" s="50"/>
      <c r="Y217" s="50">
        <v>0</v>
      </c>
      <c r="Z217" s="118">
        <v>0</v>
      </c>
      <c r="AA217" s="50" t="s">
        <v>74</v>
      </c>
      <c r="AB217" s="134" t="s">
        <v>48</v>
      </c>
      <c r="AC217" s="50">
        <v>0</v>
      </c>
      <c r="AD217" s="118">
        <v>0</v>
      </c>
      <c r="AE217" s="50">
        <v>5</v>
      </c>
      <c r="AF217" s="133" t="s">
        <v>105</v>
      </c>
      <c r="AG217" s="52" t="s">
        <v>48</v>
      </c>
      <c r="AH217" s="120" t="s">
        <v>109</v>
      </c>
      <c r="AI217" s="149"/>
    </row>
    <row r="218" spans="1:35" hidden="1" x14ac:dyDescent="0.2">
      <c r="A218" s="11">
        <v>45951</v>
      </c>
      <c r="B218" s="15"/>
      <c r="C218" s="50"/>
      <c r="D218" s="50"/>
      <c r="E218" s="50"/>
      <c r="F218" s="50"/>
      <c r="G218" s="118"/>
      <c r="H218" s="118"/>
      <c r="I218" s="50"/>
      <c r="J218" s="50"/>
      <c r="K218" s="131"/>
      <c r="L218" s="139"/>
      <c r="M218" s="131"/>
      <c r="N218" s="118"/>
      <c r="O218" s="118"/>
      <c r="P218" s="50"/>
      <c r="Q218" s="131"/>
      <c r="R218" s="118">
        <f t="shared" si="74"/>
        <v>1</v>
      </c>
      <c r="S218" s="131" t="e">
        <f t="shared" si="75"/>
        <v>#DIV/0!</v>
      </c>
      <c r="T218" s="50"/>
      <c r="U218" s="103">
        <f t="shared" si="76"/>
        <v>0</v>
      </c>
      <c r="V218" s="140" t="e">
        <f t="shared" si="77"/>
        <v>#DIV/0!</v>
      </c>
      <c r="W218" s="103"/>
      <c r="X218" s="50"/>
      <c r="Y218" s="50">
        <v>0</v>
      </c>
      <c r="Z218" s="118">
        <v>0</v>
      </c>
      <c r="AA218" s="50" t="s">
        <v>74</v>
      </c>
      <c r="AB218" s="134" t="s">
        <v>48</v>
      </c>
      <c r="AC218" s="50">
        <v>0</v>
      </c>
      <c r="AD218" s="118">
        <v>0</v>
      </c>
      <c r="AE218" s="50"/>
      <c r="AF218" s="50"/>
      <c r="AG218" s="52" t="s">
        <v>48</v>
      </c>
      <c r="AH218" s="8"/>
      <c r="AI218" s="149" t="s">
        <v>152</v>
      </c>
    </row>
    <row r="219" spans="1:35" hidden="1" x14ac:dyDescent="0.2">
      <c r="A219" s="11">
        <v>45952</v>
      </c>
      <c r="B219" s="15"/>
      <c r="C219" s="50"/>
      <c r="D219" s="50"/>
      <c r="E219" s="50"/>
      <c r="F219" s="50"/>
      <c r="G219" s="118"/>
      <c r="H219" s="118"/>
      <c r="I219" s="50"/>
      <c r="J219" s="50"/>
      <c r="K219" s="131"/>
      <c r="L219" s="139"/>
      <c r="M219" s="131"/>
      <c r="N219" s="118"/>
      <c r="O219" s="118"/>
      <c r="P219" s="50"/>
      <c r="Q219" s="131"/>
      <c r="R219" s="118"/>
      <c r="S219" s="131">
        <f t="shared" si="75"/>
        <v>1</v>
      </c>
      <c r="T219" s="50"/>
      <c r="U219" s="103">
        <f t="shared" si="76"/>
        <v>0</v>
      </c>
      <c r="V219" s="140" t="e">
        <f t="shared" si="77"/>
        <v>#DIV/0!</v>
      </c>
      <c r="W219" s="103"/>
      <c r="X219" s="50"/>
      <c r="Y219" s="50">
        <v>0</v>
      </c>
      <c r="Z219" s="118">
        <v>0</v>
      </c>
      <c r="AA219" s="50" t="s">
        <v>74</v>
      </c>
      <c r="AB219" s="134" t="s">
        <v>48</v>
      </c>
      <c r="AC219" s="50">
        <v>0</v>
      </c>
      <c r="AD219" s="118">
        <v>0</v>
      </c>
      <c r="AE219" s="50"/>
      <c r="AF219" s="50"/>
      <c r="AG219" s="52" t="s">
        <v>48</v>
      </c>
      <c r="AH219" s="109"/>
      <c r="AI219" s="149" t="s">
        <v>153</v>
      </c>
    </row>
    <row r="220" spans="1:35" x14ac:dyDescent="0.2">
      <c r="A220" s="11">
        <v>45953</v>
      </c>
      <c r="B220" s="15">
        <v>2.5</v>
      </c>
      <c r="C220" s="50">
        <v>5.9</v>
      </c>
      <c r="D220" s="50">
        <v>5</v>
      </c>
      <c r="E220" s="50">
        <v>11.6</v>
      </c>
      <c r="F220" s="50">
        <v>11</v>
      </c>
      <c r="G220" s="118">
        <f t="shared" si="67"/>
        <v>0.90000000000000036</v>
      </c>
      <c r="H220" s="118">
        <f t="shared" si="68"/>
        <v>0.59999999999999964</v>
      </c>
      <c r="I220" s="50">
        <v>29.3</v>
      </c>
      <c r="J220" s="50">
        <v>13</v>
      </c>
      <c r="K220" s="131">
        <f t="shared" si="69"/>
        <v>0.44368600682593856</v>
      </c>
      <c r="L220" s="139">
        <f t="shared" si="56"/>
        <v>1.7975460122699385</v>
      </c>
      <c r="M220" s="131">
        <f t="shared" si="70"/>
        <v>0.15804597701149417</v>
      </c>
      <c r="N220" s="118">
        <f t="shared" ref="N220:N235" si="78">I220-J220</f>
        <v>16.3</v>
      </c>
      <c r="O220" s="118">
        <f t="shared" si="72"/>
        <v>9.8999999999999986</v>
      </c>
      <c r="P220" s="50"/>
      <c r="Q220" s="131">
        <f t="shared" si="73"/>
        <v>0.60736196319018398</v>
      </c>
      <c r="R220" s="139">
        <f t="shared" si="74"/>
        <v>2.5468749999999996</v>
      </c>
      <c r="S220" s="131">
        <f t="shared" si="75"/>
        <v>0.2850877192982455</v>
      </c>
      <c r="T220" s="50">
        <v>22.9</v>
      </c>
      <c r="U220" s="103">
        <f t="shared" si="76"/>
        <v>6.4000000000000021</v>
      </c>
      <c r="V220" s="140">
        <f t="shared" si="77"/>
        <v>0.78156996587030714</v>
      </c>
      <c r="W220" s="103"/>
      <c r="X220" s="50"/>
      <c r="Y220" s="50">
        <v>0</v>
      </c>
      <c r="Z220" s="118">
        <v>0</v>
      </c>
      <c r="AA220" s="50" t="s">
        <v>74</v>
      </c>
      <c r="AB220" s="134" t="s">
        <v>48</v>
      </c>
      <c r="AC220" s="50">
        <v>0</v>
      </c>
      <c r="AD220" s="118">
        <v>0</v>
      </c>
      <c r="AE220" s="50">
        <v>5.4</v>
      </c>
      <c r="AF220" s="50" t="s">
        <v>106</v>
      </c>
      <c r="AG220" s="52" t="s">
        <v>48</v>
      </c>
      <c r="AH220" s="120" t="s">
        <v>109</v>
      </c>
      <c r="AI220" s="149"/>
    </row>
    <row r="221" spans="1:35" x14ac:dyDescent="0.2">
      <c r="A221" s="11">
        <v>45954</v>
      </c>
      <c r="B221" s="117">
        <v>0.35416666666666669</v>
      </c>
      <c r="C221" s="50">
        <v>4.9000000000000004</v>
      </c>
      <c r="D221" s="50">
        <v>4</v>
      </c>
      <c r="E221" s="50">
        <v>10.4</v>
      </c>
      <c r="F221" s="50">
        <v>10</v>
      </c>
      <c r="G221" s="118">
        <f t="shared" si="67"/>
        <v>0.90000000000000036</v>
      </c>
      <c r="H221" s="118">
        <f t="shared" si="68"/>
        <v>0.40000000000000036</v>
      </c>
      <c r="I221" s="50">
        <v>34.799999999999997</v>
      </c>
      <c r="J221" s="50">
        <v>12</v>
      </c>
      <c r="K221" s="131">
        <f t="shared" si="69"/>
        <v>0.34482758620689657</v>
      </c>
      <c r="L221" s="139">
        <f t="shared" si="56"/>
        <v>1.5263157894736843</v>
      </c>
      <c r="M221" s="131"/>
      <c r="N221" s="118">
        <f t="shared" si="78"/>
        <v>22.799999999999997</v>
      </c>
      <c r="O221" s="118">
        <f t="shared" si="72"/>
        <v>5.3000000000000007</v>
      </c>
      <c r="P221" s="50"/>
      <c r="Q221" s="131">
        <f t="shared" si="73"/>
        <v>0.23245614035087725</v>
      </c>
      <c r="R221" s="139">
        <f t="shared" si="74"/>
        <v>1.3028571428571429</v>
      </c>
      <c r="S221" s="131" t="e">
        <f t="shared" si="75"/>
        <v>#DIV/0!</v>
      </c>
      <c r="T221" s="50">
        <v>17.3</v>
      </c>
      <c r="U221" s="103">
        <f t="shared" si="76"/>
        <v>17.499999999999996</v>
      </c>
      <c r="V221" s="140">
        <f t="shared" si="77"/>
        <v>0.49712643678160928</v>
      </c>
      <c r="W221" s="103"/>
      <c r="X221" s="50"/>
      <c r="Y221" s="50">
        <v>0</v>
      </c>
      <c r="Z221" s="118">
        <v>0</v>
      </c>
      <c r="AA221" s="50" t="s">
        <v>74</v>
      </c>
      <c r="AB221" s="134" t="s">
        <v>48</v>
      </c>
      <c r="AC221" s="50">
        <v>0</v>
      </c>
      <c r="AD221" s="118">
        <v>0</v>
      </c>
      <c r="AE221" s="50">
        <v>5.0999999999999996</v>
      </c>
      <c r="AF221" s="50" t="s">
        <v>106</v>
      </c>
      <c r="AG221" s="52" t="s">
        <v>48</v>
      </c>
      <c r="AH221" s="120" t="s">
        <v>109</v>
      </c>
      <c r="AI221" s="109"/>
    </row>
    <row r="222" spans="1:35" ht="14.25" hidden="1" customHeight="1" x14ac:dyDescent="0.2">
      <c r="A222" s="11">
        <v>45955</v>
      </c>
      <c r="B222" s="117"/>
      <c r="C222" s="50"/>
      <c r="D222" s="50"/>
      <c r="E222" s="50"/>
      <c r="F222" s="50"/>
      <c r="G222" s="118">
        <f t="shared" si="67"/>
        <v>0</v>
      </c>
      <c r="H222" s="118"/>
      <c r="I222" s="50"/>
      <c r="J222" s="50"/>
      <c r="K222" s="131"/>
      <c r="L222" s="139"/>
      <c r="M222" s="131"/>
      <c r="N222" s="118"/>
      <c r="O222" s="118"/>
      <c r="P222" s="50"/>
      <c r="Q222" s="131"/>
      <c r="R222" s="118"/>
      <c r="S222" s="131"/>
      <c r="T222" s="50"/>
      <c r="U222" s="103"/>
      <c r="V222" s="140"/>
      <c r="W222" s="103"/>
      <c r="X222" s="50"/>
      <c r="Y222" s="50">
        <v>0</v>
      </c>
      <c r="Z222" s="118">
        <v>0</v>
      </c>
      <c r="AA222" s="50" t="s">
        <v>74</v>
      </c>
      <c r="AB222" s="134" t="s">
        <v>48</v>
      </c>
      <c r="AC222" s="50">
        <v>0</v>
      </c>
      <c r="AD222" s="118">
        <v>0</v>
      </c>
      <c r="AE222" s="50"/>
      <c r="AF222" s="50"/>
      <c r="AG222" s="52" t="s">
        <v>48</v>
      </c>
      <c r="AH222" s="109" t="s">
        <v>146</v>
      </c>
      <c r="AI222" s="149" t="s">
        <v>187</v>
      </c>
    </row>
    <row r="223" spans="1:35" hidden="1" x14ac:dyDescent="0.2">
      <c r="A223" s="11">
        <v>45956</v>
      </c>
      <c r="B223" s="117"/>
      <c r="C223" s="50"/>
      <c r="D223" s="50"/>
      <c r="E223" s="50"/>
      <c r="F223" s="50"/>
      <c r="G223" s="118">
        <f t="shared" si="67"/>
        <v>0</v>
      </c>
      <c r="H223" s="118"/>
      <c r="I223" s="50"/>
      <c r="J223" s="50"/>
      <c r="K223" s="131"/>
      <c r="L223" s="139"/>
      <c r="M223" s="131"/>
      <c r="N223" s="118"/>
      <c r="O223" s="118"/>
      <c r="P223" s="50"/>
      <c r="Q223" s="131"/>
      <c r="R223" s="118"/>
      <c r="S223" s="131"/>
      <c r="T223" s="50"/>
      <c r="U223" s="103"/>
      <c r="V223" s="140"/>
      <c r="W223" s="103"/>
      <c r="X223" s="50"/>
      <c r="Y223" s="50">
        <v>0</v>
      </c>
      <c r="Z223" s="118">
        <v>0</v>
      </c>
      <c r="AA223" s="50" t="s">
        <v>74</v>
      </c>
      <c r="AB223" s="134" t="s">
        <v>48</v>
      </c>
      <c r="AC223" s="50">
        <v>0</v>
      </c>
      <c r="AD223" s="118">
        <v>0</v>
      </c>
      <c r="AE223" s="50"/>
      <c r="AF223" s="50"/>
      <c r="AG223" s="52" t="s">
        <v>48</v>
      </c>
      <c r="AH223" s="109" t="s">
        <v>146</v>
      </c>
      <c r="AI223" s="149" t="s">
        <v>188</v>
      </c>
    </row>
    <row r="224" spans="1:35" x14ac:dyDescent="0.2">
      <c r="A224" s="11">
        <v>45957</v>
      </c>
      <c r="B224" s="117">
        <v>0.625</v>
      </c>
      <c r="C224" s="50">
        <v>6.3</v>
      </c>
      <c r="D224" s="50">
        <v>5</v>
      </c>
      <c r="E224" s="50">
        <v>12</v>
      </c>
      <c r="F224" s="133">
        <v>11.1</v>
      </c>
      <c r="G224" s="118">
        <f t="shared" si="67"/>
        <v>1.2999999999999998</v>
      </c>
      <c r="H224" s="118">
        <f t="shared" si="68"/>
        <v>0.90000000000000036</v>
      </c>
      <c r="I224" s="50">
        <v>30.6</v>
      </c>
      <c r="J224" s="50">
        <v>14</v>
      </c>
      <c r="K224" s="131">
        <f t="shared" si="69"/>
        <v>0.45751633986928103</v>
      </c>
      <c r="L224" s="139">
        <f t="shared" si="56"/>
        <v>1.8433734939759034</v>
      </c>
      <c r="M224" s="131">
        <f>(I225-I224)/I225</f>
        <v>-0.12087912087912091</v>
      </c>
      <c r="N224" s="118">
        <f t="shared" si="78"/>
        <v>16.600000000000001</v>
      </c>
      <c r="O224" s="118">
        <f t="shared" si="72"/>
        <v>11.399999999999999</v>
      </c>
      <c r="P224" s="50"/>
      <c r="Q224" s="131">
        <f t="shared" si="73"/>
        <v>0.68674698795180711</v>
      </c>
      <c r="R224" s="139">
        <f t="shared" si="74"/>
        <v>3.1923076923076912</v>
      </c>
      <c r="S224" s="131">
        <f t="shared" si="75"/>
        <v>-0.16083916083916089</v>
      </c>
      <c r="T224" s="50">
        <v>25.4</v>
      </c>
      <c r="U224" s="103">
        <f t="shared" si="76"/>
        <v>5.2000000000000028</v>
      </c>
      <c r="V224" s="140">
        <f t="shared" si="77"/>
        <v>0.83006535947712412</v>
      </c>
      <c r="W224" s="103"/>
      <c r="X224" s="50"/>
      <c r="Y224" s="50">
        <v>0</v>
      </c>
      <c r="Z224" s="118">
        <v>0</v>
      </c>
      <c r="AA224" s="50" t="s">
        <v>74</v>
      </c>
      <c r="AB224" s="134" t="s">
        <v>48</v>
      </c>
      <c r="AC224" s="50">
        <v>0</v>
      </c>
      <c r="AD224" s="118">
        <v>0</v>
      </c>
      <c r="AE224" s="50">
        <v>5.2</v>
      </c>
      <c r="AF224" s="133" t="s">
        <v>105</v>
      </c>
      <c r="AG224" s="52" t="s">
        <v>48</v>
      </c>
      <c r="AH224" s="120" t="s">
        <v>109</v>
      </c>
      <c r="AI224" s="109"/>
    </row>
    <row r="225" spans="1:35" ht="12" customHeight="1" x14ac:dyDescent="0.2">
      <c r="A225" s="11">
        <v>45958</v>
      </c>
      <c r="B225" s="117">
        <v>0.60416666666666663</v>
      </c>
      <c r="C225" s="50">
        <v>5.9</v>
      </c>
      <c r="D225" s="50">
        <v>5</v>
      </c>
      <c r="E225" s="50">
        <v>11.7</v>
      </c>
      <c r="F225" s="50">
        <v>11</v>
      </c>
      <c r="G225" s="118">
        <f t="shared" si="67"/>
        <v>0.90000000000000036</v>
      </c>
      <c r="H225" s="118">
        <f t="shared" si="68"/>
        <v>0.69999999999999929</v>
      </c>
      <c r="I225" s="50">
        <v>27.3</v>
      </c>
      <c r="J225" s="50">
        <v>13</v>
      </c>
      <c r="K225" s="136">
        <f t="shared" si="69"/>
        <v>0.47619047619047616</v>
      </c>
      <c r="L225" s="139">
        <f t="shared" si="56"/>
        <v>1.9090909090909089</v>
      </c>
      <c r="M225" s="131">
        <f>(I226-I225)/I226</f>
        <v>-0.14705882352941177</v>
      </c>
      <c r="N225" s="118">
        <f t="shared" si="78"/>
        <v>14.3</v>
      </c>
      <c r="O225" s="118">
        <f t="shared" si="72"/>
        <v>9.5</v>
      </c>
      <c r="P225" s="50"/>
      <c r="Q225" s="131">
        <f t="shared" si="73"/>
        <v>0.66433566433566427</v>
      </c>
      <c r="R225" s="139">
        <f t="shared" si="74"/>
        <v>2.9791666666666661</v>
      </c>
      <c r="S225" s="131">
        <f t="shared" si="75"/>
        <v>-0.21186440677966101</v>
      </c>
      <c r="T225" s="50">
        <v>22.5</v>
      </c>
      <c r="U225" s="103">
        <f t="shared" si="76"/>
        <v>4.8000000000000007</v>
      </c>
      <c r="V225" s="140">
        <f t="shared" si="77"/>
        <v>0.82417582417582413</v>
      </c>
      <c r="W225" s="103"/>
      <c r="X225" s="50"/>
      <c r="Y225" s="50">
        <v>0</v>
      </c>
      <c r="Z225" s="118">
        <v>0</v>
      </c>
      <c r="AA225" s="50" t="s">
        <v>74</v>
      </c>
      <c r="AB225" s="134" t="s">
        <v>48</v>
      </c>
      <c r="AC225" s="50">
        <v>0</v>
      </c>
      <c r="AD225" s="118">
        <v>0</v>
      </c>
      <c r="AE225" s="50">
        <v>4.3</v>
      </c>
      <c r="AF225" s="133" t="s">
        <v>105</v>
      </c>
      <c r="AG225" s="52" t="s">
        <v>48</v>
      </c>
      <c r="AH225" s="120" t="s">
        <v>109</v>
      </c>
      <c r="AI225" s="149" t="s">
        <v>189</v>
      </c>
    </row>
    <row r="226" spans="1:35" x14ac:dyDescent="0.2">
      <c r="A226" s="11">
        <v>45959</v>
      </c>
      <c r="B226" s="117">
        <v>0.41458333333333336</v>
      </c>
      <c r="C226" s="50">
        <v>5.3</v>
      </c>
      <c r="D226" s="50">
        <v>5</v>
      </c>
      <c r="E226" s="50">
        <v>11.1</v>
      </c>
      <c r="F226" s="50">
        <v>11</v>
      </c>
      <c r="G226" s="118">
        <f t="shared" si="67"/>
        <v>0.29999999999999982</v>
      </c>
      <c r="H226" s="118">
        <f t="shared" si="68"/>
        <v>9.9999999999999645E-2</v>
      </c>
      <c r="I226" s="50">
        <v>23.8</v>
      </c>
      <c r="J226" s="50">
        <v>12</v>
      </c>
      <c r="K226" s="136">
        <f t="shared" si="69"/>
        <v>0.50420168067226889</v>
      </c>
      <c r="L226" s="139">
        <f t="shared" si="56"/>
        <v>2.0169491525423728</v>
      </c>
      <c r="M226" s="131">
        <f t="shared" si="70"/>
        <v>0.12177121771217714</v>
      </c>
      <c r="N226" s="118">
        <f t="shared" si="78"/>
        <v>11.8</v>
      </c>
      <c r="O226" s="118">
        <f t="shared" si="72"/>
        <v>6.8000000000000007</v>
      </c>
      <c r="P226" s="50">
        <v>10</v>
      </c>
      <c r="Q226" s="131">
        <f t="shared" si="73"/>
        <v>0.57627118644067798</v>
      </c>
      <c r="R226" s="118">
        <f t="shared" si="74"/>
        <v>2.3600000000000003</v>
      </c>
      <c r="S226" s="131">
        <f t="shared" si="75"/>
        <v>-10.8</v>
      </c>
      <c r="T226" s="50">
        <v>18.8</v>
      </c>
      <c r="U226" s="103">
        <f t="shared" si="76"/>
        <v>5</v>
      </c>
      <c r="V226" s="140">
        <f t="shared" si="77"/>
        <v>0.78991596638655459</v>
      </c>
      <c r="W226" s="103">
        <f>+P226+J226</f>
        <v>22</v>
      </c>
      <c r="X226" s="50">
        <v>5</v>
      </c>
      <c r="Y226" s="50">
        <v>0</v>
      </c>
      <c r="Z226" s="118">
        <v>0</v>
      </c>
      <c r="AA226" s="50" t="s">
        <v>74</v>
      </c>
      <c r="AB226" s="134" t="s">
        <v>48</v>
      </c>
      <c r="AC226" s="50">
        <v>0</v>
      </c>
      <c r="AD226" s="118">
        <v>0</v>
      </c>
      <c r="AE226" s="50">
        <v>4.3</v>
      </c>
      <c r="AF226" s="133" t="s">
        <v>105</v>
      </c>
      <c r="AG226" s="52" t="s">
        <v>48</v>
      </c>
      <c r="AH226" s="120" t="s">
        <v>109</v>
      </c>
      <c r="AI226" s="109"/>
    </row>
    <row r="227" spans="1:35" x14ac:dyDescent="0.2">
      <c r="A227" s="11">
        <v>45960</v>
      </c>
      <c r="B227" s="117">
        <v>125.5</v>
      </c>
      <c r="C227" s="50">
        <v>6.5</v>
      </c>
      <c r="D227" s="50">
        <v>6</v>
      </c>
      <c r="E227" s="50">
        <v>12.3</v>
      </c>
      <c r="F227" s="50">
        <v>12</v>
      </c>
      <c r="G227" s="118">
        <f t="shared" si="67"/>
        <v>0.5</v>
      </c>
      <c r="H227" s="118">
        <f t="shared" si="68"/>
        <v>0.30000000000000071</v>
      </c>
      <c r="I227" s="50">
        <v>27.1</v>
      </c>
      <c r="J227" s="50">
        <v>13</v>
      </c>
      <c r="K227" s="136">
        <f t="shared" si="69"/>
        <v>0.47970479704797048</v>
      </c>
      <c r="L227" s="139">
        <f t="shared" si="56"/>
        <v>1.9219858156028367</v>
      </c>
      <c r="M227" s="131">
        <f>(I227-I232)/I227</f>
        <v>0.28044280442804431</v>
      </c>
      <c r="N227" s="118">
        <f>M245</f>
        <v>1</v>
      </c>
      <c r="O227" s="118">
        <f t="shared" ref="O227:O235" si="79">T227-J227</f>
        <v>6.5</v>
      </c>
      <c r="P227" s="50">
        <v>11</v>
      </c>
      <c r="Q227" s="131"/>
      <c r="R227" s="118"/>
      <c r="S227" s="131" t="e">
        <f>(N228-N227)/N228</f>
        <v>#DIV/0!</v>
      </c>
      <c r="T227" s="50">
        <v>19.5</v>
      </c>
      <c r="U227" s="103">
        <f t="shared" ref="U227:U235" si="80">+I227-T227</f>
        <v>7.6000000000000014</v>
      </c>
      <c r="V227" s="140">
        <f t="shared" ref="V227:V235" si="81">+T227/I227</f>
        <v>0.71955719557195563</v>
      </c>
      <c r="W227" s="103">
        <f t="shared" ref="W227:W235" si="82">+P227+J227</f>
        <v>24</v>
      </c>
      <c r="X227" s="50">
        <v>5</v>
      </c>
      <c r="Y227" s="50">
        <v>0</v>
      </c>
      <c r="Z227" s="118">
        <v>0</v>
      </c>
      <c r="AA227" s="50" t="s">
        <v>74</v>
      </c>
      <c r="AB227" s="134" t="s">
        <v>48</v>
      </c>
      <c r="AC227" s="50">
        <v>0</v>
      </c>
      <c r="AD227" s="118">
        <v>0</v>
      </c>
      <c r="AE227" s="50">
        <v>5.4</v>
      </c>
      <c r="AF227" s="133" t="s">
        <v>106</v>
      </c>
      <c r="AG227" s="52" t="s">
        <v>48</v>
      </c>
      <c r="AH227" s="120" t="s">
        <v>109</v>
      </c>
      <c r="AI227" s="109"/>
    </row>
    <row r="228" spans="1:35" hidden="1" x14ac:dyDescent="0.2">
      <c r="A228" s="11">
        <v>45961</v>
      </c>
      <c r="B228" s="117"/>
      <c r="C228" s="50"/>
      <c r="D228" s="50"/>
      <c r="E228" s="50"/>
      <c r="F228" s="50"/>
      <c r="G228" s="118"/>
      <c r="H228" s="118"/>
      <c r="I228" s="50"/>
      <c r="J228" s="50"/>
      <c r="K228" s="136"/>
      <c r="L228" s="139"/>
      <c r="M228" s="131"/>
      <c r="N228" s="118"/>
      <c r="O228" s="118"/>
      <c r="P228" s="50"/>
      <c r="Q228" s="131"/>
      <c r="R228" s="118"/>
      <c r="S228" s="131"/>
      <c r="T228" s="50"/>
      <c r="U228" s="103"/>
      <c r="V228" s="140"/>
      <c r="W228" s="103"/>
      <c r="X228" s="50"/>
      <c r="Y228" s="50"/>
      <c r="Z228" s="118"/>
      <c r="AA228" s="50"/>
      <c r="AB228" s="118"/>
      <c r="AC228" s="50"/>
      <c r="AD228" s="118"/>
      <c r="AE228" s="50"/>
      <c r="AF228" s="50"/>
      <c r="AG228" s="52" t="s">
        <v>48</v>
      </c>
      <c r="AH228" s="120" t="s">
        <v>109</v>
      </c>
      <c r="AI228" s="149" t="s">
        <v>175</v>
      </c>
    </row>
    <row r="229" spans="1:35" hidden="1" x14ac:dyDescent="0.2">
      <c r="A229" s="11">
        <v>45962</v>
      </c>
      <c r="B229" s="117"/>
      <c r="C229" s="50"/>
      <c r="D229" s="50"/>
      <c r="E229" s="50"/>
      <c r="F229" s="50"/>
      <c r="G229" s="118"/>
      <c r="H229" s="118"/>
      <c r="I229" s="50"/>
      <c r="J229" s="50"/>
      <c r="K229" s="136"/>
      <c r="L229" s="139"/>
      <c r="M229" s="131"/>
      <c r="N229" s="118"/>
      <c r="O229" s="118"/>
      <c r="P229" s="50"/>
      <c r="Q229" s="131"/>
      <c r="R229" s="118"/>
      <c r="S229" s="131"/>
      <c r="T229" s="50"/>
      <c r="U229" s="103"/>
      <c r="V229" s="140"/>
      <c r="W229" s="103"/>
      <c r="X229" s="50"/>
      <c r="Y229" s="50"/>
      <c r="Z229" s="118"/>
      <c r="AA229" s="50"/>
      <c r="AB229" s="118"/>
      <c r="AC229" s="50"/>
      <c r="AD229" s="118"/>
      <c r="AE229" s="50"/>
      <c r="AF229" s="50"/>
      <c r="AG229" s="52" t="s">
        <v>48</v>
      </c>
      <c r="AH229" s="109" t="s">
        <v>146</v>
      </c>
      <c r="AI229" s="149" t="s">
        <v>173</v>
      </c>
    </row>
    <row r="230" spans="1:35" hidden="1" x14ac:dyDescent="0.2">
      <c r="A230" s="11">
        <v>45963</v>
      </c>
      <c r="B230" s="117"/>
      <c r="C230" s="50"/>
      <c r="D230" s="50"/>
      <c r="E230" s="50"/>
      <c r="F230" s="50"/>
      <c r="G230" s="118"/>
      <c r="H230" s="118"/>
      <c r="I230" s="50"/>
      <c r="J230" s="50"/>
      <c r="K230" s="136"/>
      <c r="L230" s="139"/>
      <c r="M230" s="131"/>
      <c r="N230" s="118"/>
      <c r="O230" s="118"/>
      <c r="P230" s="50"/>
      <c r="Q230" s="131"/>
      <c r="R230" s="118"/>
      <c r="S230" s="131"/>
      <c r="T230" s="50"/>
      <c r="U230" s="103"/>
      <c r="V230" s="140"/>
      <c r="W230" s="103"/>
      <c r="X230" s="50"/>
      <c r="Y230" s="50"/>
      <c r="Z230" s="118"/>
      <c r="AA230" s="50"/>
      <c r="AB230" s="118"/>
      <c r="AC230" s="50"/>
      <c r="AD230" s="118"/>
      <c r="AE230" s="50"/>
      <c r="AF230" s="50"/>
      <c r="AG230" s="52" t="s">
        <v>48</v>
      </c>
      <c r="AH230" s="120" t="s">
        <v>109</v>
      </c>
      <c r="AI230" s="149"/>
    </row>
    <row r="231" spans="1:35" hidden="1" x14ac:dyDescent="0.2">
      <c r="A231" s="11">
        <v>45964</v>
      </c>
      <c r="B231" s="117"/>
      <c r="C231" s="50"/>
      <c r="D231" s="50"/>
      <c r="E231" s="50"/>
      <c r="F231" s="50"/>
      <c r="G231" s="118"/>
      <c r="H231" s="118"/>
      <c r="I231" s="50"/>
      <c r="J231" s="50"/>
      <c r="K231" s="136"/>
      <c r="L231" s="139"/>
      <c r="M231" s="131"/>
      <c r="N231" s="118"/>
      <c r="O231" s="118"/>
      <c r="P231" s="50"/>
      <c r="Q231" s="131"/>
      <c r="R231" s="118"/>
      <c r="S231" s="131"/>
      <c r="T231" s="50"/>
      <c r="U231" s="103"/>
      <c r="V231" s="140"/>
      <c r="W231" s="103"/>
      <c r="X231" s="50"/>
      <c r="Y231" s="50"/>
      <c r="Z231" s="118"/>
      <c r="AA231" s="50"/>
      <c r="AB231" s="118"/>
      <c r="AC231" s="50"/>
      <c r="AD231" s="118"/>
      <c r="AE231" s="50"/>
      <c r="AF231" s="50"/>
      <c r="AG231" s="52" t="s">
        <v>48</v>
      </c>
      <c r="AH231" s="120" t="s">
        <v>109</v>
      </c>
      <c r="AI231" s="149" t="s">
        <v>174</v>
      </c>
    </row>
    <row r="232" spans="1:35" x14ac:dyDescent="0.2">
      <c r="A232" s="11">
        <v>45965</v>
      </c>
      <c r="B232" s="117">
        <v>6.25E-2</v>
      </c>
      <c r="C232" s="50">
        <v>6.4</v>
      </c>
      <c r="D232" s="50">
        <v>6</v>
      </c>
      <c r="E232" s="50">
        <v>12.5</v>
      </c>
      <c r="F232" s="50">
        <v>12</v>
      </c>
      <c r="G232" s="118">
        <f t="shared" si="67"/>
        <v>0.40000000000000036</v>
      </c>
      <c r="H232" s="118">
        <f t="shared" si="68"/>
        <v>0.5</v>
      </c>
      <c r="I232" s="50">
        <v>19.5</v>
      </c>
      <c r="J232" s="50">
        <v>12.5</v>
      </c>
      <c r="K232" s="136">
        <f t="shared" si="69"/>
        <v>0.64102564102564108</v>
      </c>
      <c r="L232" s="139">
        <f t="shared" si="56"/>
        <v>2.785714285714286</v>
      </c>
      <c r="M232" s="131">
        <f t="shared" si="70"/>
        <v>0.3321917808219178</v>
      </c>
      <c r="N232" s="118">
        <f t="shared" si="78"/>
        <v>7</v>
      </c>
      <c r="O232" s="118">
        <f t="shared" si="79"/>
        <v>6.3000000000000007</v>
      </c>
      <c r="P232" s="50">
        <v>8</v>
      </c>
      <c r="Q232" s="131">
        <f t="shared" si="73"/>
        <v>0.90000000000000013</v>
      </c>
      <c r="R232" s="118"/>
      <c r="S232" s="131">
        <f t="shared" si="75"/>
        <v>0.59302325581395343</v>
      </c>
      <c r="T232" s="50">
        <v>18.8</v>
      </c>
      <c r="U232" s="103">
        <f t="shared" si="80"/>
        <v>0.69999999999999929</v>
      </c>
      <c r="V232" s="140">
        <f t="shared" si="81"/>
        <v>0.96410256410256412</v>
      </c>
      <c r="W232" s="103">
        <f t="shared" si="82"/>
        <v>20.5</v>
      </c>
      <c r="X232" s="50">
        <v>5</v>
      </c>
      <c r="Y232" s="50">
        <v>0</v>
      </c>
      <c r="Z232" s="118"/>
      <c r="AA232" s="50" t="s">
        <v>74</v>
      </c>
      <c r="AB232" s="118"/>
      <c r="AC232" s="50">
        <v>0</v>
      </c>
      <c r="AD232" s="118"/>
      <c r="AE232" s="50">
        <v>6</v>
      </c>
      <c r="AF232" s="50" t="s">
        <v>106</v>
      </c>
      <c r="AG232" s="7"/>
      <c r="AH232" s="120" t="s">
        <v>109</v>
      </c>
      <c r="AI232" s="149" t="s">
        <v>179</v>
      </c>
    </row>
    <row r="233" spans="1:35" x14ac:dyDescent="0.2">
      <c r="A233" s="11">
        <v>45966</v>
      </c>
      <c r="B233" s="117">
        <v>8.3333333333333339</v>
      </c>
      <c r="C233" s="50">
        <v>4.8</v>
      </c>
      <c r="D233" s="50">
        <v>4</v>
      </c>
      <c r="E233" s="50">
        <v>10.5</v>
      </c>
      <c r="F233" s="50">
        <v>10</v>
      </c>
      <c r="G233" s="118">
        <f t="shared" si="67"/>
        <v>0.79999999999999982</v>
      </c>
      <c r="H233" s="118">
        <f t="shared" si="68"/>
        <v>0.5</v>
      </c>
      <c r="I233" s="50">
        <v>29.2</v>
      </c>
      <c r="J233" s="50">
        <v>12</v>
      </c>
      <c r="K233" s="136">
        <f t="shared" si="69"/>
        <v>0.41095890410958907</v>
      </c>
      <c r="L233" s="139">
        <f t="shared" si="56"/>
        <v>1.6976744186046515</v>
      </c>
      <c r="M233" s="131">
        <f t="shared" si="70"/>
        <v>4.5751633986928171E-2</v>
      </c>
      <c r="N233" s="118">
        <f t="shared" si="78"/>
        <v>17.2</v>
      </c>
      <c r="O233" s="118">
        <f t="shared" si="79"/>
        <v>9.3999999999999986</v>
      </c>
      <c r="P233" s="50">
        <v>13</v>
      </c>
      <c r="Q233" s="131">
        <f t="shared" si="73"/>
        <v>0.54651162790697672</v>
      </c>
      <c r="R233" s="139">
        <f t="shared" si="74"/>
        <v>2.2051282051282048</v>
      </c>
      <c r="S233" s="131">
        <f t="shared" si="75"/>
        <v>-5.8479532163741438E-3</v>
      </c>
      <c r="T233" s="50">
        <v>21.4</v>
      </c>
      <c r="U233" s="103">
        <f t="shared" si="80"/>
        <v>7.8000000000000007</v>
      </c>
      <c r="V233" s="140">
        <f t="shared" si="81"/>
        <v>0.73287671232876705</v>
      </c>
      <c r="W233" s="103">
        <f t="shared" si="82"/>
        <v>25</v>
      </c>
      <c r="X233" s="50">
        <v>8</v>
      </c>
      <c r="Y233" s="50">
        <v>0</v>
      </c>
      <c r="Z233" s="118"/>
      <c r="AA233" s="50" t="s">
        <v>74</v>
      </c>
      <c r="AB233" s="118"/>
      <c r="AC233" s="50">
        <v>0</v>
      </c>
      <c r="AD233" s="118"/>
      <c r="AE233" s="50">
        <v>6</v>
      </c>
      <c r="AF233" s="133" t="s">
        <v>105</v>
      </c>
      <c r="AG233" s="7"/>
      <c r="AH233" s="120" t="s">
        <v>109</v>
      </c>
      <c r="AI233" s="149"/>
    </row>
    <row r="234" spans="1:35" x14ac:dyDescent="0.2">
      <c r="A234" s="11">
        <v>45967</v>
      </c>
      <c r="B234" s="117">
        <v>12</v>
      </c>
      <c r="C234" s="50">
        <v>6.2</v>
      </c>
      <c r="D234" s="50">
        <v>5.0999999999999996</v>
      </c>
      <c r="E234" s="50">
        <v>11.9</v>
      </c>
      <c r="F234" s="50">
        <v>11</v>
      </c>
      <c r="G234" s="118">
        <f t="shared" si="67"/>
        <v>1.1000000000000005</v>
      </c>
      <c r="H234" s="118">
        <f t="shared" si="68"/>
        <v>0.90000000000000036</v>
      </c>
      <c r="I234" s="50">
        <v>30.6</v>
      </c>
      <c r="J234" s="50">
        <v>13.5</v>
      </c>
      <c r="K234" s="136">
        <f t="shared" si="69"/>
        <v>0.44117647058823528</v>
      </c>
      <c r="L234" s="139">
        <f t="shared" si="56"/>
        <v>1.7894736842105263</v>
      </c>
      <c r="M234" s="131">
        <f t="shared" si="70"/>
        <v>-3.0303030303030377E-2</v>
      </c>
      <c r="N234" s="118">
        <f t="shared" si="78"/>
        <v>17.100000000000001</v>
      </c>
      <c r="O234" s="118" t="e">
        <f>T234-J234</f>
        <v>#VALUE!</v>
      </c>
      <c r="P234" s="50">
        <v>12.5</v>
      </c>
      <c r="Q234" s="131" t="e">
        <f t="shared" si="73"/>
        <v>#VALUE!</v>
      </c>
      <c r="R234" s="118" t="e">
        <f t="shared" si="74"/>
        <v>#VALUE!</v>
      </c>
      <c r="S234" s="131">
        <f t="shared" si="75"/>
        <v>5.8139534883719689E-3</v>
      </c>
      <c r="T234" s="133" t="s">
        <v>176</v>
      </c>
      <c r="U234" s="103" t="e">
        <f t="shared" si="80"/>
        <v>#VALUE!</v>
      </c>
      <c r="V234" s="140" t="e">
        <f t="shared" si="81"/>
        <v>#VALUE!</v>
      </c>
      <c r="W234" s="103">
        <f t="shared" si="82"/>
        <v>26</v>
      </c>
      <c r="X234" s="50">
        <v>6</v>
      </c>
      <c r="Y234" s="50">
        <v>0</v>
      </c>
      <c r="Z234" s="118"/>
      <c r="AA234" s="50" t="s">
        <v>74</v>
      </c>
      <c r="AB234" s="118"/>
      <c r="AC234" s="50">
        <v>0</v>
      </c>
      <c r="AD234" s="118"/>
      <c r="AE234" s="50"/>
      <c r="AF234" s="50"/>
      <c r="AG234" s="7"/>
      <c r="AH234" s="120" t="s">
        <v>109</v>
      </c>
      <c r="AI234" s="149"/>
    </row>
    <row r="235" spans="1:35" x14ac:dyDescent="0.2">
      <c r="A235" s="11">
        <v>45968</v>
      </c>
      <c r="B235" s="117">
        <v>0.40972222222222221</v>
      </c>
      <c r="C235" s="50">
        <v>6.2</v>
      </c>
      <c r="D235" s="50">
        <v>5.0999999999999996</v>
      </c>
      <c r="E235" s="50">
        <v>11.8</v>
      </c>
      <c r="F235" s="50">
        <v>11.2</v>
      </c>
      <c r="G235" s="118">
        <f t="shared" si="67"/>
        <v>1.1000000000000005</v>
      </c>
      <c r="H235" s="118">
        <f t="shared" si="68"/>
        <v>0.60000000000000142</v>
      </c>
      <c r="I235" s="50">
        <v>29.7</v>
      </c>
      <c r="J235" s="50">
        <v>12.5</v>
      </c>
      <c r="K235" s="136">
        <f t="shared" si="69"/>
        <v>0.4208754208754209</v>
      </c>
      <c r="L235" s="139">
        <f t="shared" si="56"/>
        <v>1.7267441860465116</v>
      </c>
      <c r="M235" s="131"/>
      <c r="N235" s="118">
        <f t="shared" si="78"/>
        <v>17.2</v>
      </c>
      <c r="O235" s="118">
        <f t="shared" si="79"/>
        <v>11.5</v>
      </c>
      <c r="P235" s="50">
        <v>12.5</v>
      </c>
      <c r="Q235" s="131">
        <f t="shared" si="73"/>
        <v>0.66860465116279078</v>
      </c>
      <c r="R235" s="139">
        <f t="shared" si="74"/>
        <v>3.0175438596491233</v>
      </c>
      <c r="S235" s="131" t="e">
        <f t="shared" si="75"/>
        <v>#DIV/0!</v>
      </c>
      <c r="T235" s="50">
        <v>24</v>
      </c>
      <c r="U235" s="103">
        <f t="shared" si="80"/>
        <v>5.6999999999999993</v>
      </c>
      <c r="V235" s="140">
        <f t="shared" si="81"/>
        <v>0.80808080808080807</v>
      </c>
      <c r="W235" s="103">
        <f t="shared" si="82"/>
        <v>25</v>
      </c>
      <c r="X235" s="50">
        <v>6</v>
      </c>
      <c r="Y235" s="50">
        <v>0</v>
      </c>
      <c r="Z235" s="118"/>
      <c r="AA235" s="50" t="s">
        <v>74</v>
      </c>
      <c r="AB235" s="118"/>
      <c r="AC235" s="50">
        <v>0</v>
      </c>
      <c r="AD235" s="118"/>
      <c r="AE235" s="50"/>
      <c r="AF235" s="50"/>
      <c r="AG235" s="7"/>
      <c r="AH235" s="120" t="s">
        <v>109</v>
      </c>
      <c r="AI235" s="149" t="s">
        <v>180</v>
      </c>
    </row>
    <row r="236" spans="1:35" hidden="1" x14ac:dyDescent="0.2">
      <c r="A236" s="11">
        <v>45969</v>
      </c>
      <c r="B236" s="117"/>
      <c r="C236" s="50"/>
      <c r="D236" s="50"/>
      <c r="E236" s="50"/>
      <c r="F236" s="50"/>
      <c r="G236" s="118"/>
      <c r="H236" s="118"/>
      <c r="I236" s="50"/>
      <c r="J236" s="50"/>
      <c r="K236" s="136"/>
      <c r="L236" s="139"/>
      <c r="M236" s="131" t="e">
        <f t="shared" si="70"/>
        <v>#DIV/0!</v>
      </c>
      <c r="N236" s="118"/>
      <c r="O236" s="118"/>
      <c r="P236" s="50"/>
      <c r="Q236" s="131"/>
      <c r="R236" s="118"/>
      <c r="S236" s="131"/>
      <c r="T236" s="50"/>
      <c r="U236" s="103"/>
      <c r="V236" s="140"/>
      <c r="W236" s="103"/>
      <c r="X236" s="50"/>
      <c r="Y236" s="50"/>
      <c r="Z236" s="118"/>
      <c r="AA236" s="50"/>
      <c r="AB236" s="118"/>
      <c r="AC236" s="50"/>
      <c r="AD236" s="118"/>
      <c r="AE236" s="50"/>
      <c r="AF236" s="50"/>
      <c r="AG236" s="7"/>
      <c r="AH236" s="120" t="s">
        <v>146</v>
      </c>
      <c r="AI236" s="149" t="s">
        <v>181</v>
      </c>
    </row>
    <row r="237" spans="1:35" hidden="1" x14ac:dyDescent="0.2">
      <c r="A237" s="11">
        <v>45970</v>
      </c>
      <c r="B237" s="117"/>
      <c r="C237" s="133"/>
      <c r="D237" s="133"/>
      <c r="E237" s="133"/>
      <c r="F237" s="133"/>
      <c r="G237" s="134"/>
      <c r="H237" s="134"/>
      <c r="I237" s="133"/>
      <c r="J237" s="133"/>
      <c r="K237" s="137"/>
      <c r="L237" s="139"/>
      <c r="M237" s="131" t="e">
        <f t="shared" si="70"/>
        <v>#DIV/0!</v>
      </c>
      <c r="N237" s="118"/>
      <c r="O237" s="118"/>
      <c r="P237" s="50"/>
      <c r="Q237" s="131"/>
      <c r="R237" s="118"/>
      <c r="S237" s="131"/>
      <c r="T237" s="50"/>
      <c r="U237" s="103"/>
      <c r="V237" s="140"/>
      <c r="W237" s="103"/>
      <c r="X237" s="50"/>
      <c r="Y237" s="50"/>
      <c r="Z237" s="118"/>
      <c r="AA237" s="50"/>
      <c r="AB237" s="118"/>
      <c r="AC237" s="50"/>
      <c r="AD237" s="118"/>
      <c r="AE237" s="50"/>
      <c r="AF237" s="50"/>
      <c r="AG237" s="7"/>
      <c r="AH237" s="120" t="s">
        <v>146</v>
      </c>
      <c r="AI237" s="149" t="s">
        <v>182</v>
      </c>
    </row>
    <row r="238" spans="1:35" hidden="1" x14ac:dyDescent="0.2">
      <c r="A238" s="11">
        <v>45971</v>
      </c>
      <c r="B238" s="117"/>
      <c r="C238" s="133"/>
      <c r="D238" s="133"/>
      <c r="E238" s="133"/>
      <c r="F238" s="133"/>
      <c r="G238" s="134"/>
      <c r="H238" s="134"/>
      <c r="I238" s="133"/>
      <c r="J238" s="133"/>
      <c r="K238" s="135"/>
      <c r="L238" s="139"/>
      <c r="M238" s="131" t="e">
        <f t="shared" si="70"/>
        <v>#DIV/0!</v>
      </c>
      <c r="N238" s="118"/>
      <c r="O238" s="118"/>
      <c r="P238" s="50"/>
      <c r="Q238" s="131"/>
      <c r="R238" s="118"/>
      <c r="S238" s="131"/>
      <c r="T238" s="50"/>
      <c r="U238" s="103"/>
      <c r="V238" s="140"/>
      <c r="W238" s="103"/>
      <c r="X238" s="50"/>
      <c r="Y238" s="50"/>
      <c r="Z238" s="118"/>
      <c r="AA238" s="50"/>
      <c r="AB238" s="118"/>
      <c r="AC238" s="50"/>
      <c r="AD238" s="118"/>
      <c r="AE238" s="50"/>
      <c r="AF238" s="50"/>
      <c r="AG238" s="7"/>
      <c r="AH238" s="120" t="s">
        <v>109</v>
      </c>
      <c r="AI238" s="149" t="s">
        <v>190</v>
      </c>
    </row>
    <row r="239" spans="1:35" hidden="1" x14ac:dyDescent="0.2">
      <c r="A239" s="11">
        <v>45972</v>
      </c>
      <c r="B239" s="15"/>
      <c r="C239" s="133"/>
      <c r="D239" s="133"/>
      <c r="E239" s="133"/>
      <c r="F239" s="133"/>
      <c r="G239" s="134"/>
      <c r="H239" s="134"/>
      <c r="I239" s="133"/>
      <c r="J239" s="133"/>
      <c r="K239" s="135"/>
      <c r="L239" s="139"/>
      <c r="M239" s="131" t="e">
        <f t="shared" si="70"/>
        <v>#DIV/0!</v>
      </c>
      <c r="N239" s="118"/>
      <c r="O239" s="118"/>
      <c r="P239" s="50"/>
      <c r="Q239" s="131"/>
      <c r="R239" s="118"/>
      <c r="S239" s="131"/>
      <c r="T239" s="50"/>
      <c r="U239" s="103"/>
      <c r="V239" s="140"/>
      <c r="W239" s="103"/>
      <c r="X239" s="50"/>
      <c r="Y239" s="50"/>
      <c r="Z239" s="118"/>
      <c r="AA239" s="50"/>
      <c r="AB239" s="118"/>
      <c r="AC239" s="50"/>
      <c r="AD239" s="118"/>
      <c r="AE239" s="50"/>
      <c r="AF239" s="50"/>
      <c r="AG239" s="7"/>
      <c r="AH239" s="109"/>
      <c r="AI239" s="109"/>
    </row>
    <row r="240" spans="1:35" hidden="1" x14ac:dyDescent="0.2">
      <c r="A240" s="11">
        <v>45973</v>
      </c>
      <c r="B240" s="15"/>
      <c r="C240" s="133"/>
      <c r="D240" s="133"/>
      <c r="E240" s="133"/>
      <c r="F240" s="133"/>
      <c r="G240" s="134"/>
      <c r="H240" s="134"/>
      <c r="I240" s="133"/>
      <c r="J240" s="133"/>
      <c r="K240" s="135"/>
      <c r="L240" s="139"/>
      <c r="M240" s="131" t="e">
        <f t="shared" si="70"/>
        <v>#DIV/0!</v>
      </c>
      <c r="N240" s="118"/>
      <c r="O240" s="118"/>
      <c r="P240" s="50"/>
      <c r="Q240" s="131"/>
      <c r="R240" s="118"/>
      <c r="S240" s="131"/>
      <c r="T240" s="50"/>
      <c r="U240" s="103"/>
      <c r="V240" s="140"/>
      <c r="W240" s="103"/>
      <c r="X240" s="50"/>
      <c r="Y240" s="50"/>
      <c r="Z240" s="118"/>
      <c r="AA240" s="50"/>
      <c r="AB240" s="118"/>
      <c r="AC240" s="50"/>
      <c r="AD240" s="118"/>
      <c r="AE240" s="50"/>
      <c r="AF240" s="50"/>
      <c r="AG240" s="7"/>
      <c r="AH240" s="109"/>
      <c r="AI240" s="109"/>
    </row>
    <row r="241" spans="1:35" hidden="1" x14ac:dyDescent="0.2">
      <c r="A241" s="11">
        <v>45974</v>
      </c>
      <c r="B241" s="15"/>
      <c r="C241" s="133"/>
      <c r="D241" s="133"/>
      <c r="E241" s="133"/>
      <c r="F241" s="133"/>
      <c r="G241" s="134"/>
      <c r="H241" s="134"/>
      <c r="I241" s="133"/>
      <c r="J241" s="133"/>
      <c r="K241" s="135"/>
      <c r="L241" s="139"/>
      <c r="M241" s="131" t="e">
        <f t="shared" si="70"/>
        <v>#DIV/0!</v>
      </c>
      <c r="N241" s="118"/>
      <c r="O241" s="118"/>
      <c r="P241" s="50"/>
      <c r="Q241" s="131"/>
      <c r="R241" s="118"/>
      <c r="S241" s="131"/>
      <c r="T241" s="50"/>
      <c r="U241" s="103"/>
      <c r="V241" s="140"/>
      <c r="W241" s="103"/>
      <c r="X241" s="50"/>
      <c r="Y241" s="50"/>
      <c r="Z241" s="118"/>
      <c r="AA241" s="50"/>
      <c r="AB241" s="118"/>
      <c r="AC241" s="50"/>
      <c r="AD241" s="118"/>
      <c r="AE241" s="50"/>
      <c r="AF241" s="50"/>
      <c r="AG241" s="7"/>
      <c r="AH241" s="120" t="s">
        <v>109</v>
      </c>
      <c r="AI241" s="149" t="s">
        <v>191</v>
      </c>
    </row>
    <row r="242" spans="1:35" hidden="1" x14ac:dyDescent="0.2">
      <c r="A242" s="11">
        <v>45975</v>
      </c>
      <c r="B242" s="15"/>
      <c r="C242" s="133"/>
      <c r="D242" s="133"/>
      <c r="E242" s="133"/>
      <c r="F242" s="133"/>
      <c r="G242" s="134"/>
      <c r="H242" s="134"/>
      <c r="I242" s="133"/>
      <c r="J242" s="133"/>
      <c r="K242" s="135"/>
      <c r="L242" s="139"/>
      <c r="M242" s="131" t="e">
        <f t="shared" si="70"/>
        <v>#DIV/0!</v>
      </c>
      <c r="N242" s="118"/>
      <c r="O242" s="118"/>
      <c r="P242" s="50"/>
      <c r="Q242" s="131"/>
      <c r="R242" s="118"/>
      <c r="S242" s="131"/>
      <c r="T242" s="50"/>
      <c r="U242" s="103"/>
      <c r="V242" s="140"/>
      <c r="W242" s="103"/>
      <c r="X242" s="50"/>
      <c r="Y242" s="50"/>
      <c r="Z242" s="118"/>
      <c r="AA242" s="50"/>
      <c r="AB242" s="118"/>
      <c r="AC242" s="50"/>
      <c r="AD242" s="118"/>
      <c r="AE242" s="50"/>
      <c r="AF242" s="50"/>
      <c r="AG242" s="7"/>
      <c r="AH242" s="120" t="s">
        <v>109</v>
      </c>
      <c r="AI242" s="149"/>
    </row>
    <row r="243" spans="1:35" hidden="1" x14ac:dyDescent="0.2">
      <c r="A243" s="11">
        <v>45976</v>
      </c>
      <c r="B243" s="15"/>
      <c r="C243" s="133"/>
      <c r="D243" s="133"/>
      <c r="E243" s="133"/>
      <c r="F243" s="133"/>
      <c r="G243" s="134"/>
      <c r="H243" s="134"/>
      <c r="I243" s="133"/>
      <c r="J243" s="133"/>
      <c r="K243" s="135"/>
      <c r="L243" s="139"/>
      <c r="M243" s="131" t="e">
        <f t="shared" si="70"/>
        <v>#DIV/0!</v>
      </c>
      <c r="N243" s="118"/>
      <c r="O243" s="118"/>
      <c r="P243" s="50"/>
      <c r="Q243" s="131"/>
      <c r="R243" s="118"/>
      <c r="S243" s="131"/>
      <c r="T243" s="50"/>
      <c r="U243" s="103"/>
      <c r="V243" s="140"/>
      <c r="W243" s="103"/>
      <c r="X243" s="50"/>
      <c r="Y243" s="50"/>
      <c r="Z243" s="118"/>
      <c r="AA243" s="50"/>
      <c r="AB243" s="118"/>
      <c r="AC243" s="50"/>
      <c r="AD243" s="118"/>
      <c r="AE243" s="50"/>
      <c r="AF243" s="50"/>
      <c r="AG243" s="7"/>
      <c r="AH243" s="120" t="s">
        <v>146</v>
      </c>
      <c r="AI243" s="149" t="s">
        <v>183</v>
      </c>
    </row>
    <row r="244" spans="1:35" hidden="1" x14ac:dyDescent="0.2">
      <c r="A244" s="11">
        <v>45977</v>
      </c>
      <c r="B244" s="15"/>
      <c r="C244" s="133"/>
      <c r="D244" s="133"/>
      <c r="E244" s="133"/>
      <c r="F244" s="133"/>
      <c r="G244" s="134"/>
      <c r="H244" s="134"/>
      <c r="I244" s="133"/>
      <c r="J244" s="133"/>
      <c r="K244" s="138"/>
      <c r="L244" s="139"/>
      <c r="M244" s="131" t="e">
        <f t="shared" si="70"/>
        <v>#DIV/0!</v>
      </c>
      <c r="N244" s="118"/>
      <c r="O244" s="118"/>
      <c r="P244" s="50"/>
      <c r="Q244" s="131"/>
      <c r="R244" s="118"/>
      <c r="S244" s="131"/>
      <c r="T244" s="50"/>
      <c r="U244" s="103"/>
      <c r="V244" s="140"/>
      <c r="W244" s="103"/>
      <c r="X244" s="50"/>
      <c r="Y244" s="50"/>
      <c r="Z244" s="118"/>
      <c r="AA244" s="50"/>
      <c r="AB244" s="118"/>
      <c r="AC244" s="50"/>
      <c r="AD244" s="118"/>
      <c r="AE244" s="50"/>
      <c r="AF244" s="158"/>
      <c r="AG244" s="7"/>
      <c r="AH244" s="120" t="s">
        <v>146</v>
      </c>
      <c r="AI244" s="149" t="s">
        <v>194</v>
      </c>
    </row>
    <row r="245" spans="1:35" hidden="1" x14ac:dyDescent="0.2">
      <c r="A245" s="11">
        <v>45978</v>
      </c>
      <c r="B245" s="15"/>
      <c r="C245" s="133"/>
      <c r="D245" s="133"/>
      <c r="E245" s="133"/>
      <c r="F245" s="133"/>
      <c r="G245" s="134"/>
      <c r="H245" s="134"/>
      <c r="I245" s="133"/>
      <c r="J245" s="133"/>
      <c r="K245" s="135"/>
      <c r="L245" s="139"/>
      <c r="M245" s="131">
        <f t="shared" si="70"/>
        <v>1</v>
      </c>
      <c r="N245" s="118"/>
      <c r="O245" s="118"/>
      <c r="P245" s="50"/>
      <c r="Q245" s="131"/>
      <c r="R245" s="118"/>
      <c r="S245" s="131"/>
      <c r="T245" s="50"/>
      <c r="U245" s="103"/>
      <c r="V245" s="140"/>
      <c r="W245" s="103"/>
      <c r="X245" s="50"/>
      <c r="Y245" s="50"/>
      <c r="Z245" s="118"/>
      <c r="AA245" s="50"/>
      <c r="AB245" s="118"/>
      <c r="AC245" s="50"/>
      <c r="AD245" s="118"/>
      <c r="AE245" s="50"/>
      <c r="AF245" s="50"/>
      <c r="AG245" s="7"/>
      <c r="AH245" s="120" t="s">
        <v>109</v>
      </c>
      <c r="AI245" s="149"/>
    </row>
    <row r="246" spans="1:35" x14ac:dyDescent="0.2">
      <c r="A246" s="11">
        <v>45979</v>
      </c>
      <c r="B246" s="15">
        <v>0.58333333333333337</v>
      </c>
      <c r="C246" s="133">
        <v>4.2</v>
      </c>
      <c r="D246" s="133">
        <v>3</v>
      </c>
      <c r="E246" s="133">
        <v>9.8000000000000007</v>
      </c>
      <c r="F246" s="133">
        <v>9</v>
      </c>
      <c r="G246" s="134">
        <f t="shared" ref="G246:G309" si="83">C246-D246</f>
        <v>1.2000000000000002</v>
      </c>
      <c r="H246" s="134">
        <f t="shared" ref="H246:H263" si="84">E246-F246</f>
        <v>0.80000000000000071</v>
      </c>
      <c r="I246" s="133">
        <v>29.4</v>
      </c>
      <c r="J246" s="133">
        <v>12</v>
      </c>
      <c r="K246" s="135">
        <f t="shared" ref="K246:K309" si="85">J246/I246</f>
        <v>0.40816326530612246</v>
      </c>
      <c r="L246" s="139">
        <f t="shared" ref="L246:L309" si="86">1/(1-K246)</f>
        <v>1.6896551724137931</v>
      </c>
      <c r="M246" s="131">
        <f t="shared" si="70"/>
        <v>4.2345276872964195E-2</v>
      </c>
      <c r="N246" s="118">
        <f t="shared" ref="N246:N309" si="87">I246-J246</f>
        <v>17.399999999999999</v>
      </c>
      <c r="O246" s="118">
        <f t="shared" ref="O246:O309" si="88">T246-J246</f>
        <v>9.8000000000000007</v>
      </c>
      <c r="P246" s="50">
        <v>14</v>
      </c>
      <c r="Q246" s="131">
        <f t="shared" ref="Q246:Q272" si="89">O246/N246</f>
        <v>0.56321839080459779</v>
      </c>
      <c r="R246" s="139">
        <f t="shared" ref="R246:R309" si="90">1/(1-Q246)</f>
        <v>2.289473684210527</v>
      </c>
      <c r="S246" s="131">
        <f t="shared" ref="S246:S274" si="91">(N247-N246)/N247</f>
        <v>6.9518716577540149E-2</v>
      </c>
      <c r="T246" s="50">
        <v>21.8</v>
      </c>
      <c r="U246" s="103">
        <f t="shared" ref="U246:U309" si="92">+I246-T246</f>
        <v>7.5999999999999979</v>
      </c>
      <c r="V246" s="140">
        <f t="shared" ref="V246:V309" si="93">+T246/I246</f>
        <v>0.74149659863945583</v>
      </c>
      <c r="W246" s="103">
        <f t="shared" ref="W246:W309" si="94">+P246+J246</f>
        <v>26</v>
      </c>
      <c r="X246" s="50">
        <v>6</v>
      </c>
      <c r="Y246" s="50">
        <v>0</v>
      </c>
      <c r="Z246" s="118"/>
      <c r="AA246" s="133" t="s">
        <v>74</v>
      </c>
      <c r="AB246" s="118"/>
      <c r="AC246" s="50">
        <v>0</v>
      </c>
      <c r="AD246" s="118"/>
      <c r="AE246" s="50">
        <v>4.2</v>
      </c>
      <c r="AF246" s="133" t="s">
        <v>106</v>
      </c>
      <c r="AG246" s="7"/>
      <c r="AH246" s="120" t="s">
        <v>109</v>
      </c>
      <c r="AI246" s="120"/>
    </row>
    <row r="247" spans="1:35" x14ac:dyDescent="0.2">
      <c r="A247" s="11">
        <v>45980</v>
      </c>
      <c r="B247" s="15">
        <v>2</v>
      </c>
      <c r="C247" s="133">
        <v>4.3</v>
      </c>
      <c r="D247" s="133">
        <v>3</v>
      </c>
      <c r="E247" s="133">
        <v>9.9</v>
      </c>
      <c r="F247" s="133">
        <v>9</v>
      </c>
      <c r="G247" s="134">
        <f t="shared" si="83"/>
        <v>1.2999999999999998</v>
      </c>
      <c r="H247" s="134">
        <f t="shared" si="84"/>
        <v>0.90000000000000036</v>
      </c>
      <c r="I247" s="133">
        <v>30.7</v>
      </c>
      <c r="J247" s="133">
        <v>12</v>
      </c>
      <c r="K247" s="135">
        <f t="shared" si="85"/>
        <v>0.39087947882736157</v>
      </c>
      <c r="L247" s="139">
        <f t="shared" si="86"/>
        <v>1.641711229946524</v>
      </c>
      <c r="M247" s="131">
        <f t="shared" si="70"/>
        <v>0.13521126760563382</v>
      </c>
      <c r="N247" s="118">
        <f t="shared" si="87"/>
        <v>18.7</v>
      </c>
      <c r="O247" s="118">
        <f t="shared" si="88"/>
        <v>11.600000000000001</v>
      </c>
      <c r="P247" s="50">
        <v>14.2</v>
      </c>
      <c r="Q247" s="131">
        <f t="shared" si="89"/>
        <v>0.62032085561497341</v>
      </c>
      <c r="R247" s="139">
        <f t="shared" si="90"/>
        <v>2.6338028169014094</v>
      </c>
      <c r="S247" s="131">
        <f t="shared" si="91"/>
        <v>0.19742489270386271</v>
      </c>
      <c r="T247" s="50">
        <v>23.6</v>
      </c>
      <c r="U247" s="103">
        <f t="shared" si="92"/>
        <v>7.0999999999999979</v>
      </c>
      <c r="V247" s="140">
        <f t="shared" si="93"/>
        <v>0.76872964169381119</v>
      </c>
      <c r="W247" s="103">
        <f t="shared" si="94"/>
        <v>26.2</v>
      </c>
      <c r="X247" s="50">
        <v>6</v>
      </c>
      <c r="Y247" s="50">
        <v>0</v>
      </c>
      <c r="Z247" s="118"/>
      <c r="AA247" s="133" t="s">
        <v>74</v>
      </c>
      <c r="AB247" s="118"/>
      <c r="AC247" s="50">
        <v>0</v>
      </c>
      <c r="AD247" s="118"/>
      <c r="AE247" s="50">
        <v>5.0999999999999996</v>
      </c>
      <c r="AF247" s="133" t="s">
        <v>106</v>
      </c>
      <c r="AG247" s="7"/>
      <c r="AH247" s="120" t="s">
        <v>109</v>
      </c>
      <c r="AI247" s="109"/>
    </row>
    <row r="248" spans="1:35" x14ac:dyDescent="0.2">
      <c r="A248" s="11">
        <v>45981</v>
      </c>
      <c r="B248" s="15">
        <v>3.625</v>
      </c>
      <c r="C248" s="133">
        <v>5.8</v>
      </c>
      <c r="D248" s="133">
        <v>5</v>
      </c>
      <c r="E248" s="133">
        <v>11.2</v>
      </c>
      <c r="F248" s="133">
        <v>11</v>
      </c>
      <c r="G248" s="134">
        <f t="shared" si="83"/>
        <v>0.79999999999999982</v>
      </c>
      <c r="H248" s="134">
        <f t="shared" si="84"/>
        <v>0.19999999999999929</v>
      </c>
      <c r="I248" s="133">
        <v>35.5</v>
      </c>
      <c r="J248" s="133">
        <v>12.2</v>
      </c>
      <c r="K248" s="135">
        <f t="shared" si="85"/>
        <v>0.3436619718309859</v>
      </c>
      <c r="L248" s="139">
        <f t="shared" si="86"/>
        <v>1.5236051502145922</v>
      </c>
      <c r="M248" s="131">
        <f t="shared" si="70"/>
        <v>-5.6547619047619006E-2</v>
      </c>
      <c r="N248" s="118">
        <f t="shared" si="87"/>
        <v>23.3</v>
      </c>
      <c r="O248" s="118">
        <f t="shared" si="88"/>
        <v>16.8</v>
      </c>
      <c r="P248" s="50">
        <v>15.8</v>
      </c>
      <c r="Q248" s="131">
        <f t="shared" si="89"/>
        <v>0.72103004291845496</v>
      </c>
      <c r="R248" s="139">
        <f t="shared" si="90"/>
        <v>3.5846153846153848</v>
      </c>
      <c r="S248" s="131">
        <f t="shared" si="91"/>
        <v>-0.13106796116504851</v>
      </c>
      <c r="T248" s="50">
        <v>29</v>
      </c>
      <c r="U248" s="103">
        <f t="shared" si="92"/>
        <v>6.5</v>
      </c>
      <c r="V248" s="140">
        <f t="shared" si="93"/>
        <v>0.81690140845070425</v>
      </c>
      <c r="W248" s="103">
        <f t="shared" si="94"/>
        <v>28</v>
      </c>
      <c r="X248" s="50">
        <v>7</v>
      </c>
      <c r="Y248" s="50">
        <v>0</v>
      </c>
      <c r="Z248" s="118"/>
      <c r="AA248" s="133" t="s">
        <v>74</v>
      </c>
      <c r="AB248" s="118"/>
      <c r="AC248" s="50">
        <v>0</v>
      </c>
      <c r="AD248" s="118"/>
      <c r="AE248" s="50">
        <v>3.5</v>
      </c>
      <c r="AF248" s="133" t="s">
        <v>105</v>
      </c>
      <c r="AG248" s="7"/>
      <c r="AH248" s="120" t="s">
        <v>109</v>
      </c>
      <c r="AI248" s="149" t="s">
        <v>192</v>
      </c>
    </row>
    <row r="249" spans="1:35" x14ac:dyDescent="0.2">
      <c r="A249" s="11">
        <v>45982</v>
      </c>
      <c r="B249" s="15">
        <v>2.5833333333333335</v>
      </c>
      <c r="C249" s="133">
        <v>5.8</v>
      </c>
      <c r="D249" s="133">
        <v>5</v>
      </c>
      <c r="E249" s="133">
        <v>11.3</v>
      </c>
      <c r="F249" s="133">
        <v>10.8</v>
      </c>
      <c r="G249" s="134">
        <f t="shared" si="83"/>
        <v>0.79999999999999982</v>
      </c>
      <c r="H249" s="134">
        <f t="shared" si="84"/>
        <v>0.5</v>
      </c>
      <c r="I249" s="133">
        <v>33.6</v>
      </c>
      <c r="J249" s="133">
        <v>13</v>
      </c>
      <c r="K249" s="135">
        <f t="shared" si="85"/>
        <v>0.38690476190476186</v>
      </c>
      <c r="L249" s="139">
        <f t="shared" si="86"/>
        <v>1.6310679611650485</v>
      </c>
      <c r="M249" s="131"/>
      <c r="N249" s="118">
        <f t="shared" si="87"/>
        <v>20.6</v>
      </c>
      <c r="O249" s="118">
        <f t="shared" si="88"/>
        <v>14.899999999999999</v>
      </c>
      <c r="P249" s="50">
        <v>15</v>
      </c>
      <c r="Q249" s="131">
        <f t="shared" si="89"/>
        <v>0.72330097087378631</v>
      </c>
      <c r="R249" s="139">
        <f t="shared" si="90"/>
        <v>3.614035087719297</v>
      </c>
      <c r="S249" s="131" t="e">
        <f t="shared" si="91"/>
        <v>#DIV/0!</v>
      </c>
      <c r="T249" s="50">
        <v>27.9</v>
      </c>
      <c r="U249" s="103">
        <f t="shared" si="92"/>
        <v>5.7000000000000028</v>
      </c>
      <c r="V249" s="140">
        <f t="shared" si="93"/>
        <v>0.83035714285714279</v>
      </c>
      <c r="W249" s="103">
        <f t="shared" si="94"/>
        <v>28</v>
      </c>
      <c r="X249" s="50">
        <v>6.2</v>
      </c>
      <c r="Y249" s="50">
        <v>0</v>
      </c>
      <c r="Z249" s="118"/>
      <c r="AA249" s="133" t="s">
        <v>74</v>
      </c>
      <c r="AB249" s="118"/>
      <c r="AC249" s="50">
        <v>0</v>
      </c>
      <c r="AD249" s="118"/>
      <c r="AE249" s="50">
        <v>3.5</v>
      </c>
      <c r="AF249" s="133" t="s">
        <v>105</v>
      </c>
      <c r="AG249" s="7"/>
      <c r="AH249" s="120" t="s">
        <v>109</v>
      </c>
      <c r="AI249" s="109"/>
    </row>
    <row r="250" spans="1:35" hidden="1" x14ac:dyDescent="0.2">
      <c r="A250" s="11">
        <v>45983</v>
      </c>
      <c r="B250" s="15"/>
      <c r="C250" s="133"/>
      <c r="D250" s="133"/>
      <c r="E250" s="133"/>
      <c r="F250" s="133"/>
      <c r="G250" s="134"/>
      <c r="H250" s="134"/>
      <c r="I250" s="133"/>
      <c r="J250" s="133"/>
      <c r="K250" s="135"/>
      <c r="L250" s="139"/>
      <c r="M250" s="131" t="e">
        <f t="shared" si="70"/>
        <v>#DIV/0!</v>
      </c>
      <c r="N250" s="118"/>
      <c r="O250" s="118"/>
      <c r="P250" s="50"/>
      <c r="Q250" s="131"/>
      <c r="R250" s="118"/>
      <c r="S250" s="131"/>
      <c r="T250" s="50"/>
      <c r="U250" s="103">
        <f t="shared" si="92"/>
        <v>0</v>
      </c>
      <c r="V250" s="140"/>
      <c r="W250" s="103">
        <f t="shared" si="94"/>
        <v>0</v>
      </c>
      <c r="X250" s="50"/>
      <c r="Y250" s="50"/>
      <c r="Z250" s="118"/>
      <c r="AA250" s="50"/>
      <c r="AB250" s="118"/>
      <c r="AC250" s="50"/>
      <c r="AD250" s="118"/>
      <c r="AE250" s="50"/>
      <c r="AF250" s="50"/>
      <c r="AG250" s="7"/>
      <c r="AH250" s="109"/>
      <c r="AI250" s="109"/>
    </row>
    <row r="251" spans="1:35" hidden="1" x14ac:dyDescent="0.2">
      <c r="A251" s="11">
        <v>45984</v>
      </c>
      <c r="B251" s="15"/>
      <c r="C251" s="50"/>
      <c r="D251" s="50"/>
      <c r="E251" s="50"/>
      <c r="F251" s="50"/>
      <c r="G251" s="118"/>
      <c r="H251" s="118"/>
      <c r="I251" s="50"/>
      <c r="J251" s="50"/>
      <c r="K251" s="131"/>
      <c r="L251" s="139"/>
      <c r="M251" s="131">
        <f t="shared" si="70"/>
        <v>1</v>
      </c>
      <c r="N251" s="118"/>
      <c r="O251" s="118"/>
      <c r="P251" s="50"/>
      <c r="Q251" s="131"/>
      <c r="R251" s="118"/>
      <c r="S251" s="131"/>
      <c r="T251" s="50"/>
      <c r="U251" s="103">
        <f t="shared" si="92"/>
        <v>0</v>
      </c>
      <c r="V251" s="140"/>
      <c r="W251" s="103">
        <f t="shared" si="94"/>
        <v>0</v>
      </c>
      <c r="X251" s="50"/>
      <c r="Y251" s="50"/>
      <c r="Z251" s="118"/>
      <c r="AA251" s="50"/>
      <c r="AB251" s="118"/>
      <c r="AC251" s="50"/>
      <c r="AD251" s="118"/>
      <c r="AE251" s="50"/>
      <c r="AF251" s="50"/>
      <c r="AG251" s="7"/>
      <c r="AH251" s="120" t="s">
        <v>146</v>
      </c>
      <c r="AI251" s="149" t="s">
        <v>198</v>
      </c>
    </row>
    <row r="252" spans="1:35" x14ac:dyDescent="0.2">
      <c r="A252" s="11">
        <v>45985</v>
      </c>
      <c r="B252" s="15">
        <v>0.36736111111111114</v>
      </c>
      <c r="C252" s="50">
        <v>5.2</v>
      </c>
      <c r="D252" s="50">
        <v>4</v>
      </c>
      <c r="E252" s="50">
        <v>10.6</v>
      </c>
      <c r="F252" s="50">
        <v>10</v>
      </c>
      <c r="G252" s="118">
        <f t="shared" si="83"/>
        <v>1.2000000000000002</v>
      </c>
      <c r="H252" s="118">
        <f t="shared" si="84"/>
        <v>0.59999999999999964</v>
      </c>
      <c r="I252" s="50">
        <v>32.700000000000003</v>
      </c>
      <c r="J252" s="50">
        <v>13</v>
      </c>
      <c r="K252" s="131">
        <f t="shared" si="85"/>
        <v>0.39755351681957185</v>
      </c>
      <c r="L252" s="139">
        <f t="shared" si="86"/>
        <v>1.6598984771573604</v>
      </c>
      <c r="M252" s="131">
        <f t="shared" si="70"/>
        <v>-0.2823529411764707</v>
      </c>
      <c r="N252" s="118">
        <f t="shared" si="87"/>
        <v>19.700000000000003</v>
      </c>
      <c r="O252" s="118">
        <f t="shared" si="88"/>
        <v>13.3</v>
      </c>
      <c r="P252" s="50">
        <v>15</v>
      </c>
      <c r="Q252" s="131">
        <f t="shared" si="89"/>
        <v>0.67512690355329941</v>
      </c>
      <c r="R252" s="139">
        <f t="shared" si="90"/>
        <v>3.0781249999999991</v>
      </c>
      <c r="S252" s="131">
        <f t="shared" si="91"/>
        <v>-0.35862068965517263</v>
      </c>
      <c r="T252" s="50">
        <v>26.3</v>
      </c>
      <c r="U252" s="103">
        <f t="shared" si="92"/>
        <v>6.4000000000000021</v>
      </c>
      <c r="V252" s="140">
        <f t="shared" si="93"/>
        <v>0.80428134556574915</v>
      </c>
      <c r="W252" s="103">
        <f t="shared" si="94"/>
        <v>28</v>
      </c>
      <c r="X252" s="50">
        <v>6.9</v>
      </c>
      <c r="Y252" s="50">
        <v>0</v>
      </c>
      <c r="Z252" s="118"/>
      <c r="AA252" s="133" t="s">
        <v>74</v>
      </c>
      <c r="AB252" s="118"/>
      <c r="AC252" s="50">
        <v>0</v>
      </c>
      <c r="AD252" s="118"/>
      <c r="AE252" s="50"/>
      <c r="AF252" s="133" t="s">
        <v>106</v>
      </c>
      <c r="AG252" s="7"/>
      <c r="AH252" s="8"/>
      <c r="AI252" s="109"/>
    </row>
    <row r="253" spans="1:35" x14ac:dyDescent="0.2">
      <c r="A253" s="11">
        <v>45986</v>
      </c>
      <c r="B253" s="15">
        <v>0.36805555555555558</v>
      </c>
      <c r="C253" s="50">
        <v>4.0999999999999996</v>
      </c>
      <c r="D253" s="50">
        <v>3</v>
      </c>
      <c r="E253" s="50">
        <v>9.6999999999999993</v>
      </c>
      <c r="F253" s="50">
        <v>9</v>
      </c>
      <c r="G253" s="118">
        <f t="shared" si="83"/>
        <v>1.0999999999999996</v>
      </c>
      <c r="H253" s="118">
        <f t="shared" si="84"/>
        <v>0.69999999999999929</v>
      </c>
      <c r="I253" s="50">
        <v>25.5</v>
      </c>
      <c r="J253" s="50">
        <v>11</v>
      </c>
      <c r="K253" s="131">
        <f t="shared" si="85"/>
        <v>0.43137254901960786</v>
      </c>
      <c r="L253" s="139">
        <f t="shared" si="86"/>
        <v>1.7586206896551724</v>
      </c>
      <c r="M253" s="131"/>
      <c r="N253" s="118">
        <f t="shared" si="87"/>
        <v>14.5</v>
      </c>
      <c r="O253" s="118">
        <f t="shared" si="88"/>
        <v>9.1999999999999993</v>
      </c>
      <c r="P253" s="50">
        <v>13</v>
      </c>
      <c r="Q253" s="131">
        <f t="shared" si="89"/>
        <v>0.63448275862068959</v>
      </c>
      <c r="R253" s="139">
        <f t="shared" si="90"/>
        <v>2.7358490566037732</v>
      </c>
      <c r="S253" s="131" t="e">
        <f t="shared" si="91"/>
        <v>#DIV/0!</v>
      </c>
      <c r="T253" s="50">
        <v>20.2</v>
      </c>
      <c r="U253" s="103">
        <f t="shared" si="92"/>
        <v>5.3000000000000007</v>
      </c>
      <c r="V253" s="140">
        <f t="shared" si="93"/>
        <v>0.792156862745098</v>
      </c>
      <c r="W253" s="103">
        <f t="shared" si="94"/>
        <v>24</v>
      </c>
      <c r="X253" s="50">
        <v>5.2</v>
      </c>
      <c r="Y253" s="50">
        <v>0</v>
      </c>
      <c r="Z253" s="118"/>
      <c r="AA253" s="133" t="s">
        <v>74</v>
      </c>
      <c r="AB253" s="118"/>
      <c r="AC253" s="50">
        <v>0</v>
      </c>
      <c r="AD253" s="118"/>
      <c r="AE253" s="50"/>
      <c r="AF253" s="50"/>
      <c r="AG253" s="7"/>
      <c r="AH253" s="8"/>
      <c r="AI253" s="109"/>
    </row>
    <row r="254" spans="1:35" hidden="1" x14ac:dyDescent="0.2">
      <c r="A254" s="11">
        <v>45987</v>
      </c>
      <c r="B254" s="15"/>
      <c r="C254" s="50"/>
      <c r="D254" s="50"/>
      <c r="E254" s="50"/>
      <c r="F254" s="50"/>
      <c r="G254" s="118"/>
      <c r="H254" s="118"/>
      <c r="I254" s="50"/>
      <c r="J254" s="50"/>
      <c r="K254" s="131"/>
      <c r="L254" s="139"/>
      <c r="M254" s="131">
        <f t="shared" si="70"/>
        <v>1</v>
      </c>
      <c r="N254" s="118"/>
      <c r="O254" s="118"/>
      <c r="P254" s="50"/>
      <c r="Q254" s="131"/>
      <c r="R254" s="139"/>
      <c r="S254" s="131"/>
      <c r="T254" s="50"/>
      <c r="U254" s="103">
        <f t="shared" si="92"/>
        <v>0</v>
      </c>
      <c r="V254" s="140"/>
      <c r="W254" s="103">
        <f t="shared" si="94"/>
        <v>0</v>
      </c>
      <c r="X254" s="50"/>
      <c r="Y254" s="50"/>
      <c r="Z254" s="118"/>
      <c r="AA254" s="50"/>
      <c r="AB254" s="118"/>
      <c r="AC254" s="50"/>
      <c r="AD254" s="118"/>
      <c r="AE254" s="50"/>
      <c r="AF254" s="50"/>
      <c r="AG254" s="7"/>
      <c r="AH254" s="8"/>
      <c r="AI254" s="149" t="s">
        <v>193</v>
      </c>
    </row>
    <row r="255" spans="1:35" x14ac:dyDescent="0.2">
      <c r="A255" s="11">
        <v>45988</v>
      </c>
      <c r="B255" s="15">
        <v>3</v>
      </c>
      <c r="C255" s="50">
        <v>4.5</v>
      </c>
      <c r="D255" s="50">
        <v>3.5</v>
      </c>
      <c r="E255" s="50">
        <v>10</v>
      </c>
      <c r="F255" s="50">
        <v>10</v>
      </c>
      <c r="G255" s="118">
        <f t="shared" si="83"/>
        <v>1</v>
      </c>
      <c r="H255" s="118">
        <f t="shared" si="84"/>
        <v>0</v>
      </c>
      <c r="I255" s="50">
        <v>27.5</v>
      </c>
      <c r="J255" s="50">
        <v>11</v>
      </c>
      <c r="K255" s="131">
        <f t="shared" si="85"/>
        <v>0.4</v>
      </c>
      <c r="L255" s="139">
        <f t="shared" si="86"/>
        <v>1.6666666666666667</v>
      </c>
      <c r="M255" s="131">
        <f t="shared" si="70"/>
        <v>-0.14583333333333334</v>
      </c>
      <c r="N255" s="118">
        <f t="shared" si="87"/>
        <v>16.5</v>
      </c>
      <c r="O255" s="118">
        <f t="shared" si="88"/>
        <v>10.199999999999999</v>
      </c>
      <c r="P255" s="50">
        <v>13</v>
      </c>
      <c r="Q255" s="131">
        <f t="shared" si="89"/>
        <v>0.61818181818181817</v>
      </c>
      <c r="R255" s="139">
        <f t="shared" si="90"/>
        <v>2.6190476190476191</v>
      </c>
      <c r="S255" s="131">
        <f t="shared" si="91"/>
        <v>-0.26923076923076922</v>
      </c>
      <c r="T255" s="50">
        <v>21.2</v>
      </c>
      <c r="U255" s="103">
        <f t="shared" si="92"/>
        <v>6.3000000000000007</v>
      </c>
      <c r="V255" s="140">
        <f t="shared" si="93"/>
        <v>0.77090909090909088</v>
      </c>
      <c r="W255" s="103">
        <f t="shared" si="94"/>
        <v>24</v>
      </c>
      <c r="X255" s="50">
        <v>6.5</v>
      </c>
      <c r="Y255" s="50">
        <v>0</v>
      </c>
      <c r="Z255" s="118"/>
      <c r="AA255" s="133" t="s">
        <v>74</v>
      </c>
      <c r="AB255" s="118"/>
      <c r="AC255" s="50">
        <v>0</v>
      </c>
      <c r="AD255" s="118"/>
      <c r="AE255" s="50">
        <v>5.2</v>
      </c>
      <c r="AF255" s="133" t="s">
        <v>196</v>
      </c>
      <c r="AG255" s="7"/>
      <c r="AH255" s="8"/>
      <c r="AI255" s="109"/>
    </row>
    <row r="256" spans="1:35" x14ac:dyDescent="0.2">
      <c r="A256" s="11">
        <v>45989</v>
      </c>
      <c r="B256" s="15">
        <v>0.57430555555555551</v>
      </c>
      <c r="C256" s="50">
        <v>4.3</v>
      </c>
      <c r="D256" s="50">
        <v>3.2</v>
      </c>
      <c r="E256" s="50">
        <v>10</v>
      </c>
      <c r="F256" s="50">
        <v>9.1999999999999993</v>
      </c>
      <c r="G256" s="118">
        <f t="shared" si="83"/>
        <v>1.0999999999999996</v>
      </c>
      <c r="H256" s="118">
        <f t="shared" si="84"/>
        <v>0.80000000000000071</v>
      </c>
      <c r="I256" s="50">
        <v>24</v>
      </c>
      <c r="J256" s="50">
        <v>11</v>
      </c>
      <c r="K256" s="131">
        <f t="shared" si="85"/>
        <v>0.45833333333333331</v>
      </c>
      <c r="L256" s="139">
        <f t="shared" si="86"/>
        <v>1.8461538461538458</v>
      </c>
      <c r="M256" s="131" t="e">
        <f t="shared" si="70"/>
        <v>#DIV/0!</v>
      </c>
      <c r="N256" s="118">
        <f t="shared" si="87"/>
        <v>13</v>
      </c>
      <c r="O256" s="118">
        <f t="shared" si="88"/>
        <v>7.3999999999999986</v>
      </c>
      <c r="P256" s="50">
        <v>12.7</v>
      </c>
      <c r="Q256" s="131">
        <f t="shared" si="89"/>
        <v>0.5692307692307691</v>
      </c>
      <c r="R256" s="139">
        <f t="shared" si="90"/>
        <v>2.3214285714285707</v>
      </c>
      <c r="S256" s="131" t="e">
        <f t="shared" si="91"/>
        <v>#DIV/0!</v>
      </c>
      <c r="T256" s="50">
        <v>18.399999999999999</v>
      </c>
      <c r="U256" s="103">
        <f t="shared" si="92"/>
        <v>5.6000000000000014</v>
      </c>
      <c r="V256" s="140">
        <f t="shared" si="93"/>
        <v>0.76666666666666661</v>
      </c>
      <c r="W256" s="103">
        <f t="shared" si="94"/>
        <v>23.7</v>
      </c>
      <c r="X256" s="50">
        <v>6</v>
      </c>
      <c r="Y256" s="50">
        <v>0</v>
      </c>
      <c r="Z256" s="118"/>
      <c r="AA256" s="133" t="s">
        <v>74</v>
      </c>
      <c r="AB256" s="118"/>
      <c r="AC256" s="50">
        <v>0</v>
      </c>
      <c r="AD256" s="118"/>
      <c r="AE256" s="133">
        <v>4.4000000000000004</v>
      </c>
      <c r="AF256" s="133" t="s">
        <v>196</v>
      </c>
      <c r="AG256" s="7"/>
      <c r="AH256" s="8"/>
      <c r="AI256" s="109"/>
    </row>
    <row r="257" spans="1:35" hidden="1" x14ac:dyDescent="0.2">
      <c r="A257" s="11">
        <v>45990</v>
      </c>
      <c r="B257" s="15"/>
      <c r="C257" s="50"/>
      <c r="D257" s="50"/>
      <c r="E257" s="50"/>
      <c r="F257" s="50"/>
      <c r="G257" s="118"/>
      <c r="H257" s="118"/>
      <c r="I257" s="50"/>
      <c r="J257" s="50"/>
      <c r="K257" s="131"/>
      <c r="L257" s="139"/>
      <c r="M257" s="131" t="e">
        <f t="shared" si="70"/>
        <v>#DIV/0!</v>
      </c>
      <c r="N257" s="118"/>
      <c r="O257" s="118"/>
      <c r="P257" s="50"/>
      <c r="Q257" s="131"/>
      <c r="R257" s="139"/>
      <c r="S257" s="131"/>
      <c r="T257" s="50"/>
      <c r="U257" s="103"/>
      <c r="V257" s="140"/>
      <c r="W257" s="103">
        <f t="shared" si="94"/>
        <v>0</v>
      </c>
      <c r="X257" s="50"/>
      <c r="Y257" s="50"/>
      <c r="Z257" s="118"/>
      <c r="AA257" s="50"/>
      <c r="AB257" s="118"/>
      <c r="AC257" s="50"/>
      <c r="AD257" s="118"/>
      <c r="AE257" s="50"/>
      <c r="AF257" s="50"/>
      <c r="AG257" s="7"/>
      <c r="AH257" s="8"/>
      <c r="AI257" s="149" t="s">
        <v>184</v>
      </c>
    </row>
    <row r="258" spans="1:35" hidden="1" x14ac:dyDescent="0.2">
      <c r="A258" s="11">
        <v>45991</v>
      </c>
      <c r="B258" s="15"/>
      <c r="C258" s="130"/>
      <c r="D258" s="130"/>
      <c r="E258" s="130"/>
      <c r="F258" s="130"/>
      <c r="G258" s="118"/>
      <c r="H258" s="118"/>
      <c r="I258" s="132"/>
      <c r="J258" s="132"/>
      <c r="K258" s="131"/>
      <c r="L258" s="139"/>
      <c r="M258" s="131" t="e">
        <f t="shared" si="70"/>
        <v>#DIV/0!</v>
      </c>
      <c r="N258" s="118"/>
      <c r="O258" s="118"/>
      <c r="P258" s="132"/>
      <c r="Q258" s="131"/>
      <c r="R258" s="139"/>
      <c r="S258" s="131"/>
      <c r="T258" s="132"/>
      <c r="U258" s="103"/>
      <c r="V258" s="140"/>
      <c r="W258" s="103">
        <f t="shared" si="94"/>
        <v>0</v>
      </c>
      <c r="X258" s="132"/>
      <c r="Y258" s="132"/>
      <c r="Z258" s="132"/>
      <c r="AA258" s="132"/>
      <c r="AB258" s="132"/>
      <c r="AC258" s="132"/>
      <c r="AD258" s="132"/>
      <c r="AE258" s="132"/>
      <c r="AF258" s="132"/>
      <c r="AG258" s="129"/>
      <c r="AH258" s="129"/>
      <c r="AI258" s="151" t="s">
        <v>184</v>
      </c>
    </row>
    <row r="259" spans="1:35" ht="13.5" hidden="1" customHeight="1" x14ac:dyDescent="0.2">
      <c r="A259" s="11">
        <v>45992</v>
      </c>
      <c r="B259" s="15"/>
      <c r="C259" s="129"/>
      <c r="D259" s="129"/>
      <c r="E259" s="129"/>
      <c r="F259" s="129"/>
      <c r="G259" s="118"/>
      <c r="H259" s="118"/>
      <c r="I259" s="129"/>
      <c r="J259" s="129"/>
      <c r="K259" s="131"/>
      <c r="L259" s="139"/>
      <c r="M259" s="131" t="e">
        <f t="shared" si="70"/>
        <v>#DIV/0!</v>
      </c>
      <c r="N259" s="118"/>
      <c r="O259" s="118"/>
      <c r="P259" s="132"/>
      <c r="Q259" s="131"/>
      <c r="R259" s="139"/>
      <c r="S259" s="131"/>
      <c r="T259" s="132"/>
      <c r="U259" s="103"/>
      <c r="V259" s="140"/>
      <c r="W259" s="103">
        <f t="shared" si="94"/>
        <v>0</v>
      </c>
      <c r="X259" s="132"/>
      <c r="Y259" s="132"/>
      <c r="Z259" s="132"/>
      <c r="AA259" s="132"/>
      <c r="AB259" s="132"/>
      <c r="AC259" s="132"/>
      <c r="AD259" s="132"/>
      <c r="AE259" s="132"/>
      <c r="AF259" s="132"/>
      <c r="AG259" s="129"/>
      <c r="AH259" s="148" t="s">
        <v>146</v>
      </c>
      <c r="AI259" s="151" t="s">
        <v>199</v>
      </c>
    </row>
    <row r="260" spans="1:35" hidden="1" x14ac:dyDescent="0.2">
      <c r="A260" s="11">
        <v>45993</v>
      </c>
      <c r="B260" s="15"/>
      <c r="C260" s="129"/>
      <c r="D260" s="129"/>
      <c r="E260" s="129"/>
      <c r="F260" s="129"/>
      <c r="G260" s="118"/>
      <c r="H260" s="118"/>
      <c r="I260" s="129"/>
      <c r="J260" s="129"/>
      <c r="K260" s="131"/>
      <c r="L260" s="139"/>
      <c r="M260" s="131">
        <f t="shared" si="70"/>
        <v>1</v>
      </c>
      <c r="N260" s="118"/>
      <c r="O260" s="118"/>
      <c r="P260" s="132"/>
      <c r="Q260" s="131"/>
      <c r="R260" s="139"/>
      <c r="S260" s="131"/>
      <c r="T260" s="132"/>
      <c r="U260" s="103"/>
      <c r="V260" s="140"/>
      <c r="W260" s="103">
        <f t="shared" si="94"/>
        <v>0</v>
      </c>
      <c r="X260" s="132"/>
      <c r="Y260" s="132"/>
      <c r="Z260" s="132"/>
      <c r="AA260" s="132"/>
      <c r="AB260" s="132"/>
      <c r="AC260" s="132"/>
      <c r="AD260" s="132"/>
      <c r="AE260" s="132"/>
      <c r="AF260" s="132"/>
      <c r="AG260" s="129"/>
      <c r="AH260" s="129"/>
      <c r="AI260" s="151" t="s">
        <v>200</v>
      </c>
    </row>
    <row r="261" spans="1:35" x14ac:dyDescent="0.2">
      <c r="A261" s="11">
        <v>45994</v>
      </c>
      <c r="B261" s="15">
        <v>8</v>
      </c>
      <c r="C261" s="152">
        <v>5.61</v>
      </c>
      <c r="D261" s="152">
        <v>4.8</v>
      </c>
      <c r="E261" s="152">
        <v>11</v>
      </c>
      <c r="F261" s="152">
        <v>10.199999999999999</v>
      </c>
      <c r="G261" s="118">
        <f t="shared" si="83"/>
        <v>0.8100000000000005</v>
      </c>
      <c r="H261" s="118">
        <f t="shared" si="84"/>
        <v>0.80000000000000071</v>
      </c>
      <c r="I261" s="152">
        <v>30.5</v>
      </c>
      <c r="J261" s="152">
        <v>13</v>
      </c>
      <c r="K261" s="131">
        <f t="shared" si="85"/>
        <v>0.42622950819672129</v>
      </c>
      <c r="L261" s="139">
        <f t="shared" si="86"/>
        <v>1.7428571428571429</v>
      </c>
      <c r="M261" s="131">
        <f t="shared" si="70"/>
        <v>-7.394366197183104E-2</v>
      </c>
      <c r="N261" s="118">
        <f t="shared" si="87"/>
        <v>17.5</v>
      </c>
      <c r="O261" s="118">
        <f t="shared" si="88"/>
        <v>10.7</v>
      </c>
      <c r="P261" s="50">
        <v>14</v>
      </c>
      <c r="Q261" s="131">
        <f t="shared" si="89"/>
        <v>0.61142857142857143</v>
      </c>
      <c r="R261" s="139">
        <f t="shared" si="90"/>
        <v>2.5735294117647061</v>
      </c>
      <c r="S261" s="131">
        <f t="shared" si="91"/>
        <v>-5.7471264367816915E-3</v>
      </c>
      <c r="T261" s="50">
        <v>23.7</v>
      </c>
      <c r="U261" s="103">
        <f t="shared" si="92"/>
        <v>6.8000000000000007</v>
      </c>
      <c r="V261" s="140">
        <f t="shared" si="93"/>
        <v>0.77704918032786885</v>
      </c>
      <c r="W261" s="103">
        <f t="shared" si="94"/>
        <v>27</v>
      </c>
      <c r="X261" s="50">
        <v>6.2</v>
      </c>
      <c r="Y261" s="50">
        <v>0</v>
      </c>
      <c r="Z261" s="132"/>
      <c r="AA261" s="153" t="s">
        <v>74</v>
      </c>
      <c r="AB261" s="132"/>
      <c r="AC261" s="50">
        <v>0</v>
      </c>
      <c r="AD261" s="132"/>
      <c r="AE261" s="50">
        <v>4.2</v>
      </c>
      <c r="AF261" s="153" t="s">
        <v>196</v>
      </c>
      <c r="AG261" s="129"/>
      <c r="AH261" s="148" t="s">
        <v>109</v>
      </c>
      <c r="AI261" s="129"/>
    </row>
    <row r="262" spans="1:35" x14ac:dyDescent="0.2">
      <c r="A262" s="11">
        <v>45995</v>
      </c>
      <c r="B262" s="15">
        <v>0.53194444444444444</v>
      </c>
      <c r="C262" s="152">
        <v>4.4000000000000004</v>
      </c>
      <c r="D262" s="152">
        <v>4.0999999999999996</v>
      </c>
      <c r="E262" s="152">
        <v>9.9</v>
      </c>
      <c r="F262" s="152">
        <v>9</v>
      </c>
      <c r="G262" s="118">
        <f t="shared" si="83"/>
        <v>0.30000000000000071</v>
      </c>
      <c r="H262" s="118">
        <f t="shared" si="84"/>
        <v>0.90000000000000036</v>
      </c>
      <c r="I262" s="152">
        <v>28.4</v>
      </c>
      <c r="J262" s="152">
        <v>11</v>
      </c>
      <c r="K262" s="131">
        <f t="shared" si="85"/>
        <v>0.38732394366197187</v>
      </c>
      <c r="L262" s="139">
        <f t="shared" si="86"/>
        <v>1.632183908045977</v>
      </c>
      <c r="M262" s="131">
        <f t="shared" si="70"/>
        <v>7.792207792207799E-2</v>
      </c>
      <c r="N262" s="118">
        <f t="shared" si="87"/>
        <v>17.399999999999999</v>
      </c>
      <c r="O262" s="118">
        <f t="shared" si="88"/>
        <v>8.8999999999999986</v>
      </c>
      <c r="P262" s="50">
        <v>13.2</v>
      </c>
      <c r="Q262" s="131">
        <f t="shared" si="89"/>
        <v>0.5114942528735632</v>
      </c>
      <c r="R262" s="139">
        <f t="shared" si="90"/>
        <v>2.0470588235294116</v>
      </c>
      <c r="S262" s="131">
        <f t="shared" si="91"/>
        <v>7.4468085106383086E-2</v>
      </c>
      <c r="T262" s="50">
        <v>19.899999999999999</v>
      </c>
      <c r="U262" s="103">
        <f t="shared" si="92"/>
        <v>8.5</v>
      </c>
      <c r="V262" s="140">
        <f t="shared" si="93"/>
        <v>0.70070422535211263</v>
      </c>
      <c r="W262" s="103">
        <f t="shared" si="94"/>
        <v>24.2</v>
      </c>
      <c r="X262" s="50">
        <v>8.8000000000000007</v>
      </c>
      <c r="Y262" s="50">
        <v>0</v>
      </c>
      <c r="Z262" s="132"/>
      <c r="AA262" s="153" t="s">
        <v>74</v>
      </c>
      <c r="AB262" s="132"/>
      <c r="AC262" s="50">
        <v>0</v>
      </c>
      <c r="AD262" s="132"/>
      <c r="AE262" s="50">
        <v>4.3</v>
      </c>
      <c r="AF262" s="153" t="s">
        <v>196</v>
      </c>
      <c r="AG262" s="129"/>
      <c r="AH262" s="148" t="s">
        <v>109</v>
      </c>
      <c r="AI262" s="151" t="s">
        <v>201</v>
      </c>
    </row>
    <row r="263" spans="1:35" x14ac:dyDescent="0.2">
      <c r="A263" s="11">
        <v>45996</v>
      </c>
      <c r="B263" s="61">
        <v>0.15486111111111112</v>
      </c>
      <c r="C263" s="152">
        <v>5.0999999999999996</v>
      </c>
      <c r="D263" s="152">
        <v>4</v>
      </c>
      <c r="E263" s="152">
        <v>10.4</v>
      </c>
      <c r="F263" s="152">
        <v>10</v>
      </c>
      <c r="G263" s="118">
        <f t="shared" si="83"/>
        <v>1.0999999999999996</v>
      </c>
      <c r="H263" s="118">
        <f t="shared" si="84"/>
        <v>0.40000000000000036</v>
      </c>
      <c r="I263" s="152">
        <v>30.8</v>
      </c>
      <c r="J263" s="152">
        <v>12</v>
      </c>
      <c r="K263" s="131">
        <f t="shared" si="85"/>
        <v>0.38961038961038963</v>
      </c>
      <c r="L263" s="139">
        <f t="shared" si="86"/>
        <v>1.6382978723404256</v>
      </c>
      <c r="M263" s="131" t="e">
        <f t="shared" si="70"/>
        <v>#DIV/0!</v>
      </c>
      <c r="N263" s="118">
        <f t="shared" si="87"/>
        <v>18.8</v>
      </c>
      <c r="O263" s="118">
        <f t="shared" si="88"/>
        <v>10</v>
      </c>
      <c r="P263" s="50">
        <v>14</v>
      </c>
      <c r="Q263" s="131">
        <f t="shared" si="89"/>
        <v>0.53191489361702127</v>
      </c>
      <c r="R263" s="139">
        <f t="shared" si="90"/>
        <v>2.1363636363636362</v>
      </c>
      <c r="S263" s="131" t="e">
        <f t="shared" si="91"/>
        <v>#DIV/0!</v>
      </c>
      <c r="T263" s="50">
        <v>22</v>
      </c>
      <c r="U263" s="103">
        <f t="shared" si="92"/>
        <v>8.8000000000000007</v>
      </c>
      <c r="V263" s="140">
        <f t="shared" si="93"/>
        <v>0.7142857142857143</v>
      </c>
      <c r="W263" s="103">
        <f t="shared" si="94"/>
        <v>26</v>
      </c>
      <c r="X263" s="50">
        <v>6</v>
      </c>
      <c r="Y263" s="50">
        <v>0</v>
      </c>
      <c r="Z263" s="132"/>
      <c r="AA263" s="153" t="s">
        <v>74</v>
      </c>
      <c r="AB263" s="132"/>
      <c r="AC263" s="50">
        <v>0</v>
      </c>
      <c r="AD263" s="132"/>
      <c r="AE263" s="50">
        <v>4.3</v>
      </c>
      <c r="AF263" s="153" t="s">
        <v>106</v>
      </c>
      <c r="AG263" s="129"/>
      <c r="AH263" s="148" t="s">
        <v>109</v>
      </c>
      <c r="AI263" s="129"/>
    </row>
    <row r="264" spans="1:35" hidden="1" x14ac:dyDescent="0.2">
      <c r="A264" s="11">
        <v>45997</v>
      </c>
      <c r="B264" s="15"/>
      <c r="C264" s="152"/>
      <c r="D264" s="152"/>
      <c r="E264" s="152"/>
      <c r="F264" s="152"/>
      <c r="G264" s="118"/>
      <c r="H264" s="118"/>
      <c r="I264" s="152"/>
      <c r="J264" s="152"/>
      <c r="K264" s="131"/>
      <c r="L264" s="139"/>
      <c r="M264" s="131" t="e">
        <f t="shared" si="70"/>
        <v>#DIV/0!</v>
      </c>
      <c r="N264" s="118"/>
      <c r="O264" s="118"/>
      <c r="P264" s="129"/>
      <c r="Q264" s="131"/>
      <c r="R264" s="139"/>
      <c r="S264" s="131"/>
      <c r="T264" s="129"/>
      <c r="U264" s="103"/>
      <c r="V264" s="140"/>
      <c r="W264" s="103"/>
      <c r="X264" s="129"/>
      <c r="Y264" s="50"/>
      <c r="Z264" s="129"/>
      <c r="AA264" s="153"/>
      <c r="AB264" s="129"/>
      <c r="AC264" s="50"/>
      <c r="AD264" s="129"/>
      <c r="AE264" s="129"/>
      <c r="AF264" s="129"/>
      <c r="AG264" s="129"/>
      <c r="AH264" s="129"/>
      <c r="AI264" s="151" t="s">
        <v>195</v>
      </c>
    </row>
    <row r="265" spans="1:35" hidden="1" x14ac:dyDescent="0.2">
      <c r="A265" s="11">
        <v>45998</v>
      </c>
      <c r="B265" s="15"/>
      <c r="C265" s="152"/>
      <c r="D265" s="152"/>
      <c r="E265" s="152"/>
      <c r="F265" s="152"/>
      <c r="G265" s="118"/>
      <c r="H265" s="118"/>
      <c r="I265" s="152"/>
      <c r="J265" s="152"/>
      <c r="K265" s="131"/>
      <c r="L265" s="139"/>
      <c r="M265" s="131" t="e">
        <f t="shared" si="70"/>
        <v>#DIV/0!</v>
      </c>
      <c r="N265" s="118"/>
      <c r="O265" s="118"/>
      <c r="P265" s="129"/>
      <c r="Q265" s="131"/>
      <c r="R265" s="139"/>
      <c r="S265" s="131"/>
      <c r="T265" s="129"/>
      <c r="U265" s="103"/>
      <c r="V265" s="140"/>
      <c r="W265" s="103"/>
      <c r="X265" s="129"/>
      <c r="Y265" s="50"/>
      <c r="Z265" s="129"/>
      <c r="AA265" s="153"/>
      <c r="AB265" s="129"/>
      <c r="AC265" s="50"/>
      <c r="AD265" s="129"/>
      <c r="AE265" s="129"/>
      <c r="AF265" s="129"/>
      <c r="AG265" s="129"/>
      <c r="AH265" s="129"/>
      <c r="AI265" s="151" t="s">
        <v>202</v>
      </c>
    </row>
    <row r="266" spans="1:35" hidden="1" x14ac:dyDescent="0.2">
      <c r="A266" s="11">
        <v>45999</v>
      </c>
      <c r="B266" s="15"/>
      <c r="C266" s="152"/>
      <c r="D266" s="152"/>
      <c r="E266" s="152"/>
      <c r="F266" s="152"/>
      <c r="G266" s="118"/>
      <c r="H266" s="118"/>
      <c r="I266" s="152"/>
      <c r="J266" s="152"/>
      <c r="K266" s="131"/>
      <c r="L266" s="139"/>
      <c r="M266" s="131">
        <f t="shared" si="70"/>
        <v>1</v>
      </c>
      <c r="N266" s="118"/>
      <c r="O266" s="118"/>
      <c r="P266" s="129"/>
      <c r="Q266" s="131"/>
      <c r="R266" s="139"/>
      <c r="S266" s="131"/>
      <c r="T266" s="129"/>
      <c r="U266" s="103"/>
      <c r="V266" s="140"/>
      <c r="W266" s="103"/>
      <c r="X266" s="129"/>
      <c r="Y266" s="50"/>
      <c r="Z266" s="129"/>
      <c r="AA266" s="153"/>
      <c r="AB266" s="129"/>
      <c r="AC266" s="50"/>
      <c r="AD266" s="129"/>
      <c r="AE266" s="129"/>
      <c r="AF266" s="129"/>
      <c r="AG266" s="129"/>
      <c r="AH266" s="129"/>
      <c r="AI266" s="151" t="s">
        <v>174</v>
      </c>
    </row>
    <row r="267" spans="1:35" x14ac:dyDescent="0.2">
      <c r="A267" s="11">
        <v>46000</v>
      </c>
      <c r="B267" s="15">
        <v>0.33333333333333331</v>
      </c>
      <c r="C267" s="152">
        <v>4.4000000000000004</v>
      </c>
      <c r="D267" s="152">
        <v>3</v>
      </c>
      <c r="E267" s="152">
        <v>9.9</v>
      </c>
      <c r="F267" s="152">
        <v>11</v>
      </c>
      <c r="G267" s="118">
        <f t="shared" si="83"/>
        <v>1.4000000000000004</v>
      </c>
      <c r="H267" s="118">
        <f>E267-F267</f>
        <v>-1.0999999999999996</v>
      </c>
      <c r="I267" s="152">
        <v>24.6</v>
      </c>
      <c r="J267" s="152">
        <v>11</v>
      </c>
      <c r="K267" s="131">
        <f t="shared" si="85"/>
        <v>0.44715447154471544</v>
      </c>
      <c r="L267" s="139">
        <f t="shared" si="86"/>
        <v>1.8088235294117647</v>
      </c>
      <c r="M267" s="131">
        <f t="shared" si="70"/>
        <v>0.20645161290322575</v>
      </c>
      <c r="N267" s="118">
        <f t="shared" si="87"/>
        <v>13.600000000000001</v>
      </c>
      <c r="O267" s="118">
        <f t="shared" si="88"/>
        <v>9.6000000000000014</v>
      </c>
      <c r="P267" s="152">
        <v>12.2</v>
      </c>
      <c r="Q267" s="131">
        <f t="shared" si="89"/>
        <v>0.70588235294117652</v>
      </c>
      <c r="R267" s="139">
        <f t="shared" si="90"/>
        <v>3.4000000000000004</v>
      </c>
      <c r="S267" s="131">
        <f t="shared" si="91"/>
        <v>0.31999999999999995</v>
      </c>
      <c r="T267" s="152">
        <v>20.6</v>
      </c>
      <c r="U267" s="103">
        <f t="shared" si="92"/>
        <v>4</v>
      </c>
      <c r="V267" s="140">
        <f t="shared" si="93"/>
        <v>0.83739837398373984</v>
      </c>
      <c r="W267" s="103">
        <f t="shared" si="94"/>
        <v>23.2</v>
      </c>
      <c r="X267" s="152">
        <v>6</v>
      </c>
      <c r="Y267" s="50">
        <v>0</v>
      </c>
      <c r="Z267" s="129"/>
      <c r="AA267" s="153" t="s">
        <v>74</v>
      </c>
      <c r="AB267" s="129"/>
      <c r="AC267" s="50">
        <v>0</v>
      </c>
      <c r="AD267" s="129"/>
      <c r="AE267" s="148" t="s">
        <v>197</v>
      </c>
      <c r="AF267" s="148" t="s">
        <v>105</v>
      </c>
      <c r="AG267" s="129"/>
      <c r="AH267" s="148" t="s">
        <v>109</v>
      </c>
      <c r="AI267" s="129"/>
    </row>
    <row r="268" spans="1:35" x14ac:dyDescent="0.2">
      <c r="A268" s="11">
        <v>46001</v>
      </c>
      <c r="B268" s="15">
        <v>0.32708333333333334</v>
      </c>
      <c r="C268" s="152">
        <v>4.8</v>
      </c>
      <c r="D268" s="152">
        <v>3</v>
      </c>
      <c r="E268" s="152">
        <v>9.9</v>
      </c>
      <c r="F268" s="152">
        <v>9</v>
      </c>
      <c r="G268" s="118">
        <f t="shared" si="83"/>
        <v>1.7999999999999998</v>
      </c>
      <c r="H268" s="118">
        <f>E268-F268</f>
        <v>0.90000000000000036</v>
      </c>
      <c r="I268" s="152">
        <v>31</v>
      </c>
      <c r="J268" s="152">
        <v>11</v>
      </c>
      <c r="K268" s="131">
        <f t="shared" si="85"/>
        <v>0.35483870967741937</v>
      </c>
      <c r="L268" s="139">
        <f t="shared" si="86"/>
        <v>1.55</v>
      </c>
      <c r="M268" s="131" t="e">
        <f t="shared" si="70"/>
        <v>#DIV/0!</v>
      </c>
      <c r="N268" s="118">
        <f t="shared" si="87"/>
        <v>20</v>
      </c>
      <c r="O268" s="118">
        <f t="shared" si="88"/>
        <v>9.6000000000000014</v>
      </c>
      <c r="P268" s="152">
        <v>13.2</v>
      </c>
      <c r="Q268" s="131">
        <f t="shared" si="89"/>
        <v>0.48000000000000009</v>
      </c>
      <c r="R268" s="139">
        <f t="shared" si="90"/>
        <v>1.9230769230769234</v>
      </c>
      <c r="S268" s="131" t="e">
        <f t="shared" si="91"/>
        <v>#DIV/0!</v>
      </c>
      <c r="T268" s="152">
        <v>20.6</v>
      </c>
      <c r="U268" s="103">
        <f t="shared" si="92"/>
        <v>10.399999999999999</v>
      </c>
      <c r="V268" s="140">
        <f t="shared" si="93"/>
        <v>0.6645161290322581</v>
      </c>
      <c r="W268" s="103">
        <f t="shared" si="94"/>
        <v>24.2</v>
      </c>
      <c r="X268" s="152">
        <v>10.199999999999999</v>
      </c>
      <c r="Y268" s="152">
        <v>0</v>
      </c>
      <c r="Z268" s="129"/>
      <c r="AA268" s="153" t="s">
        <v>74</v>
      </c>
      <c r="AB268" s="129"/>
      <c r="AC268" s="50">
        <v>0</v>
      </c>
      <c r="AD268" s="129"/>
      <c r="AE268" s="152">
        <v>4.2</v>
      </c>
      <c r="AF268" s="148" t="s">
        <v>105</v>
      </c>
      <c r="AG268" s="129"/>
      <c r="AH268" s="148" t="s">
        <v>109</v>
      </c>
      <c r="AI268" s="129"/>
    </row>
    <row r="269" spans="1:35" hidden="1" x14ac:dyDescent="0.2">
      <c r="A269" s="11">
        <v>46002</v>
      </c>
      <c r="B269" s="15">
        <v>0.36875000000000002</v>
      </c>
      <c r="C269" s="152"/>
      <c r="D269" s="152"/>
      <c r="E269" s="152"/>
      <c r="F269" s="152"/>
      <c r="G269" s="118"/>
      <c r="H269" s="118"/>
      <c r="I269" s="152"/>
      <c r="J269" s="152"/>
      <c r="K269" s="131"/>
      <c r="L269" s="139"/>
      <c r="M269" s="131">
        <f t="shared" si="70"/>
        <v>1</v>
      </c>
      <c r="N269" s="118">
        <f t="shared" si="87"/>
        <v>0</v>
      </c>
      <c r="O269" s="118">
        <f t="shared" si="88"/>
        <v>0</v>
      </c>
      <c r="P269" s="152"/>
      <c r="Q269" s="131"/>
      <c r="R269" s="139"/>
      <c r="S269" s="131">
        <f t="shared" si="91"/>
        <v>1</v>
      </c>
      <c r="T269" s="152"/>
      <c r="U269" s="103"/>
      <c r="V269" s="140"/>
      <c r="W269" s="103"/>
      <c r="X269" s="129"/>
      <c r="Y269" s="152"/>
      <c r="Z269" s="129"/>
      <c r="AA269" s="153"/>
      <c r="AB269" s="129"/>
      <c r="AC269" s="50">
        <v>0</v>
      </c>
      <c r="AD269" s="129"/>
      <c r="AE269" s="129"/>
      <c r="AF269" s="148"/>
      <c r="AG269" s="129"/>
      <c r="AH269" s="129"/>
      <c r="AI269" s="151" t="s">
        <v>204</v>
      </c>
    </row>
    <row r="270" spans="1:35" x14ac:dyDescent="0.2">
      <c r="A270" s="11">
        <v>46003</v>
      </c>
      <c r="B270" s="15">
        <v>0.41041666666666698</v>
      </c>
      <c r="C270" s="152">
        <v>16.899999999999999</v>
      </c>
      <c r="D270" s="152">
        <v>15</v>
      </c>
      <c r="E270" s="152">
        <v>20.5</v>
      </c>
      <c r="F270" s="152">
        <v>26</v>
      </c>
      <c r="G270" s="118">
        <f t="shared" si="83"/>
        <v>1.8999999999999986</v>
      </c>
      <c r="H270" s="118">
        <f t="shared" ref="H270:H309" si="95">E270-F270</f>
        <v>-5.5</v>
      </c>
      <c r="I270" s="152">
        <v>73.599999999999994</v>
      </c>
      <c r="J270" s="152">
        <v>33.200000000000003</v>
      </c>
      <c r="K270" s="131">
        <f t="shared" si="85"/>
        <v>0.45108695652173919</v>
      </c>
      <c r="L270" s="139">
        <f t="shared" si="86"/>
        <v>1.8217821782178221</v>
      </c>
      <c r="M270" s="131" t="e">
        <f t="shared" si="70"/>
        <v>#DIV/0!</v>
      </c>
      <c r="N270" s="118">
        <f t="shared" si="87"/>
        <v>40.399999999999991</v>
      </c>
      <c r="O270" s="118">
        <f t="shared" si="88"/>
        <v>28.299999999999997</v>
      </c>
      <c r="P270" s="152">
        <v>24</v>
      </c>
      <c r="Q270" s="131">
        <f t="shared" si="89"/>
        <v>0.70049504950495056</v>
      </c>
      <c r="R270" s="139">
        <f t="shared" si="90"/>
        <v>3.3388429752066124</v>
      </c>
      <c r="S270" s="131" t="e">
        <f t="shared" si="91"/>
        <v>#DIV/0!</v>
      </c>
      <c r="T270" s="152">
        <v>61.5</v>
      </c>
      <c r="U270" s="103">
        <f t="shared" si="92"/>
        <v>12.099999999999994</v>
      </c>
      <c r="V270" s="140">
        <f t="shared" si="93"/>
        <v>0.83559782608695654</v>
      </c>
      <c r="W270" s="103">
        <f t="shared" si="94"/>
        <v>57.2</v>
      </c>
      <c r="X270" s="152">
        <v>12.5</v>
      </c>
      <c r="Y270" s="152">
        <v>0</v>
      </c>
      <c r="Z270" s="129"/>
      <c r="AA270" s="153" t="s">
        <v>74</v>
      </c>
      <c r="AB270" s="129"/>
      <c r="AC270" s="50">
        <v>0</v>
      </c>
      <c r="AD270" s="129"/>
      <c r="AE270" s="152">
        <v>2.2999999999999998</v>
      </c>
      <c r="AF270" s="148" t="s">
        <v>106</v>
      </c>
      <c r="AG270" s="129"/>
      <c r="AH270" s="148" t="s">
        <v>109</v>
      </c>
      <c r="AI270" s="129"/>
    </row>
    <row r="271" spans="1:35" hidden="1" x14ac:dyDescent="0.2">
      <c r="A271" s="11">
        <v>46004</v>
      </c>
      <c r="B271" s="15">
        <v>0.452083333333333</v>
      </c>
      <c r="C271" s="152"/>
      <c r="D271" s="152"/>
      <c r="E271" s="152"/>
      <c r="F271" s="152"/>
      <c r="G271" s="118"/>
      <c r="H271" s="118"/>
      <c r="I271" s="152"/>
      <c r="J271" s="152"/>
      <c r="K271" s="131"/>
      <c r="L271" s="139"/>
      <c r="M271" s="131" t="e">
        <f t="shared" si="70"/>
        <v>#DIV/0!</v>
      </c>
      <c r="N271" s="118"/>
      <c r="O271" s="118"/>
      <c r="P271" s="152"/>
      <c r="Q271" s="131" t="e">
        <f t="shared" si="89"/>
        <v>#DIV/0!</v>
      </c>
      <c r="R271" s="139" t="e">
        <f t="shared" si="90"/>
        <v>#DIV/0!</v>
      </c>
      <c r="S271" s="131" t="e">
        <f t="shared" si="91"/>
        <v>#DIV/0!</v>
      </c>
      <c r="T271" s="152"/>
      <c r="U271" s="103">
        <f t="shared" si="92"/>
        <v>0</v>
      </c>
      <c r="V271" s="140" t="e">
        <f t="shared" si="93"/>
        <v>#DIV/0!</v>
      </c>
      <c r="W271" s="103">
        <f t="shared" si="94"/>
        <v>0</v>
      </c>
      <c r="X271" s="129"/>
      <c r="Y271" s="152">
        <v>2</v>
      </c>
      <c r="Z271" s="129"/>
      <c r="AA271" s="153" t="s">
        <v>74</v>
      </c>
      <c r="AB271" s="129"/>
      <c r="AC271" s="50">
        <v>2</v>
      </c>
      <c r="AD271" s="129"/>
      <c r="AE271" s="129"/>
      <c r="AF271" s="148"/>
      <c r="AG271" s="129"/>
      <c r="AH271" s="129"/>
      <c r="AI271" s="151" t="s">
        <v>195</v>
      </c>
    </row>
    <row r="272" spans="1:35" hidden="1" x14ac:dyDescent="0.2">
      <c r="A272" s="11">
        <v>46005</v>
      </c>
      <c r="B272" s="15">
        <v>0.49375000000000002</v>
      </c>
      <c r="C272" s="152"/>
      <c r="D272" s="152"/>
      <c r="E272" s="152"/>
      <c r="F272" s="152"/>
      <c r="G272" s="118"/>
      <c r="H272" s="118"/>
      <c r="I272" s="152"/>
      <c r="J272" s="152"/>
      <c r="K272" s="131"/>
      <c r="L272" s="139"/>
      <c r="M272" s="131">
        <f t="shared" si="70"/>
        <v>1</v>
      </c>
      <c r="N272" s="118"/>
      <c r="O272" s="118"/>
      <c r="P272" s="152"/>
      <c r="Q272" s="131" t="e">
        <f t="shared" si="89"/>
        <v>#DIV/0!</v>
      </c>
      <c r="R272" s="139" t="e">
        <f t="shared" si="90"/>
        <v>#DIV/0!</v>
      </c>
      <c r="S272" s="131">
        <f t="shared" si="91"/>
        <v>1</v>
      </c>
      <c r="T272" s="152"/>
      <c r="U272" s="103">
        <f t="shared" si="92"/>
        <v>0</v>
      </c>
      <c r="V272" s="140" t="e">
        <f t="shared" si="93"/>
        <v>#DIV/0!</v>
      </c>
      <c r="W272" s="103">
        <f t="shared" si="94"/>
        <v>0</v>
      </c>
      <c r="X272" s="129"/>
      <c r="Y272" s="152">
        <v>3</v>
      </c>
      <c r="Z272" s="129"/>
      <c r="AA272" s="153" t="s">
        <v>74</v>
      </c>
      <c r="AB272" s="129"/>
      <c r="AC272" s="50">
        <v>3</v>
      </c>
      <c r="AD272" s="129"/>
      <c r="AE272" s="129"/>
      <c r="AF272" s="148"/>
      <c r="AG272" s="129"/>
      <c r="AH272" s="129"/>
      <c r="AI272" s="151" t="s">
        <v>203</v>
      </c>
    </row>
    <row r="273" spans="1:35" x14ac:dyDescent="0.2">
      <c r="A273" s="11">
        <v>46006</v>
      </c>
      <c r="B273" s="15">
        <v>0.53541666666666698</v>
      </c>
      <c r="C273" s="152">
        <v>14.3</v>
      </c>
      <c r="D273" s="152">
        <v>12</v>
      </c>
      <c r="E273" s="152">
        <v>17.600000000000001</v>
      </c>
      <c r="F273" s="152">
        <v>16.8</v>
      </c>
      <c r="G273" s="118">
        <f t="shared" si="83"/>
        <v>2.3000000000000007</v>
      </c>
      <c r="H273" s="118">
        <f t="shared" si="95"/>
        <v>0.80000000000000071</v>
      </c>
      <c r="I273" s="152">
        <v>70.099999999999994</v>
      </c>
      <c r="J273" s="152">
        <v>24</v>
      </c>
      <c r="K273" s="131">
        <f t="shared" si="85"/>
        <v>0.34236804564907281</v>
      </c>
      <c r="L273" s="139">
        <f t="shared" si="86"/>
        <v>1.5206073752711498</v>
      </c>
      <c r="M273" s="131" t="e">
        <f t="shared" si="70"/>
        <v>#DIV/0!</v>
      </c>
      <c r="N273" s="118">
        <f t="shared" si="87"/>
        <v>46.099999999999994</v>
      </c>
      <c r="O273" s="144">
        <f t="shared" si="88"/>
        <v>28.29</v>
      </c>
      <c r="P273" s="152">
        <v>22</v>
      </c>
      <c r="Q273" s="131">
        <f>O273/N273</f>
        <v>0.61366594360086779</v>
      </c>
      <c r="R273" s="139">
        <f t="shared" si="90"/>
        <v>2.588433464345874</v>
      </c>
      <c r="S273" s="131" t="e">
        <f t="shared" si="91"/>
        <v>#DIV/0!</v>
      </c>
      <c r="T273" s="152">
        <v>52.29</v>
      </c>
      <c r="U273" s="103">
        <f t="shared" si="92"/>
        <v>17.809999999999995</v>
      </c>
      <c r="V273" s="140">
        <f t="shared" si="93"/>
        <v>0.7459343794579173</v>
      </c>
      <c r="W273" s="103">
        <f t="shared" si="94"/>
        <v>46</v>
      </c>
      <c r="X273" s="152">
        <v>17</v>
      </c>
      <c r="Y273" s="152">
        <v>0</v>
      </c>
      <c r="Z273" s="129"/>
      <c r="AA273" s="153" t="s">
        <v>74</v>
      </c>
      <c r="AB273" s="129"/>
      <c r="AC273" s="50">
        <v>0</v>
      </c>
      <c r="AD273" s="129"/>
      <c r="AE273" s="152">
        <v>2.2000000000000002</v>
      </c>
      <c r="AF273" s="148" t="s">
        <v>105</v>
      </c>
      <c r="AG273" s="129"/>
      <c r="AH273" s="148" t="s">
        <v>146</v>
      </c>
      <c r="AI273" s="129"/>
    </row>
    <row r="274" spans="1:35" hidden="1" x14ac:dyDescent="0.2">
      <c r="A274" s="11">
        <v>46007</v>
      </c>
      <c r="B274" s="15">
        <v>0.53541666666666698</v>
      </c>
      <c r="C274" s="152"/>
      <c r="D274" s="152"/>
      <c r="E274" s="152"/>
      <c r="F274" s="152"/>
      <c r="G274" s="118"/>
      <c r="H274" s="118"/>
      <c r="I274" s="152"/>
      <c r="J274" s="152"/>
      <c r="K274" s="131"/>
      <c r="L274" s="139"/>
      <c r="M274" s="131">
        <f t="shared" si="70"/>
        <v>1</v>
      </c>
      <c r="N274" s="118">
        <f t="shared" si="87"/>
        <v>0</v>
      </c>
      <c r="O274" s="118">
        <f t="shared" si="88"/>
        <v>0</v>
      </c>
      <c r="P274" s="152"/>
      <c r="Q274" s="131" t="e">
        <f t="shared" ref="Q274:Q309" si="96">O274/N274</f>
        <v>#DIV/0!</v>
      </c>
      <c r="R274" s="139" t="e">
        <f t="shared" si="90"/>
        <v>#DIV/0!</v>
      </c>
      <c r="S274" s="131">
        <f t="shared" si="91"/>
        <v>1</v>
      </c>
      <c r="T274" s="152"/>
      <c r="U274" s="103">
        <f t="shared" si="92"/>
        <v>0</v>
      </c>
      <c r="V274" s="140" t="e">
        <f t="shared" si="93"/>
        <v>#DIV/0!</v>
      </c>
      <c r="W274" s="103">
        <f t="shared" si="94"/>
        <v>0</v>
      </c>
      <c r="X274" s="152"/>
      <c r="Y274" s="152"/>
      <c r="Z274" s="152"/>
      <c r="AA274" s="152"/>
      <c r="AB274" s="152"/>
      <c r="AC274" s="152"/>
      <c r="AD274" s="152"/>
      <c r="AE274" s="152"/>
      <c r="AF274" s="152"/>
      <c r="AG274" s="152"/>
      <c r="AH274" s="152"/>
      <c r="AI274" s="152"/>
    </row>
    <row r="275" spans="1:35" x14ac:dyDescent="0.2">
      <c r="A275" s="11">
        <v>46008</v>
      </c>
      <c r="B275" s="15">
        <v>0.57708333333333395</v>
      </c>
      <c r="C275" s="152">
        <v>14.6</v>
      </c>
      <c r="D275" s="152">
        <v>12.3</v>
      </c>
      <c r="E275" s="152">
        <v>18.3</v>
      </c>
      <c r="F275" s="152">
        <v>18</v>
      </c>
      <c r="G275" s="118">
        <f t="shared" si="83"/>
        <v>2.2999999999999989</v>
      </c>
      <c r="H275" s="118">
        <f t="shared" si="95"/>
        <v>0.30000000000000071</v>
      </c>
      <c r="I275" s="152">
        <v>84.1</v>
      </c>
      <c r="J275" s="152">
        <v>30.6</v>
      </c>
      <c r="K275" s="131">
        <f t="shared" si="85"/>
        <v>0.36385255648038056</v>
      </c>
      <c r="L275" s="139">
        <f t="shared" si="86"/>
        <v>1.5719626168224299</v>
      </c>
      <c r="M275" s="131">
        <f t="shared" ref="M275" si="97">(I276-I275)/I276</f>
        <v>-0.22953216374268987</v>
      </c>
      <c r="N275" s="118">
        <f t="shared" si="87"/>
        <v>53.499999999999993</v>
      </c>
      <c r="O275" s="118">
        <f t="shared" si="88"/>
        <v>22.199999999999996</v>
      </c>
      <c r="P275" s="152">
        <v>22</v>
      </c>
      <c r="Q275" s="131">
        <f t="shared" si="96"/>
        <v>0.41495327102803736</v>
      </c>
      <c r="R275" s="139">
        <f t="shared" si="90"/>
        <v>1.7092651757188497</v>
      </c>
      <c r="S275" s="131"/>
      <c r="T275" s="152">
        <v>52.8</v>
      </c>
      <c r="U275" s="103">
        <f t="shared" si="92"/>
        <v>31.299999999999997</v>
      </c>
      <c r="V275" s="140">
        <f t="shared" si="93"/>
        <v>0.62782401902497031</v>
      </c>
      <c r="W275" s="103">
        <f t="shared" si="94"/>
        <v>52.6</v>
      </c>
      <c r="X275" s="152">
        <v>11</v>
      </c>
      <c r="Y275" s="152">
        <v>0</v>
      </c>
      <c r="Z275" s="152"/>
      <c r="AA275" s="153" t="s">
        <v>74</v>
      </c>
      <c r="AB275" s="152"/>
      <c r="AC275" s="152">
        <v>0</v>
      </c>
      <c r="AD275" s="152"/>
      <c r="AE275" s="152">
        <v>2.5</v>
      </c>
      <c r="AF275" s="152" t="s">
        <v>106</v>
      </c>
      <c r="AG275" s="152"/>
      <c r="AH275" s="148" t="s">
        <v>109</v>
      </c>
      <c r="AI275" s="152"/>
    </row>
    <row r="276" spans="1:35" x14ac:dyDescent="0.2">
      <c r="A276" s="11">
        <v>46009</v>
      </c>
      <c r="B276" s="15">
        <v>0.61875000000000002</v>
      </c>
      <c r="C276" s="152">
        <v>15.9</v>
      </c>
      <c r="D276" s="152">
        <v>14</v>
      </c>
      <c r="E276" s="152">
        <v>19.5</v>
      </c>
      <c r="F276" s="152">
        <v>19</v>
      </c>
      <c r="G276" s="118">
        <f t="shared" si="83"/>
        <v>1.9000000000000004</v>
      </c>
      <c r="H276" s="118">
        <f t="shared" si="95"/>
        <v>0.5</v>
      </c>
      <c r="I276" s="152">
        <v>68.400000000000006</v>
      </c>
      <c r="J276" s="152">
        <v>32</v>
      </c>
      <c r="K276" s="131">
        <f t="shared" si="85"/>
        <v>0.46783625730994149</v>
      </c>
      <c r="L276" s="139">
        <f t="shared" si="86"/>
        <v>1.8791208791208791</v>
      </c>
      <c r="M276" s="131">
        <f>(I277-I276)/I277</f>
        <v>-0.29056603773584916</v>
      </c>
      <c r="N276" s="118">
        <f t="shared" si="87"/>
        <v>36.400000000000006</v>
      </c>
      <c r="O276" s="118">
        <f t="shared" si="88"/>
        <v>25.799999999999997</v>
      </c>
      <c r="P276" s="152">
        <v>23</v>
      </c>
      <c r="Q276" s="131">
        <f t="shared" si="96"/>
        <v>0.7087912087912086</v>
      </c>
      <c r="R276" s="139">
        <f t="shared" si="90"/>
        <v>3.4339622641509413</v>
      </c>
      <c r="S276" s="131"/>
      <c r="T276" s="152">
        <v>57.8</v>
      </c>
      <c r="U276" s="103">
        <f t="shared" si="92"/>
        <v>10.600000000000009</v>
      </c>
      <c r="V276" s="140">
        <f t="shared" si="93"/>
        <v>0.8450292397660818</v>
      </c>
      <c r="W276" s="103">
        <f t="shared" si="94"/>
        <v>55</v>
      </c>
      <c r="X276" s="152">
        <v>10.9</v>
      </c>
      <c r="Y276" s="152">
        <v>0</v>
      </c>
      <c r="Z276" s="152"/>
      <c r="AA276" s="156" t="s">
        <v>74</v>
      </c>
      <c r="AB276" s="152"/>
      <c r="AC276" s="152">
        <v>0</v>
      </c>
      <c r="AD276" s="152"/>
      <c r="AE276" s="152">
        <v>2.2999999999999998</v>
      </c>
      <c r="AF276" s="156" t="s">
        <v>106</v>
      </c>
      <c r="AG276" s="152"/>
      <c r="AH276" s="148" t="s">
        <v>109</v>
      </c>
      <c r="AI276" s="157" t="s">
        <v>206</v>
      </c>
    </row>
    <row r="277" spans="1:35" x14ac:dyDescent="0.2">
      <c r="A277" s="11">
        <v>46010</v>
      </c>
      <c r="B277" s="15">
        <v>0.66041666666666698</v>
      </c>
      <c r="C277" s="152">
        <v>12.4</v>
      </c>
      <c r="D277" s="152">
        <v>11</v>
      </c>
      <c r="E277" s="152">
        <v>16.8</v>
      </c>
      <c r="F277" s="152">
        <v>16</v>
      </c>
      <c r="G277" s="118">
        <f t="shared" si="83"/>
        <v>1.4000000000000004</v>
      </c>
      <c r="H277" s="118">
        <f t="shared" si="95"/>
        <v>0.80000000000000071</v>
      </c>
      <c r="I277" s="152">
        <v>53</v>
      </c>
      <c r="J277" s="152">
        <v>21.5</v>
      </c>
      <c r="K277" s="131">
        <f t="shared" si="85"/>
        <v>0.40566037735849059</v>
      </c>
      <c r="L277" s="139">
        <f t="shared" si="86"/>
        <v>1.6825396825396826</v>
      </c>
      <c r="M277" s="131">
        <f>(I277-I280)/I277</f>
        <v>6.9811320754717035E-2</v>
      </c>
      <c r="N277" s="118">
        <f t="shared" si="87"/>
        <v>31.5</v>
      </c>
      <c r="O277" s="118">
        <f t="shared" si="88"/>
        <v>21.1</v>
      </c>
      <c r="P277" s="152">
        <v>18</v>
      </c>
      <c r="Q277" s="131">
        <f t="shared" si="96"/>
        <v>0.6698412698412699</v>
      </c>
      <c r="R277" s="139">
        <f t="shared" si="90"/>
        <v>3.0288461538461546</v>
      </c>
      <c r="S277" s="131"/>
      <c r="T277" s="152">
        <v>42.6</v>
      </c>
      <c r="U277" s="103">
        <f t="shared" si="92"/>
        <v>10.399999999999999</v>
      </c>
      <c r="V277" s="140">
        <f t="shared" si="93"/>
        <v>0.80377358490566042</v>
      </c>
      <c r="W277" s="103">
        <f t="shared" si="94"/>
        <v>39.5</v>
      </c>
      <c r="X277" s="152">
        <v>10.199999999999999</v>
      </c>
      <c r="Y277" s="152">
        <v>0</v>
      </c>
      <c r="Z277" s="152"/>
      <c r="AA277" s="156" t="s">
        <v>74</v>
      </c>
      <c r="AB277" s="152"/>
      <c r="AC277" s="152">
        <v>0</v>
      </c>
      <c r="AD277" s="152"/>
      <c r="AE277" s="152">
        <v>3.1</v>
      </c>
      <c r="AF277" s="156" t="s">
        <v>105</v>
      </c>
      <c r="AG277" s="152"/>
      <c r="AH277" s="148" t="s">
        <v>109</v>
      </c>
      <c r="AI277" s="152"/>
    </row>
    <row r="278" spans="1:35" hidden="1" x14ac:dyDescent="0.2">
      <c r="A278" s="11">
        <v>46011</v>
      </c>
      <c r="B278" s="15">
        <v>0.70208333333333395</v>
      </c>
      <c r="C278" s="152"/>
      <c r="D278" s="152"/>
      <c r="E278" s="152"/>
      <c r="F278" s="152"/>
      <c r="G278" s="118">
        <f t="shared" si="83"/>
        <v>0</v>
      </c>
      <c r="H278" s="118">
        <f t="shared" si="95"/>
        <v>0</v>
      </c>
      <c r="I278" s="152"/>
      <c r="J278" s="152"/>
      <c r="K278" s="131" t="e">
        <f t="shared" si="85"/>
        <v>#DIV/0!</v>
      </c>
      <c r="L278" s="139" t="e">
        <f t="shared" si="86"/>
        <v>#DIV/0!</v>
      </c>
      <c r="M278" s="131" t="e">
        <f t="shared" ref="M278:M279" si="98">(I279-I278)/I279</f>
        <v>#DIV/0!</v>
      </c>
      <c r="N278" s="118">
        <f t="shared" si="87"/>
        <v>0</v>
      </c>
      <c r="O278" s="118">
        <f t="shared" si="88"/>
        <v>0</v>
      </c>
      <c r="P278" s="152"/>
      <c r="Q278" s="131" t="e">
        <f t="shared" si="96"/>
        <v>#DIV/0!</v>
      </c>
      <c r="R278" s="139" t="e">
        <f t="shared" si="90"/>
        <v>#DIV/0!</v>
      </c>
      <c r="S278" s="74"/>
      <c r="T278" s="152"/>
      <c r="U278" s="103">
        <f t="shared" si="92"/>
        <v>0</v>
      </c>
      <c r="V278" s="140" t="e">
        <f t="shared" si="93"/>
        <v>#DIV/0!</v>
      </c>
      <c r="W278" s="103">
        <f t="shared" si="94"/>
        <v>0</v>
      </c>
      <c r="X278" s="152"/>
      <c r="Y278" s="152"/>
      <c r="Z278" s="152"/>
      <c r="AA278" s="152"/>
      <c r="AB278" s="152"/>
      <c r="AC278" s="152"/>
      <c r="AD278" s="152"/>
      <c r="AE278" s="152"/>
      <c r="AF278" s="152"/>
      <c r="AG278" s="152"/>
      <c r="AH278" s="152"/>
      <c r="AI278" s="157" t="s">
        <v>195</v>
      </c>
    </row>
    <row r="279" spans="1:35" ht="12" hidden="1" customHeight="1" x14ac:dyDescent="0.2">
      <c r="A279" s="11">
        <v>46012</v>
      </c>
      <c r="B279" s="15">
        <v>0.74375000000000102</v>
      </c>
      <c r="C279" s="152"/>
      <c r="D279" s="152"/>
      <c r="E279" s="152"/>
      <c r="F279" s="152"/>
      <c r="G279" s="118">
        <f t="shared" si="83"/>
        <v>0</v>
      </c>
      <c r="H279" s="118">
        <f t="shared" si="95"/>
        <v>0</v>
      </c>
      <c r="I279" s="152"/>
      <c r="J279" s="152"/>
      <c r="K279" s="131" t="e">
        <f t="shared" si="85"/>
        <v>#DIV/0!</v>
      </c>
      <c r="L279" s="139" t="e">
        <f t="shared" si="86"/>
        <v>#DIV/0!</v>
      </c>
      <c r="M279" s="131">
        <f t="shared" si="98"/>
        <v>1</v>
      </c>
      <c r="N279" s="118">
        <f t="shared" si="87"/>
        <v>0</v>
      </c>
      <c r="O279" s="118">
        <f t="shared" si="88"/>
        <v>0</v>
      </c>
      <c r="P279" s="152"/>
      <c r="Q279" s="131" t="e">
        <f t="shared" si="96"/>
        <v>#DIV/0!</v>
      </c>
      <c r="R279" s="139" t="e">
        <f t="shared" si="90"/>
        <v>#DIV/0!</v>
      </c>
      <c r="S279" s="74"/>
      <c r="T279" s="152"/>
      <c r="U279" s="103">
        <f t="shared" si="92"/>
        <v>0</v>
      </c>
      <c r="V279" s="140" t="e">
        <f t="shared" si="93"/>
        <v>#DIV/0!</v>
      </c>
      <c r="W279" s="103">
        <f t="shared" si="94"/>
        <v>0</v>
      </c>
      <c r="X279" s="152"/>
      <c r="Y279" s="152"/>
      <c r="Z279" s="152"/>
      <c r="AA279" s="152"/>
      <c r="AB279" s="152"/>
      <c r="AC279" s="152"/>
      <c r="AD279" s="152"/>
      <c r="AE279" s="152"/>
      <c r="AF279" s="152"/>
      <c r="AG279" s="152"/>
      <c r="AH279" s="152"/>
      <c r="AI279" s="157" t="s">
        <v>207</v>
      </c>
    </row>
    <row r="280" spans="1:35" x14ac:dyDescent="0.2">
      <c r="A280" s="11">
        <v>46013</v>
      </c>
      <c r="B280" s="15">
        <v>0.78541666666666698</v>
      </c>
      <c r="C280" s="152">
        <v>12.7</v>
      </c>
      <c r="D280" s="152">
        <v>11</v>
      </c>
      <c r="E280" s="152">
        <v>17</v>
      </c>
      <c r="F280" s="152">
        <v>16.3</v>
      </c>
      <c r="G280" s="118">
        <f t="shared" si="83"/>
        <v>1.6999999999999993</v>
      </c>
      <c r="H280" s="118">
        <f t="shared" si="95"/>
        <v>0.69999999999999929</v>
      </c>
      <c r="I280" s="152">
        <v>49.3</v>
      </c>
      <c r="J280" s="152">
        <v>22</v>
      </c>
      <c r="K280" s="131">
        <f t="shared" si="85"/>
        <v>0.44624746450304265</v>
      </c>
      <c r="L280" s="139">
        <f t="shared" si="86"/>
        <v>1.8058608058608061</v>
      </c>
      <c r="M280" s="131">
        <f>(I280-I294)/I280</f>
        <v>-0.39553752535496961</v>
      </c>
      <c r="N280" s="118">
        <f t="shared" si="87"/>
        <v>27.299999999999997</v>
      </c>
      <c r="O280" s="118">
        <f t="shared" si="88"/>
        <v>18.299999999999997</v>
      </c>
      <c r="P280" s="152">
        <v>16.8</v>
      </c>
      <c r="Q280" s="131">
        <f t="shared" si="96"/>
        <v>0.67032967032967028</v>
      </c>
      <c r="R280" s="139">
        <f t="shared" si="90"/>
        <v>3.0333333333333328</v>
      </c>
      <c r="S280" s="74"/>
      <c r="T280" s="152">
        <v>40.299999999999997</v>
      </c>
      <c r="U280" s="103">
        <f t="shared" si="92"/>
        <v>9</v>
      </c>
      <c r="V280" s="140">
        <f t="shared" si="93"/>
        <v>0.81744421906693709</v>
      </c>
      <c r="W280" s="103">
        <f t="shared" si="94"/>
        <v>38.799999999999997</v>
      </c>
      <c r="X280" s="152">
        <v>9.5</v>
      </c>
      <c r="Y280" s="152">
        <v>0</v>
      </c>
      <c r="Z280" s="152"/>
      <c r="AA280" s="156" t="s">
        <v>74</v>
      </c>
      <c r="AB280" s="152"/>
      <c r="AC280" s="152">
        <v>0</v>
      </c>
      <c r="AD280" s="152"/>
      <c r="AE280" s="152">
        <v>3.2</v>
      </c>
      <c r="AF280" s="156" t="s">
        <v>205</v>
      </c>
      <c r="AG280" s="152"/>
      <c r="AH280" s="152"/>
      <c r="AI280" s="157" t="s">
        <v>208</v>
      </c>
    </row>
    <row r="281" spans="1:35" hidden="1" x14ac:dyDescent="0.2">
      <c r="A281" s="11">
        <v>46014</v>
      </c>
      <c r="B281" s="15">
        <v>0.82708333333333395</v>
      </c>
      <c r="C281" s="152"/>
      <c r="D281" s="152"/>
      <c r="E281" s="152"/>
      <c r="F281" s="152"/>
      <c r="G281" s="118">
        <f t="shared" si="83"/>
        <v>0</v>
      </c>
      <c r="H281" s="118">
        <f t="shared" si="95"/>
        <v>0</v>
      </c>
      <c r="I281" s="152"/>
      <c r="J281" s="152"/>
      <c r="K281" s="131" t="e">
        <f t="shared" si="85"/>
        <v>#DIV/0!</v>
      </c>
      <c r="L281" s="139" t="e">
        <f t="shared" si="86"/>
        <v>#DIV/0!</v>
      </c>
      <c r="M281" s="74"/>
      <c r="N281" s="118">
        <f t="shared" si="87"/>
        <v>0</v>
      </c>
      <c r="O281" s="118">
        <f t="shared" si="88"/>
        <v>0</v>
      </c>
      <c r="P281" s="152"/>
      <c r="Q281" s="131" t="e">
        <f t="shared" si="96"/>
        <v>#DIV/0!</v>
      </c>
      <c r="R281" s="139" t="e">
        <f t="shared" si="90"/>
        <v>#DIV/0!</v>
      </c>
      <c r="S281" s="74"/>
      <c r="T281" s="152"/>
      <c r="U281" s="103">
        <f t="shared" si="92"/>
        <v>0</v>
      </c>
      <c r="V281" s="140" t="e">
        <f t="shared" si="93"/>
        <v>#DIV/0!</v>
      </c>
      <c r="W281" s="103">
        <f t="shared" si="94"/>
        <v>0</v>
      </c>
      <c r="X281" s="152"/>
      <c r="Y281" s="152"/>
      <c r="Z281" s="152"/>
      <c r="AA281" s="152"/>
      <c r="AB281" s="152"/>
      <c r="AC281" s="152"/>
      <c r="AD281" s="152"/>
      <c r="AE281" s="152"/>
      <c r="AF281" s="152"/>
      <c r="AG281" s="152"/>
      <c r="AH281" s="152"/>
      <c r="AI281" s="157" t="s">
        <v>212</v>
      </c>
    </row>
    <row r="282" spans="1:35" hidden="1" x14ac:dyDescent="0.2">
      <c r="A282" s="11">
        <v>46015</v>
      </c>
      <c r="B282" s="15">
        <v>0.86875000000000102</v>
      </c>
      <c r="C282" s="152"/>
      <c r="D282" s="152"/>
      <c r="E282" s="152"/>
      <c r="F282" s="152"/>
      <c r="G282" s="118">
        <f t="shared" si="83"/>
        <v>0</v>
      </c>
      <c r="H282" s="118">
        <f t="shared" si="95"/>
        <v>0</v>
      </c>
      <c r="I282" s="152"/>
      <c r="J282" s="152"/>
      <c r="K282" s="131" t="e">
        <f t="shared" si="85"/>
        <v>#DIV/0!</v>
      </c>
      <c r="L282" s="139" t="e">
        <f t="shared" si="86"/>
        <v>#DIV/0!</v>
      </c>
      <c r="M282" s="74"/>
      <c r="N282" s="118">
        <f t="shared" si="87"/>
        <v>0</v>
      </c>
      <c r="O282" s="118">
        <f t="shared" si="88"/>
        <v>0</v>
      </c>
      <c r="P282" s="152"/>
      <c r="Q282" s="131" t="e">
        <f t="shared" si="96"/>
        <v>#DIV/0!</v>
      </c>
      <c r="R282" s="139" t="e">
        <f t="shared" si="90"/>
        <v>#DIV/0!</v>
      </c>
      <c r="S282" s="74"/>
      <c r="T282" s="152"/>
      <c r="U282" s="103">
        <f t="shared" si="92"/>
        <v>0</v>
      </c>
      <c r="V282" s="140" t="e">
        <f t="shared" si="93"/>
        <v>#DIV/0!</v>
      </c>
      <c r="W282" s="103">
        <f t="shared" si="94"/>
        <v>0</v>
      </c>
      <c r="X282" s="152"/>
      <c r="Y282" s="152"/>
      <c r="Z282" s="152"/>
      <c r="AA282" s="152"/>
      <c r="AB282" s="152"/>
      <c r="AC282" s="152"/>
      <c r="AD282" s="152"/>
      <c r="AE282" s="152"/>
      <c r="AF282" s="152"/>
      <c r="AG282" s="152"/>
      <c r="AH282" s="152"/>
      <c r="AI282" s="157" t="s">
        <v>213</v>
      </c>
    </row>
    <row r="283" spans="1:35" hidden="1" x14ac:dyDescent="0.2">
      <c r="A283" s="11">
        <v>46016</v>
      </c>
      <c r="B283" s="15">
        <v>0.91041666666666698</v>
      </c>
      <c r="C283" s="152"/>
      <c r="D283" s="152"/>
      <c r="E283" s="152"/>
      <c r="F283" s="152"/>
      <c r="G283" s="118">
        <f t="shared" si="83"/>
        <v>0</v>
      </c>
      <c r="H283" s="118">
        <f t="shared" si="95"/>
        <v>0</v>
      </c>
      <c r="I283" s="152"/>
      <c r="J283" s="152"/>
      <c r="K283" s="131" t="e">
        <f t="shared" si="85"/>
        <v>#DIV/0!</v>
      </c>
      <c r="L283" s="139" t="e">
        <f t="shared" si="86"/>
        <v>#DIV/0!</v>
      </c>
      <c r="M283" s="74"/>
      <c r="N283" s="118">
        <f t="shared" si="87"/>
        <v>0</v>
      </c>
      <c r="O283" s="118">
        <f t="shared" si="88"/>
        <v>0</v>
      </c>
      <c r="P283" s="152"/>
      <c r="Q283" s="131" t="e">
        <f t="shared" si="96"/>
        <v>#DIV/0!</v>
      </c>
      <c r="R283" s="139" t="e">
        <f t="shared" si="90"/>
        <v>#DIV/0!</v>
      </c>
      <c r="S283" s="74"/>
      <c r="T283" s="152"/>
      <c r="U283" s="103">
        <f t="shared" si="92"/>
        <v>0</v>
      </c>
      <c r="V283" s="140" t="e">
        <f t="shared" si="93"/>
        <v>#DIV/0!</v>
      </c>
      <c r="W283" s="103">
        <f t="shared" si="94"/>
        <v>0</v>
      </c>
      <c r="X283" s="152"/>
      <c r="Y283" s="152"/>
      <c r="Z283" s="152"/>
      <c r="AA283" s="152"/>
      <c r="AB283" s="152"/>
      <c r="AC283" s="152"/>
      <c r="AD283" s="152"/>
      <c r="AE283" s="152"/>
      <c r="AF283" s="152"/>
      <c r="AG283" s="152"/>
      <c r="AH283" s="152"/>
      <c r="AI283" s="157" t="s">
        <v>174</v>
      </c>
    </row>
    <row r="284" spans="1:35" hidden="1" x14ac:dyDescent="0.2">
      <c r="A284" s="11">
        <v>46017</v>
      </c>
      <c r="B284" s="15">
        <v>0.95208333333333395</v>
      </c>
      <c r="C284" s="152"/>
      <c r="D284" s="152"/>
      <c r="E284" s="152"/>
      <c r="F284" s="152"/>
      <c r="G284" s="118">
        <f t="shared" si="83"/>
        <v>0</v>
      </c>
      <c r="H284" s="118">
        <f t="shared" si="95"/>
        <v>0</v>
      </c>
      <c r="I284" s="152"/>
      <c r="J284" s="152"/>
      <c r="K284" s="131" t="e">
        <f t="shared" si="85"/>
        <v>#DIV/0!</v>
      </c>
      <c r="L284" s="139" t="e">
        <f t="shared" si="86"/>
        <v>#DIV/0!</v>
      </c>
      <c r="M284" s="74"/>
      <c r="N284" s="118">
        <f t="shared" si="87"/>
        <v>0</v>
      </c>
      <c r="O284" s="118">
        <f t="shared" si="88"/>
        <v>0</v>
      </c>
      <c r="P284" s="152"/>
      <c r="Q284" s="131" t="e">
        <f t="shared" si="96"/>
        <v>#DIV/0!</v>
      </c>
      <c r="R284" s="139" t="e">
        <f t="shared" si="90"/>
        <v>#DIV/0!</v>
      </c>
      <c r="S284" s="74"/>
      <c r="T284" s="152"/>
      <c r="U284" s="103">
        <f t="shared" si="92"/>
        <v>0</v>
      </c>
      <c r="V284" s="140" t="e">
        <f t="shared" si="93"/>
        <v>#DIV/0!</v>
      </c>
      <c r="W284" s="103">
        <f t="shared" si="94"/>
        <v>0</v>
      </c>
      <c r="X284" s="152"/>
      <c r="Y284" s="152"/>
      <c r="Z284" s="152"/>
      <c r="AA284" s="152"/>
      <c r="AB284" s="152"/>
      <c r="AC284" s="152"/>
      <c r="AD284" s="152"/>
      <c r="AE284" s="152"/>
      <c r="AF284" s="152"/>
      <c r="AG284" s="152"/>
      <c r="AH284" s="152"/>
      <c r="AI284" s="157" t="s">
        <v>184</v>
      </c>
    </row>
    <row r="285" spans="1:35" hidden="1" x14ac:dyDescent="0.2">
      <c r="A285" s="11">
        <v>46018</v>
      </c>
      <c r="B285" s="15">
        <v>0.99375000000000102</v>
      </c>
      <c r="C285" s="50"/>
      <c r="D285" s="50"/>
      <c r="E285" s="50"/>
      <c r="F285" s="50"/>
      <c r="G285" s="118">
        <f t="shared" si="83"/>
        <v>0</v>
      </c>
      <c r="H285" s="118">
        <f t="shared" si="95"/>
        <v>0</v>
      </c>
      <c r="I285" s="50"/>
      <c r="J285" s="50"/>
      <c r="K285" s="131" t="e">
        <f t="shared" si="85"/>
        <v>#DIV/0!</v>
      </c>
      <c r="L285" s="139" t="e">
        <f t="shared" si="86"/>
        <v>#DIV/0!</v>
      </c>
      <c r="M285" s="118"/>
      <c r="N285" s="118">
        <f t="shared" si="87"/>
        <v>0</v>
      </c>
      <c r="O285" s="118">
        <f t="shared" si="88"/>
        <v>0</v>
      </c>
      <c r="P285" s="50"/>
      <c r="Q285" s="131" t="e">
        <f t="shared" si="96"/>
        <v>#DIV/0!</v>
      </c>
      <c r="R285" s="139" t="e">
        <f t="shared" si="90"/>
        <v>#DIV/0!</v>
      </c>
      <c r="S285" s="118"/>
      <c r="T285" s="50"/>
      <c r="U285" s="103">
        <f t="shared" si="92"/>
        <v>0</v>
      </c>
      <c r="V285" s="140" t="e">
        <f t="shared" si="93"/>
        <v>#DIV/0!</v>
      </c>
      <c r="W285" s="103">
        <f t="shared" si="94"/>
        <v>0</v>
      </c>
      <c r="X285" s="50"/>
      <c r="Y285" s="160"/>
      <c r="Z285" s="152"/>
      <c r="AA285" s="152"/>
      <c r="AB285" s="152"/>
      <c r="AC285" s="152"/>
      <c r="AD285" s="152"/>
      <c r="AE285" s="152"/>
      <c r="AF285" s="152"/>
      <c r="AG285" s="152"/>
      <c r="AH285" s="152"/>
      <c r="AI285" s="157" t="s">
        <v>184</v>
      </c>
    </row>
    <row r="286" spans="1:35" hidden="1" x14ac:dyDescent="0.2">
      <c r="A286" s="11">
        <v>46019</v>
      </c>
      <c r="B286" s="15">
        <v>1.03541666666667</v>
      </c>
      <c r="C286" s="50"/>
      <c r="D286" s="50"/>
      <c r="E286" s="50"/>
      <c r="F286" s="50"/>
      <c r="G286" s="118">
        <f t="shared" si="83"/>
        <v>0</v>
      </c>
      <c r="H286" s="118">
        <f t="shared" si="95"/>
        <v>0</v>
      </c>
      <c r="I286" s="50"/>
      <c r="J286" s="50"/>
      <c r="K286" s="131" t="e">
        <f t="shared" si="85"/>
        <v>#DIV/0!</v>
      </c>
      <c r="L286" s="139" t="e">
        <f t="shared" si="86"/>
        <v>#DIV/0!</v>
      </c>
      <c r="M286" s="118"/>
      <c r="N286" s="118">
        <f t="shared" si="87"/>
        <v>0</v>
      </c>
      <c r="O286" s="118">
        <f t="shared" si="88"/>
        <v>0</v>
      </c>
      <c r="P286" s="50"/>
      <c r="Q286" s="131" t="e">
        <f t="shared" si="96"/>
        <v>#DIV/0!</v>
      </c>
      <c r="R286" s="139" t="e">
        <f t="shared" si="90"/>
        <v>#DIV/0!</v>
      </c>
      <c r="S286" s="118"/>
      <c r="T286" s="50"/>
      <c r="U286" s="103">
        <f t="shared" si="92"/>
        <v>0</v>
      </c>
      <c r="V286" s="140" t="e">
        <f t="shared" si="93"/>
        <v>#DIV/0!</v>
      </c>
      <c r="W286" s="103">
        <f t="shared" si="94"/>
        <v>0</v>
      </c>
      <c r="X286" s="50"/>
      <c r="Y286" s="160"/>
      <c r="Z286" s="152"/>
      <c r="AA286" s="152"/>
      <c r="AB286" s="152"/>
      <c r="AC286" s="152"/>
      <c r="AD286" s="152"/>
      <c r="AE286" s="152"/>
      <c r="AF286" s="152"/>
      <c r="AG286" s="152"/>
      <c r="AH286" s="152"/>
      <c r="AI286" s="157" t="s">
        <v>210</v>
      </c>
    </row>
    <row r="287" spans="1:35" hidden="1" x14ac:dyDescent="0.2">
      <c r="A287" s="11">
        <v>46020</v>
      </c>
      <c r="B287" s="15">
        <v>1.0770833333333301</v>
      </c>
      <c r="C287" s="50"/>
      <c r="D287" s="50"/>
      <c r="E287" s="50"/>
      <c r="F287" s="50"/>
      <c r="G287" s="118">
        <f t="shared" si="83"/>
        <v>0</v>
      </c>
      <c r="H287" s="118">
        <f t="shared" si="95"/>
        <v>0</v>
      </c>
      <c r="I287" s="50"/>
      <c r="J287" s="50"/>
      <c r="K287" s="131" t="e">
        <f t="shared" si="85"/>
        <v>#DIV/0!</v>
      </c>
      <c r="L287" s="139" t="e">
        <f t="shared" si="86"/>
        <v>#DIV/0!</v>
      </c>
      <c r="M287" s="118"/>
      <c r="N287" s="118">
        <f t="shared" si="87"/>
        <v>0</v>
      </c>
      <c r="O287" s="118">
        <f t="shared" si="88"/>
        <v>0</v>
      </c>
      <c r="P287" s="50"/>
      <c r="Q287" s="131" t="e">
        <f t="shared" si="96"/>
        <v>#DIV/0!</v>
      </c>
      <c r="R287" s="139" t="e">
        <f t="shared" si="90"/>
        <v>#DIV/0!</v>
      </c>
      <c r="S287" s="118"/>
      <c r="T287" s="50"/>
      <c r="U287" s="103">
        <f t="shared" si="92"/>
        <v>0</v>
      </c>
      <c r="V287" s="140" t="e">
        <f t="shared" si="93"/>
        <v>#DIV/0!</v>
      </c>
      <c r="W287" s="103">
        <f t="shared" si="94"/>
        <v>0</v>
      </c>
      <c r="X287" s="50"/>
      <c r="Y287" s="160"/>
      <c r="Z287" s="152"/>
      <c r="AA287" s="152"/>
      <c r="AB287" s="152"/>
      <c r="AC287" s="152"/>
      <c r="AD287" s="152"/>
      <c r="AE287" s="152"/>
      <c r="AF287" s="152"/>
      <c r="AG287" s="152"/>
      <c r="AH287" s="152"/>
      <c r="AI287" s="157" t="s">
        <v>211</v>
      </c>
    </row>
    <row r="288" spans="1:35" hidden="1" x14ac:dyDescent="0.2">
      <c r="A288" s="11">
        <v>46021</v>
      </c>
      <c r="B288" s="15">
        <v>1.1187499999999999</v>
      </c>
      <c r="C288" s="50"/>
      <c r="D288" s="50"/>
      <c r="E288" s="50"/>
      <c r="F288" s="50"/>
      <c r="G288" s="118">
        <f t="shared" si="83"/>
        <v>0</v>
      </c>
      <c r="H288" s="118">
        <f t="shared" si="95"/>
        <v>0</v>
      </c>
      <c r="I288" s="50"/>
      <c r="J288" s="50"/>
      <c r="K288" s="131" t="e">
        <f t="shared" si="85"/>
        <v>#DIV/0!</v>
      </c>
      <c r="L288" s="139" t="e">
        <f t="shared" si="86"/>
        <v>#DIV/0!</v>
      </c>
      <c r="M288" s="118"/>
      <c r="N288" s="118">
        <f t="shared" si="87"/>
        <v>0</v>
      </c>
      <c r="O288" s="118">
        <f t="shared" si="88"/>
        <v>0</v>
      </c>
      <c r="P288" s="50"/>
      <c r="Q288" s="131" t="e">
        <f t="shared" si="96"/>
        <v>#DIV/0!</v>
      </c>
      <c r="R288" s="139" t="e">
        <f t="shared" si="90"/>
        <v>#DIV/0!</v>
      </c>
      <c r="S288" s="118"/>
      <c r="T288" s="50"/>
      <c r="U288" s="103">
        <f t="shared" si="92"/>
        <v>0</v>
      </c>
      <c r="V288" s="140" t="e">
        <f t="shared" si="93"/>
        <v>#DIV/0!</v>
      </c>
      <c r="W288" s="103">
        <f t="shared" si="94"/>
        <v>0</v>
      </c>
      <c r="X288" s="50"/>
      <c r="Y288" s="160"/>
      <c r="Z288" s="152"/>
      <c r="AA288" s="152"/>
      <c r="AB288" s="152"/>
      <c r="AC288" s="152"/>
      <c r="AD288" s="152"/>
      <c r="AE288" s="152"/>
      <c r="AF288" s="152"/>
      <c r="AG288" s="152"/>
      <c r="AH288" s="152"/>
      <c r="AI288" s="157" t="s">
        <v>209</v>
      </c>
    </row>
    <row r="289" spans="1:35" hidden="1" x14ac:dyDescent="0.2">
      <c r="A289" s="11">
        <v>46022</v>
      </c>
      <c r="B289" s="15">
        <v>1.16041666666667</v>
      </c>
      <c r="C289" s="50"/>
      <c r="D289" s="50"/>
      <c r="E289" s="50"/>
      <c r="F289" s="50"/>
      <c r="G289" s="118">
        <f t="shared" si="83"/>
        <v>0</v>
      </c>
      <c r="H289" s="118">
        <f t="shared" si="95"/>
        <v>0</v>
      </c>
      <c r="I289" s="50"/>
      <c r="J289" s="50"/>
      <c r="K289" s="131" t="e">
        <f t="shared" si="85"/>
        <v>#DIV/0!</v>
      </c>
      <c r="L289" s="139" t="e">
        <f t="shared" si="86"/>
        <v>#DIV/0!</v>
      </c>
      <c r="M289" s="118"/>
      <c r="N289" s="118">
        <f t="shared" si="87"/>
        <v>0</v>
      </c>
      <c r="O289" s="118">
        <f t="shared" si="88"/>
        <v>0</v>
      </c>
      <c r="P289" s="50"/>
      <c r="Q289" s="131" t="e">
        <f t="shared" si="96"/>
        <v>#DIV/0!</v>
      </c>
      <c r="R289" s="139" t="e">
        <f t="shared" si="90"/>
        <v>#DIV/0!</v>
      </c>
      <c r="S289" s="118"/>
      <c r="T289" s="50"/>
      <c r="U289" s="103">
        <f t="shared" si="92"/>
        <v>0</v>
      </c>
      <c r="V289" s="140" t="e">
        <f t="shared" si="93"/>
        <v>#DIV/0!</v>
      </c>
      <c r="W289" s="103">
        <f t="shared" si="94"/>
        <v>0</v>
      </c>
      <c r="X289" s="50"/>
      <c r="Y289" s="160"/>
      <c r="Z289" s="152"/>
      <c r="AA289" s="152"/>
      <c r="AB289" s="152"/>
      <c r="AC289" s="152"/>
      <c r="AD289" s="152"/>
      <c r="AE289" s="152"/>
      <c r="AF289" s="152"/>
      <c r="AG289" s="152"/>
      <c r="AH289" s="152"/>
      <c r="AI289" s="152"/>
    </row>
    <row r="290" spans="1:35" hidden="1" x14ac:dyDescent="0.2">
      <c r="A290" s="11">
        <v>46023</v>
      </c>
      <c r="B290" s="15">
        <v>1.2020833333333401</v>
      </c>
      <c r="C290" s="50"/>
      <c r="D290" s="50"/>
      <c r="E290" s="50"/>
      <c r="F290" s="50"/>
      <c r="G290" s="118">
        <f t="shared" si="83"/>
        <v>0</v>
      </c>
      <c r="H290" s="118">
        <f t="shared" si="95"/>
        <v>0</v>
      </c>
      <c r="I290" s="50"/>
      <c r="J290" s="50"/>
      <c r="K290" s="131" t="e">
        <f t="shared" si="85"/>
        <v>#DIV/0!</v>
      </c>
      <c r="L290" s="139" t="e">
        <f t="shared" si="86"/>
        <v>#DIV/0!</v>
      </c>
      <c r="M290" s="118"/>
      <c r="N290" s="118">
        <f t="shared" si="87"/>
        <v>0</v>
      </c>
      <c r="O290" s="118">
        <f t="shared" si="88"/>
        <v>0</v>
      </c>
      <c r="P290" s="50"/>
      <c r="Q290" s="131" t="e">
        <f t="shared" si="96"/>
        <v>#DIV/0!</v>
      </c>
      <c r="R290" s="139" t="e">
        <f t="shared" si="90"/>
        <v>#DIV/0!</v>
      </c>
      <c r="S290" s="118"/>
      <c r="T290" s="50"/>
      <c r="U290" s="103">
        <f t="shared" si="92"/>
        <v>0</v>
      </c>
      <c r="V290" s="140" t="e">
        <f t="shared" si="93"/>
        <v>#DIV/0!</v>
      </c>
      <c r="W290" s="103">
        <f t="shared" si="94"/>
        <v>0</v>
      </c>
      <c r="X290" s="50"/>
      <c r="Y290" s="160"/>
      <c r="Z290" s="152"/>
      <c r="AA290" s="152"/>
      <c r="AB290" s="152"/>
      <c r="AC290" s="152"/>
      <c r="AD290" s="152"/>
      <c r="AE290" s="152"/>
      <c r="AF290" s="152"/>
      <c r="AG290" s="152"/>
      <c r="AH290" s="152"/>
      <c r="AI290" s="152"/>
    </row>
    <row r="291" spans="1:35" hidden="1" x14ac:dyDescent="0.2">
      <c r="A291" s="11">
        <v>46024</v>
      </c>
      <c r="B291" s="15">
        <v>1.2437499999999999</v>
      </c>
      <c r="C291" s="50"/>
      <c r="D291" s="50"/>
      <c r="E291" s="50"/>
      <c r="F291" s="50"/>
      <c r="G291" s="118">
        <f t="shared" si="83"/>
        <v>0</v>
      </c>
      <c r="H291" s="118">
        <f t="shared" si="95"/>
        <v>0</v>
      </c>
      <c r="I291" s="50"/>
      <c r="J291" s="50"/>
      <c r="K291" s="131" t="e">
        <f t="shared" si="85"/>
        <v>#DIV/0!</v>
      </c>
      <c r="L291" s="139" t="e">
        <f t="shared" si="86"/>
        <v>#DIV/0!</v>
      </c>
      <c r="M291" s="118"/>
      <c r="N291" s="118">
        <f t="shared" si="87"/>
        <v>0</v>
      </c>
      <c r="O291" s="118">
        <f t="shared" si="88"/>
        <v>0</v>
      </c>
      <c r="P291" s="50"/>
      <c r="Q291" s="131" t="e">
        <f t="shared" si="96"/>
        <v>#DIV/0!</v>
      </c>
      <c r="R291" s="139" t="e">
        <f t="shared" si="90"/>
        <v>#DIV/0!</v>
      </c>
      <c r="S291" s="118"/>
      <c r="T291" s="50"/>
      <c r="U291" s="103">
        <f t="shared" si="92"/>
        <v>0</v>
      </c>
      <c r="V291" s="140" t="e">
        <f t="shared" si="93"/>
        <v>#DIV/0!</v>
      </c>
      <c r="W291" s="103">
        <f t="shared" si="94"/>
        <v>0</v>
      </c>
      <c r="X291" s="50"/>
      <c r="Y291" s="160"/>
      <c r="Z291" s="152"/>
      <c r="AA291" s="152"/>
      <c r="AB291" s="152"/>
      <c r="AC291" s="152"/>
      <c r="AD291" s="152"/>
      <c r="AE291" s="152"/>
      <c r="AF291" s="152"/>
      <c r="AG291" s="152"/>
      <c r="AH291" s="152"/>
      <c r="AI291" s="152"/>
    </row>
    <row r="292" spans="1:35" hidden="1" x14ac:dyDescent="0.2">
      <c r="A292" s="11">
        <v>46025</v>
      </c>
      <c r="B292" s="15">
        <v>1.28541666666667</v>
      </c>
      <c r="C292" s="50"/>
      <c r="D292" s="50"/>
      <c r="E292" s="50"/>
      <c r="F292" s="50"/>
      <c r="G292" s="118">
        <f t="shared" si="83"/>
        <v>0</v>
      </c>
      <c r="H292" s="118">
        <f t="shared" si="95"/>
        <v>0</v>
      </c>
      <c r="I292" s="50"/>
      <c r="J292" s="50"/>
      <c r="K292" s="131" t="e">
        <f t="shared" si="85"/>
        <v>#DIV/0!</v>
      </c>
      <c r="L292" s="139" t="e">
        <f t="shared" si="86"/>
        <v>#DIV/0!</v>
      </c>
      <c r="M292" s="118"/>
      <c r="N292" s="118">
        <f t="shared" si="87"/>
        <v>0</v>
      </c>
      <c r="O292" s="118">
        <f t="shared" si="88"/>
        <v>0</v>
      </c>
      <c r="P292" s="50"/>
      <c r="Q292" s="131" t="e">
        <f t="shared" si="96"/>
        <v>#DIV/0!</v>
      </c>
      <c r="R292" s="139" t="e">
        <f t="shared" si="90"/>
        <v>#DIV/0!</v>
      </c>
      <c r="S292" s="118"/>
      <c r="T292" s="50"/>
      <c r="U292" s="103">
        <f t="shared" si="92"/>
        <v>0</v>
      </c>
      <c r="V292" s="140" t="e">
        <f t="shared" si="93"/>
        <v>#DIV/0!</v>
      </c>
      <c r="W292" s="103">
        <f t="shared" si="94"/>
        <v>0</v>
      </c>
      <c r="X292" s="50"/>
      <c r="Y292" s="160"/>
      <c r="Z292" s="152"/>
      <c r="AA292" s="152"/>
      <c r="AB292" s="152"/>
      <c r="AC292" s="152"/>
      <c r="AD292" s="152"/>
      <c r="AE292" s="152"/>
      <c r="AF292" s="152"/>
      <c r="AG292" s="152"/>
      <c r="AH292" s="152"/>
      <c r="AI292" s="152"/>
    </row>
    <row r="293" spans="1:35" hidden="1" x14ac:dyDescent="0.2">
      <c r="A293" s="11">
        <v>46026</v>
      </c>
      <c r="B293" s="15">
        <v>1.3270833333333401</v>
      </c>
      <c r="C293" s="50"/>
      <c r="D293" s="50"/>
      <c r="E293" s="50"/>
      <c r="F293" s="50"/>
      <c r="G293" s="118">
        <f t="shared" si="83"/>
        <v>0</v>
      </c>
      <c r="H293" s="118">
        <f t="shared" si="95"/>
        <v>0</v>
      </c>
      <c r="I293" s="50"/>
      <c r="J293" s="50"/>
      <c r="K293" s="131" t="e">
        <f t="shared" si="85"/>
        <v>#DIV/0!</v>
      </c>
      <c r="L293" s="139" t="e">
        <f t="shared" si="86"/>
        <v>#DIV/0!</v>
      </c>
      <c r="M293" s="118"/>
      <c r="N293" s="118">
        <f t="shared" si="87"/>
        <v>0</v>
      </c>
      <c r="O293" s="118">
        <f t="shared" si="88"/>
        <v>0</v>
      </c>
      <c r="P293" s="50"/>
      <c r="Q293" s="131" t="e">
        <f t="shared" si="96"/>
        <v>#DIV/0!</v>
      </c>
      <c r="R293" s="139" t="e">
        <f t="shared" si="90"/>
        <v>#DIV/0!</v>
      </c>
      <c r="S293" s="118"/>
      <c r="T293" s="50"/>
      <c r="U293" s="103">
        <f t="shared" si="92"/>
        <v>0</v>
      </c>
      <c r="V293" s="140" t="e">
        <f t="shared" si="93"/>
        <v>#DIV/0!</v>
      </c>
      <c r="W293" s="103">
        <f t="shared" si="94"/>
        <v>0</v>
      </c>
      <c r="X293" s="50"/>
      <c r="Y293" s="160"/>
      <c r="Z293" s="152"/>
      <c r="AA293" s="152"/>
      <c r="AB293" s="152"/>
      <c r="AC293" s="152"/>
      <c r="AD293" s="152"/>
      <c r="AE293" s="152"/>
      <c r="AF293" s="152"/>
      <c r="AG293" s="152"/>
      <c r="AH293" s="152"/>
      <c r="AI293" s="152"/>
    </row>
    <row r="294" spans="1:35" x14ac:dyDescent="0.2">
      <c r="A294" s="11">
        <v>46027</v>
      </c>
      <c r="B294" s="15">
        <v>1.3687499999999999</v>
      </c>
      <c r="C294" s="50">
        <v>15.1</v>
      </c>
      <c r="D294" s="50">
        <v>14</v>
      </c>
      <c r="E294" s="50">
        <v>19.3</v>
      </c>
      <c r="F294" s="50">
        <v>18.7</v>
      </c>
      <c r="G294" s="118">
        <f t="shared" si="83"/>
        <v>1.0999999999999996</v>
      </c>
      <c r="H294" s="118">
        <f t="shared" si="95"/>
        <v>0.60000000000000142</v>
      </c>
      <c r="I294" s="50">
        <v>68.8</v>
      </c>
      <c r="J294" s="50">
        <v>31</v>
      </c>
      <c r="K294" s="131">
        <f t="shared" si="85"/>
        <v>0.45058139534883723</v>
      </c>
      <c r="L294" s="139">
        <f t="shared" si="86"/>
        <v>1.8201058201058202</v>
      </c>
      <c r="M294" s="131">
        <f>(I294-I304)/I294</f>
        <v>2.9069767441860465E-2</v>
      </c>
      <c r="N294" s="118">
        <f t="shared" si="87"/>
        <v>37.799999999999997</v>
      </c>
      <c r="O294" s="118">
        <f t="shared" si="88"/>
        <v>22.299999999999997</v>
      </c>
      <c r="P294" s="50">
        <v>28</v>
      </c>
      <c r="Q294" s="131">
        <f t="shared" si="96"/>
        <v>0.58994708994708989</v>
      </c>
      <c r="R294" s="139">
        <f t="shared" si="90"/>
        <v>2.4387096774193546</v>
      </c>
      <c r="S294" s="118"/>
      <c r="T294" s="50">
        <v>53.3</v>
      </c>
      <c r="U294" s="103">
        <f t="shared" si="92"/>
        <v>15.5</v>
      </c>
      <c r="V294" s="140">
        <f t="shared" si="93"/>
        <v>0.77470930232558144</v>
      </c>
      <c r="W294" s="103">
        <f t="shared" si="94"/>
        <v>59</v>
      </c>
      <c r="X294" s="50">
        <v>15.4</v>
      </c>
      <c r="Y294" s="160">
        <v>0</v>
      </c>
      <c r="Z294" s="152"/>
      <c r="AA294" s="156" t="s">
        <v>74</v>
      </c>
      <c r="AB294" s="152"/>
      <c r="AC294" s="152">
        <v>0</v>
      </c>
      <c r="AD294" s="152"/>
      <c r="AE294" s="152"/>
      <c r="AF294" s="152"/>
      <c r="AG294" s="152"/>
      <c r="AH294" s="152"/>
      <c r="AI294" s="152"/>
    </row>
    <row r="295" spans="1:35" ht="12" hidden="1" customHeight="1" x14ac:dyDescent="0.2">
      <c r="A295" s="11">
        <v>46028</v>
      </c>
      <c r="B295" s="15">
        <v>1.41041666666667</v>
      </c>
      <c r="C295" s="50"/>
      <c r="D295" s="50"/>
      <c r="E295" s="50"/>
      <c r="F295" s="50"/>
      <c r="G295" s="118">
        <f t="shared" si="83"/>
        <v>0</v>
      </c>
      <c r="H295" s="118">
        <f t="shared" si="95"/>
        <v>0</v>
      </c>
      <c r="I295" s="50"/>
      <c r="J295" s="50"/>
      <c r="K295" s="131" t="e">
        <f t="shared" si="85"/>
        <v>#DIV/0!</v>
      </c>
      <c r="L295" s="139" t="e">
        <f t="shared" si="86"/>
        <v>#DIV/0!</v>
      </c>
      <c r="M295" s="131" t="e">
        <f t="shared" ref="M295:M303" si="99">(I295-I305)/I295</f>
        <v>#DIV/0!</v>
      </c>
      <c r="N295" s="118">
        <f t="shared" si="87"/>
        <v>0</v>
      </c>
      <c r="O295" s="118">
        <f t="shared" si="88"/>
        <v>0</v>
      </c>
      <c r="P295" s="50"/>
      <c r="Q295" s="131" t="e">
        <f t="shared" si="96"/>
        <v>#DIV/0!</v>
      </c>
      <c r="R295" s="139" t="e">
        <f t="shared" si="90"/>
        <v>#DIV/0!</v>
      </c>
      <c r="S295" s="118"/>
      <c r="T295" s="50"/>
      <c r="U295" s="103">
        <f t="shared" si="92"/>
        <v>0</v>
      </c>
      <c r="V295" s="140" t="e">
        <f t="shared" si="93"/>
        <v>#DIV/0!</v>
      </c>
      <c r="W295" s="103">
        <f t="shared" si="94"/>
        <v>0</v>
      </c>
      <c r="X295" s="50"/>
      <c r="Y295" s="160">
        <v>0</v>
      </c>
      <c r="Z295" s="152"/>
      <c r="AA295" s="156" t="s">
        <v>74</v>
      </c>
      <c r="AB295" s="152"/>
      <c r="AC295" s="152">
        <v>0</v>
      </c>
      <c r="AD295" s="152"/>
      <c r="AE295" s="152"/>
      <c r="AF295" s="152"/>
      <c r="AG295" s="152"/>
      <c r="AH295" s="152"/>
      <c r="AI295" s="152"/>
    </row>
    <row r="296" spans="1:35" hidden="1" x14ac:dyDescent="0.2">
      <c r="A296" s="11">
        <v>46029</v>
      </c>
      <c r="B296" s="15">
        <v>1.4520833333333401</v>
      </c>
      <c r="C296" s="50"/>
      <c r="D296" s="50"/>
      <c r="E296" s="50"/>
      <c r="F296" s="50"/>
      <c r="G296" s="118">
        <f t="shared" si="83"/>
        <v>0</v>
      </c>
      <c r="H296" s="118">
        <f t="shared" si="95"/>
        <v>0</v>
      </c>
      <c r="I296" s="50"/>
      <c r="J296" s="50"/>
      <c r="K296" s="131" t="e">
        <f t="shared" si="85"/>
        <v>#DIV/0!</v>
      </c>
      <c r="L296" s="139" t="e">
        <f t="shared" si="86"/>
        <v>#DIV/0!</v>
      </c>
      <c r="M296" s="131" t="e">
        <f t="shared" si="99"/>
        <v>#DIV/0!</v>
      </c>
      <c r="N296" s="118">
        <f t="shared" si="87"/>
        <v>0</v>
      </c>
      <c r="O296" s="118">
        <f t="shared" si="88"/>
        <v>0</v>
      </c>
      <c r="P296" s="50"/>
      <c r="Q296" s="131" t="e">
        <f t="shared" si="96"/>
        <v>#DIV/0!</v>
      </c>
      <c r="R296" s="139" t="e">
        <f t="shared" si="90"/>
        <v>#DIV/0!</v>
      </c>
      <c r="S296" s="118"/>
      <c r="T296" s="50"/>
      <c r="U296" s="103">
        <f t="shared" si="92"/>
        <v>0</v>
      </c>
      <c r="V296" s="140" t="e">
        <f t="shared" si="93"/>
        <v>#DIV/0!</v>
      </c>
      <c r="W296" s="103">
        <f t="shared" si="94"/>
        <v>0</v>
      </c>
      <c r="X296" s="50"/>
      <c r="Y296" s="160">
        <v>0</v>
      </c>
      <c r="Z296" s="152"/>
      <c r="AA296" s="156" t="s">
        <v>74</v>
      </c>
      <c r="AB296" s="152"/>
      <c r="AC296" s="152">
        <v>0</v>
      </c>
      <c r="AD296" s="152"/>
      <c r="AE296" s="152"/>
      <c r="AF296" s="152"/>
      <c r="AG296" s="152"/>
      <c r="AH296" s="152"/>
      <c r="AI296" s="152"/>
    </row>
    <row r="297" spans="1:35" hidden="1" x14ac:dyDescent="0.2">
      <c r="A297" s="11">
        <v>46030</v>
      </c>
      <c r="B297" s="15">
        <v>1.4937499999999999</v>
      </c>
      <c r="C297" s="50"/>
      <c r="D297" s="50"/>
      <c r="E297" s="50"/>
      <c r="F297" s="50"/>
      <c r="G297" s="118">
        <f t="shared" si="83"/>
        <v>0</v>
      </c>
      <c r="H297" s="118">
        <f t="shared" si="95"/>
        <v>0</v>
      </c>
      <c r="I297" s="50"/>
      <c r="J297" s="50"/>
      <c r="K297" s="131" t="e">
        <f t="shared" si="85"/>
        <v>#DIV/0!</v>
      </c>
      <c r="L297" s="139" t="e">
        <f t="shared" si="86"/>
        <v>#DIV/0!</v>
      </c>
      <c r="M297" s="131" t="e">
        <f t="shared" si="99"/>
        <v>#DIV/0!</v>
      </c>
      <c r="N297" s="118">
        <f t="shared" si="87"/>
        <v>0</v>
      </c>
      <c r="O297" s="118">
        <f t="shared" si="88"/>
        <v>0</v>
      </c>
      <c r="P297" s="50"/>
      <c r="Q297" s="131" t="e">
        <f t="shared" si="96"/>
        <v>#DIV/0!</v>
      </c>
      <c r="R297" s="139" t="e">
        <f t="shared" si="90"/>
        <v>#DIV/0!</v>
      </c>
      <c r="S297" s="118"/>
      <c r="T297" s="50"/>
      <c r="U297" s="103">
        <f t="shared" si="92"/>
        <v>0</v>
      </c>
      <c r="V297" s="140" t="e">
        <f t="shared" si="93"/>
        <v>#DIV/0!</v>
      </c>
      <c r="W297" s="103">
        <f t="shared" si="94"/>
        <v>0</v>
      </c>
      <c r="X297" s="50"/>
      <c r="Y297" s="160">
        <v>0</v>
      </c>
      <c r="Z297" s="152"/>
      <c r="AA297" s="156" t="s">
        <v>74</v>
      </c>
      <c r="AB297" s="152"/>
      <c r="AC297" s="152">
        <v>0</v>
      </c>
      <c r="AD297" s="152"/>
      <c r="AE297" s="152"/>
      <c r="AF297" s="152"/>
      <c r="AG297" s="152"/>
      <c r="AH297" s="152"/>
      <c r="AI297" s="152"/>
    </row>
    <row r="298" spans="1:35" hidden="1" x14ac:dyDescent="0.2">
      <c r="A298" s="11">
        <v>46031</v>
      </c>
      <c r="B298" s="15">
        <v>1.53541666666667</v>
      </c>
      <c r="C298" s="50"/>
      <c r="D298" s="50"/>
      <c r="E298" s="50"/>
      <c r="F298" s="50"/>
      <c r="G298" s="118">
        <f t="shared" si="83"/>
        <v>0</v>
      </c>
      <c r="H298" s="118">
        <f t="shared" si="95"/>
        <v>0</v>
      </c>
      <c r="I298" s="50"/>
      <c r="J298" s="50"/>
      <c r="K298" s="131" t="e">
        <f t="shared" si="85"/>
        <v>#DIV/0!</v>
      </c>
      <c r="L298" s="139" t="e">
        <f t="shared" si="86"/>
        <v>#DIV/0!</v>
      </c>
      <c r="M298" s="131" t="e">
        <f t="shared" si="99"/>
        <v>#DIV/0!</v>
      </c>
      <c r="N298" s="118">
        <f t="shared" si="87"/>
        <v>0</v>
      </c>
      <c r="O298" s="118">
        <f t="shared" si="88"/>
        <v>0</v>
      </c>
      <c r="P298" s="50"/>
      <c r="Q298" s="131" t="e">
        <f t="shared" si="96"/>
        <v>#DIV/0!</v>
      </c>
      <c r="R298" s="139" t="e">
        <f t="shared" si="90"/>
        <v>#DIV/0!</v>
      </c>
      <c r="S298" s="118"/>
      <c r="T298" s="50"/>
      <c r="U298" s="103">
        <f t="shared" si="92"/>
        <v>0</v>
      </c>
      <c r="V298" s="140" t="e">
        <f t="shared" si="93"/>
        <v>#DIV/0!</v>
      </c>
      <c r="W298" s="103">
        <f t="shared" si="94"/>
        <v>0</v>
      </c>
      <c r="X298" s="50"/>
      <c r="Y298" s="160">
        <v>0</v>
      </c>
      <c r="Z298" s="152"/>
      <c r="AA298" s="156" t="s">
        <v>74</v>
      </c>
      <c r="AB298" s="152"/>
      <c r="AC298" s="152">
        <v>0</v>
      </c>
      <c r="AD298" s="152"/>
      <c r="AE298" s="152"/>
      <c r="AF298" s="152"/>
      <c r="AG298" s="152"/>
      <c r="AH298" s="152"/>
      <c r="AI298" s="152"/>
    </row>
    <row r="299" spans="1:35" hidden="1" x14ac:dyDescent="0.2">
      <c r="A299" s="11">
        <v>46032</v>
      </c>
      <c r="B299" s="15">
        <v>1.5770833333333401</v>
      </c>
      <c r="C299" s="50"/>
      <c r="D299" s="50"/>
      <c r="E299" s="50"/>
      <c r="F299" s="50"/>
      <c r="G299" s="118">
        <f t="shared" si="83"/>
        <v>0</v>
      </c>
      <c r="H299" s="118">
        <f t="shared" si="95"/>
        <v>0</v>
      </c>
      <c r="I299" s="50"/>
      <c r="J299" s="50"/>
      <c r="K299" s="131" t="e">
        <f t="shared" si="85"/>
        <v>#DIV/0!</v>
      </c>
      <c r="L299" s="139" t="e">
        <f t="shared" si="86"/>
        <v>#DIV/0!</v>
      </c>
      <c r="M299" s="131" t="e">
        <f t="shared" si="99"/>
        <v>#DIV/0!</v>
      </c>
      <c r="N299" s="118">
        <f t="shared" si="87"/>
        <v>0</v>
      </c>
      <c r="O299" s="118">
        <f t="shared" si="88"/>
        <v>0</v>
      </c>
      <c r="P299" s="50"/>
      <c r="Q299" s="131" t="e">
        <f t="shared" si="96"/>
        <v>#DIV/0!</v>
      </c>
      <c r="R299" s="139" t="e">
        <f t="shared" si="90"/>
        <v>#DIV/0!</v>
      </c>
      <c r="S299" s="118"/>
      <c r="T299" s="50"/>
      <c r="U299" s="103">
        <f t="shared" si="92"/>
        <v>0</v>
      </c>
      <c r="V299" s="140" t="e">
        <f t="shared" si="93"/>
        <v>#DIV/0!</v>
      </c>
      <c r="W299" s="103">
        <f t="shared" si="94"/>
        <v>0</v>
      </c>
      <c r="X299" s="50"/>
      <c r="Y299" s="160">
        <v>0</v>
      </c>
      <c r="Z299" s="152"/>
      <c r="AA299" s="156" t="s">
        <v>74</v>
      </c>
      <c r="AB299" s="152"/>
      <c r="AC299" s="152">
        <v>0</v>
      </c>
      <c r="AD299" s="152"/>
      <c r="AE299" s="152"/>
      <c r="AF299" s="152"/>
      <c r="AG299" s="152"/>
      <c r="AH299" s="152"/>
      <c r="AI299" s="152"/>
    </row>
    <row r="300" spans="1:35" hidden="1" x14ac:dyDescent="0.2">
      <c r="A300" s="11">
        <v>46033</v>
      </c>
      <c r="B300" s="15">
        <v>1.6187499999999999</v>
      </c>
      <c r="C300" s="50"/>
      <c r="D300" s="50"/>
      <c r="E300" s="50"/>
      <c r="F300" s="50"/>
      <c r="G300" s="118">
        <f t="shared" si="83"/>
        <v>0</v>
      </c>
      <c r="H300" s="118">
        <f t="shared" si="95"/>
        <v>0</v>
      </c>
      <c r="I300" s="50"/>
      <c r="J300" s="50"/>
      <c r="K300" s="131" t="e">
        <f t="shared" si="85"/>
        <v>#DIV/0!</v>
      </c>
      <c r="L300" s="139" t="e">
        <f t="shared" si="86"/>
        <v>#DIV/0!</v>
      </c>
      <c r="M300" s="131" t="e">
        <f t="shared" si="99"/>
        <v>#DIV/0!</v>
      </c>
      <c r="N300" s="118">
        <f t="shared" si="87"/>
        <v>0</v>
      </c>
      <c r="O300" s="118">
        <f t="shared" si="88"/>
        <v>0</v>
      </c>
      <c r="P300" s="50"/>
      <c r="Q300" s="131" t="e">
        <f t="shared" si="96"/>
        <v>#DIV/0!</v>
      </c>
      <c r="R300" s="139" t="e">
        <f t="shared" si="90"/>
        <v>#DIV/0!</v>
      </c>
      <c r="S300" s="118"/>
      <c r="T300" s="50"/>
      <c r="U300" s="103">
        <f t="shared" si="92"/>
        <v>0</v>
      </c>
      <c r="V300" s="140" t="e">
        <f t="shared" si="93"/>
        <v>#DIV/0!</v>
      </c>
      <c r="W300" s="103">
        <f t="shared" si="94"/>
        <v>0</v>
      </c>
      <c r="X300" s="50"/>
      <c r="Y300" s="160">
        <v>0</v>
      </c>
      <c r="Z300" s="152"/>
      <c r="AA300" s="156" t="s">
        <v>74</v>
      </c>
      <c r="AB300" s="152"/>
      <c r="AC300" s="152">
        <v>0</v>
      </c>
      <c r="AD300" s="152"/>
      <c r="AE300" s="152"/>
      <c r="AF300" s="152"/>
      <c r="AG300" s="152"/>
      <c r="AH300" s="152"/>
      <c r="AI300" s="152"/>
    </row>
    <row r="301" spans="1:35" hidden="1" x14ac:dyDescent="0.2">
      <c r="A301" s="11">
        <v>46034</v>
      </c>
      <c r="B301" s="15">
        <v>1.66041666666667</v>
      </c>
      <c r="C301" s="50"/>
      <c r="D301" s="50"/>
      <c r="E301" s="50"/>
      <c r="F301" s="50"/>
      <c r="G301" s="118">
        <f t="shared" si="83"/>
        <v>0</v>
      </c>
      <c r="H301" s="118">
        <f t="shared" si="95"/>
        <v>0</v>
      </c>
      <c r="I301" s="50"/>
      <c r="J301" s="50"/>
      <c r="K301" s="131" t="e">
        <f t="shared" si="85"/>
        <v>#DIV/0!</v>
      </c>
      <c r="L301" s="139" t="e">
        <f t="shared" si="86"/>
        <v>#DIV/0!</v>
      </c>
      <c r="M301" s="131" t="e">
        <f t="shared" si="99"/>
        <v>#DIV/0!</v>
      </c>
      <c r="N301" s="118">
        <f t="shared" si="87"/>
        <v>0</v>
      </c>
      <c r="O301" s="118">
        <f t="shared" si="88"/>
        <v>0</v>
      </c>
      <c r="P301" s="50"/>
      <c r="Q301" s="131" t="e">
        <f t="shared" si="96"/>
        <v>#DIV/0!</v>
      </c>
      <c r="R301" s="139" t="e">
        <f t="shared" si="90"/>
        <v>#DIV/0!</v>
      </c>
      <c r="S301" s="118"/>
      <c r="T301" s="50"/>
      <c r="U301" s="103">
        <f t="shared" si="92"/>
        <v>0</v>
      </c>
      <c r="V301" s="140" t="e">
        <f t="shared" si="93"/>
        <v>#DIV/0!</v>
      </c>
      <c r="W301" s="103">
        <f t="shared" si="94"/>
        <v>0</v>
      </c>
      <c r="X301" s="50"/>
      <c r="Y301" s="160">
        <v>0</v>
      </c>
      <c r="Z301" s="152"/>
      <c r="AA301" s="156" t="s">
        <v>74</v>
      </c>
      <c r="AB301" s="152"/>
      <c r="AC301" s="152">
        <v>0</v>
      </c>
      <c r="AD301" s="152"/>
      <c r="AE301" s="152"/>
      <c r="AF301" s="152"/>
      <c r="AG301" s="152"/>
      <c r="AH301" s="152"/>
      <c r="AI301" s="152"/>
    </row>
    <row r="302" spans="1:35" hidden="1" x14ac:dyDescent="0.2">
      <c r="A302" s="11">
        <v>46035</v>
      </c>
      <c r="B302" s="15">
        <v>1.7020833333333401</v>
      </c>
      <c r="C302" s="50"/>
      <c r="D302" s="50"/>
      <c r="E302" s="50"/>
      <c r="F302" s="50"/>
      <c r="G302" s="118">
        <f t="shared" si="83"/>
        <v>0</v>
      </c>
      <c r="H302" s="118">
        <f t="shared" si="95"/>
        <v>0</v>
      </c>
      <c r="I302" s="50"/>
      <c r="J302" s="50"/>
      <c r="K302" s="131" t="e">
        <f t="shared" si="85"/>
        <v>#DIV/0!</v>
      </c>
      <c r="L302" s="139" t="e">
        <f t="shared" si="86"/>
        <v>#DIV/0!</v>
      </c>
      <c r="M302" s="131" t="e">
        <f t="shared" si="99"/>
        <v>#DIV/0!</v>
      </c>
      <c r="N302" s="118">
        <f t="shared" si="87"/>
        <v>0</v>
      </c>
      <c r="O302" s="118">
        <f t="shared" si="88"/>
        <v>0</v>
      </c>
      <c r="P302" s="50"/>
      <c r="Q302" s="131" t="e">
        <f t="shared" si="96"/>
        <v>#DIV/0!</v>
      </c>
      <c r="R302" s="139" t="e">
        <f t="shared" si="90"/>
        <v>#DIV/0!</v>
      </c>
      <c r="S302" s="118"/>
      <c r="T302" s="50"/>
      <c r="U302" s="103">
        <f t="shared" si="92"/>
        <v>0</v>
      </c>
      <c r="V302" s="140" t="e">
        <f t="shared" si="93"/>
        <v>#DIV/0!</v>
      </c>
      <c r="W302" s="103">
        <f t="shared" si="94"/>
        <v>0</v>
      </c>
      <c r="X302" s="50"/>
      <c r="Y302" s="160">
        <v>0</v>
      </c>
      <c r="Z302" s="152"/>
      <c r="AA302" s="156" t="s">
        <v>74</v>
      </c>
      <c r="AB302" s="152"/>
      <c r="AC302" s="152">
        <v>0</v>
      </c>
      <c r="AD302" s="152"/>
      <c r="AE302" s="152"/>
      <c r="AF302" s="152"/>
      <c r="AG302" s="152"/>
      <c r="AH302" s="152"/>
      <c r="AI302" s="152"/>
    </row>
    <row r="303" spans="1:35" hidden="1" x14ac:dyDescent="0.2">
      <c r="A303" s="11">
        <v>46036</v>
      </c>
      <c r="B303" s="15">
        <v>1.7437499999999999</v>
      </c>
      <c r="C303" s="50"/>
      <c r="D303" s="50"/>
      <c r="E303" s="50"/>
      <c r="F303" s="50"/>
      <c r="G303" s="118">
        <f t="shared" si="83"/>
        <v>0</v>
      </c>
      <c r="H303" s="118">
        <f t="shared" si="95"/>
        <v>0</v>
      </c>
      <c r="I303" s="50"/>
      <c r="J303" s="50"/>
      <c r="K303" s="131" t="e">
        <f t="shared" si="85"/>
        <v>#DIV/0!</v>
      </c>
      <c r="L303" s="139" t="e">
        <f t="shared" si="86"/>
        <v>#DIV/0!</v>
      </c>
      <c r="M303" s="131" t="e">
        <f t="shared" si="99"/>
        <v>#DIV/0!</v>
      </c>
      <c r="N303" s="118">
        <f t="shared" si="87"/>
        <v>0</v>
      </c>
      <c r="O303" s="118">
        <f t="shared" si="88"/>
        <v>0</v>
      </c>
      <c r="P303" s="50"/>
      <c r="Q303" s="131" t="e">
        <f t="shared" si="96"/>
        <v>#DIV/0!</v>
      </c>
      <c r="R303" s="139" t="e">
        <f t="shared" si="90"/>
        <v>#DIV/0!</v>
      </c>
      <c r="S303" s="118"/>
      <c r="T303" s="50"/>
      <c r="U303" s="103">
        <f t="shared" si="92"/>
        <v>0</v>
      </c>
      <c r="V303" s="140" t="e">
        <f t="shared" si="93"/>
        <v>#DIV/0!</v>
      </c>
      <c r="W303" s="103">
        <f t="shared" si="94"/>
        <v>0</v>
      </c>
      <c r="X303" s="50"/>
      <c r="Y303" s="160">
        <v>0</v>
      </c>
      <c r="Z303" s="152"/>
      <c r="AA303" s="156" t="s">
        <v>74</v>
      </c>
      <c r="AB303" s="152"/>
      <c r="AC303" s="152">
        <v>0</v>
      </c>
      <c r="AD303" s="152"/>
      <c r="AE303" s="152"/>
      <c r="AF303" s="152"/>
      <c r="AG303" s="152"/>
      <c r="AH303" s="152"/>
      <c r="AI303" s="152"/>
    </row>
    <row r="304" spans="1:35" x14ac:dyDescent="0.2">
      <c r="A304" s="11">
        <v>46037</v>
      </c>
      <c r="B304" s="15">
        <v>1.78541666666667</v>
      </c>
      <c r="C304" s="50">
        <v>15.5</v>
      </c>
      <c r="D304" s="50">
        <v>14.2</v>
      </c>
      <c r="E304" s="50">
        <v>19.899999999999999</v>
      </c>
      <c r="F304" s="50">
        <v>19.2</v>
      </c>
      <c r="G304" s="118">
        <f t="shared" si="83"/>
        <v>1.3000000000000007</v>
      </c>
      <c r="H304" s="118">
        <f t="shared" si="95"/>
        <v>0.69999999999999929</v>
      </c>
      <c r="I304" s="50">
        <v>66.8</v>
      </c>
      <c r="J304" s="50">
        <v>38</v>
      </c>
      <c r="K304" s="131">
        <f t="shared" si="85"/>
        <v>0.56886227544910184</v>
      </c>
      <c r="L304" s="139">
        <f t="shared" si="86"/>
        <v>2.3194444444444446</v>
      </c>
      <c r="M304" s="131">
        <f>(I304-I305)/I304</f>
        <v>1.1976047904191574E-2</v>
      </c>
      <c r="N304" s="118">
        <f t="shared" si="87"/>
        <v>28.799999999999997</v>
      </c>
      <c r="O304" s="118">
        <f t="shared" si="88"/>
        <v>12.299999999999997</v>
      </c>
      <c r="P304" s="50">
        <v>17.399999999999999</v>
      </c>
      <c r="Q304" s="131">
        <f t="shared" si="96"/>
        <v>0.42708333333333326</v>
      </c>
      <c r="R304" s="139">
        <f t="shared" si="90"/>
        <v>1.7454545454545451</v>
      </c>
      <c r="S304" s="118"/>
      <c r="T304" s="50">
        <v>50.3</v>
      </c>
      <c r="U304" s="103">
        <f t="shared" si="92"/>
        <v>16.5</v>
      </c>
      <c r="V304" s="140">
        <f t="shared" si="93"/>
        <v>0.75299401197604787</v>
      </c>
      <c r="W304" s="103">
        <f t="shared" si="94"/>
        <v>55.4</v>
      </c>
      <c r="X304" s="50">
        <v>15</v>
      </c>
      <c r="Y304" s="160">
        <v>0</v>
      </c>
      <c r="Z304" s="152"/>
      <c r="AA304" s="156" t="s">
        <v>74</v>
      </c>
      <c r="AB304" s="152"/>
      <c r="AC304" s="152">
        <v>0</v>
      </c>
      <c r="AD304" s="152"/>
      <c r="AE304" s="152">
        <v>2.2000000000000002</v>
      </c>
      <c r="AF304" s="152"/>
      <c r="AG304" s="152"/>
      <c r="AH304" s="152"/>
      <c r="AI304" s="152"/>
    </row>
    <row r="305" spans="1:35" x14ac:dyDescent="0.2">
      <c r="A305" s="11">
        <v>46038</v>
      </c>
      <c r="B305" s="15">
        <v>1.8270833333333401</v>
      </c>
      <c r="C305" s="50">
        <v>15.4</v>
      </c>
      <c r="D305" s="50">
        <v>14.2</v>
      </c>
      <c r="E305" s="50">
        <v>19.899999999999999</v>
      </c>
      <c r="F305" s="50">
        <v>19.2</v>
      </c>
      <c r="G305" s="118">
        <f t="shared" si="83"/>
        <v>1.2000000000000011</v>
      </c>
      <c r="H305" s="118">
        <f t="shared" si="95"/>
        <v>0.69999999999999929</v>
      </c>
      <c r="I305" s="50">
        <v>66</v>
      </c>
      <c r="J305" s="50">
        <v>32</v>
      </c>
      <c r="K305" s="131">
        <f t="shared" si="85"/>
        <v>0.48484848484848486</v>
      </c>
      <c r="L305" s="139">
        <f t="shared" si="86"/>
        <v>1.9411764705882353</v>
      </c>
      <c r="M305" s="131">
        <f>(I305-I308)/I305</f>
        <v>1.666666666666658E-2</v>
      </c>
      <c r="N305" s="118">
        <f t="shared" si="87"/>
        <v>34</v>
      </c>
      <c r="O305" s="118">
        <f t="shared" si="88"/>
        <v>18.009999999999998</v>
      </c>
      <c r="P305" s="50">
        <v>16</v>
      </c>
      <c r="Q305" s="131">
        <f t="shared" si="96"/>
        <v>0.52970588235294114</v>
      </c>
      <c r="R305" s="139">
        <f t="shared" si="90"/>
        <v>2.126328955597248</v>
      </c>
      <c r="S305" s="118"/>
      <c r="T305" s="50">
        <v>50.01</v>
      </c>
      <c r="U305" s="103">
        <f t="shared" si="92"/>
        <v>15.990000000000002</v>
      </c>
      <c r="V305" s="140">
        <f t="shared" si="93"/>
        <v>0.75772727272727269</v>
      </c>
      <c r="W305" s="103">
        <f t="shared" si="94"/>
        <v>48</v>
      </c>
      <c r="X305" s="50">
        <v>15</v>
      </c>
      <c r="Y305" s="160">
        <v>0</v>
      </c>
      <c r="Z305" s="152"/>
      <c r="AA305" s="156" t="s">
        <v>74</v>
      </c>
      <c r="AB305" s="152"/>
      <c r="AC305" s="152">
        <v>0</v>
      </c>
      <c r="AD305" s="152"/>
      <c r="AE305" s="152">
        <v>2</v>
      </c>
      <c r="AF305" s="152"/>
      <c r="AG305" s="152"/>
      <c r="AH305" s="152"/>
      <c r="AI305" s="152"/>
    </row>
    <row r="306" spans="1:35" ht="15" hidden="1" customHeight="1" x14ac:dyDescent="0.2">
      <c r="A306" s="11">
        <v>46039</v>
      </c>
      <c r="B306" s="15">
        <v>1.8687499999999999</v>
      </c>
      <c r="C306" s="50"/>
      <c r="D306" s="50"/>
      <c r="E306" s="50"/>
      <c r="F306" s="50"/>
      <c r="G306" s="118">
        <f t="shared" si="83"/>
        <v>0</v>
      </c>
      <c r="H306" s="118">
        <f t="shared" si="95"/>
        <v>0</v>
      </c>
      <c r="I306" s="50"/>
      <c r="J306" s="50"/>
      <c r="K306" s="131" t="e">
        <f t="shared" si="85"/>
        <v>#DIV/0!</v>
      </c>
      <c r="L306" s="139" t="e">
        <f t="shared" si="86"/>
        <v>#DIV/0!</v>
      </c>
      <c r="M306" s="131" t="e">
        <f t="shared" ref="M306:M309" si="100">(I306-I309)/I306</f>
        <v>#DIV/0!</v>
      </c>
      <c r="N306" s="118">
        <f t="shared" si="87"/>
        <v>0</v>
      </c>
      <c r="O306" s="118">
        <f t="shared" si="88"/>
        <v>0</v>
      </c>
      <c r="P306" s="50"/>
      <c r="Q306" s="131" t="e">
        <f t="shared" si="96"/>
        <v>#DIV/0!</v>
      </c>
      <c r="R306" s="139" t="e">
        <f t="shared" si="90"/>
        <v>#DIV/0!</v>
      </c>
      <c r="S306" s="118"/>
      <c r="T306" s="50"/>
      <c r="U306" s="103">
        <f t="shared" si="92"/>
        <v>0</v>
      </c>
      <c r="V306" s="140" t="e">
        <f t="shared" si="93"/>
        <v>#DIV/0!</v>
      </c>
      <c r="W306" s="103">
        <f t="shared" si="94"/>
        <v>0</v>
      </c>
      <c r="X306" s="50"/>
      <c r="Y306" s="160">
        <v>0</v>
      </c>
      <c r="Z306" s="152"/>
      <c r="AA306" s="156" t="s">
        <v>74</v>
      </c>
      <c r="AB306" s="152"/>
      <c r="AC306" s="152">
        <v>0</v>
      </c>
      <c r="AD306" s="152"/>
      <c r="AE306" s="152"/>
      <c r="AF306" s="152"/>
      <c r="AG306" s="152"/>
      <c r="AH306" s="152"/>
      <c r="AI306" s="156" t="s">
        <v>195</v>
      </c>
    </row>
    <row r="307" spans="1:35" hidden="1" x14ac:dyDescent="0.2">
      <c r="A307" s="11">
        <v>46040</v>
      </c>
      <c r="B307" s="15">
        <v>1.91041666666667</v>
      </c>
      <c r="C307" s="50"/>
      <c r="D307" s="50"/>
      <c r="E307" s="50"/>
      <c r="F307" s="50"/>
      <c r="G307" s="118">
        <f t="shared" si="83"/>
        <v>0</v>
      </c>
      <c r="H307" s="118">
        <f t="shared" si="95"/>
        <v>0</v>
      </c>
      <c r="I307" s="50"/>
      <c r="J307" s="50"/>
      <c r="K307" s="131" t="e">
        <f t="shared" si="85"/>
        <v>#DIV/0!</v>
      </c>
      <c r="L307" s="139" t="e">
        <f t="shared" si="86"/>
        <v>#DIV/0!</v>
      </c>
      <c r="M307" s="131" t="e">
        <f t="shared" si="100"/>
        <v>#DIV/0!</v>
      </c>
      <c r="N307" s="118">
        <f t="shared" si="87"/>
        <v>0</v>
      </c>
      <c r="O307" s="118">
        <f t="shared" si="88"/>
        <v>0</v>
      </c>
      <c r="P307" s="50"/>
      <c r="Q307" s="131" t="e">
        <f t="shared" si="96"/>
        <v>#DIV/0!</v>
      </c>
      <c r="R307" s="139" t="e">
        <f t="shared" si="90"/>
        <v>#DIV/0!</v>
      </c>
      <c r="S307" s="118"/>
      <c r="T307" s="50"/>
      <c r="U307" s="103">
        <f t="shared" si="92"/>
        <v>0</v>
      </c>
      <c r="V307" s="140" t="e">
        <f t="shared" si="93"/>
        <v>#DIV/0!</v>
      </c>
      <c r="W307" s="103">
        <f t="shared" si="94"/>
        <v>0</v>
      </c>
      <c r="X307" s="50"/>
      <c r="Y307" s="160">
        <v>0</v>
      </c>
      <c r="Z307" s="152"/>
      <c r="AA307" s="156" t="s">
        <v>74</v>
      </c>
      <c r="AB307" s="152"/>
      <c r="AC307" s="152">
        <v>0</v>
      </c>
      <c r="AD307" s="152"/>
      <c r="AE307" s="152"/>
      <c r="AF307" s="152"/>
      <c r="AG307" s="152"/>
      <c r="AH307" s="156" t="s">
        <v>146</v>
      </c>
      <c r="AI307" s="156" t="s">
        <v>214</v>
      </c>
    </row>
    <row r="308" spans="1:35" x14ac:dyDescent="0.2">
      <c r="A308" s="11">
        <v>46041</v>
      </c>
      <c r="B308" s="15">
        <v>1.9520833333333401</v>
      </c>
      <c r="C308" s="50">
        <v>16.100000000000001</v>
      </c>
      <c r="D308" s="50">
        <v>15</v>
      </c>
      <c r="E308" s="50">
        <v>20.5</v>
      </c>
      <c r="F308" s="50">
        <v>20</v>
      </c>
      <c r="G308" s="118">
        <f t="shared" si="83"/>
        <v>1.1000000000000014</v>
      </c>
      <c r="H308" s="118">
        <f t="shared" si="95"/>
        <v>0.5</v>
      </c>
      <c r="I308" s="50">
        <v>64.900000000000006</v>
      </c>
      <c r="J308" s="50">
        <v>33</v>
      </c>
      <c r="K308" s="131">
        <f t="shared" si="85"/>
        <v>0.50847457627118642</v>
      </c>
      <c r="L308" s="139">
        <f t="shared" si="86"/>
        <v>2.0344827586206895</v>
      </c>
      <c r="M308" s="131">
        <f t="shared" si="100"/>
        <v>1</v>
      </c>
      <c r="N308" s="118">
        <f t="shared" si="87"/>
        <v>31.900000000000006</v>
      </c>
      <c r="O308" s="118">
        <f t="shared" si="88"/>
        <v>16.299999999999997</v>
      </c>
      <c r="P308" s="50">
        <v>15.2</v>
      </c>
      <c r="Q308" s="131">
        <f t="shared" si="96"/>
        <v>0.51097178683385558</v>
      </c>
      <c r="R308" s="139">
        <f t="shared" si="90"/>
        <v>2.0448717948717938</v>
      </c>
      <c r="S308" s="118"/>
      <c r="T308" s="50">
        <v>49.3</v>
      </c>
      <c r="U308" s="103">
        <f t="shared" si="92"/>
        <v>15.600000000000009</v>
      </c>
      <c r="V308" s="140">
        <f t="shared" si="93"/>
        <v>0.7596302003081663</v>
      </c>
      <c r="W308" s="103">
        <f t="shared" si="94"/>
        <v>48.2</v>
      </c>
      <c r="X308" s="50">
        <v>15</v>
      </c>
      <c r="Y308" s="160">
        <v>0</v>
      </c>
      <c r="Z308" s="152"/>
      <c r="AA308" s="156" t="s">
        <v>74</v>
      </c>
      <c r="AB308" s="152"/>
      <c r="AC308" s="152">
        <v>0</v>
      </c>
      <c r="AD308" s="152"/>
      <c r="AE308" s="152">
        <v>3</v>
      </c>
      <c r="AF308" s="152"/>
      <c r="AG308" s="152"/>
      <c r="AH308" s="152"/>
      <c r="AI308" s="152"/>
    </row>
    <row r="309" spans="1:35" x14ac:dyDescent="0.2">
      <c r="A309" s="11">
        <v>46042</v>
      </c>
      <c r="B309" s="15">
        <v>1.9937499999999999</v>
      </c>
      <c r="C309" s="50">
        <v>15.4</v>
      </c>
      <c r="D309" s="50">
        <v>14.8</v>
      </c>
      <c r="E309" s="50">
        <v>20</v>
      </c>
      <c r="F309" s="50">
        <v>19.8</v>
      </c>
      <c r="G309" s="118">
        <f t="shared" si="83"/>
        <v>0.59999999999999964</v>
      </c>
      <c r="H309" s="118">
        <f t="shared" si="95"/>
        <v>0.19999999999999929</v>
      </c>
      <c r="I309" s="50">
        <v>61</v>
      </c>
      <c r="J309" s="50">
        <v>31</v>
      </c>
      <c r="K309" s="131">
        <f t="shared" si="85"/>
        <v>0.50819672131147542</v>
      </c>
      <c r="L309" s="161">
        <f t="shared" si="86"/>
        <v>2.0333333333333332</v>
      </c>
      <c r="M309" s="131">
        <f t="shared" si="100"/>
        <v>1</v>
      </c>
      <c r="N309" s="118">
        <f t="shared" si="87"/>
        <v>30</v>
      </c>
      <c r="O309" s="118">
        <f t="shared" si="88"/>
        <v>15.100000000000001</v>
      </c>
      <c r="P309" s="50">
        <v>14.2</v>
      </c>
      <c r="Q309" s="131">
        <f t="shared" si="96"/>
        <v>0.50333333333333341</v>
      </c>
      <c r="R309" s="139">
        <f t="shared" si="90"/>
        <v>2.0134228187919465</v>
      </c>
      <c r="S309" s="118"/>
      <c r="T309" s="50">
        <v>46.1</v>
      </c>
      <c r="U309" s="118">
        <f t="shared" si="92"/>
        <v>14.899999999999999</v>
      </c>
      <c r="V309" s="131">
        <f t="shared" si="93"/>
        <v>0.75573770491803283</v>
      </c>
      <c r="W309" s="118">
        <f t="shared" si="94"/>
        <v>45.2</v>
      </c>
      <c r="X309" s="50">
        <v>15</v>
      </c>
      <c r="Y309" s="160">
        <v>0</v>
      </c>
      <c r="Z309" s="152"/>
      <c r="AA309" s="156" t="s">
        <v>74</v>
      </c>
      <c r="AB309" s="152"/>
      <c r="AC309" s="152">
        <v>0</v>
      </c>
      <c r="AD309" s="152"/>
      <c r="AE309" s="152">
        <v>3</v>
      </c>
      <c r="AF309" s="152"/>
      <c r="AG309" s="152"/>
      <c r="AH309" s="152"/>
      <c r="AI309" s="152"/>
    </row>
    <row r="310" spans="1:35" x14ac:dyDescent="0.2">
      <c r="A310" s="11">
        <v>46043</v>
      </c>
      <c r="B310" s="15">
        <v>2.03541666666667</v>
      </c>
      <c r="C310" s="50"/>
      <c r="D310" s="50"/>
      <c r="E310" s="50"/>
      <c r="F310" s="50"/>
      <c r="G310" s="118"/>
      <c r="H310" s="118"/>
      <c r="I310" s="50"/>
      <c r="J310" s="50"/>
      <c r="K310" s="118"/>
      <c r="L310" s="118"/>
      <c r="M310" s="118"/>
      <c r="N310" s="118"/>
      <c r="O310" s="118"/>
      <c r="P310" s="50"/>
      <c r="Q310" s="118"/>
      <c r="R310" s="118"/>
      <c r="S310" s="118"/>
      <c r="T310" s="50"/>
      <c r="U310" s="118"/>
      <c r="V310" s="118"/>
      <c r="W310" s="118"/>
      <c r="X310" s="50"/>
      <c r="Y310" s="160">
        <v>0</v>
      </c>
      <c r="Z310" s="152"/>
      <c r="AA310" s="156" t="s">
        <v>74</v>
      </c>
      <c r="AB310" s="152"/>
      <c r="AC310" s="152">
        <v>0</v>
      </c>
      <c r="AD310" s="152"/>
      <c r="AE310" s="152"/>
      <c r="AF310" s="152"/>
      <c r="AG310" s="152"/>
      <c r="AH310" s="152"/>
      <c r="AI310" s="157" t="s">
        <v>215</v>
      </c>
    </row>
    <row r="311" spans="1:35" x14ac:dyDescent="0.2">
      <c r="A311" s="11">
        <v>46044</v>
      </c>
      <c r="B311" s="15">
        <v>2.0770833333333401</v>
      </c>
      <c r="C311" s="50"/>
      <c r="D311" s="50"/>
      <c r="E311" s="50"/>
      <c r="F311" s="50"/>
      <c r="G311" s="118"/>
      <c r="H311" s="118"/>
      <c r="I311" s="50"/>
      <c r="J311" s="50"/>
      <c r="K311" s="118"/>
      <c r="L311" s="118"/>
      <c r="M311" s="118"/>
      <c r="N311" s="118"/>
      <c r="O311" s="118"/>
      <c r="P311" s="50"/>
      <c r="Q311" s="118"/>
      <c r="R311" s="118"/>
      <c r="S311" s="118"/>
      <c r="T311" s="50"/>
      <c r="U311" s="118"/>
      <c r="V311" s="118"/>
      <c r="W311" s="118"/>
      <c r="X311" s="50"/>
      <c r="Y311" s="160">
        <v>0</v>
      </c>
      <c r="Z311" s="152"/>
      <c r="AA311" s="156" t="s">
        <v>74</v>
      </c>
      <c r="AB311" s="152"/>
      <c r="AC311" s="152">
        <v>0</v>
      </c>
      <c r="AD311" s="152"/>
      <c r="AE311" s="152"/>
      <c r="AF311" s="152"/>
      <c r="AG311" s="152"/>
      <c r="AH311" s="152"/>
      <c r="AI311" s="152"/>
    </row>
    <row r="312" spans="1:35" x14ac:dyDescent="0.2">
      <c r="A312" s="11">
        <v>46045</v>
      </c>
      <c r="B312" s="15">
        <v>2.1187499999999999</v>
      </c>
      <c r="C312" s="50"/>
      <c r="D312" s="50"/>
      <c r="E312" s="50"/>
      <c r="F312" s="50"/>
      <c r="G312" s="118"/>
      <c r="H312" s="118"/>
      <c r="I312" s="50"/>
      <c r="J312" s="50"/>
      <c r="K312" s="118"/>
      <c r="L312" s="118"/>
      <c r="M312" s="118"/>
      <c r="N312" s="118"/>
      <c r="O312" s="118"/>
      <c r="P312" s="50"/>
      <c r="Q312" s="118"/>
      <c r="R312" s="118"/>
      <c r="S312" s="118"/>
      <c r="T312" s="50"/>
      <c r="U312" s="118"/>
      <c r="V312" s="118"/>
      <c r="W312" s="118"/>
      <c r="X312" s="50"/>
      <c r="Y312" s="160">
        <v>0</v>
      </c>
      <c r="Z312" s="152"/>
      <c r="AA312" s="156" t="s">
        <v>74</v>
      </c>
      <c r="AB312" s="152"/>
      <c r="AC312" s="152">
        <v>0</v>
      </c>
      <c r="AD312" s="152"/>
      <c r="AE312" s="152"/>
      <c r="AF312" s="152"/>
      <c r="AG312" s="152"/>
      <c r="AH312" s="152"/>
      <c r="AI312" s="152"/>
    </row>
    <row r="313" spans="1:35" x14ac:dyDescent="0.2">
      <c r="A313" s="11">
        <v>46046</v>
      </c>
      <c r="B313" s="15">
        <v>2.16041666666667</v>
      </c>
      <c r="C313" s="50"/>
      <c r="D313" s="50"/>
      <c r="E313" s="50"/>
      <c r="F313" s="50"/>
      <c r="G313" s="118"/>
      <c r="H313" s="118"/>
      <c r="I313" s="50"/>
      <c r="J313" s="50"/>
      <c r="K313" s="118"/>
      <c r="L313" s="118"/>
      <c r="M313" s="118"/>
      <c r="N313" s="118"/>
      <c r="O313" s="118"/>
      <c r="P313" s="50"/>
      <c r="Q313" s="118"/>
      <c r="R313" s="118"/>
      <c r="S313" s="118"/>
      <c r="T313" s="50"/>
      <c r="U313" s="118"/>
      <c r="V313" s="118"/>
      <c r="W313" s="118"/>
      <c r="X313" s="50"/>
      <c r="Y313" s="160"/>
      <c r="Z313" s="152"/>
      <c r="AA313" s="152"/>
      <c r="AB313" s="152"/>
      <c r="AC313" s="152"/>
      <c r="AD313" s="152"/>
      <c r="AE313" s="152"/>
      <c r="AF313" s="152"/>
      <c r="AG313" s="152"/>
      <c r="AH313" s="152"/>
      <c r="AI313" s="157" t="s">
        <v>216</v>
      </c>
    </row>
    <row r="314" spans="1:35" x14ac:dyDescent="0.2">
      <c r="A314" s="11">
        <v>46047</v>
      </c>
      <c r="B314" s="15">
        <v>2.2020833333333401</v>
      </c>
      <c r="C314" s="50"/>
      <c r="D314" s="50"/>
      <c r="E314" s="50"/>
      <c r="F314" s="50"/>
      <c r="G314" s="118"/>
      <c r="H314" s="118"/>
      <c r="I314" s="50"/>
      <c r="J314" s="50"/>
      <c r="K314" s="118"/>
      <c r="L314" s="118"/>
      <c r="M314" s="118"/>
      <c r="N314" s="118"/>
      <c r="O314" s="118"/>
      <c r="P314" s="50"/>
      <c r="Q314" s="118"/>
      <c r="R314" s="118"/>
      <c r="S314" s="118"/>
      <c r="T314" s="50"/>
      <c r="U314" s="118"/>
      <c r="V314" s="118"/>
      <c r="W314" s="118"/>
      <c r="X314" s="50"/>
      <c r="Y314" s="160"/>
      <c r="Z314" s="152"/>
      <c r="AA314" s="152"/>
      <c r="AB314" s="152"/>
      <c r="AC314" s="152"/>
      <c r="AD314" s="152"/>
      <c r="AE314" s="152"/>
      <c r="AF314" s="152"/>
      <c r="AG314" s="152"/>
      <c r="AH314" s="152"/>
      <c r="AI314" s="152"/>
    </row>
    <row r="315" spans="1:35" x14ac:dyDescent="0.2">
      <c r="A315" s="11">
        <v>46048</v>
      </c>
      <c r="B315" s="15">
        <v>2.2437499999999999</v>
      </c>
      <c r="C315" s="50"/>
      <c r="D315" s="50"/>
      <c r="E315" s="50"/>
      <c r="F315" s="50"/>
      <c r="G315" s="118"/>
      <c r="H315" s="118"/>
      <c r="I315" s="50"/>
      <c r="J315" s="50"/>
      <c r="K315" s="118"/>
      <c r="L315" s="118"/>
      <c r="M315" s="118"/>
      <c r="N315" s="118"/>
      <c r="O315" s="118"/>
      <c r="P315" s="50"/>
      <c r="Q315" s="118"/>
      <c r="R315" s="118"/>
      <c r="S315" s="118"/>
      <c r="T315" s="50"/>
      <c r="U315" s="118"/>
      <c r="V315" s="118"/>
      <c r="W315" s="118"/>
      <c r="X315" s="50"/>
      <c r="Y315" s="160"/>
      <c r="Z315" s="152"/>
      <c r="AA315" s="152"/>
      <c r="AB315" s="152"/>
      <c r="AC315" s="152"/>
      <c r="AD315" s="152"/>
      <c r="AE315" s="152"/>
      <c r="AF315" s="152"/>
      <c r="AG315" s="152"/>
      <c r="AH315" s="152"/>
      <c r="AI315" s="152"/>
    </row>
    <row r="316" spans="1:35" x14ac:dyDescent="0.2">
      <c r="A316" s="11">
        <v>46049</v>
      </c>
      <c r="B316" s="15">
        <v>2.28541666666667</v>
      </c>
      <c r="C316" s="50"/>
      <c r="D316" s="50"/>
      <c r="E316" s="50"/>
      <c r="F316" s="50"/>
      <c r="G316" s="118"/>
      <c r="H316" s="118"/>
      <c r="I316" s="50"/>
      <c r="J316" s="50"/>
      <c r="K316" s="118"/>
      <c r="L316" s="118"/>
      <c r="M316" s="118"/>
      <c r="N316" s="118"/>
      <c r="O316" s="118"/>
      <c r="P316" s="50"/>
      <c r="Q316" s="118"/>
      <c r="R316" s="118"/>
      <c r="S316" s="118"/>
      <c r="T316" s="50"/>
      <c r="U316" s="118"/>
      <c r="V316" s="118"/>
      <c r="W316" s="118"/>
      <c r="X316" s="50"/>
      <c r="Y316" s="160"/>
      <c r="Z316" s="152"/>
      <c r="AA316" s="152"/>
      <c r="AB316" s="152"/>
      <c r="AC316" s="152"/>
      <c r="AD316" s="152"/>
      <c r="AE316" s="152"/>
      <c r="AF316" s="152"/>
      <c r="AG316" s="152"/>
      <c r="AH316" s="152"/>
      <c r="AI316" s="152"/>
    </row>
    <row r="317" spans="1:35" x14ac:dyDescent="0.2">
      <c r="A317" s="11">
        <v>46050</v>
      </c>
      <c r="B317" s="15">
        <v>2.3270833333333401</v>
      </c>
      <c r="C317" s="50"/>
      <c r="D317" s="50"/>
      <c r="E317" s="50"/>
      <c r="F317" s="50"/>
      <c r="G317" s="118"/>
      <c r="H317" s="118"/>
      <c r="I317" s="50"/>
      <c r="J317" s="50"/>
      <c r="K317" s="118"/>
      <c r="L317" s="118"/>
      <c r="M317" s="118"/>
      <c r="N317" s="118"/>
      <c r="O317" s="118"/>
      <c r="P317" s="50"/>
      <c r="Q317" s="118"/>
      <c r="R317" s="118"/>
      <c r="S317" s="118"/>
      <c r="T317" s="50"/>
      <c r="U317" s="118"/>
      <c r="V317" s="118"/>
      <c r="W317" s="118"/>
      <c r="X317" s="50"/>
      <c r="Y317" s="160"/>
      <c r="Z317" s="152"/>
      <c r="AA317" s="152"/>
      <c r="AB317" s="152"/>
      <c r="AC317" s="152"/>
      <c r="AD317" s="152"/>
      <c r="AE317" s="152"/>
      <c r="AF317" s="152"/>
      <c r="AG317" s="152"/>
      <c r="AH317" s="152"/>
      <c r="AI317" s="157" t="s">
        <v>217</v>
      </c>
    </row>
    <row r="318" spans="1:35" x14ac:dyDescent="0.2">
      <c r="A318" s="11">
        <v>46051</v>
      </c>
      <c r="B318" s="15">
        <v>2.3687499999999999</v>
      </c>
      <c r="C318" s="50"/>
      <c r="D318" s="50"/>
      <c r="E318" s="50"/>
      <c r="F318" s="50"/>
      <c r="G318" s="118"/>
      <c r="H318" s="118"/>
      <c r="I318" s="50"/>
      <c r="J318" s="50"/>
      <c r="K318" s="118"/>
      <c r="L318" s="118"/>
      <c r="M318" s="118"/>
      <c r="N318" s="118"/>
      <c r="O318" s="118"/>
      <c r="P318" s="50"/>
      <c r="Q318" s="118"/>
      <c r="R318" s="118"/>
      <c r="S318" s="118"/>
      <c r="T318" s="50"/>
      <c r="U318" s="118"/>
      <c r="V318" s="118"/>
      <c r="W318" s="118"/>
      <c r="X318" s="50"/>
      <c r="Y318" s="160"/>
      <c r="Z318" s="152"/>
      <c r="AA318" s="152"/>
      <c r="AB318" s="152"/>
      <c r="AC318" s="152"/>
      <c r="AD318" s="152"/>
      <c r="AE318" s="152"/>
      <c r="AF318" s="152"/>
      <c r="AG318" s="152"/>
      <c r="AH318" s="152"/>
      <c r="AI318" s="152"/>
    </row>
    <row r="319" spans="1:35" x14ac:dyDescent="0.2">
      <c r="A319" s="11">
        <v>46052</v>
      </c>
      <c r="B319" s="15">
        <v>2.41041666666667</v>
      </c>
      <c r="C319" s="50"/>
      <c r="D319" s="50"/>
      <c r="E319" s="50"/>
      <c r="F319" s="50"/>
      <c r="G319" s="118"/>
      <c r="H319" s="118"/>
      <c r="I319" s="50"/>
      <c r="J319" s="50"/>
      <c r="K319" s="118"/>
      <c r="L319" s="118"/>
      <c r="M319" s="118"/>
      <c r="N319" s="118"/>
      <c r="O319" s="118"/>
      <c r="P319" s="50"/>
      <c r="Q319" s="118"/>
      <c r="R319" s="118"/>
      <c r="S319" s="118"/>
      <c r="T319" s="50"/>
      <c r="U319" s="118"/>
      <c r="V319" s="118"/>
      <c r="W319" s="118"/>
      <c r="X319" s="50"/>
      <c r="Y319" s="160"/>
      <c r="Z319" s="152"/>
      <c r="AA319" s="152"/>
      <c r="AB319" s="152"/>
      <c r="AC319" s="152"/>
      <c r="AD319" s="152"/>
      <c r="AE319" s="152"/>
      <c r="AF319" s="152"/>
      <c r="AG319" s="152"/>
      <c r="AH319" s="152"/>
      <c r="AI319" s="152"/>
    </row>
    <row r="320" spans="1:35" x14ac:dyDescent="0.2">
      <c r="A320" s="11">
        <v>46053</v>
      </c>
      <c r="B320" s="15">
        <v>2.4520833333333401</v>
      </c>
      <c r="C320" s="50"/>
      <c r="D320" s="50"/>
      <c r="E320" s="50"/>
      <c r="F320" s="50"/>
      <c r="G320" s="118"/>
      <c r="H320" s="118"/>
      <c r="I320" s="50"/>
      <c r="J320" s="50"/>
      <c r="K320" s="118"/>
      <c r="L320" s="118"/>
      <c r="M320" s="118"/>
      <c r="N320" s="118"/>
      <c r="O320" s="118"/>
      <c r="P320" s="50"/>
      <c r="Q320" s="118"/>
      <c r="R320" s="118"/>
      <c r="S320" s="118"/>
      <c r="T320" s="50"/>
      <c r="U320" s="118"/>
      <c r="V320" s="118"/>
      <c r="W320" s="118"/>
      <c r="X320" s="50"/>
      <c r="Y320" s="160"/>
      <c r="Z320" s="152"/>
      <c r="AA320" s="152"/>
      <c r="AB320" s="152"/>
      <c r="AC320" s="152"/>
      <c r="AD320" s="152"/>
      <c r="AE320" s="152"/>
      <c r="AF320" s="152"/>
      <c r="AG320" s="152"/>
      <c r="AH320" s="152"/>
      <c r="AI320" s="152"/>
    </row>
    <row r="321" spans="1:35" x14ac:dyDescent="0.2">
      <c r="A321" s="11">
        <v>46054</v>
      </c>
      <c r="B321" s="15">
        <v>2.4937499999999999</v>
      </c>
      <c r="C321" s="50"/>
      <c r="D321" s="50"/>
      <c r="E321" s="50"/>
      <c r="F321" s="50"/>
      <c r="G321" s="118"/>
      <c r="H321" s="118"/>
      <c r="I321" s="50"/>
      <c r="J321" s="50"/>
      <c r="K321" s="118"/>
      <c r="L321" s="118"/>
      <c r="M321" s="118"/>
      <c r="N321" s="118"/>
      <c r="O321" s="118"/>
      <c r="P321" s="50"/>
      <c r="Q321" s="118"/>
      <c r="R321" s="118"/>
      <c r="S321" s="118"/>
      <c r="T321" s="50"/>
      <c r="U321" s="118"/>
      <c r="V321" s="118"/>
      <c r="W321" s="118"/>
      <c r="X321" s="50"/>
      <c r="Y321" s="160"/>
      <c r="Z321" s="152"/>
      <c r="AA321" s="152"/>
      <c r="AB321" s="152"/>
      <c r="AC321" s="152"/>
      <c r="AD321" s="152"/>
      <c r="AE321" s="152"/>
      <c r="AF321" s="152"/>
      <c r="AG321" s="152"/>
      <c r="AH321" s="152"/>
      <c r="AI321" s="152"/>
    </row>
    <row r="322" spans="1:35" x14ac:dyDescent="0.2">
      <c r="A322" s="11">
        <v>46055</v>
      </c>
      <c r="B322" s="15">
        <v>2.53541666666667</v>
      </c>
      <c r="C322" s="50"/>
      <c r="D322" s="50"/>
      <c r="E322" s="50"/>
      <c r="F322" s="50"/>
      <c r="G322" s="118"/>
      <c r="H322" s="118"/>
      <c r="I322" s="50"/>
      <c r="J322" s="50"/>
      <c r="K322" s="118"/>
      <c r="L322" s="118"/>
      <c r="M322" s="118"/>
      <c r="N322" s="118"/>
      <c r="O322" s="118"/>
      <c r="P322" s="50"/>
      <c r="Q322" s="118"/>
      <c r="R322" s="118"/>
      <c r="S322" s="118"/>
      <c r="T322" s="50"/>
      <c r="U322" s="118"/>
      <c r="V322" s="118"/>
      <c r="W322" s="118"/>
      <c r="X322" s="50"/>
      <c r="Y322" s="160"/>
      <c r="Z322" s="152"/>
      <c r="AA322" s="152"/>
      <c r="AB322" s="152"/>
      <c r="AC322" s="152"/>
      <c r="AD322" s="152"/>
      <c r="AE322" s="152"/>
      <c r="AF322" s="152"/>
      <c r="AG322" s="152"/>
      <c r="AH322" s="152"/>
      <c r="AI322" s="152"/>
    </row>
    <row r="323" spans="1:35" x14ac:dyDescent="0.2">
      <c r="A323" s="11">
        <v>46056</v>
      </c>
      <c r="B323" s="15">
        <v>2.5770833333333401</v>
      </c>
      <c r="C323" s="50"/>
      <c r="D323" s="50"/>
      <c r="E323" s="50"/>
      <c r="F323" s="50"/>
      <c r="G323" s="118"/>
      <c r="H323" s="118"/>
      <c r="I323" s="50"/>
      <c r="J323" s="50"/>
      <c r="K323" s="118"/>
      <c r="L323" s="118"/>
      <c r="M323" s="118"/>
      <c r="N323" s="118"/>
      <c r="O323" s="118"/>
      <c r="P323" s="50"/>
      <c r="Q323" s="118"/>
      <c r="R323" s="118"/>
      <c r="S323" s="118"/>
      <c r="T323" s="50"/>
      <c r="U323" s="118"/>
      <c r="V323" s="118"/>
      <c r="W323" s="118"/>
      <c r="X323" s="50"/>
      <c r="Y323" s="160"/>
      <c r="Z323" s="152"/>
      <c r="AA323" s="152"/>
      <c r="AB323" s="152"/>
      <c r="AC323" s="152"/>
      <c r="AD323" s="152"/>
      <c r="AE323" s="152"/>
      <c r="AF323" s="152"/>
      <c r="AG323" s="152"/>
      <c r="AH323" s="152"/>
      <c r="AI323" s="152"/>
    </row>
    <row r="324" spans="1:35" x14ac:dyDescent="0.2">
      <c r="A324" s="11">
        <v>46057</v>
      </c>
      <c r="B324" s="15">
        <v>2.6187499999999999</v>
      </c>
      <c r="C324" s="50"/>
      <c r="D324" s="50"/>
      <c r="E324" s="50"/>
      <c r="F324" s="50"/>
      <c r="G324" s="118"/>
      <c r="H324" s="118"/>
      <c r="I324" s="50"/>
      <c r="J324" s="50"/>
      <c r="K324" s="118"/>
      <c r="L324" s="118"/>
      <c r="M324" s="118"/>
      <c r="N324" s="118"/>
      <c r="O324" s="118"/>
      <c r="P324" s="50"/>
      <c r="Q324" s="118"/>
      <c r="R324" s="118"/>
      <c r="S324" s="118"/>
      <c r="T324" s="50"/>
      <c r="U324" s="118"/>
      <c r="V324" s="118"/>
      <c r="W324" s="118"/>
      <c r="X324" s="50"/>
      <c r="Y324" s="160"/>
      <c r="Z324" s="152"/>
      <c r="AA324" s="152"/>
      <c r="AB324" s="152"/>
      <c r="AC324" s="152"/>
      <c r="AD324" s="152"/>
      <c r="AE324" s="152"/>
      <c r="AF324" s="152"/>
      <c r="AG324" s="152"/>
      <c r="AH324" s="152"/>
      <c r="AI324" s="152"/>
    </row>
    <row r="325" spans="1:35" x14ac:dyDescent="0.2">
      <c r="A325" s="11">
        <v>46058</v>
      </c>
      <c r="B325" s="15">
        <v>2.66041666666667</v>
      </c>
      <c r="C325" s="50"/>
      <c r="D325" s="50"/>
      <c r="E325" s="50"/>
      <c r="F325" s="50"/>
      <c r="G325" s="118"/>
      <c r="H325" s="118"/>
      <c r="I325" s="50"/>
      <c r="J325" s="50"/>
      <c r="K325" s="118"/>
      <c r="L325" s="118"/>
      <c r="M325" s="118"/>
      <c r="N325" s="118"/>
      <c r="O325" s="118"/>
      <c r="P325" s="50"/>
      <c r="Q325" s="118"/>
      <c r="R325" s="118"/>
      <c r="S325" s="118"/>
      <c r="T325" s="50"/>
      <c r="U325" s="118"/>
      <c r="V325" s="118"/>
      <c r="W325" s="118"/>
      <c r="X325" s="50"/>
      <c r="Y325" s="160"/>
      <c r="Z325" s="152"/>
      <c r="AA325" s="152"/>
      <c r="AB325" s="152"/>
      <c r="AC325" s="152"/>
      <c r="AD325" s="152"/>
      <c r="AE325" s="152"/>
      <c r="AF325" s="152"/>
      <c r="AG325" s="152"/>
      <c r="AH325" s="152"/>
      <c r="AI325" s="152"/>
    </row>
    <row r="326" spans="1:35" x14ac:dyDescent="0.2">
      <c r="A326" s="11">
        <v>46059</v>
      </c>
      <c r="B326" s="15">
        <v>2.7020833333333401</v>
      </c>
      <c r="C326" s="50"/>
      <c r="D326" s="50"/>
      <c r="E326" s="50"/>
      <c r="F326" s="50"/>
      <c r="G326" s="118"/>
      <c r="H326" s="118"/>
      <c r="I326" s="50"/>
      <c r="J326" s="50"/>
      <c r="K326" s="118"/>
      <c r="L326" s="118"/>
      <c r="M326" s="118"/>
      <c r="N326" s="118"/>
      <c r="O326" s="118"/>
      <c r="P326" s="50"/>
      <c r="Q326" s="118"/>
      <c r="R326" s="118"/>
      <c r="S326" s="118"/>
      <c r="T326" s="50"/>
      <c r="U326" s="118"/>
      <c r="V326" s="118"/>
      <c r="W326" s="118"/>
      <c r="X326" s="50"/>
      <c r="Y326" s="160"/>
      <c r="Z326" s="152"/>
      <c r="AA326" s="152"/>
      <c r="AB326" s="152"/>
      <c r="AC326" s="152"/>
      <c r="AD326" s="152"/>
      <c r="AE326" s="152"/>
      <c r="AF326" s="152"/>
      <c r="AG326" s="152"/>
      <c r="AH326" s="152"/>
      <c r="AI326" s="152"/>
    </row>
    <row r="327" spans="1:35" x14ac:dyDescent="0.2">
      <c r="A327" s="11">
        <v>46060</v>
      </c>
      <c r="B327" s="15">
        <v>2.7437499999999999</v>
      </c>
      <c r="C327" s="50"/>
      <c r="D327" s="50"/>
      <c r="E327" s="50"/>
      <c r="F327" s="50"/>
      <c r="G327" s="118"/>
      <c r="H327" s="118"/>
      <c r="I327" s="50"/>
      <c r="J327" s="50"/>
      <c r="K327" s="118"/>
      <c r="L327" s="118"/>
      <c r="M327" s="118"/>
      <c r="N327" s="118"/>
      <c r="O327" s="118"/>
      <c r="P327" s="50"/>
      <c r="Q327" s="118"/>
      <c r="R327" s="118"/>
      <c r="S327" s="118"/>
      <c r="T327" s="50"/>
      <c r="U327" s="118"/>
      <c r="V327" s="118"/>
      <c r="W327" s="118"/>
      <c r="X327" s="50"/>
      <c r="Y327" s="160"/>
      <c r="Z327" s="152"/>
      <c r="AA327" s="152"/>
      <c r="AB327" s="152"/>
      <c r="AC327" s="152"/>
      <c r="AD327" s="152"/>
      <c r="AE327" s="152"/>
      <c r="AF327" s="152"/>
      <c r="AG327" s="152"/>
      <c r="AH327" s="152"/>
      <c r="AI327" s="152"/>
    </row>
    <row r="328" spans="1:35" x14ac:dyDescent="0.2">
      <c r="A328" s="11">
        <v>46061</v>
      </c>
      <c r="B328" s="15">
        <v>2.78541666666667</v>
      </c>
      <c r="C328" s="50"/>
      <c r="D328" s="50"/>
      <c r="E328" s="50"/>
      <c r="F328" s="50"/>
      <c r="G328" s="103"/>
      <c r="H328" s="103"/>
      <c r="I328" s="50"/>
      <c r="J328" s="50"/>
      <c r="K328" s="140"/>
      <c r="L328" s="103"/>
      <c r="M328" s="103"/>
      <c r="N328" s="103"/>
      <c r="O328" s="103"/>
      <c r="P328" s="103"/>
      <c r="Q328" s="140"/>
      <c r="R328" s="103"/>
      <c r="S328" s="103"/>
      <c r="T328" s="103"/>
      <c r="U328" s="117"/>
      <c r="V328" s="117"/>
      <c r="W328" s="117"/>
      <c r="X328" s="103"/>
    </row>
    <row r="329" spans="1:35" x14ac:dyDescent="0.2">
      <c r="A329" s="11">
        <v>46062</v>
      </c>
      <c r="B329" s="15">
        <v>2.8270833333333401</v>
      </c>
      <c r="C329" s="50"/>
      <c r="D329" s="50"/>
      <c r="E329" s="50"/>
      <c r="F329" s="50"/>
      <c r="G329" s="103"/>
      <c r="H329" s="103"/>
      <c r="I329" s="50"/>
      <c r="J329" s="50"/>
      <c r="K329" s="140"/>
      <c r="L329" s="103"/>
      <c r="M329" s="103"/>
      <c r="N329" s="103"/>
      <c r="O329" s="103"/>
      <c r="P329" s="103"/>
      <c r="Q329" s="140"/>
      <c r="R329" s="103"/>
      <c r="S329" s="103"/>
      <c r="T329" s="103"/>
      <c r="U329" s="117"/>
      <c r="V329" s="117"/>
      <c r="W329" s="117"/>
      <c r="X329" s="103"/>
    </row>
    <row r="330" spans="1:35" x14ac:dyDescent="0.2">
      <c r="A330" s="11">
        <v>46063</v>
      </c>
      <c r="B330" s="15">
        <v>2.8687499999999999</v>
      </c>
      <c r="C330" s="50"/>
      <c r="D330" s="50"/>
      <c r="E330" s="50"/>
      <c r="F330" s="50"/>
      <c r="G330" s="103"/>
      <c r="H330" s="103"/>
      <c r="I330" s="50"/>
      <c r="J330" s="50"/>
      <c r="K330" s="140"/>
      <c r="L330" s="103"/>
      <c r="M330" s="103"/>
      <c r="N330" s="103"/>
      <c r="O330" s="103"/>
      <c r="P330" s="103"/>
      <c r="Q330" s="140"/>
      <c r="R330" s="103"/>
      <c r="S330" s="103"/>
      <c r="T330" s="103"/>
      <c r="U330" s="117"/>
      <c r="V330" s="117"/>
      <c r="W330" s="117"/>
      <c r="X330" s="103"/>
    </row>
    <row r="331" spans="1:35" x14ac:dyDescent="0.2">
      <c r="A331" s="11">
        <v>46064</v>
      </c>
      <c r="B331" s="15">
        <v>2.91041666666667</v>
      </c>
      <c r="C331" s="50"/>
      <c r="D331" s="50"/>
      <c r="E331" s="50"/>
      <c r="F331" s="50"/>
      <c r="G331" s="103"/>
      <c r="H331" s="103"/>
      <c r="I331" s="50"/>
      <c r="J331" s="50"/>
      <c r="K331" s="140"/>
      <c r="L331" s="103"/>
      <c r="M331" s="103"/>
      <c r="N331" s="103"/>
      <c r="O331" s="103"/>
      <c r="P331" s="103"/>
      <c r="Q331" s="140"/>
      <c r="R331" s="103"/>
      <c r="S331" s="103"/>
      <c r="T331" s="103"/>
      <c r="U331" s="117"/>
      <c r="V331" s="117"/>
      <c r="W331" s="117"/>
      <c r="X331" s="103"/>
    </row>
    <row r="332" spans="1:35" x14ac:dyDescent="0.2">
      <c r="A332" s="11">
        <v>46065</v>
      </c>
      <c r="B332" s="15">
        <v>2.9520833333333401</v>
      </c>
      <c r="C332" s="50"/>
      <c r="D332" s="50"/>
      <c r="E332" s="50"/>
      <c r="F332" s="50"/>
      <c r="G332" s="103"/>
      <c r="H332" s="103"/>
      <c r="I332" s="50"/>
      <c r="J332" s="50"/>
      <c r="K332" s="140"/>
      <c r="L332" s="103"/>
      <c r="M332" s="103"/>
      <c r="N332" s="103"/>
      <c r="O332" s="103"/>
      <c r="P332" s="103"/>
      <c r="Q332" s="140"/>
      <c r="R332" s="103"/>
      <c r="S332" s="103"/>
      <c r="T332" s="103"/>
      <c r="U332" s="117"/>
      <c r="V332" s="117"/>
      <c r="W332" s="117"/>
      <c r="X332" s="103"/>
    </row>
    <row r="333" spans="1:35" x14ac:dyDescent="0.2">
      <c r="A333" s="11">
        <v>46066</v>
      </c>
      <c r="B333" s="15">
        <v>2.9937499999999999</v>
      </c>
      <c r="C333" s="50"/>
      <c r="D333" s="50"/>
      <c r="E333" s="50"/>
      <c r="F333" s="50"/>
      <c r="G333" s="103"/>
      <c r="H333" s="103"/>
      <c r="I333" s="50"/>
      <c r="J333" s="50"/>
      <c r="K333" s="140"/>
      <c r="L333" s="103"/>
      <c r="M333" s="103"/>
      <c r="N333" s="103"/>
      <c r="O333" s="103"/>
      <c r="P333" s="103"/>
      <c r="Q333" s="140"/>
      <c r="R333" s="103"/>
      <c r="S333" s="103"/>
      <c r="T333" s="103"/>
      <c r="U333" s="117"/>
      <c r="V333" s="117"/>
      <c r="W333" s="117"/>
      <c r="X333" s="103"/>
    </row>
  </sheetData>
  <phoneticPr fontId="11" type="noConversion"/>
  <pageMargins left="0.7" right="0.7" top="0.75" bottom="0.75" header="0.3" footer="0.3"/>
  <pageSetup orientation="portrait" r:id="rId1"/>
  <ignoredErrors>
    <ignoredError sqref="Z68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DBC82-89D2-4CC2-9D18-9A02AE3A4BF2}">
  <dimension ref="A1:AF224"/>
  <sheetViews>
    <sheetView zoomScale="130" zoomScaleNormal="130" workbookViewId="0">
      <pane xSplit="2" ySplit="1" topLeftCell="C113" activePane="bottomRight" state="frozen"/>
      <selection pane="topRight" activeCell="C1" sqref="C1"/>
      <selection pane="bottomLeft" activeCell="A4" sqref="A4"/>
      <selection pane="bottomRight" activeCell="B61" sqref="B61"/>
    </sheetView>
  </sheetViews>
  <sheetFormatPr baseColWidth="10" defaultRowHeight="12.75" x14ac:dyDescent="0.2"/>
  <cols>
    <col min="1" max="1" width="11.42578125" style="4" customWidth="1"/>
    <col min="2" max="6" width="23.5703125" style="16" customWidth="1"/>
    <col min="7" max="7" width="17.42578125" style="4" customWidth="1"/>
    <col min="8" max="8" width="15.85546875" style="4" customWidth="1"/>
    <col min="9" max="9" width="15" style="4" customWidth="1"/>
    <col min="10" max="10" width="17.85546875" style="4" customWidth="1"/>
    <col min="12" max="12" width="13.7109375" customWidth="1"/>
    <col min="13" max="13" width="58" customWidth="1"/>
    <col min="237" max="237" width="18.85546875" bestFit="1" customWidth="1"/>
    <col min="240" max="240" width="7.7109375" customWidth="1"/>
    <col min="241" max="241" width="18.28515625" customWidth="1"/>
    <col min="243" max="243" width="18.5703125" customWidth="1"/>
    <col min="244" max="248" width="0" hidden="1" customWidth="1"/>
    <col min="251" max="251" width="8.7109375" customWidth="1"/>
    <col min="252" max="252" width="17" customWidth="1"/>
    <col min="254" max="254" width="18.7109375" customWidth="1"/>
    <col min="255" max="259" width="0" hidden="1" customWidth="1"/>
    <col min="261" max="261" width="0" hidden="1" customWidth="1"/>
    <col min="263" max="263" width="0" hidden="1" customWidth="1"/>
    <col min="265" max="265" width="0" hidden="1" customWidth="1"/>
    <col min="493" max="493" width="18.85546875" bestFit="1" customWidth="1"/>
    <col min="496" max="496" width="7.7109375" customWidth="1"/>
    <col min="497" max="497" width="18.28515625" customWidth="1"/>
    <col min="499" max="499" width="18.5703125" customWidth="1"/>
    <col min="500" max="504" width="0" hidden="1" customWidth="1"/>
    <col min="507" max="507" width="8.7109375" customWidth="1"/>
    <col min="508" max="508" width="17" customWidth="1"/>
    <col min="510" max="510" width="18.7109375" customWidth="1"/>
    <col min="511" max="515" width="0" hidden="1" customWidth="1"/>
    <col min="517" max="517" width="0" hidden="1" customWidth="1"/>
    <col min="519" max="519" width="0" hidden="1" customWidth="1"/>
    <col min="521" max="521" width="0" hidden="1" customWidth="1"/>
    <col min="749" max="749" width="18.85546875" bestFit="1" customWidth="1"/>
    <col min="752" max="752" width="7.7109375" customWidth="1"/>
    <col min="753" max="753" width="18.28515625" customWidth="1"/>
    <col min="755" max="755" width="18.5703125" customWidth="1"/>
    <col min="756" max="760" width="0" hidden="1" customWidth="1"/>
    <col min="763" max="763" width="8.7109375" customWidth="1"/>
    <col min="764" max="764" width="17" customWidth="1"/>
    <col min="766" max="766" width="18.7109375" customWidth="1"/>
    <col min="767" max="771" width="0" hidden="1" customWidth="1"/>
    <col min="773" max="773" width="0" hidden="1" customWidth="1"/>
    <col min="775" max="775" width="0" hidden="1" customWidth="1"/>
    <col min="777" max="777" width="0" hidden="1" customWidth="1"/>
    <col min="1005" max="1005" width="18.85546875" bestFit="1" customWidth="1"/>
    <col min="1008" max="1008" width="7.7109375" customWidth="1"/>
    <col min="1009" max="1009" width="18.28515625" customWidth="1"/>
    <col min="1011" max="1011" width="18.5703125" customWidth="1"/>
    <col min="1012" max="1016" width="0" hidden="1" customWidth="1"/>
    <col min="1019" max="1019" width="8.7109375" customWidth="1"/>
    <col min="1020" max="1020" width="17" customWidth="1"/>
    <col min="1022" max="1022" width="18.7109375" customWidth="1"/>
    <col min="1023" max="1027" width="0" hidden="1" customWidth="1"/>
    <col min="1029" max="1029" width="0" hidden="1" customWidth="1"/>
    <col min="1031" max="1031" width="0" hidden="1" customWidth="1"/>
    <col min="1033" max="1033" width="0" hidden="1" customWidth="1"/>
    <col min="1261" max="1261" width="18.85546875" bestFit="1" customWidth="1"/>
    <col min="1264" max="1264" width="7.7109375" customWidth="1"/>
    <col min="1265" max="1265" width="18.28515625" customWidth="1"/>
    <col min="1267" max="1267" width="18.5703125" customWidth="1"/>
    <col min="1268" max="1272" width="0" hidden="1" customWidth="1"/>
    <col min="1275" max="1275" width="8.7109375" customWidth="1"/>
    <col min="1276" max="1276" width="17" customWidth="1"/>
    <col min="1278" max="1278" width="18.7109375" customWidth="1"/>
    <col min="1279" max="1283" width="0" hidden="1" customWidth="1"/>
    <col min="1285" max="1285" width="0" hidden="1" customWidth="1"/>
    <col min="1287" max="1287" width="0" hidden="1" customWidth="1"/>
    <col min="1289" max="1289" width="0" hidden="1" customWidth="1"/>
    <col min="1517" max="1517" width="18.85546875" bestFit="1" customWidth="1"/>
    <col min="1520" max="1520" width="7.7109375" customWidth="1"/>
    <col min="1521" max="1521" width="18.28515625" customWidth="1"/>
    <col min="1523" max="1523" width="18.5703125" customWidth="1"/>
    <col min="1524" max="1528" width="0" hidden="1" customWidth="1"/>
    <col min="1531" max="1531" width="8.7109375" customWidth="1"/>
    <col min="1532" max="1532" width="17" customWidth="1"/>
    <col min="1534" max="1534" width="18.7109375" customWidth="1"/>
    <col min="1535" max="1539" width="0" hidden="1" customWidth="1"/>
    <col min="1541" max="1541" width="0" hidden="1" customWidth="1"/>
    <col min="1543" max="1543" width="0" hidden="1" customWidth="1"/>
    <col min="1545" max="1545" width="0" hidden="1" customWidth="1"/>
    <col min="1773" max="1773" width="18.85546875" bestFit="1" customWidth="1"/>
    <col min="1776" max="1776" width="7.7109375" customWidth="1"/>
    <col min="1777" max="1777" width="18.28515625" customWidth="1"/>
    <col min="1779" max="1779" width="18.5703125" customWidth="1"/>
    <col min="1780" max="1784" width="0" hidden="1" customWidth="1"/>
    <col min="1787" max="1787" width="8.7109375" customWidth="1"/>
    <col min="1788" max="1788" width="17" customWidth="1"/>
    <col min="1790" max="1790" width="18.7109375" customWidth="1"/>
    <col min="1791" max="1795" width="0" hidden="1" customWidth="1"/>
    <col min="1797" max="1797" width="0" hidden="1" customWidth="1"/>
    <col min="1799" max="1799" width="0" hidden="1" customWidth="1"/>
    <col min="1801" max="1801" width="0" hidden="1" customWidth="1"/>
    <col min="2029" max="2029" width="18.85546875" bestFit="1" customWidth="1"/>
    <col min="2032" max="2032" width="7.7109375" customWidth="1"/>
    <col min="2033" max="2033" width="18.28515625" customWidth="1"/>
    <col min="2035" max="2035" width="18.5703125" customWidth="1"/>
    <col min="2036" max="2040" width="0" hidden="1" customWidth="1"/>
    <col min="2043" max="2043" width="8.7109375" customWidth="1"/>
    <col min="2044" max="2044" width="17" customWidth="1"/>
    <col min="2046" max="2046" width="18.7109375" customWidth="1"/>
    <col min="2047" max="2051" width="0" hidden="1" customWidth="1"/>
    <col min="2053" max="2053" width="0" hidden="1" customWidth="1"/>
    <col min="2055" max="2055" width="0" hidden="1" customWidth="1"/>
    <col min="2057" max="2057" width="0" hidden="1" customWidth="1"/>
    <col min="2285" max="2285" width="18.85546875" bestFit="1" customWidth="1"/>
    <col min="2288" max="2288" width="7.7109375" customWidth="1"/>
    <col min="2289" max="2289" width="18.28515625" customWidth="1"/>
    <col min="2291" max="2291" width="18.5703125" customWidth="1"/>
    <col min="2292" max="2296" width="0" hidden="1" customWidth="1"/>
    <col min="2299" max="2299" width="8.7109375" customWidth="1"/>
    <col min="2300" max="2300" width="17" customWidth="1"/>
    <col min="2302" max="2302" width="18.7109375" customWidth="1"/>
    <col min="2303" max="2307" width="0" hidden="1" customWidth="1"/>
    <col min="2309" max="2309" width="0" hidden="1" customWidth="1"/>
    <col min="2311" max="2311" width="0" hidden="1" customWidth="1"/>
    <col min="2313" max="2313" width="0" hidden="1" customWidth="1"/>
    <col min="2541" max="2541" width="18.85546875" bestFit="1" customWidth="1"/>
    <col min="2544" max="2544" width="7.7109375" customWidth="1"/>
    <col min="2545" max="2545" width="18.28515625" customWidth="1"/>
    <col min="2547" max="2547" width="18.5703125" customWidth="1"/>
    <col min="2548" max="2552" width="0" hidden="1" customWidth="1"/>
    <col min="2555" max="2555" width="8.7109375" customWidth="1"/>
    <col min="2556" max="2556" width="17" customWidth="1"/>
    <col min="2558" max="2558" width="18.7109375" customWidth="1"/>
    <col min="2559" max="2563" width="0" hidden="1" customWidth="1"/>
    <col min="2565" max="2565" width="0" hidden="1" customWidth="1"/>
    <col min="2567" max="2567" width="0" hidden="1" customWidth="1"/>
    <col min="2569" max="2569" width="0" hidden="1" customWidth="1"/>
    <col min="2797" max="2797" width="18.85546875" bestFit="1" customWidth="1"/>
    <col min="2800" max="2800" width="7.7109375" customWidth="1"/>
    <col min="2801" max="2801" width="18.28515625" customWidth="1"/>
    <col min="2803" max="2803" width="18.5703125" customWidth="1"/>
    <col min="2804" max="2808" width="0" hidden="1" customWidth="1"/>
    <col min="2811" max="2811" width="8.7109375" customWidth="1"/>
    <col min="2812" max="2812" width="17" customWidth="1"/>
    <col min="2814" max="2814" width="18.7109375" customWidth="1"/>
    <col min="2815" max="2819" width="0" hidden="1" customWidth="1"/>
    <col min="2821" max="2821" width="0" hidden="1" customWidth="1"/>
    <col min="2823" max="2823" width="0" hidden="1" customWidth="1"/>
    <col min="2825" max="2825" width="0" hidden="1" customWidth="1"/>
    <col min="3053" max="3053" width="18.85546875" bestFit="1" customWidth="1"/>
    <col min="3056" max="3056" width="7.7109375" customWidth="1"/>
    <col min="3057" max="3057" width="18.28515625" customWidth="1"/>
    <col min="3059" max="3059" width="18.5703125" customWidth="1"/>
    <col min="3060" max="3064" width="0" hidden="1" customWidth="1"/>
    <col min="3067" max="3067" width="8.7109375" customWidth="1"/>
    <col min="3068" max="3068" width="17" customWidth="1"/>
    <col min="3070" max="3070" width="18.7109375" customWidth="1"/>
    <col min="3071" max="3075" width="0" hidden="1" customWidth="1"/>
    <col min="3077" max="3077" width="0" hidden="1" customWidth="1"/>
    <col min="3079" max="3079" width="0" hidden="1" customWidth="1"/>
    <col min="3081" max="3081" width="0" hidden="1" customWidth="1"/>
    <col min="3309" max="3309" width="18.85546875" bestFit="1" customWidth="1"/>
    <col min="3312" max="3312" width="7.7109375" customWidth="1"/>
    <col min="3313" max="3313" width="18.28515625" customWidth="1"/>
    <col min="3315" max="3315" width="18.5703125" customWidth="1"/>
    <col min="3316" max="3320" width="0" hidden="1" customWidth="1"/>
    <col min="3323" max="3323" width="8.7109375" customWidth="1"/>
    <col min="3324" max="3324" width="17" customWidth="1"/>
    <col min="3326" max="3326" width="18.7109375" customWidth="1"/>
    <col min="3327" max="3331" width="0" hidden="1" customWidth="1"/>
    <col min="3333" max="3333" width="0" hidden="1" customWidth="1"/>
    <col min="3335" max="3335" width="0" hidden="1" customWidth="1"/>
    <col min="3337" max="3337" width="0" hidden="1" customWidth="1"/>
    <col min="3565" max="3565" width="18.85546875" bestFit="1" customWidth="1"/>
    <col min="3568" max="3568" width="7.7109375" customWidth="1"/>
    <col min="3569" max="3569" width="18.28515625" customWidth="1"/>
    <col min="3571" max="3571" width="18.5703125" customWidth="1"/>
    <col min="3572" max="3576" width="0" hidden="1" customWidth="1"/>
    <col min="3579" max="3579" width="8.7109375" customWidth="1"/>
    <col min="3580" max="3580" width="17" customWidth="1"/>
    <col min="3582" max="3582" width="18.7109375" customWidth="1"/>
    <col min="3583" max="3587" width="0" hidden="1" customWidth="1"/>
    <col min="3589" max="3589" width="0" hidden="1" customWidth="1"/>
    <col min="3591" max="3591" width="0" hidden="1" customWidth="1"/>
    <col min="3593" max="3593" width="0" hidden="1" customWidth="1"/>
    <col min="3821" max="3821" width="18.85546875" bestFit="1" customWidth="1"/>
    <col min="3824" max="3824" width="7.7109375" customWidth="1"/>
    <col min="3825" max="3825" width="18.28515625" customWidth="1"/>
    <col min="3827" max="3827" width="18.5703125" customWidth="1"/>
    <col min="3828" max="3832" width="0" hidden="1" customWidth="1"/>
    <col min="3835" max="3835" width="8.7109375" customWidth="1"/>
    <col min="3836" max="3836" width="17" customWidth="1"/>
    <col min="3838" max="3838" width="18.7109375" customWidth="1"/>
    <col min="3839" max="3843" width="0" hidden="1" customWidth="1"/>
    <col min="3845" max="3845" width="0" hidden="1" customWidth="1"/>
    <col min="3847" max="3847" width="0" hidden="1" customWidth="1"/>
    <col min="3849" max="3849" width="0" hidden="1" customWidth="1"/>
    <col min="4077" max="4077" width="18.85546875" bestFit="1" customWidth="1"/>
    <col min="4080" max="4080" width="7.7109375" customWidth="1"/>
    <col min="4081" max="4081" width="18.28515625" customWidth="1"/>
    <col min="4083" max="4083" width="18.5703125" customWidth="1"/>
    <col min="4084" max="4088" width="0" hidden="1" customWidth="1"/>
    <col min="4091" max="4091" width="8.7109375" customWidth="1"/>
    <col min="4092" max="4092" width="17" customWidth="1"/>
    <col min="4094" max="4094" width="18.7109375" customWidth="1"/>
    <col min="4095" max="4099" width="0" hidden="1" customWidth="1"/>
    <col min="4101" max="4101" width="0" hidden="1" customWidth="1"/>
    <col min="4103" max="4103" width="0" hidden="1" customWidth="1"/>
    <col min="4105" max="4105" width="0" hidden="1" customWidth="1"/>
    <col min="4333" max="4333" width="18.85546875" bestFit="1" customWidth="1"/>
    <col min="4336" max="4336" width="7.7109375" customWidth="1"/>
    <col min="4337" max="4337" width="18.28515625" customWidth="1"/>
    <col min="4339" max="4339" width="18.5703125" customWidth="1"/>
    <col min="4340" max="4344" width="0" hidden="1" customWidth="1"/>
    <col min="4347" max="4347" width="8.7109375" customWidth="1"/>
    <col min="4348" max="4348" width="17" customWidth="1"/>
    <col min="4350" max="4350" width="18.7109375" customWidth="1"/>
    <col min="4351" max="4355" width="0" hidden="1" customWidth="1"/>
    <col min="4357" max="4357" width="0" hidden="1" customWidth="1"/>
    <col min="4359" max="4359" width="0" hidden="1" customWidth="1"/>
    <col min="4361" max="4361" width="0" hidden="1" customWidth="1"/>
    <col min="4589" max="4589" width="18.85546875" bestFit="1" customWidth="1"/>
    <col min="4592" max="4592" width="7.7109375" customWidth="1"/>
    <col min="4593" max="4593" width="18.28515625" customWidth="1"/>
    <col min="4595" max="4595" width="18.5703125" customWidth="1"/>
    <col min="4596" max="4600" width="0" hidden="1" customWidth="1"/>
    <col min="4603" max="4603" width="8.7109375" customWidth="1"/>
    <col min="4604" max="4604" width="17" customWidth="1"/>
    <col min="4606" max="4606" width="18.7109375" customWidth="1"/>
    <col min="4607" max="4611" width="0" hidden="1" customWidth="1"/>
    <col min="4613" max="4613" width="0" hidden="1" customWidth="1"/>
    <col min="4615" max="4615" width="0" hidden="1" customWidth="1"/>
    <col min="4617" max="4617" width="0" hidden="1" customWidth="1"/>
    <col min="4845" max="4845" width="18.85546875" bestFit="1" customWidth="1"/>
    <col min="4848" max="4848" width="7.7109375" customWidth="1"/>
    <col min="4849" max="4849" width="18.28515625" customWidth="1"/>
    <col min="4851" max="4851" width="18.5703125" customWidth="1"/>
    <col min="4852" max="4856" width="0" hidden="1" customWidth="1"/>
    <col min="4859" max="4859" width="8.7109375" customWidth="1"/>
    <col min="4860" max="4860" width="17" customWidth="1"/>
    <col min="4862" max="4862" width="18.7109375" customWidth="1"/>
    <col min="4863" max="4867" width="0" hidden="1" customWidth="1"/>
    <col min="4869" max="4869" width="0" hidden="1" customWidth="1"/>
    <col min="4871" max="4871" width="0" hidden="1" customWidth="1"/>
    <col min="4873" max="4873" width="0" hidden="1" customWidth="1"/>
    <col min="5101" max="5101" width="18.85546875" bestFit="1" customWidth="1"/>
    <col min="5104" max="5104" width="7.7109375" customWidth="1"/>
    <col min="5105" max="5105" width="18.28515625" customWidth="1"/>
    <col min="5107" max="5107" width="18.5703125" customWidth="1"/>
    <col min="5108" max="5112" width="0" hidden="1" customWidth="1"/>
    <col min="5115" max="5115" width="8.7109375" customWidth="1"/>
    <col min="5116" max="5116" width="17" customWidth="1"/>
    <col min="5118" max="5118" width="18.7109375" customWidth="1"/>
    <col min="5119" max="5123" width="0" hidden="1" customWidth="1"/>
    <col min="5125" max="5125" width="0" hidden="1" customWidth="1"/>
    <col min="5127" max="5127" width="0" hidden="1" customWidth="1"/>
    <col min="5129" max="5129" width="0" hidden="1" customWidth="1"/>
    <col min="5357" max="5357" width="18.85546875" bestFit="1" customWidth="1"/>
    <col min="5360" max="5360" width="7.7109375" customWidth="1"/>
    <col min="5361" max="5361" width="18.28515625" customWidth="1"/>
    <col min="5363" max="5363" width="18.5703125" customWidth="1"/>
    <col min="5364" max="5368" width="0" hidden="1" customWidth="1"/>
    <col min="5371" max="5371" width="8.7109375" customWidth="1"/>
    <col min="5372" max="5372" width="17" customWidth="1"/>
    <col min="5374" max="5374" width="18.7109375" customWidth="1"/>
    <col min="5375" max="5379" width="0" hidden="1" customWidth="1"/>
    <col min="5381" max="5381" width="0" hidden="1" customWidth="1"/>
    <col min="5383" max="5383" width="0" hidden="1" customWidth="1"/>
    <col min="5385" max="5385" width="0" hidden="1" customWidth="1"/>
    <col min="5613" max="5613" width="18.85546875" bestFit="1" customWidth="1"/>
    <col min="5616" max="5616" width="7.7109375" customWidth="1"/>
    <col min="5617" max="5617" width="18.28515625" customWidth="1"/>
    <col min="5619" max="5619" width="18.5703125" customWidth="1"/>
    <col min="5620" max="5624" width="0" hidden="1" customWidth="1"/>
    <col min="5627" max="5627" width="8.7109375" customWidth="1"/>
    <col min="5628" max="5628" width="17" customWidth="1"/>
    <col min="5630" max="5630" width="18.7109375" customWidth="1"/>
    <col min="5631" max="5635" width="0" hidden="1" customWidth="1"/>
    <col min="5637" max="5637" width="0" hidden="1" customWidth="1"/>
    <col min="5639" max="5639" width="0" hidden="1" customWidth="1"/>
    <col min="5641" max="5641" width="0" hidden="1" customWidth="1"/>
    <col min="5869" max="5869" width="18.85546875" bestFit="1" customWidth="1"/>
    <col min="5872" max="5872" width="7.7109375" customWidth="1"/>
    <col min="5873" max="5873" width="18.28515625" customWidth="1"/>
    <col min="5875" max="5875" width="18.5703125" customWidth="1"/>
    <col min="5876" max="5880" width="0" hidden="1" customWidth="1"/>
    <col min="5883" max="5883" width="8.7109375" customWidth="1"/>
    <col min="5884" max="5884" width="17" customWidth="1"/>
    <col min="5886" max="5886" width="18.7109375" customWidth="1"/>
    <col min="5887" max="5891" width="0" hidden="1" customWidth="1"/>
    <col min="5893" max="5893" width="0" hidden="1" customWidth="1"/>
    <col min="5895" max="5895" width="0" hidden="1" customWidth="1"/>
    <col min="5897" max="5897" width="0" hidden="1" customWidth="1"/>
    <col min="6125" max="6125" width="18.85546875" bestFit="1" customWidth="1"/>
    <col min="6128" max="6128" width="7.7109375" customWidth="1"/>
    <col min="6129" max="6129" width="18.28515625" customWidth="1"/>
    <col min="6131" max="6131" width="18.5703125" customWidth="1"/>
    <col min="6132" max="6136" width="0" hidden="1" customWidth="1"/>
    <col min="6139" max="6139" width="8.7109375" customWidth="1"/>
    <col min="6140" max="6140" width="17" customWidth="1"/>
    <col min="6142" max="6142" width="18.7109375" customWidth="1"/>
    <col min="6143" max="6147" width="0" hidden="1" customWidth="1"/>
    <col min="6149" max="6149" width="0" hidden="1" customWidth="1"/>
    <col min="6151" max="6151" width="0" hidden="1" customWidth="1"/>
    <col min="6153" max="6153" width="0" hidden="1" customWidth="1"/>
    <col min="6381" max="6381" width="18.85546875" bestFit="1" customWidth="1"/>
    <col min="6384" max="6384" width="7.7109375" customWidth="1"/>
    <col min="6385" max="6385" width="18.28515625" customWidth="1"/>
    <col min="6387" max="6387" width="18.5703125" customWidth="1"/>
    <col min="6388" max="6392" width="0" hidden="1" customWidth="1"/>
    <col min="6395" max="6395" width="8.7109375" customWidth="1"/>
    <col min="6396" max="6396" width="17" customWidth="1"/>
    <col min="6398" max="6398" width="18.7109375" customWidth="1"/>
    <col min="6399" max="6403" width="0" hidden="1" customWidth="1"/>
    <col min="6405" max="6405" width="0" hidden="1" customWidth="1"/>
    <col min="6407" max="6407" width="0" hidden="1" customWidth="1"/>
    <col min="6409" max="6409" width="0" hidden="1" customWidth="1"/>
    <col min="6637" max="6637" width="18.85546875" bestFit="1" customWidth="1"/>
    <col min="6640" max="6640" width="7.7109375" customWidth="1"/>
    <col min="6641" max="6641" width="18.28515625" customWidth="1"/>
    <col min="6643" max="6643" width="18.5703125" customWidth="1"/>
    <col min="6644" max="6648" width="0" hidden="1" customWidth="1"/>
    <col min="6651" max="6651" width="8.7109375" customWidth="1"/>
    <col min="6652" max="6652" width="17" customWidth="1"/>
    <col min="6654" max="6654" width="18.7109375" customWidth="1"/>
    <col min="6655" max="6659" width="0" hidden="1" customWidth="1"/>
    <col min="6661" max="6661" width="0" hidden="1" customWidth="1"/>
    <col min="6663" max="6663" width="0" hidden="1" customWidth="1"/>
    <col min="6665" max="6665" width="0" hidden="1" customWidth="1"/>
    <col min="6893" max="6893" width="18.85546875" bestFit="1" customWidth="1"/>
    <col min="6896" max="6896" width="7.7109375" customWidth="1"/>
    <col min="6897" max="6897" width="18.28515625" customWidth="1"/>
    <col min="6899" max="6899" width="18.5703125" customWidth="1"/>
    <col min="6900" max="6904" width="0" hidden="1" customWidth="1"/>
    <col min="6907" max="6907" width="8.7109375" customWidth="1"/>
    <col min="6908" max="6908" width="17" customWidth="1"/>
    <col min="6910" max="6910" width="18.7109375" customWidth="1"/>
    <col min="6911" max="6915" width="0" hidden="1" customWidth="1"/>
    <col min="6917" max="6917" width="0" hidden="1" customWidth="1"/>
    <col min="6919" max="6919" width="0" hidden="1" customWidth="1"/>
    <col min="6921" max="6921" width="0" hidden="1" customWidth="1"/>
    <col min="7149" max="7149" width="18.85546875" bestFit="1" customWidth="1"/>
    <col min="7152" max="7152" width="7.7109375" customWidth="1"/>
    <col min="7153" max="7153" width="18.28515625" customWidth="1"/>
    <col min="7155" max="7155" width="18.5703125" customWidth="1"/>
    <col min="7156" max="7160" width="0" hidden="1" customWidth="1"/>
    <col min="7163" max="7163" width="8.7109375" customWidth="1"/>
    <col min="7164" max="7164" width="17" customWidth="1"/>
    <col min="7166" max="7166" width="18.7109375" customWidth="1"/>
    <col min="7167" max="7171" width="0" hidden="1" customWidth="1"/>
    <col min="7173" max="7173" width="0" hidden="1" customWidth="1"/>
    <col min="7175" max="7175" width="0" hidden="1" customWidth="1"/>
    <col min="7177" max="7177" width="0" hidden="1" customWidth="1"/>
    <col min="7405" max="7405" width="18.85546875" bestFit="1" customWidth="1"/>
    <col min="7408" max="7408" width="7.7109375" customWidth="1"/>
    <col min="7409" max="7409" width="18.28515625" customWidth="1"/>
    <col min="7411" max="7411" width="18.5703125" customWidth="1"/>
    <col min="7412" max="7416" width="0" hidden="1" customWidth="1"/>
    <col min="7419" max="7419" width="8.7109375" customWidth="1"/>
    <col min="7420" max="7420" width="17" customWidth="1"/>
    <col min="7422" max="7422" width="18.7109375" customWidth="1"/>
    <col min="7423" max="7427" width="0" hidden="1" customWidth="1"/>
    <col min="7429" max="7429" width="0" hidden="1" customWidth="1"/>
    <col min="7431" max="7431" width="0" hidden="1" customWidth="1"/>
    <col min="7433" max="7433" width="0" hidden="1" customWidth="1"/>
    <col min="7661" max="7661" width="18.85546875" bestFit="1" customWidth="1"/>
    <col min="7664" max="7664" width="7.7109375" customWidth="1"/>
    <col min="7665" max="7665" width="18.28515625" customWidth="1"/>
    <col min="7667" max="7667" width="18.5703125" customWidth="1"/>
    <col min="7668" max="7672" width="0" hidden="1" customWidth="1"/>
    <col min="7675" max="7675" width="8.7109375" customWidth="1"/>
    <col min="7676" max="7676" width="17" customWidth="1"/>
    <col min="7678" max="7678" width="18.7109375" customWidth="1"/>
    <col min="7679" max="7683" width="0" hidden="1" customWidth="1"/>
    <col min="7685" max="7685" width="0" hidden="1" customWidth="1"/>
    <col min="7687" max="7687" width="0" hidden="1" customWidth="1"/>
    <col min="7689" max="7689" width="0" hidden="1" customWidth="1"/>
    <col min="7917" max="7917" width="18.85546875" bestFit="1" customWidth="1"/>
    <col min="7920" max="7920" width="7.7109375" customWidth="1"/>
    <col min="7921" max="7921" width="18.28515625" customWidth="1"/>
    <col min="7923" max="7923" width="18.5703125" customWidth="1"/>
    <col min="7924" max="7928" width="0" hidden="1" customWidth="1"/>
    <col min="7931" max="7931" width="8.7109375" customWidth="1"/>
    <col min="7932" max="7932" width="17" customWidth="1"/>
    <col min="7934" max="7934" width="18.7109375" customWidth="1"/>
    <col min="7935" max="7939" width="0" hidden="1" customWidth="1"/>
    <col min="7941" max="7941" width="0" hidden="1" customWidth="1"/>
    <col min="7943" max="7943" width="0" hidden="1" customWidth="1"/>
    <col min="7945" max="7945" width="0" hidden="1" customWidth="1"/>
    <col min="8173" max="8173" width="18.85546875" bestFit="1" customWidth="1"/>
    <col min="8176" max="8176" width="7.7109375" customWidth="1"/>
    <col min="8177" max="8177" width="18.28515625" customWidth="1"/>
    <col min="8179" max="8179" width="18.5703125" customWidth="1"/>
    <col min="8180" max="8184" width="0" hidden="1" customWidth="1"/>
    <col min="8187" max="8187" width="8.7109375" customWidth="1"/>
    <col min="8188" max="8188" width="17" customWidth="1"/>
    <col min="8190" max="8190" width="18.7109375" customWidth="1"/>
    <col min="8191" max="8195" width="0" hidden="1" customWidth="1"/>
    <col min="8197" max="8197" width="0" hidden="1" customWidth="1"/>
    <col min="8199" max="8199" width="0" hidden="1" customWidth="1"/>
    <col min="8201" max="8201" width="0" hidden="1" customWidth="1"/>
    <col min="8429" max="8429" width="18.85546875" bestFit="1" customWidth="1"/>
    <col min="8432" max="8432" width="7.7109375" customWidth="1"/>
    <col min="8433" max="8433" width="18.28515625" customWidth="1"/>
    <col min="8435" max="8435" width="18.5703125" customWidth="1"/>
    <col min="8436" max="8440" width="0" hidden="1" customWidth="1"/>
    <col min="8443" max="8443" width="8.7109375" customWidth="1"/>
    <col min="8444" max="8444" width="17" customWidth="1"/>
    <col min="8446" max="8446" width="18.7109375" customWidth="1"/>
    <col min="8447" max="8451" width="0" hidden="1" customWidth="1"/>
    <col min="8453" max="8453" width="0" hidden="1" customWidth="1"/>
    <col min="8455" max="8455" width="0" hidden="1" customWidth="1"/>
    <col min="8457" max="8457" width="0" hidden="1" customWidth="1"/>
    <col min="8685" max="8685" width="18.85546875" bestFit="1" customWidth="1"/>
    <col min="8688" max="8688" width="7.7109375" customWidth="1"/>
    <col min="8689" max="8689" width="18.28515625" customWidth="1"/>
    <col min="8691" max="8691" width="18.5703125" customWidth="1"/>
    <col min="8692" max="8696" width="0" hidden="1" customWidth="1"/>
    <col min="8699" max="8699" width="8.7109375" customWidth="1"/>
    <col min="8700" max="8700" width="17" customWidth="1"/>
    <col min="8702" max="8702" width="18.7109375" customWidth="1"/>
    <col min="8703" max="8707" width="0" hidden="1" customWidth="1"/>
    <col min="8709" max="8709" width="0" hidden="1" customWidth="1"/>
    <col min="8711" max="8711" width="0" hidden="1" customWidth="1"/>
    <col min="8713" max="8713" width="0" hidden="1" customWidth="1"/>
    <col min="8941" max="8941" width="18.85546875" bestFit="1" customWidth="1"/>
    <col min="8944" max="8944" width="7.7109375" customWidth="1"/>
    <col min="8945" max="8945" width="18.28515625" customWidth="1"/>
    <col min="8947" max="8947" width="18.5703125" customWidth="1"/>
    <col min="8948" max="8952" width="0" hidden="1" customWidth="1"/>
    <col min="8955" max="8955" width="8.7109375" customWidth="1"/>
    <col min="8956" max="8956" width="17" customWidth="1"/>
    <col min="8958" max="8958" width="18.7109375" customWidth="1"/>
    <col min="8959" max="8963" width="0" hidden="1" customWidth="1"/>
    <col min="8965" max="8965" width="0" hidden="1" customWidth="1"/>
    <col min="8967" max="8967" width="0" hidden="1" customWidth="1"/>
    <col min="8969" max="8969" width="0" hidden="1" customWidth="1"/>
    <col min="9197" max="9197" width="18.85546875" bestFit="1" customWidth="1"/>
    <col min="9200" max="9200" width="7.7109375" customWidth="1"/>
    <col min="9201" max="9201" width="18.28515625" customWidth="1"/>
    <col min="9203" max="9203" width="18.5703125" customWidth="1"/>
    <col min="9204" max="9208" width="0" hidden="1" customWidth="1"/>
    <col min="9211" max="9211" width="8.7109375" customWidth="1"/>
    <col min="9212" max="9212" width="17" customWidth="1"/>
    <col min="9214" max="9214" width="18.7109375" customWidth="1"/>
    <col min="9215" max="9219" width="0" hidden="1" customWidth="1"/>
    <col min="9221" max="9221" width="0" hidden="1" customWidth="1"/>
    <col min="9223" max="9223" width="0" hidden="1" customWidth="1"/>
    <col min="9225" max="9225" width="0" hidden="1" customWidth="1"/>
    <col min="9453" max="9453" width="18.85546875" bestFit="1" customWidth="1"/>
    <col min="9456" max="9456" width="7.7109375" customWidth="1"/>
    <col min="9457" max="9457" width="18.28515625" customWidth="1"/>
    <col min="9459" max="9459" width="18.5703125" customWidth="1"/>
    <col min="9460" max="9464" width="0" hidden="1" customWidth="1"/>
    <col min="9467" max="9467" width="8.7109375" customWidth="1"/>
    <col min="9468" max="9468" width="17" customWidth="1"/>
    <col min="9470" max="9470" width="18.7109375" customWidth="1"/>
    <col min="9471" max="9475" width="0" hidden="1" customWidth="1"/>
    <col min="9477" max="9477" width="0" hidden="1" customWidth="1"/>
    <col min="9479" max="9479" width="0" hidden="1" customWidth="1"/>
    <col min="9481" max="9481" width="0" hidden="1" customWidth="1"/>
    <col min="9709" max="9709" width="18.85546875" bestFit="1" customWidth="1"/>
    <col min="9712" max="9712" width="7.7109375" customWidth="1"/>
    <col min="9713" max="9713" width="18.28515625" customWidth="1"/>
    <col min="9715" max="9715" width="18.5703125" customWidth="1"/>
    <col min="9716" max="9720" width="0" hidden="1" customWidth="1"/>
    <col min="9723" max="9723" width="8.7109375" customWidth="1"/>
    <col min="9724" max="9724" width="17" customWidth="1"/>
    <col min="9726" max="9726" width="18.7109375" customWidth="1"/>
    <col min="9727" max="9731" width="0" hidden="1" customWidth="1"/>
    <col min="9733" max="9733" width="0" hidden="1" customWidth="1"/>
    <col min="9735" max="9735" width="0" hidden="1" customWidth="1"/>
    <col min="9737" max="9737" width="0" hidden="1" customWidth="1"/>
    <col min="9965" max="9965" width="18.85546875" bestFit="1" customWidth="1"/>
    <col min="9968" max="9968" width="7.7109375" customWidth="1"/>
    <col min="9969" max="9969" width="18.28515625" customWidth="1"/>
    <col min="9971" max="9971" width="18.5703125" customWidth="1"/>
    <col min="9972" max="9976" width="0" hidden="1" customWidth="1"/>
    <col min="9979" max="9979" width="8.7109375" customWidth="1"/>
    <col min="9980" max="9980" width="17" customWidth="1"/>
    <col min="9982" max="9982" width="18.7109375" customWidth="1"/>
    <col min="9983" max="9987" width="0" hidden="1" customWidth="1"/>
    <col min="9989" max="9989" width="0" hidden="1" customWidth="1"/>
    <col min="9991" max="9991" width="0" hidden="1" customWidth="1"/>
    <col min="9993" max="9993" width="0" hidden="1" customWidth="1"/>
    <col min="10221" max="10221" width="18.85546875" bestFit="1" customWidth="1"/>
    <col min="10224" max="10224" width="7.7109375" customWidth="1"/>
    <col min="10225" max="10225" width="18.28515625" customWidth="1"/>
    <col min="10227" max="10227" width="18.5703125" customWidth="1"/>
    <col min="10228" max="10232" width="0" hidden="1" customWidth="1"/>
    <col min="10235" max="10235" width="8.7109375" customWidth="1"/>
    <col min="10236" max="10236" width="17" customWidth="1"/>
    <col min="10238" max="10238" width="18.7109375" customWidth="1"/>
    <col min="10239" max="10243" width="0" hidden="1" customWidth="1"/>
    <col min="10245" max="10245" width="0" hidden="1" customWidth="1"/>
    <col min="10247" max="10247" width="0" hidden="1" customWidth="1"/>
    <col min="10249" max="10249" width="0" hidden="1" customWidth="1"/>
    <col min="10477" max="10477" width="18.85546875" bestFit="1" customWidth="1"/>
    <col min="10480" max="10480" width="7.7109375" customWidth="1"/>
    <col min="10481" max="10481" width="18.28515625" customWidth="1"/>
    <col min="10483" max="10483" width="18.5703125" customWidth="1"/>
    <col min="10484" max="10488" width="0" hidden="1" customWidth="1"/>
    <col min="10491" max="10491" width="8.7109375" customWidth="1"/>
    <col min="10492" max="10492" width="17" customWidth="1"/>
    <col min="10494" max="10494" width="18.7109375" customWidth="1"/>
    <col min="10495" max="10499" width="0" hidden="1" customWidth="1"/>
    <col min="10501" max="10501" width="0" hidden="1" customWidth="1"/>
    <col min="10503" max="10503" width="0" hidden="1" customWidth="1"/>
    <col min="10505" max="10505" width="0" hidden="1" customWidth="1"/>
    <col min="10733" max="10733" width="18.85546875" bestFit="1" customWidth="1"/>
    <col min="10736" max="10736" width="7.7109375" customWidth="1"/>
    <col min="10737" max="10737" width="18.28515625" customWidth="1"/>
    <col min="10739" max="10739" width="18.5703125" customWidth="1"/>
    <col min="10740" max="10744" width="0" hidden="1" customWidth="1"/>
    <col min="10747" max="10747" width="8.7109375" customWidth="1"/>
    <col min="10748" max="10748" width="17" customWidth="1"/>
    <col min="10750" max="10750" width="18.7109375" customWidth="1"/>
    <col min="10751" max="10755" width="0" hidden="1" customWidth="1"/>
    <col min="10757" max="10757" width="0" hidden="1" customWidth="1"/>
    <col min="10759" max="10759" width="0" hidden="1" customWidth="1"/>
    <col min="10761" max="10761" width="0" hidden="1" customWidth="1"/>
    <col min="10989" max="10989" width="18.85546875" bestFit="1" customWidth="1"/>
    <col min="10992" max="10992" width="7.7109375" customWidth="1"/>
    <col min="10993" max="10993" width="18.28515625" customWidth="1"/>
    <col min="10995" max="10995" width="18.5703125" customWidth="1"/>
    <col min="10996" max="11000" width="0" hidden="1" customWidth="1"/>
    <col min="11003" max="11003" width="8.7109375" customWidth="1"/>
    <col min="11004" max="11004" width="17" customWidth="1"/>
    <col min="11006" max="11006" width="18.7109375" customWidth="1"/>
    <col min="11007" max="11011" width="0" hidden="1" customWidth="1"/>
    <col min="11013" max="11013" width="0" hidden="1" customWidth="1"/>
    <col min="11015" max="11015" width="0" hidden="1" customWidth="1"/>
    <col min="11017" max="11017" width="0" hidden="1" customWidth="1"/>
    <col min="11245" max="11245" width="18.85546875" bestFit="1" customWidth="1"/>
    <col min="11248" max="11248" width="7.7109375" customWidth="1"/>
    <col min="11249" max="11249" width="18.28515625" customWidth="1"/>
    <col min="11251" max="11251" width="18.5703125" customWidth="1"/>
    <col min="11252" max="11256" width="0" hidden="1" customWidth="1"/>
    <col min="11259" max="11259" width="8.7109375" customWidth="1"/>
    <col min="11260" max="11260" width="17" customWidth="1"/>
    <col min="11262" max="11262" width="18.7109375" customWidth="1"/>
    <col min="11263" max="11267" width="0" hidden="1" customWidth="1"/>
    <col min="11269" max="11269" width="0" hidden="1" customWidth="1"/>
    <col min="11271" max="11271" width="0" hidden="1" customWidth="1"/>
    <col min="11273" max="11273" width="0" hidden="1" customWidth="1"/>
    <col min="11501" max="11501" width="18.85546875" bestFit="1" customWidth="1"/>
    <col min="11504" max="11504" width="7.7109375" customWidth="1"/>
    <col min="11505" max="11505" width="18.28515625" customWidth="1"/>
    <col min="11507" max="11507" width="18.5703125" customWidth="1"/>
    <col min="11508" max="11512" width="0" hidden="1" customWidth="1"/>
    <col min="11515" max="11515" width="8.7109375" customWidth="1"/>
    <col min="11516" max="11516" width="17" customWidth="1"/>
    <col min="11518" max="11518" width="18.7109375" customWidth="1"/>
    <col min="11519" max="11523" width="0" hidden="1" customWidth="1"/>
    <col min="11525" max="11525" width="0" hidden="1" customWidth="1"/>
    <col min="11527" max="11527" width="0" hidden="1" customWidth="1"/>
    <col min="11529" max="11529" width="0" hidden="1" customWidth="1"/>
    <col min="11757" max="11757" width="18.85546875" bestFit="1" customWidth="1"/>
    <col min="11760" max="11760" width="7.7109375" customWidth="1"/>
    <col min="11761" max="11761" width="18.28515625" customWidth="1"/>
    <col min="11763" max="11763" width="18.5703125" customWidth="1"/>
    <col min="11764" max="11768" width="0" hidden="1" customWidth="1"/>
    <col min="11771" max="11771" width="8.7109375" customWidth="1"/>
    <col min="11772" max="11772" width="17" customWidth="1"/>
    <col min="11774" max="11774" width="18.7109375" customWidth="1"/>
    <col min="11775" max="11779" width="0" hidden="1" customWidth="1"/>
    <col min="11781" max="11781" width="0" hidden="1" customWidth="1"/>
    <col min="11783" max="11783" width="0" hidden="1" customWidth="1"/>
    <col min="11785" max="11785" width="0" hidden="1" customWidth="1"/>
    <col min="12013" max="12013" width="18.85546875" bestFit="1" customWidth="1"/>
    <col min="12016" max="12016" width="7.7109375" customWidth="1"/>
    <col min="12017" max="12017" width="18.28515625" customWidth="1"/>
    <col min="12019" max="12019" width="18.5703125" customWidth="1"/>
    <col min="12020" max="12024" width="0" hidden="1" customWidth="1"/>
    <col min="12027" max="12027" width="8.7109375" customWidth="1"/>
    <col min="12028" max="12028" width="17" customWidth="1"/>
    <col min="12030" max="12030" width="18.7109375" customWidth="1"/>
    <col min="12031" max="12035" width="0" hidden="1" customWidth="1"/>
    <col min="12037" max="12037" width="0" hidden="1" customWidth="1"/>
    <col min="12039" max="12039" width="0" hidden="1" customWidth="1"/>
    <col min="12041" max="12041" width="0" hidden="1" customWidth="1"/>
    <col min="12269" max="12269" width="18.85546875" bestFit="1" customWidth="1"/>
    <col min="12272" max="12272" width="7.7109375" customWidth="1"/>
    <col min="12273" max="12273" width="18.28515625" customWidth="1"/>
    <col min="12275" max="12275" width="18.5703125" customWidth="1"/>
    <col min="12276" max="12280" width="0" hidden="1" customWidth="1"/>
    <col min="12283" max="12283" width="8.7109375" customWidth="1"/>
    <col min="12284" max="12284" width="17" customWidth="1"/>
    <col min="12286" max="12286" width="18.7109375" customWidth="1"/>
    <col min="12287" max="12291" width="0" hidden="1" customWidth="1"/>
    <col min="12293" max="12293" width="0" hidden="1" customWidth="1"/>
    <col min="12295" max="12295" width="0" hidden="1" customWidth="1"/>
    <col min="12297" max="12297" width="0" hidden="1" customWidth="1"/>
    <col min="12525" max="12525" width="18.85546875" bestFit="1" customWidth="1"/>
    <col min="12528" max="12528" width="7.7109375" customWidth="1"/>
    <col min="12529" max="12529" width="18.28515625" customWidth="1"/>
    <col min="12531" max="12531" width="18.5703125" customWidth="1"/>
    <col min="12532" max="12536" width="0" hidden="1" customWidth="1"/>
    <col min="12539" max="12539" width="8.7109375" customWidth="1"/>
    <col min="12540" max="12540" width="17" customWidth="1"/>
    <col min="12542" max="12542" width="18.7109375" customWidth="1"/>
    <col min="12543" max="12547" width="0" hidden="1" customWidth="1"/>
    <col min="12549" max="12549" width="0" hidden="1" customWidth="1"/>
    <col min="12551" max="12551" width="0" hidden="1" customWidth="1"/>
    <col min="12553" max="12553" width="0" hidden="1" customWidth="1"/>
    <col min="12781" max="12781" width="18.85546875" bestFit="1" customWidth="1"/>
    <col min="12784" max="12784" width="7.7109375" customWidth="1"/>
    <col min="12785" max="12785" width="18.28515625" customWidth="1"/>
    <col min="12787" max="12787" width="18.5703125" customWidth="1"/>
    <col min="12788" max="12792" width="0" hidden="1" customWidth="1"/>
    <col min="12795" max="12795" width="8.7109375" customWidth="1"/>
    <col min="12796" max="12796" width="17" customWidth="1"/>
    <col min="12798" max="12798" width="18.7109375" customWidth="1"/>
    <col min="12799" max="12803" width="0" hidden="1" customWidth="1"/>
    <col min="12805" max="12805" width="0" hidden="1" customWidth="1"/>
    <col min="12807" max="12807" width="0" hidden="1" customWidth="1"/>
    <col min="12809" max="12809" width="0" hidden="1" customWidth="1"/>
    <col min="13037" max="13037" width="18.85546875" bestFit="1" customWidth="1"/>
    <col min="13040" max="13040" width="7.7109375" customWidth="1"/>
    <col min="13041" max="13041" width="18.28515625" customWidth="1"/>
    <col min="13043" max="13043" width="18.5703125" customWidth="1"/>
    <col min="13044" max="13048" width="0" hidden="1" customWidth="1"/>
    <col min="13051" max="13051" width="8.7109375" customWidth="1"/>
    <col min="13052" max="13052" width="17" customWidth="1"/>
    <col min="13054" max="13054" width="18.7109375" customWidth="1"/>
    <col min="13055" max="13059" width="0" hidden="1" customWidth="1"/>
    <col min="13061" max="13061" width="0" hidden="1" customWidth="1"/>
    <col min="13063" max="13063" width="0" hidden="1" customWidth="1"/>
    <col min="13065" max="13065" width="0" hidden="1" customWidth="1"/>
    <col min="13293" max="13293" width="18.85546875" bestFit="1" customWidth="1"/>
    <col min="13296" max="13296" width="7.7109375" customWidth="1"/>
    <col min="13297" max="13297" width="18.28515625" customWidth="1"/>
    <col min="13299" max="13299" width="18.5703125" customWidth="1"/>
    <col min="13300" max="13304" width="0" hidden="1" customWidth="1"/>
    <col min="13307" max="13307" width="8.7109375" customWidth="1"/>
    <col min="13308" max="13308" width="17" customWidth="1"/>
    <col min="13310" max="13310" width="18.7109375" customWidth="1"/>
    <col min="13311" max="13315" width="0" hidden="1" customWidth="1"/>
    <col min="13317" max="13317" width="0" hidden="1" customWidth="1"/>
    <col min="13319" max="13319" width="0" hidden="1" customWidth="1"/>
    <col min="13321" max="13321" width="0" hidden="1" customWidth="1"/>
    <col min="13549" max="13549" width="18.85546875" bestFit="1" customWidth="1"/>
    <col min="13552" max="13552" width="7.7109375" customWidth="1"/>
    <col min="13553" max="13553" width="18.28515625" customWidth="1"/>
    <col min="13555" max="13555" width="18.5703125" customWidth="1"/>
    <col min="13556" max="13560" width="0" hidden="1" customWidth="1"/>
    <col min="13563" max="13563" width="8.7109375" customWidth="1"/>
    <col min="13564" max="13564" width="17" customWidth="1"/>
    <col min="13566" max="13566" width="18.7109375" customWidth="1"/>
    <col min="13567" max="13571" width="0" hidden="1" customWidth="1"/>
    <col min="13573" max="13573" width="0" hidden="1" customWidth="1"/>
    <col min="13575" max="13575" width="0" hidden="1" customWidth="1"/>
    <col min="13577" max="13577" width="0" hidden="1" customWidth="1"/>
    <col min="13805" max="13805" width="18.85546875" bestFit="1" customWidth="1"/>
    <col min="13808" max="13808" width="7.7109375" customWidth="1"/>
    <col min="13809" max="13809" width="18.28515625" customWidth="1"/>
    <col min="13811" max="13811" width="18.5703125" customWidth="1"/>
    <col min="13812" max="13816" width="0" hidden="1" customWidth="1"/>
    <col min="13819" max="13819" width="8.7109375" customWidth="1"/>
    <col min="13820" max="13820" width="17" customWidth="1"/>
    <col min="13822" max="13822" width="18.7109375" customWidth="1"/>
    <col min="13823" max="13827" width="0" hidden="1" customWidth="1"/>
    <col min="13829" max="13829" width="0" hidden="1" customWidth="1"/>
    <col min="13831" max="13831" width="0" hidden="1" customWidth="1"/>
    <col min="13833" max="13833" width="0" hidden="1" customWidth="1"/>
    <col min="14061" max="14061" width="18.85546875" bestFit="1" customWidth="1"/>
    <col min="14064" max="14064" width="7.7109375" customWidth="1"/>
    <col min="14065" max="14065" width="18.28515625" customWidth="1"/>
    <col min="14067" max="14067" width="18.5703125" customWidth="1"/>
    <col min="14068" max="14072" width="0" hidden="1" customWidth="1"/>
    <col min="14075" max="14075" width="8.7109375" customWidth="1"/>
    <col min="14076" max="14076" width="17" customWidth="1"/>
    <col min="14078" max="14078" width="18.7109375" customWidth="1"/>
    <col min="14079" max="14083" width="0" hidden="1" customWidth="1"/>
    <col min="14085" max="14085" width="0" hidden="1" customWidth="1"/>
    <col min="14087" max="14087" width="0" hidden="1" customWidth="1"/>
    <col min="14089" max="14089" width="0" hidden="1" customWidth="1"/>
    <col min="14317" max="14317" width="18.85546875" bestFit="1" customWidth="1"/>
    <col min="14320" max="14320" width="7.7109375" customWidth="1"/>
    <col min="14321" max="14321" width="18.28515625" customWidth="1"/>
    <col min="14323" max="14323" width="18.5703125" customWidth="1"/>
    <col min="14324" max="14328" width="0" hidden="1" customWidth="1"/>
    <col min="14331" max="14331" width="8.7109375" customWidth="1"/>
    <col min="14332" max="14332" width="17" customWidth="1"/>
    <col min="14334" max="14334" width="18.7109375" customWidth="1"/>
    <col min="14335" max="14339" width="0" hidden="1" customWidth="1"/>
    <col min="14341" max="14341" width="0" hidden="1" customWidth="1"/>
    <col min="14343" max="14343" width="0" hidden="1" customWidth="1"/>
    <col min="14345" max="14345" width="0" hidden="1" customWidth="1"/>
    <col min="14573" max="14573" width="18.85546875" bestFit="1" customWidth="1"/>
    <col min="14576" max="14576" width="7.7109375" customWidth="1"/>
    <col min="14577" max="14577" width="18.28515625" customWidth="1"/>
    <col min="14579" max="14579" width="18.5703125" customWidth="1"/>
    <col min="14580" max="14584" width="0" hidden="1" customWidth="1"/>
    <col min="14587" max="14587" width="8.7109375" customWidth="1"/>
    <col min="14588" max="14588" width="17" customWidth="1"/>
    <col min="14590" max="14590" width="18.7109375" customWidth="1"/>
    <col min="14591" max="14595" width="0" hidden="1" customWidth="1"/>
    <col min="14597" max="14597" width="0" hidden="1" customWidth="1"/>
    <col min="14599" max="14599" width="0" hidden="1" customWidth="1"/>
    <col min="14601" max="14601" width="0" hidden="1" customWidth="1"/>
    <col min="14829" max="14829" width="18.85546875" bestFit="1" customWidth="1"/>
    <col min="14832" max="14832" width="7.7109375" customWidth="1"/>
    <col min="14833" max="14833" width="18.28515625" customWidth="1"/>
    <col min="14835" max="14835" width="18.5703125" customWidth="1"/>
    <col min="14836" max="14840" width="0" hidden="1" customWidth="1"/>
    <col min="14843" max="14843" width="8.7109375" customWidth="1"/>
    <col min="14844" max="14844" width="17" customWidth="1"/>
    <col min="14846" max="14846" width="18.7109375" customWidth="1"/>
    <col min="14847" max="14851" width="0" hidden="1" customWidth="1"/>
    <col min="14853" max="14853" width="0" hidden="1" customWidth="1"/>
    <col min="14855" max="14855" width="0" hidden="1" customWidth="1"/>
    <col min="14857" max="14857" width="0" hidden="1" customWidth="1"/>
    <col min="15085" max="15085" width="18.85546875" bestFit="1" customWidth="1"/>
    <col min="15088" max="15088" width="7.7109375" customWidth="1"/>
    <col min="15089" max="15089" width="18.28515625" customWidth="1"/>
    <col min="15091" max="15091" width="18.5703125" customWidth="1"/>
    <col min="15092" max="15096" width="0" hidden="1" customWidth="1"/>
    <col min="15099" max="15099" width="8.7109375" customWidth="1"/>
    <col min="15100" max="15100" width="17" customWidth="1"/>
    <col min="15102" max="15102" width="18.7109375" customWidth="1"/>
    <col min="15103" max="15107" width="0" hidden="1" customWidth="1"/>
    <col min="15109" max="15109" width="0" hidden="1" customWidth="1"/>
    <col min="15111" max="15111" width="0" hidden="1" customWidth="1"/>
    <col min="15113" max="15113" width="0" hidden="1" customWidth="1"/>
    <col min="15341" max="15341" width="18.85546875" bestFit="1" customWidth="1"/>
    <col min="15344" max="15344" width="7.7109375" customWidth="1"/>
    <col min="15345" max="15345" width="18.28515625" customWidth="1"/>
    <col min="15347" max="15347" width="18.5703125" customWidth="1"/>
    <col min="15348" max="15352" width="0" hidden="1" customWidth="1"/>
    <col min="15355" max="15355" width="8.7109375" customWidth="1"/>
    <col min="15356" max="15356" width="17" customWidth="1"/>
    <col min="15358" max="15358" width="18.7109375" customWidth="1"/>
    <col min="15359" max="15363" width="0" hidden="1" customWidth="1"/>
    <col min="15365" max="15365" width="0" hidden="1" customWidth="1"/>
    <col min="15367" max="15367" width="0" hidden="1" customWidth="1"/>
    <col min="15369" max="15369" width="0" hidden="1" customWidth="1"/>
    <col min="15597" max="15597" width="18.85546875" bestFit="1" customWidth="1"/>
    <col min="15600" max="15600" width="7.7109375" customWidth="1"/>
    <col min="15601" max="15601" width="18.28515625" customWidth="1"/>
    <col min="15603" max="15603" width="18.5703125" customWidth="1"/>
    <col min="15604" max="15608" width="0" hidden="1" customWidth="1"/>
    <col min="15611" max="15611" width="8.7109375" customWidth="1"/>
    <col min="15612" max="15612" width="17" customWidth="1"/>
    <col min="15614" max="15614" width="18.7109375" customWidth="1"/>
    <col min="15615" max="15619" width="0" hidden="1" customWidth="1"/>
    <col min="15621" max="15621" width="0" hidden="1" customWidth="1"/>
    <col min="15623" max="15623" width="0" hidden="1" customWidth="1"/>
    <col min="15625" max="15625" width="0" hidden="1" customWidth="1"/>
    <col min="15853" max="15853" width="18.85546875" bestFit="1" customWidth="1"/>
    <col min="15856" max="15856" width="7.7109375" customWidth="1"/>
    <col min="15857" max="15857" width="18.28515625" customWidth="1"/>
    <col min="15859" max="15859" width="18.5703125" customWidth="1"/>
    <col min="15860" max="15864" width="0" hidden="1" customWidth="1"/>
    <col min="15867" max="15867" width="8.7109375" customWidth="1"/>
    <col min="15868" max="15868" width="17" customWidth="1"/>
    <col min="15870" max="15870" width="18.7109375" customWidth="1"/>
    <col min="15871" max="15875" width="0" hidden="1" customWidth="1"/>
    <col min="15877" max="15877" width="0" hidden="1" customWidth="1"/>
    <col min="15879" max="15879" width="0" hidden="1" customWidth="1"/>
    <col min="15881" max="15881" width="0" hidden="1" customWidth="1"/>
    <col min="16109" max="16109" width="18.85546875" bestFit="1" customWidth="1"/>
    <col min="16112" max="16112" width="7.7109375" customWidth="1"/>
    <col min="16113" max="16113" width="18.28515625" customWidth="1"/>
    <col min="16115" max="16115" width="18.5703125" customWidth="1"/>
    <col min="16116" max="16120" width="0" hidden="1" customWidth="1"/>
    <col min="16123" max="16123" width="8.7109375" customWidth="1"/>
    <col min="16124" max="16124" width="17" customWidth="1"/>
    <col min="16126" max="16126" width="18.7109375" customWidth="1"/>
    <col min="16127" max="16131" width="0" hidden="1" customWidth="1"/>
    <col min="16133" max="16133" width="0" hidden="1" customWidth="1"/>
    <col min="16135" max="16135" width="0" hidden="1" customWidth="1"/>
    <col min="16137" max="16137" width="0" hidden="1" customWidth="1"/>
  </cols>
  <sheetData>
    <row r="1" spans="1:32" s="12" customFormat="1" ht="63.75" customHeight="1" thickBot="1" x14ac:dyDescent="0.25">
      <c r="A1" s="1" t="s">
        <v>0</v>
      </c>
      <c r="B1" s="14" t="s">
        <v>11</v>
      </c>
      <c r="C1" s="64" t="s">
        <v>76</v>
      </c>
      <c r="D1" s="64" t="s">
        <v>22</v>
      </c>
      <c r="E1" s="90" t="s">
        <v>99</v>
      </c>
      <c r="F1" s="13" t="s">
        <v>10</v>
      </c>
      <c r="G1" s="5" t="s">
        <v>12</v>
      </c>
      <c r="H1" s="6" t="s">
        <v>13</v>
      </c>
      <c r="I1" s="6" t="s">
        <v>14</v>
      </c>
      <c r="J1" s="9" t="s">
        <v>78</v>
      </c>
      <c r="K1" s="9" t="s">
        <v>20</v>
      </c>
      <c r="L1" s="9" t="s">
        <v>79</v>
      </c>
      <c r="M1" s="10" t="s">
        <v>80</v>
      </c>
      <c r="N1" s="13" t="s">
        <v>15</v>
      </c>
      <c r="O1" s="5" t="s">
        <v>16</v>
      </c>
      <c r="P1" s="6" t="s">
        <v>17</v>
      </c>
      <c r="Q1" s="6" t="s">
        <v>18</v>
      </c>
      <c r="R1" s="9" t="s">
        <v>81</v>
      </c>
      <c r="S1" s="9" t="s">
        <v>82</v>
      </c>
      <c r="T1" s="9" t="s">
        <v>83</v>
      </c>
      <c r="U1" s="10" t="s">
        <v>84</v>
      </c>
      <c r="V1" s="77" t="s">
        <v>1</v>
      </c>
      <c r="W1" s="78" t="s">
        <v>2</v>
      </c>
      <c r="X1" s="77" t="s">
        <v>3</v>
      </c>
      <c r="Y1" s="78" t="s">
        <v>4</v>
      </c>
      <c r="Z1" s="77" t="s">
        <v>5</v>
      </c>
      <c r="AA1" s="78" t="s">
        <v>6</v>
      </c>
      <c r="AB1" s="79" t="s">
        <v>9</v>
      </c>
      <c r="AC1" s="80" t="s">
        <v>7</v>
      </c>
      <c r="AD1" s="80" t="s">
        <v>8</v>
      </c>
      <c r="AE1" s="81" t="s">
        <v>19</v>
      </c>
      <c r="AF1" s="70"/>
    </row>
    <row r="2" spans="1:32" ht="12.75" hidden="1" customHeight="1" x14ac:dyDescent="0.2">
      <c r="A2" s="11">
        <v>45717</v>
      </c>
      <c r="B2" s="15"/>
      <c r="C2" s="63"/>
      <c r="D2" s="63"/>
      <c r="E2" s="63"/>
      <c r="F2" s="48"/>
      <c r="G2" s="49"/>
      <c r="H2" s="50"/>
      <c r="I2" s="50"/>
      <c r="J2" s="17">
        <f t="shared" ref="J2:J59" si="0">F2-H2</f>
        <v>0</v>
      </c>
      <c r="K2" s="17" t="e">
        <f t="shared" ref="K2:K59" si="1">I2/G2</f>
        <v>#DIV/0!</v>
      </c>
      <c r="L2" s="71" t="e">
        <f t="shared" ref="L2:L59" si="2">1/(1-K2)</f>
        <v>#DIV/0!</v>
      </c>
      <c r="M2" s="72" t="e">
        <f t="shared" ref="M2:M58" si="3">(G3-G2)/G3</f>
        <v>#DIV/0!</v>
      </c>
      <c r="N2" s="48"/>
      <c r="O2" s="50"/>
      <c r="P2" s="50"/>
      <c r="Q2" s="50"/>
      <c r="R2" s="17">
        <f t="shared" ref="R2:R59" si="4">N2-P2</f>
        <v>0</v>
      </c>
      <c r="S2" s="17" t="e">
        <f t="shared" ref="S2:S59" si="5">Q2/O2</f>
        <v>#DIV/0!</v>
      </c>
      <c r="T2" s="71" t="e">
        <f t="shared" ref="T2:T59" si="6">1/(1-S2)</f>
        <v>#DIV/0!</v>
      </c>
      <c r="U2" s="72" t="e">
        <f t="shared" ref="U2:U58" si="7">(O3-O2)/O3</f>
        <v>#DIV/0!</v>
      </c>
      <c r="V2" s="48"/>
      <c r="W2" s="73"/>
      <c r="X2" s="48"/>
      <c r="Y2" s="73"/>
      <c r="Z2" s="48"/>
      <c r="AA2" s="74"/>
      <c r="AB2" s="48"/>
      <c r="AC2" s="7"/>
      <c r="AD2" s="7"/>
      <c r="AE2" s="8" t="s">
        <v>21</v>
      </c>
      <c r="AF2" s="8"/>
    </row>
    <row r="3" spans="1:32" ht="12.75" hidden="1" customHeight="1" x14ac:dyDescent="0.2">
      <c r="A3" s="11">
        <v>45718</v>
      </c>
      <c r="B3" s="15"/>
      <c r="C3" s="62"/>
      <c r="D3" s="62"/>
      <c r="E3" s="62"/>
      <c r="F3" s="48"/>
      <c r="G3" s="49"/>
      <c r="H3" s="50"/>
      <c r="I3" s="50"/>
      <c r="J3" s="17">
        <f t="shared" si="0"/>
        <v>0</v>
      </c>
      <c r="K3" s="17" t="e">
        <f t="shared" si="1"/>
        <v>#DIV/0!</v>
      </c>
      <c r="L3" s="71" t="e">
        <f t="shared" si="2"/>
        <v>#DIV/0!</v>
      </c>
      <c r="M3" s="72">
        <f t="shared" si="3"/>
        <v>1</v>
      </c>
      <c r="N3" s="48"/>
      <c r="O3" s="50"/>
      <c r="P3" s="50"/>
      <c r="Q3" s="50"/>
      <c r="R3" s="17">
        <f t="shared" si="4"/>
        <v>0</v>
      </c>
      <c r="S3" s="17" t="e">
        <f t="shared" si="5"/>
        <v>#DIV/0!</v>
      </c>
      <c r="T3" s="71" t="e">
        <f t="shared" si="6"/>
        <v>#DIV/0!</v>
      </c>
      <c r="U3" s="72" t="e">
        <f t="shared" si="7"/>
        <v>#DIV/0!</v>
      </c>
      <c r="V3" s="48"/>
      <c r="W3" s="73"/>
      <c r="X3" s="48"/>
      <c r="Y3" s="73"/>
      <c r="Z3" s="48"/>
      <c r="AA3" s="74"/>
      <c r="AB3" s="48"/>
      <c r="AC3" s="7"/>
      <c r="AD3" s="7"/>
      <c r="AE3" s="8"/>
      <c r="AF3" s="8"/>
    </row>
    <row r="4" spans="1:32" ht="12.75" hidden="1" customHeight="1" x14ac:dyDescent="0.2">
      <c r="A4" s="11">
        <v>45719</v>
      </c>
      <c r="B4" s="15">
        <v>0.66666666666666663</v>
      </c>
      <c r="C4" s="62"/>
      <c r="D4" s="62"/>
      <c r="E4" s="62"/>
      <c r="F4" s="48">
        <v>17.367000000000001</v>
      </c>
      <c r="G4" s="49">
        <v>60.558</v>
      </c>
      <c r="H4" s="50">
        <v>15.9</v>
      </c>
      <c r="I4" s="50">
        <v>30.9</v>
      </c>
      <c r="J4" s="17">
        <f t="shared" si="0"/>
        <v>1.4670000000000005</v>
      </c>
      <c r="K4" s="66">
        <f t="shared" si="1"/>
        <v>0.51025463192311504</v>
      </c>
      <c r="L4" s="71">
        <f t="shared" si="2"/>
        <v>2.0418774023872142</v>
      </c>
      <c r="M4" s="72">
        <f>(G5-G4)/G5</f>
        <v>-1.4168006430868109E-2</v>
      </c>
      <c r="N4" s="48">
        <v>22.408000000000001</v>
      </c>
      <c r="O4" s="50"/>
      <c r="P4" s="50">
        <v>20.9</v>
      </c>
      <c r="Q4" s="50">
        <v>15.9</v>
      </c>
      <c r="R4" s="17">
        <f t="shared" si="4"/>
        <v>1.5080000000000027</v>
      </c>
      <c r="S4" s="17" t="e">
        <f t="shared" si="5"/>
        <v>#DIV/0!</v>
      </c>
      <c r="T4" s="71" t="e">
        <f t="shared" si="6"/>
        <v>#DIV/0!</v>
      </c>
      <c r="U4" s="72" t="e">
        <f t="shared" si="7"/>
        <v>#DIV/0!</v>
      </c>
      <c r="V4" s="48"/>
      <c r="W4" s="73"/>
      <c r="X4" s="48"/>
      <c r="Y4" s="73"/>
      <c r="Z4" s="48"/>
      <c r="AA4" s="74"/>
      <c r="AB4" s="48"/>
      <c r="AC4" s="7"/>
      <c r="AD4" s="7"/>
      <c r="AE4" s="8"/>
      <c r="AF4" s="8"/>
    </row>
    <row r="5" spans="1:32" ht="12.75" hidden="1" customHeight="1" x14ac:dyDescent="0.2">
      <c r="A5" s="11">
        <v>45720</v>
      </c>
      <c r="B5" s="15">
        <v>0.47847222222222224</v>
      </c>
      <c r="C5" s="62"/>
      <c r="D5" s="62"/>
      <c r="E5" s="62"/>
      <c r="F5" s="48">
        <v>17.376999999999999</v>
      </c>
      <c r="G5" s="49">
        <v>59.712000000000003</v>
      </c>
      <c r="H5" s="50">
        <v>15.2</v>
      </c>
      <c r="I5" s="50">
        <v>31</v>
      </c>
      <c r="J5" s="17">
        <f t="shared" si="0"/>
        <v>2.1769999999999996</v>
      </c>
      <c r="K5" s="66">
        <f t="shared" si="1"/>
        <v>0.51915862808145763</v>
      </c>
      <c r="L5" s="71">
        <f t="shared" si="2"/>
        <v>2.0796879353580384</v>
      </c>
      <c r="M5" s="72">
        <f t="shared" si="3"/>
        <v>-5.9399616776666067E-2</v>
      </c>
      <c r="N5" s="48">
        <v>22.48</v>
      </c>
      <c r="O5" s="50"/>
      <c r="P5" s="50">
        <v>22</v>
      </c>
      <c r="Q5" s="50">
        <v>11.9</v>
      </c>
      <c r="R5" s="17">
        <f t="shared" si="4"/>
        <v>0.48000000000000043</v>
      </c>
      <c r="S5" s="17" t="e">
        <f t="shared" si="5"/>
        <v>#DIV/0!</v>
      </c>
      <c r="T5" s="71" t="e">
        <f t="shared" si="6"/>
        <v>#DIV/0!</v>
      </c>
      <c r="U5" s="72" t="e">
        <f t="shared" si="7"/>
        <v>#DIV/0!</v>
      </c>
      <c r="V5" s="48">
        <v>4.7</v>
      </c>
      <c r="W5" s="73"/>
      <c r="X5" s="48">
        <v>0</v>
      </c>
      <c r="Y5" s="73"/>
      <c r="Z5" s="48">
        <v>4.7</v>
      </c>
      <c r="AA5" s="74"/>
      <c r="AB5" s="48">
        <v>0</v>
      </c>
      <c r="AC5" s="7">
        <v>3.3</v>
      </c>
      <c r="AD5" s="7">
        <v>0</v>
      </c>
      <c r="AE5" s="8"/>
      <c r="AF5" s="8"/>
    </row>
    <row r="6" spans="1:32" ht="12.75" hidden="1" customHeight="1" x14ac:dyDescent="0.2">
      <c r="A6" s="11">
        <v>45721</v>
      </c>
      <c r="B6" s="15">
        <v>0.46527777777777779</v>
      </c>
      <c r="C6" s="62"/>
      <c r="D6" s="62"/>
      <c r="E6" s="62"/>
      <c r="F6" s="48">
        <v>18.030999999999999</v>
      </c>
      <c r="G6" s="49">
        <v>56.363999999999997</v>
      </c>
      <c r="H6" s="50">
        <v>15.2</v>
      </c>
      <c r="I6" s="50">
        <v>30</v>
      </c>
      <c r="J6" s="17">
        <f t="shared" si="0"/>
        <v>2.8309999999999995</v>
      </c>
      <c r="K6" s="17">
        <f t="shared" si="1"/>
        <v>0.53225463061528633</v>
      </c>
      <c r="L6" s="71">
        <f t="shared" si="2"/>
        <v>2.1379153390987709</v>
      </c>
      <c r="M6" s="72">
        <f t="shared" si="3"/>
        <v>2.7267706751346221E-2</v>
      </c>
      <c r="N6" s="48">
        <v>23.241</v>
      </c>
      <c r="O6" s="50"/>
      <c r="P6" s="50">
        <v>24</v>
      </c>
      <c r="Q6" s="50">
        <v>9.1</v>
      </c>
      <c r="R6" s="17">
        <f t="shared" si="4"/>
        <v>-0.75900000000000034</v>
      </c>
      <c r="S6" s="17" t="e">
        <f t="shared" si="5"/>
        <v>#DIV/0!</v>
      </c>
      <c r="T6" s="71" t="e">
        <f t="shared" si="6"/>
        <v>#DIV/0!</v>
      </c>
      <c r="U6" s="72" t="e">
        <f t="shared" si="7"/>
        <v>#DIV/0!</v>
      </c>
      <c r="V6" s="48">
        <v>5</v>
      </c>
      <c r="W6" s="73"/>
      <c r="X6" s="48">
        <v>0</v>
      </c>
      <c r="Y6" s="73"/>
      <c r="Z6" s="48">
        <v>5</v>
      </c>
      <c r="AA6" s="74"/>
      <c r="AB6" s="48">
        <v>0</v>
      </c>
      <c r="AC6" s="7">
        <v>3.9</v>
      </c>
      <c r="AD6" s="7">
        <v>0</v>
      </c>
      <c r="AE6" s="8"/>
      <c r="AF6" s="8"/>
    </row>
    <row r="7" spans="1:32" ht="12.75" hidden="1" customHeight="1" x14ac:dyDescent="0.2">
      <c r="A7" s="11">
        <v>45722</v>
      </c>
      <c r="B7" s="15">
        <v>0.47499999999999998</v>
      </c>
      <c r="C7" s="62"/>
      <c r="D7" s="62"/>
      <c r="E7" s="62"/>
      <c r="F7" s="48">
        <v>17.768999999999998</v>
      </c>
      <c r="G7" s="49">
        <v>57.944000000000003</v>
      </c>
      <c r="H7" s="50">
        <v>15.3</v>
      </c>
      <c r="I7" s="50">
        <v>29.9</v>
      </c>
      <c r="J7" s="17">
        <f t="shared" si="0"/>
        <v>2.4689999999999976</v>
      </c>
      <c r="K7" s="17">
        <f t="shared" si="1"/>
        <v>0.5160154632058539</v>
      </c>
      <c r="L7" s="71">
        <f t="shared" si="2"/>
        <v>2.0661817144487231</v>
      </c>
      <c r="M7" s="72">
        <f t="shared" si="3"/>
        <v>7.6339406691852685E-2</v>
      </c>
      <c r="N7" s="48">
        <v>22.928999999999998</v>
      </c>
      <c r="O7" s="50"/>
      <c r="P7" s="50">
        <v>23</v>
      </c>
      <c r="Q7" s="50">
        <v>8.9</v>
      </c>
      <c r="R7" s="17">
        <f t="shared" si="4"/>
        <v>-7.1000000000001506E-2</v>
      </c>
      <c r="S7" s="17" t="e">
        <f t="shared" si="5"/>
        <v>#DIV/0!</v>
      </c>
      <c r="T7" s="71" t="e">
        <f t="shared" si="6"/>
        <v>#DIV/0!</v>
      </c>
      <c r="U7" s="72" t="e">
        <f t="shared" si="7"/>
        <v>#DIV/0!</v>
      </c>
      <c r="V7" s="48">
        <v>5</v>
      </c>
      <c r="W7" s="73"/>
      <c r="X7" s="48">
        <v>0</v>
      </c>
      <c r="Y7" s="73"/>
      <c r="Z7" s="48">
        <v>5</v>
      </c>
      <c r="AA7" s="74"/>
      <c r="AB7" s="48">
        <v>0</v>
      </c>
      <c r="AC7" s="7">
        <v>3.3</v>
      </c>
      <c r="AD7" s="7">
        <v>0</v>
      </c>
      <c r="AE7" s="8"/>
      <c r="AF7" s="8"/>
    </row>
    <row r="8" spans="1:32" ht="12.75" hidden="1" customHeight="1" x14ac:dyDescent="0.2">
      <c r="A8" s="11">
        <v>45723</v>
      </c>
      <c r="B8" s="15">
        <v>0.57499999999999996</v>
      </c>
      <c r="C8" s="62"/>
      <c r="D8" s="62"/>
      <c r="E8" s="62"/>
      <c r="F8" s="48">
        <v>16.562000000000001</v>
      </c>
      <c r="G8" s="49">
        <v>62.732999999999997</v>
      </c>
      <c r="H8" s="50">
        <v>15.1</v>
      </c>
      <c r="I8" s="50">
        <v>23</v>
      </c>
      <c r="J8" s="17">
        <f t="shared" si="0"/>
        <v>1.4620000000000015</v>
      </c>
      <c r="K8" s="17">
        <f t="shared" si="1"/>
        <v>0.36663319146222884</v>
      </c>
      <c r="L8" s="71">
        <f t="shared" si="2"/>
        <v>1.578863916643596</v>
      </c>
      <c r="M8" s="72" t="e">
        <f t="shared" si="3"/>
        <v>#DIV/0!</v>
      </c>
      <c r="N8" s="48">
        <v>21.324000000000002</v>
      </c>
      <c r="O8" s="50"/>
      <c r="P8" s="50">
        <v>20.100000000000001</v>
      </c>
      <c r="Q8" s="50">
        <v>8.1999999999999993</v>
      </c>
      <c r="R8" s="17">
        <f t="shared" si="4"/>
        <v>1.2240000000000002</v>
      </c>
      <c r="S8" s="17" t="e">
        <f t="shared" si="5"/>
        <v>#DIV/0!</v>
      </c>
      <c r="T8" s="71" t="e">
        <f t="shared" si="6"/>
        <v>#DIV/0!</v>
      </c>
      <c r="U8" s="72" t="e">
        <f t="shared" si="7"/>
        <v>#DIV/0!</v>
      </c>
      <c r="V8" s="48">
        <v>0</v>
      </c>
      <c r="W8" s="73"/>
      <c r="X8" s="48">
        <v>0</v>
      </c>
      <c r="Y8" s="73"/>
      <c r="Z8" s="48">
        <v>0</v>
      </c>
      <c r="AA8" s="74"/>
      <c r="AB8" s="48">
        <v>0</v>
      </c>
      <c r="AC8" s="7">
        <v>0</v>
      </c>
      <c r="AD8" s="7">
        <v>0</v>
      </c>
      <c r="AE8" s="8"/>
      <c r="AF8" s="8"/>
    </row>
    <row r="9" spans="1:32" ht="12.75" hidden="1" customHeight="1" x14ac:dyDescent="0.2">
      <c r="A9" s="11">
        <v>45724</v>
      </c>
      <c r="B9" s="15"/>
      <c r="C9" s="62"/>
      <c r="D9" s="62"/>
      <c r="E9" s="62"/>
      <c r="F9" s="48"/>
      <c r="G9" s="49"/>
      <c r="H9" s="50"/>
      <c r="I9" s="50"/>
      <c r="J9" s="17">
        <f t="shared" si="0"/>
        <v>0</v>
      </c>
      <c r="K9" s="17" t="e">
        <f t="shared" si="1"/>
        <v>#DIV/0!</v>
      </c>
      <c r="L9" s="71" t="e">
        <f t="shared" si="2"/>
        <v>#DIV/0!</v>
      </c>
      <c r="M9" s="72" t="e">
        <f t="shared" si="3"/>
        <v>#DIV/0!</v>
      </c>
      <c r="N9" s="48"/>
      <c r="O9" s="50"/>
      <c r="P9" s="50"/>
      <c r="Q9" s="50"/>
      <c r="R9" s="17">
        <f t="shared" si="4"/>
        <v>0</v>
      </c>
      <c r="S9" s="17" t="e">
        <f t="shared" si="5"/>
        <v>#DIV/0!</v>
      </c>
      <c r="T9" s="71" t="e">
        <f t="shared" si="6"/>
        <v>#DIV/0!</v>
      </c>
      <c r="U9" s="72" t="e">
        <f t="shared" si="7"/>
        <v>#DIV/0!</v>
      </c>
      <c r="V9" s="48"/>
      <c r="W9" s="73"/>
      <c r="X9" s="48"/>
      <c r="Y9" s="73"/>
      <c r="Z9" s="48"/>
      <c r="AA9" s="74"/>
      <c r="AB9" s="48"/>
      <c r="AC9" s="7"/>
      <c r="AD9" s="7"/>
      <c r="AE9" s="8"/>
      <c r="AF9" s="8"/>
    </row>
    <row r="10" spans="1:32" ht="12.75" hidden="1" customHeight="1" x14ac:dyDescent="0.2">
      <c r="A10" s="11">
        <v>45725</v>
      </c>
      <c r="B10" s="15"/>
      <c r="C10" s="62"/>
      <c r="D10" s="62"/>
      <c r="E10" s="62"/>
      <c r="F10" s="48"/>
      <c r="G10" s="49"/>
      <c r="H10" s="50"/>
      <c r="I10" s="50"/>
      <c r="J10" s="17">
        <f t="shared" si="0"/>
        <v>0</v>
      </c>
      <c r="K10" s="17" t="e">
        <f t="shared" si="1"/>
        <v>#DIV/0!</v>
      </c>
      <c r="L10" s="71" t="e">
        <f t="shared" si="2"/>
        <v>#DIV/0!</v>
      </c>
      <c r="M10" s="72">
        <f t="shared" si="3"/>
        <v>1</v>
      </c>
      <c r="N10" s="48"/>
      <c r="O10" s="50"/>
      <c r="P10" s="50"/>
      <c r="Q10" s="50"/>
      <c r="R10" s="17">
        <f t="shared" si="4"/>
        <v>0</v>
      </c>
      <c r="S10" s="17" t="e">
        <f t="shared" si="5"/>
        <v>#DIV/0!</v>
      </c>
      <c r="T10" s="71" t="e">
        <f t="shared" si="6"/>
        <v>#DIV/0!</v>
      </c>
      <c r="U10" s="72" t="e">
        <f t="shared" si="7"/>
        <v>#DIV/0!</v>
      </c>
      <c r="V10" s="48"/>
      <c r="W10" s="73"/>
      <c r="X10" s="48"/>
      <c r="Y10" s="73"/>
      <c r="Z10" s="48"/>
      <c r="AA10" s="74"/>
      <c r="AB10" s="48"/>
      <c r="AC10" s="7"/>
      <c r="AD10" s="7"/>
      <c r="AE10" s="8"/>
      <c r="AF10" s="8"/>
    </row>
    <row r="11" spans="1:32" ht="12.75" hidden="1" customHeight="1" x14ac:dyDescent="0.2">
      <c r="A11" s="11">
        <v>45726</v>
      </c>
      <c r="B11" s="15">
        <v>0.47986111111111113</v>
      </c>
      <c r="C11" s="62"/>
      <c r="D11" s="62"/>
      <c r="E11" s="62"/>
      <c r="F11" s="48">
        <v>17.131</v>
      </c>
      <c r="G11" s="49">
        <v>60.496000000000002</v>
      </c>
      <c r="H11" s="50">
        <v>15.2</v>
      </c>
      <c r="I11" s="50">
        <v>28</v>
      </c>
      <c r="J11" s="17">
        <f t="shared" si="0"/>
        <v>1.9310000000000009</v>
      </c>
      <c r="K11" s="17">
        <f t="shared" si="1"/>
        <v>0.46284051838138057</v>
      </c>
      <c r="L11" s="71">
        <f t="shared" si="2"/>
        <v>1.8616445100935501</v>
      </c>
      <c r="M11" s="72">
        <f t="shared" si="3"/>
        <v>-3.2073154087621174E-2</v>
      </c>
      <c r="N11" s="48">
        <v>22.094999999999999</v>
      </c>
      <c r="O11" s="50"/>
      <c r="P11" s="50">
        <v>20.2</v>
      </c>
      <c r="Q11" s="50">
        <v>12.5</v>
      </c>
      <c r="R11" s="17">
        <f t="shared" si="4"/>
        <v>1.8949999999999996</v>
      </c>
      <c r="S11" s="17" t="e">
        <f t="shared" si="5"/>
        <v>#DIV/0!</v>
      </c>
      <c r="T11" s="71" t="e">
        <f t="shared" si="6"/>
        <v>#DIV/0!</v>
      </c>
      <c r="U11" s="72" t="e">
        <f t="shared" si="7"/>
        <v>#DIV/0!</v>
      </c>
      <c r="V11" s="48">
        <v>4.4000000000000004</v>
      </c>
      <c r="W11" s="73"/>
      <c r="X11" s="48">
        <v>0</v>
      </c>
      <c r="Y11" s="73"/>
      <c r="Z11" s="48">
        <v>5</v>
      </c>
      <c r="AA11" s="74"/>
      <c r="AB11" s="48">
        <v>0</v>
      </c>
      <c r="AC11" s="7">
        <v>3.2</v>
      </c>
      <c r="AD11" s="7">
        <v>0</v>
      </c>
      <c r="AE11" s="8"/>
      <c r="AF11" s="8"/>
    </row>
    <row r="12" spans="1:32" ht="12.75" hidden="1" customHeight="1" x14ac:dyDescent="0.2">
      <c r="A12" s="11">
        <v>45727</v>
      </c>
      <c r="B12" s="15">
        <v>0.58333333333333337</v>
      </c>
      <c r="C12" s="62"/>
      <c r="D12" s="62"/>
      <c r="E12" s="62"/>
      <c r="F12" s="48">
        <v>17.57</v>
      </c>
      <c r="G12" s="49">
        <v>58.616</v>
      </c>
      <c r="H12" s="50">
        <v>15.2</v>
      </c>
      <c r="I12" s="50">
        <v>24</v>
      </c>
      <c r="J12" s="17">
        <f t="shared" si="0"/>
        <v>2.370000000000001</v>
      </c>
      <c r="K12" s="17">
        <f t="shared" si="1"/>
        <v>0.40944452026750378</v>
      </c>
      <c r="L12" s="71">
        <f t="shared" si="2"/>
        <v>1.693321007626531</v>
      </c>
      <c r="M12" s="72" t="e">
        <f t="shared" si="3"/>
        <v>#DIV/0!</v>
      </c>
      <c r="N12" s="48">
        <v>22.591999999999999</v>
      </c>
      <c r="O12" s="50"/>
      <c r="P12" s="50">
        <v>20.2</v>
      </c>
      <c r="Q12" s="50">
        <v>11.1</v>
      </c>
      <c r="R12" s="17">
        <f t="shared" si="4"/>
        <v>2.3919999999999995</v>
      </c>
      <c r="S12" s="17" t="e">
        <f t="shared" si="5"/>
        <v>#DIV/0!</v>
      </c>
      <c r="T12" s="71" t="e">
        <f t="shared" si="6"/>
        <v>#DIV/0!</v>
      </c>
      <c r="U12" s="72" t="e">
        <f t="shared" si="7"/>
        <v>#DIV/0!</v>
      </c>
      <c r="V12" s="48">
        <v>4.4000000000000004</v>
      </c>
      <c r="W12" s="73"/>
      <c r="X12" s="48">
        <v>0</v>
      </c>
      <c r="Y12" s="73"/>
      <c r="Z12" s="48">
        <v>5</v>
      </c>
      <c r="AA12" s="74"/>
      <c r="AB12" s="48">
        <v>0</v>
      </c>
      <c r="AC12" s="7">
        <v>3.4</v>
      </c>
      <c r="AD12" s="7">
        <v>0</v>
      </c>
      <c r="AE12" s="8"/>
      <c r="AF12" s="8"/>
    </row>
    <row r="13" spans="1:32" ht="12.75" hidden="1" customHeight="1" x14ac:dyDescent="0.2">
      <c r="A13" s="11">
        <v>45728</v>
      </c>
      <c r="B13" s="15"/>
      <c r="C13" s="62"/>
      <c r="D13" s="62"/>
      <c r="E13" s="62"/>
      <c r="F13" s="48"/>
      <c r="G13" s="49"/>
      <c r="H13" s="50"/>
      <c r="I13" s="50"/>
      <c r="J13" s="17">
        <f t="shared" si="0"/>
        <v>0</v>
      </c>
      <c r="K13" s="17" t="e">
        <f t="shared" si="1"/>
        <v>#DIV/0!</v>
      </c>
      <c r="L13" s="71" t="e">
        <f t="shared" si="2"/>
        <v>#DIV/0!</v>
      </c>
      <c r="M13" s="72">
        <f t="shared" si="3"/>
        <v>1</v>
      </c>
      <c r="N13" s="48"/>
      <c r="O13" s="50"/>
      <c r="P13" s="50"/>
      <c r="Q13" s="50"/>
      <c r="R13" s="17">
        <f t="shared" si="4"/>
        <v>0</v>
      </c>
      <c r="S13" s="17" t="e">
        <f t="shared" si="5"/>
        <v>#DIV/0!</v>
      </c>
      <c r="T13" s="71" t="e">
        <f t="shared" si="6"/>
        <v>#DIV/0!</v>
      </c>
      <c r="U13" s="72" t="e">
        <f t="shared" si="7"/>
        <v>#DIV/0!</v>
      </c>
      <c r="V13" s="48"/>
      <c r="W13" s="73"/>
      <c r="X13" s="48"/>
      <c r="Y13" s="73"/>
      <c r="Z13" s="48"/>
      <c r="AA13" s="74"/>
      <c r="AB13" s="48"/>
      <c r="AC13" s="7"/>
      <c r="AD13" s="7"/>
      <c r="AE13" s="8"/>
      <c r="AF13" s="8"/>
    </row>
    <row r="14" spans="1:32" ht="12.75" hidden="1" customHeight="1" x14ac:dyDescent="0.2">
      <c r="A14" s="11">
        <v>45729</v>
      </c>
      <c r="B14" s="15">
        <v>0.58402777777777781</v>
      </c>
      <c r="C14" s="62"/>
      <c r="D14" s="62"/>
      <c r="E14" s="62"/>
      <c r="F14" s="48">
        <v>17.672000000000001</v>
      </c>
      <c r="G14" s="49">
        <v>60.890999999999998</v>
      </c>
      <c r="H14" s="50">
        <v>15.2</v>
      </c>
      <c r="I14" s="50">
        <v>30.1</v>
      </c>
      <c r="J14" s="17">
        <f t="shared" si="0"/>
        <v>2.4720000000000013</v>
      </c>
      <c r="K14" s="17">
        <f t="shared" si="1"/>
        <v>0.49432592665582764</v>
      </c>
      <c r="L14" s="71">
        <f t="shared" si="2"/>
        <v>1.9775583774479557</v>
      </c>
      <c r="M14" s="72" t="e">
        <f t="shared" si="3"/>
        <v>#DIV/0!</v>
      </c>
      <c r="N14" s="48">
        <v>22.943999999999999</v>
      </c>
      <c r="O14" s="50"/>
      <c r="P14" s="50">
        <v>30.1</v>
      </c>
      <c r="Q14" s="50">
        <v>11.1</v>
      </c>
      <c r="R14" s="17">
        <f t="shared" si="4"/>
        <v>-7.1560000000000024</v>
      </c>
      <c r="S14" s="17" t="e">
        <f t="shared" si="5"/>
        <v>#DIV/0!</v>
      </c>
      <c r="T14" s="71" t="e">
        <f t="shared" si="6"/>
        <v>#DIV/0!</v>
      </c>
      <c r="U14" s="72" t="e">
        <f t="shared" si="7"/>
        <v>#DIV/0!</v>
      </c>
      <c r="V14" s="48">
        <v>4.3</v>
      </c>
      <c r="W14" s="73"/>
      <c r="X14" s="48">
        <v>0</v>
      </c>
      <c r="Y14" s="73"/>
      <c r="Z14" s="48">
        <v>4.3</v>
      </c>
      <c r="AA14" s="74"/>
      <c r="AB14" s="48">
        <v>0</v>
      </c>
      <c r="AC14" s="7">
        <v>3.1</v>
      </c>
      <c r="AD14" s="7">
        <v>0</v>
      </c>
      <c r="AE14" s="8"/>
      <c r="AF14" s="8"/>
    </row>
    <row r="15" spans="1:32" ht="12.75" hidden="1" customHeight="1" x14ac:dyDescent="0.2">
      <c r="A15" s="11">
        <v>45730</v>
      </c>
      <c r="B15" s="15"/>
      <c r="C15" s="62"/>
      <c r="D15" s="62"/>
      <c r="E15" s="62"/>
      <c r="F15" s="48"/>
      <c r="G15" s="49"/>
      <c r="H15" s="50"/>
      <c r="I15" s="50"/>
      <c r="J15" s="17">
        <f t="shared" si="0"/>
        <v>0</v>
      </c>
      <c r="K15" s="17" t="e">
        <f t="shared" si="1"/>
        <v>#DIV/0!</v>
      </c>
      <c r="L15" s="71" t="e">
        <f t="shared" si="2"/>
        <v>#DIV/0!</v>
      </c>
      <c r="M15" s="72" t="e">
        <f t="shared" si="3"/>
        <v>#DIV/0!</v>
      </c>
      <c r="N15" s="48"/>
      <c r="O15" s="50"/>
      <c r="P15" s="50"/>
      <c r="Q15" s="50"/>
      <c r="R15" s="17">
        <f t="shared" si="4"/>
        <v>0</v>
      </c>
      <c r="S15" s="17" t="e">
        <f t="shared" si="5"/>
        <v>#DIV/0!</v>
      </c>
      <c r="T15" s="71" t="e">
        <f t="shared" si="6"/>
        <v>#DIV/0!</v>
      </c>
      <c r="U15" s="72" t="e">
        <f t="shared" si="7"/>
        <v>#DIV/0!</v>
      </c>
      <c r="V15" s="48"/>
      <c r="W15" s="73"/>
      <c r="X15" s="48"/>
      <c r="Y15" s="73"/>
      <c r="Z15" s="48"/>
      <c r="AA15" s="74"/>
      <c r="AB15" s="48"/>
      <c r="AC15" s="7"/>
      <c r="AD15" s="7"/>
      <c r="AE15" s="8"/>
      <c r="AF15" s="8"/>
    </row>
    <row r="16" spans="1:32" ht="12.75" hidden="1" customHeight="1" x14ac:dyDescent="0.2">
      <c r="A16" s="11">
        <v>45731</v>
      </c>
      <c r="B16" s="15"/>
      <c r="C16" s="62"/>
      <c r="D16" s="62"/>
      <c r="E16" s="62"/>
      <c r="F16" s="48"/>
      <c r="G16" s="49"/>
      <c r="H16" s="50"/>
      <c r="I16" s="50"/>
      <c r="J16" s="17">
        <f t="shared" si="0"/>
        <v>0</v>
      </c>
      <c r="K16" s="17" t="e">
        <f t="shared" si="1"/>
        <v>#DIV/0!</v>
      </c>
      <c r="L16" s="71" t="e">
        <f t="shared" si="2"/>
        <v>#DIV/0!</v>
      </c>
      <c r="M16" s="72" t="e">
        <f t="shared" si="3"/>
        <v>#DIV/0!</v>
      </c>
      <c r="N16" s="48"/>
      <c r="O16" s="50"/>
      <c r="P16" s="50"/>
      <c r="Q16" s="50"/>
      <c r="R16" s="17">
        <f t="shared" si="4"/>
        <v>0</v>
      </c>
      <c r="S16" s="17" t="e">
        <f t="shared" si="5"/>
        <v>#DIV/0!</v>
      </c>
      <c r="T16" s="71" t="e">
        <f t="shared" si="6"/>
        <v>#DIV/0!</v>
      </c>
      <c r="U16" s="72" t="e">
        <f t="shared" si="7"/>
        <v>#DIV/0!</v>
      </c>
      <c r="V16" s="48"/>
      <c r="W16" s="73"/>
      <c r="X16" s="48"/>
      <c r="Y16" s="73"/>
      <c r="Z16" s="48"/>
      <c r="AA16" s="74"/>
      <c r="AB16" s="48"/>
      <c r="AC16" s="7"/>
      <c r="AD16" s="7"/>
      <c r="AE16" s="8"/>
      <c r="AF16" s="8"/>
    </row>
    <row r="17" spans="1:32" ht="12.75" hidden="1" customHeight="1" x14ac:dyDescent="0.2">
      <c r="A17" s="11">
        <v>45732</v>
      </c>
      <c r="B17" s="15"/>
      <c r="C17" s="62"/>
      <c r="D17" s="62"/>
      <c r="E17" s="62"/>
      <c r="F17" s="48"/>
      <c r="G17" s="49"/>
      <c r="H17" s="50"/>
      <c r="I17" s="50"/>
      <c r="J17" s="17">
        <f t="shared" si="0"/>
        <v>0</v>
      </c>
      <c r="K17" s="17" t="e">
        <f t="shared" si="1"/>
        <v>#DIV/0!</v>
      </c>
      <c r="L17" s="71" t="e">
        <f t="shared" si="2"/>
        <v>#DIV/0!</v>
      </c>
      <c r="M17" s="72" t="e">
        <f t="shared" si="3"/>
        <v>#DIV/0!</v>
      </c>
      <c r="N17" s="48"/>
      <c r="O17" s="50"/>
      <c r="P17" s="50"/>
      <c r="Q17" s="50"/>
      <c r="R17" s="17">
        <f t="shared" si="4"/>
        <v>0</v>
      </c>
      <c r="S17" s="17" t="e">
        <f t="shared" si="5"/>
        <v>#DIV/0!</v>
      </c>
      <c r="T17" s="71" t="e">
        <f t="shared" si="6"/>
        <v>#DIV/0!</v>
      </c>
      <c r="U17" s="72" t="e">
        <f t="shared" si="7"/>
        <v>#DIV/0!</v>
      </c>
      <c r="V17" s="48"/>
      <c r="W17" s="73"/>
      <c r="X17" s="48"/>
      <c r="Y17" s="73"/>
      <c r="Z17" s="48"/>
      <c r="AA17" s="74"/>
      <c r="AB17" s="48"/>
      <c r="AC17" s="7"/>
      <c r="AD17" s="7"/>
      <c r="AE17" s="8"/>
      <c r="AF17" s="8"/>
    </row>
    <row r="18" spans="1:32" ht="12.75" hidden="1" customHeight="1" x14ac:dyDescent="0.2">
      <c r="A18" s="11">
        <v>45733</v>
      </c>
      <c r="B18" s="15"/>
      <c r="C18" s="62"/>
      <c r="D18" s="62"/>
      <c r="E18" s="62"/>
      <c r="F18" s="48"/>
      <c r="G18" s="49"/>
      <c r="H18" s="50"/>
      <c r="I18" s="50"/>
      <c r="J18" s="17">
        <f t="shared" si="0"/>
        <v>0</v>
      </c>
      <c r="K18" s="17" t="e">
        <f t="shared" si="1"/>
        <v>#DIV/0!</v>
      </c>
      <c r="L18" s="71" t="e">
        <f t="shared" si="2"/>
        <v>#DIV/0!</v>
      </c>
      <c r="M18" s="72" t="e">
        <f t="shared" si="3"/>
        <v>#DIV/0!</v>
      </c>
      <c r="N18" s="48"/>
      <c r="O18" s="50"/>
      <c r="P18" s="50"/>
      <c r="Q18" s="50"/>
      <c r="R18" s="17">
        <f t="shared" si="4"/>
        <v>0</v>
      </c>
      <c r="S18" s="17" t="e">
        <f t="shared" si="5"/>
        <v>#DIV/0!</v>
      </c>
      <c r="T18" s="71" t="e">
        <f t="shared" si="6"/>
        <v>#DIV/0!</v>
      </c>
      <c r="U18" s="72" t="e">
        <f t="shared" si="7"/>
        <v>#DIV/0!</v>
      </c>
      <c r="V18" s="48"/>
      <c r="W18" s="73"/>
      <c r="X18" s="48"/>
      <c r="Y18" s="73"/>
      <c r="Z18" s="48"/>
      <c r="AA18" s="74"/>
      <c r="AB18" s="48"/>
      <c r="AC18" s="7"/>
      <c r="AD18" s="7"/>
      <c r="AE18" s="8"/>
      <c r="AF18" s="8"/>
    </row>
    <row r="19" spans="1:32" ht="12.75" hidden="1" customHeight="1" x14ac:dyDescent="0.2">
      <c r="A19" s="11">
        <v>45734</v>
      </c>
      <c r="B19" s="15"/>
      <c r="C19" s="62"/>
      <c r="D19" s="62"/>
      <c r="E19" s="62"/>
      <c r="F19" s="48"/>
      <c r="G19" s="49"/>
      <c r="H19" s="50"/>
      <c r="I19" s="50"/>
      <c r="J19" s="17">
        <f t="shared" si="0"/>
        <v>0</v>
      </c>
      <c r="K19" s="17" t="e">
        <f t="shared" si="1"/>
        <v>#DIV/0!</v>
      </c>
      <c r="L19" s="71" t="e">
        <f t="shared" si="2"/>
        <v>#DIV/0!</v>
      </c>
      <c r="M19" s="72" t="e">
        <f t="shared" si="3"/>
        <v>#DIV/0!</v>
      </c>
      <c r="N19" s="48"/>
      <c r="O19" s="50"/>
      <c r="P19" s="50"/>
      <c r="Q19" s="50"/>
      <c r="R19" s="17">
        <f t="shared" si="4"/>
        <v>0</v>
      </c>
      <c r="S19" s="17" t="e">
        <f t="shared" si="5"/>
        <v>#DIV/0!</v>
      </c>
      <c r="T19" s="71" t="e">
        <f t="shared" si="6"/>
        <v>#DIV/0!</v>
      </c>
      <c r="U19" s="72" t="e">
        <f t="shared" si="7"/>
        <v>#DIV/0!</v>
      </c>
      <c r="V19" s="48"/>
      <c r="W19" s="73"/>
      <c r="X19" s="48"/>
      <c r="Y19" s="73"/>
      <c r="Z19" s="48"/>
      <c r="AA19" s="74"/>
      <c r="AB19" s="48"/>
      <c r="AC19" s="7"/>
      <c r="AD19" s="7"/>
      <c r="AE19" s="8"/>
      <c r="AF19" s="8"/>
    </row>
    <row r="20" spans="1:32" ht="12.75" hidden="1" customHeight="1" x14ac:dyDescent="0.2">
      <c r="A20" s="11">
        <v>45735</v>
      </c>
      <c r="B20" s="15"/>
      <c r="C20" s="62"/>
      <c r="D20" s="62"/>
      <c r="E20" s="62"/>
      <c r="F20" s="48"/>
      <c r="G20" s="49"/>
      <c r="H20" s="50"/>
      <c r="I20" s="50"/>
      <c r="J20" s="17">
        <f t="shared" si="0"/>
        <v>0</v>
      </c>
      <c r="K20" s="17" t="e">
        <f t="shared" si="1"/>
        <v>#DIV/0!</v>
      </c>
      <c r="L20" s="71" t="e">
        <f t="shared" si="2"/>
        <v>#DIV/0!</v>
      </c>
      <c r="M20" s="72" t="e">
        <f t="shared" si="3"/>
        <v>#DIV/0!</v>
      </c>
      <c r="N20" s="48"/>
      <c r="O20" s="50"/>
      <c r="P20" s="50"/>
      <c r="Q20" s="50"/>
      <c r="R20" s="17">
        <f t="shared" si="4"/>
        <v>0</v>
      </c>
      <c r="S20" s="17" t="e">
        <f t="shared" si="5"/>
        <v>#DIV/0!</v>
      </c>
      <c r="T20" s="71" t="e">
        <f t="shared" si="6"/>
        <v>#DIV/0!</v>
      </c>
      <c r="U20" s="72" t="e">
        <f t="shared" si="7"/>
        <v>#DIV/0!</v>
      </c>
      <c r="V20" s="48"/>
      <c r="W20" s="73"/>
      <c r="X20" s="48"/>
      <c r="Y20" s="73"/>
      <c r="Z20" s="48"/>
      <c r="AA20" s="74"/>
      <c r="AB20" s="48"/>
      <c r="AC20" s="7"/>
      <c r="AD20" s="7"/>
      <c r="AE20" s="8"/>
      <c r="AF20" s="8"/>
    </row>
    <row r="21" spans="1:32" ht="12.75" hidden="1" customHeight="1" x14ac:dyDescent="0.2">
      <c r="A21" s="11">
        <v>45736</v>
      </c>
      <c r="B21" s="15"/>
      <c r="C21" s="62"/>
      <c r="D21" s="62"/>
      <c r="E21" s="62"/>
      <c r="F21" s="48"/>
      <c r="G21" s="49"/>
      <c r="H21" s="50"/>
      <c r="I21" s="50"/>
      <c r="J21" s="17">
        <f t="shared" si="0"/>
        <v>0</v>
      </c>
      <c r="K21" s="17" t="e">
        <f t="shared" si="1"/>
        <v>#DIV/0!</v>
      </c>
      <c r="L21" s="71" t="e">
        <f t="shared" si="2"/>
        <v>#DIV/0!</v>
      </c>
      <c r="M21" s="72" t="e">
        <f t="shared" si="3"/>
        <v>#DIV/0!</v>
      </c>
      <c r="N21" s="48"/>
      <c r="O21" s="50"/>
      <c r="P21" s="50"/>
      <c r="Q21" s="50"/>
      <c r="R21" s="17">
        <f t="shared" si="4"/>
        <v>0</v>
      </c>
      <c r="S21" s="17" t="e">
        <f t="shared" si="5"/>
        <v>#DIV/0!</v>
      </c>
      <c r="T21" s="71" t="e">
        <f t="shared" si="6"/>
        <v>#DIV/0!</v>
      </c>
      <c r="U21" s="72" t="e">
        <f t="shared" si="7"/>
        <v>#DIV/0!</v>
      </c>
      <c r="V21" s="48"/>
      <c r="W21" s="73"/>
      <c r="X21" s="48"/>
      <c r="Y21" s="73"/>
      <c r="Z21" s="48"/>
      <c r="AA21" s="74"/>
      <c r="AB21" s="48"/>
      <c r="AC21" s="7"/>
      <c r="AD21" s="7"/>
      <c r="AE21" s="8"/>
      <c r="AF21" s="8"/>
    </row>
    <row r="22" spans="1:32" ht="12.75" hidden="1" customHeight="1" x14ac:dyDescent="0.2">
      <c r="A22" s="11">
        <v>45737</v>
      </c>
      <c r="B22" s="15"/>
      <c r="C22" s="62"/>
      <c r="D22" s="62"/>
      <c r="E22" s="62"/>
      <c r="F22" s="48"/>
      <c r="G22" s="49"/>
      <c r="H22" s="50"/>
      <c r="I22" s="50"/>
      <c r="J22" s="17">
        <f t="shared" si="0"/>
        <v>0</v>
      </c>
      <c r="K22" s="17" t="e">
        <f t="shared" si="1"/>
        <v>#DIV/0!</v>
      </c>
      <c r="L22" s="71" t="e">
        <f t="shared" si="2"/>
        <v>#DIV/0!</v>
      </c>
      <c r="M22" s="72" t="e">
        <f t="shared" si="3"/>
        <v>#DIV/0!</v>
      </c>
      <c r="N22" s="48"/>
      <c r="O22" s="50"/>
      <c r="P22" s="50"/>
      <c r="Q22" s="50"/>
      <c r="R22" s="17">
        <f t="shared" si="4"/>
        <v>0</v>
      </c>
      <c r="S22" s="17" t="e">
        <f t="shared" si="5"/>
        <v>#DIV/0!</v>
      </c>
      <c r="T22" s="71" t="e">
        <f t="shared" si="6"/>
        <v>#DIV/0!</v>
      </c>
      <c r="U22" s="72" t="e">
        <f t="shared" si="7"/>
        <v>#DIV/0!</v>
      </c>
      <c r="V22" s="48"/>
      <c r="W22" s="73"/>
      <c r="X22" s="48"/>
      <c r="Y22" s="73"/>
      <c r="Z22" s="48"/>
      <c r="AA22" s="74"/>
      <c r="AB22" s="48"/>
      <c r="AC22" s="7"/>
      <c r="AD22" s="7"/>
      <c r="AE22" s="8"/>
      <c r="AF22" s="8"/>
    </row>
    <row r="23" spans="1:32" ht="12.75" hidden="1" customHeight="1" x14ac:dyDescent="0.2">
      <c r="A23" s="11">
        <v>45738</v>
      </c>
      <c r="B23" s="15"/>
      <c r="C23" s="62"/>
      <c r="D23" s="62"/>
      <c r="E23" s="62"/>
      <c r="F23" s="48"/>
      <c r="G23" s="49"/>
      <c r="H23" s="50"/>
      <c r="I23" s="50"/>
      <c r="J23" s="17">
        <f t="shared" si="0"/>
        <v>0</v>
      </c>
      <c r="K23" s="17" t="e">
        <f t="shared" si="1"/>
        <v>#DIV/0!</v>
      </c>
      <c r="L23" s="71" t="e">
        <f t="shared" si="2"/>
        <v>#DIV/0!</v>
      </c>
      <c r="M23" s="72" t="e">
        <f t="shared" si="3"/>
        <v>#DIV/0!</v>
      </c>
      <c r="N23" s="48"/>
      <c r="O23" s="50"/>
      <c r="P23" s="50"/>
      <c r="Q23" s="50"/>
      <c r="R23" s="17">
        <f t="shared" si="4"/>
        <v>0</v>
      </c>
      <c r="S23" s="17" t="e">
        <f t="shared" si="5"/>
        <v>#DIV/0!</v>
      </c>
      <c r="T23" s="71" t="e">
        <f t="shared" si="6"/>
        <v>#DIV/0!</v>
      </c>
      <c r="U23" s="72" t="e">
        <f t="shared" si="7"/>
        <v>#DIV/0!</v>
      </c>
      <c r="V23" s="48"/>
      <c r="W23" s="73"/>
      <c r="X23" s="48"/>
      <c r="Y23" s="73"/>
      <c r="Z23" s="48"/>
      <c r="AA23" s="74"/>
      <c r="AB23" s="48"/>
      <c r="AC23" s="7"/>
      <c r="AD23" s="7"/>
      <c r="AE23" s="8"/>
      <c r="AF23" s="8"/>
    </row>
    <row r="24" spans="1:32" ht="12.75" hidden="1" customHeight="1" x14ac:dyDescent="0.2">
      <c r="A24" s="11">
        <v>45739</v>
      </c>
      <c r="B24" s="15"/>
      <c r="C24" s="62"/>
      <c r="D24" s="62"/>
      <c r="E24" s="62"/>
      <c r="F24" s="48"/>
      <c r="G24" s="49"/>
      <c r="H24" s="50"/>
      <c r="I24" s="50"/>
      <c r="J24" s="17">
        <f t="shared" si="0"/>
        <v>0</v>
      </c>
      <c r="K24" s="17" t="e">
        <f t="shared" si="1"/>
        <v>#DIV/0!</v>
      </c>
      <c r="L24" s="71" t="e">
        <f t="shared" si="2"/>
        <v>#DIV/0!</v>
      </c>
      <c r="M24" s="72" t="e">
        <f t="shared" si="3"/>
        <v>#DIV/0!</v>
      </c>
      <c r="N24" s="48"/>
      <c r="O24" s="50"/>
      <c r="P24" s="50"/>
      <c r="Q24" s="50"/>
      <c r="R24" s="17">
        <f t="shared" si="4"/>
        <v>0</v>
      </c>
      <c r="S24" s="17" t="e">
        <f t="shared" si="5"/>
        <v>#DIV/0!</v>
      </c>
      <c r="T24" s="71" t="e">
        <f t="shared" si="6"/>
        <v>#DIV/0!</v>
      </c>
      <c r="U24" s="72" t="e">
        <f t="shared" si="7"/>
        <v>#DIV/0!</v>
      </c>
      <c r="V24" s="48"/>
      <c r="W24" s="73"/>
      <c r="X24" s="48"/>
      <c r="Y24" s="73"/>
      <c r="Z24" s="48"/>
      <c r="AA24" s="74"/>
      <c r="AB24" s="48"/>
      <c r="AC24" s="7"/>
      <c r="AD24" s="7"/>
      <c r="AE24" s="8"/>
      <c r="AF24" s="8"/>
    </row>
    <row r="25" spans="1:32" ht="12.75" hidden="1" customHeight="1" x14ac:dyDescent="0.2">
      <c r="A25" s="11">
        <v>45740</v>
      </c>
      <c r="B25" s="15"/>
      <c r="C25" s="62"/>
      <c r="D25" s="62"/>
      <c r="E25" s="62"/>
      <c r="F25" s="48"/>
      <c r="G25" s="49"/>
      <c r="H25" s="50"/>
      <c r="I25" s="50"/>
      <c r="J25" s="17">
        <f t="shared" si="0"/>
        <v>0</v>
      </c>
      <c r="K25" s="17" t="e">
        <f t="shared" si="1"/>
        <v>#DIV/0!</v>
      </c>
      <c r="L25" s="71" t="e">
        <f t="shared" si="2"/>
        <v>#DIV/0!</v>
      </c>
      <c r="M25" s="72" t="e">
        <f t="shared" si="3"/>
        <v>#DIV/0!</v>
      </c>
      <c r="N25" s="48"/>
      <c r="O25" s="50"/>
      <c r="P25" s="50"/>
      <c r="Q25" s="50"/>
      <c r="R25" s="17">
        <f t="shared" si="4"/>
        <v>0</v>
      </c>
      <c r="S25" s="17" t="e">
        <f t="shared" si="5"/>
        <v>#DIV/0!</v>
      </c>
      <c r="T25" s="71" t="e">
        <f t="shared" si="6"/>
        <v>#DIV/0!</v>
      </c>
      <c r="U25" s="72" t="e">
        <f t="shared" si="7"/>
        <v>#DIV/0!</v>
      </c>
      <c r="V25" s="48"/>
      <c r="W25" s="73"/>
      <c r="X25" s="48"/>
      <c r="Y25" s="73"/>
      <c r="Z25" s="48"/>
      <c r="AA25" s="74"/>
      <c r="AB25" s="48"/>
      <c r="AC25" s="7"/>
      <c r="AD25" s="7"/>
      <c r="AE25" s="8"/>
      <c r="AF25" s="8"/>
    </row>
    <row r="26" spans="1:32" ht="12.75" hidden="1" customHeight="1" x14ac:dyDescent="0.2">
      <c r="A26" s="11">
        <v>45741</v>
      </c>
      <c r="B26" s="15"/>
      <c r="C26" s="62"/>
      <c r="D26" s="62"/>
      <c r="E26" s="62"/>
      <c r="F26" s="48"/>
      <c r="G26" s="49"/>
      <c r="H26" s="50"/>
      <c r="I26" s="50"/>
      <c r="J26" s="17">
        <f t="shared" si="0"/>
        <v>0</v>
      </c>
      <c r="K26" s="17" t="e">
        <f t="shared" si="1"/>
        <v>#DIV/0!</v>
      </c>
      <c r="L26" s="71" t="e">
        <f t="shared" si="2"/>
        <v>#DIV/0!</v>
      </c>
      <c r="M26" s="72" t="e">
        <f t="shared" si="3"/>
        <v>#DIV/0!</v>
      </c>
      <c r="N26" s="48"/>
      <c r="O26" s="50"/>
      <c r="P26" s="50"/>
      <c r="Q26" s="50"/>
      <c r="R26" s="17">
        <f t="shared" si="4"/>
        <v>0</v>
      </c>
      <c r="S26" s="17" t="e">
        <f t="shared" si="5"/>
        <v>#DIV/0!</v>
      </c>
      <c r="T26" s="71" t="e">
        <f t="shared" si="6"/>
        <v>#DIV/0!</v>
      </c>
      <c r="U26" s="72" t="e">
        <f t="shared" si="7"/>
        <v>#DIV/0!</v>
      </c>
      <c r="V26" s="48"/>
      <c r="W26" s="73"/>
      <c r="X26" s="48"/>
      <c r="Y26" s="73"/>
      <c r="Z26" s="48"/>
      <c r="AA26" s="74"/>
      <c r="AB26" s="48"/>
      <c r="AC26" s="7"/>
      <c r="AD26" s="7"/>
      <c r="AE26" s="8"/>
      <c r="AF26" s="8"/>
    </row>
    <row r="27" spans="1:32" ht="12.75" hidden="1" customHeight="1" x14ac:dyDescent="0.2">
      <c r="A27" s="11">
        <v>45742</v>
      </c>
      <c r="B27" s="15"/>
      <c r="C27" s="62"/>
      <c r="D27" s="62"/>
      <c r="E27" s="62"/>
      <c r="F27" s="48"/>
      <c r="G27" s="49"/>
      <c r="H27" s="50"/>
      <c r="I27" s="50"/>
      <c r="J27" s="17">
        <f t="shared" si="0"/>
        <v>0</v>
      </c>
      <c r="K27" s="17" t="e">
        <f t="shared" si="1"/>
        <v>#DIV/0!</v>
      </c>
      <c r="L27" s="71" t="e">
        <f t="shared" si="2"/>
        <v>#DIV/0!</v>
      </c>
      <c r="M27" s="72" t="e">
        <f t="shared" si="3"/>
        <v>#DIV/0!</v>
      </c>
      <c r="N27" s="48"/>
      <c r="O27" s="50"/>
      <c r="P27" s="50"/>
      <c r="Q27" s="50"/>
      <c r="R27" s="17">
        <f t="shared" si="4"/>
        <v>0</v>
      </c>
      <c r="S27" s="17" t="e">
        <f t="shared" si="5"/>
        <v>#DIV/0!</v>
      </c>
      <c r="T27" s="71" t="e">
        <f t="shared" si="6"/>
        <v>#DIV/0!</v>
      </c>
      <c r="U27" s="72" t="e">
        <f t="shared" si="7"/>
        <v>#DIV/0!</v>
      </c>
      <c r="V27" s="48"/>
      <c r="W27" s="73"/>
      <c r="X27" s="48"/>
      <c r="Y27" s="73"/>
      <c r="Z27" s="48"/>
      <c r="AA27" s="74"/>
      <c r="AB27" s="48"/>
      <c r="AC27" s="7"/>
      <c r="AD27" s="7"/>
      <c r="AE27" s="8"/>
      <c r="AF27" s="8"/>
    </row>
    <row r="28" spans="1:32" ht="12.75" hidden="1" customHeight="1" x14ac:dyDescent="0.2">
      <c r="A28" s="11">
        <v>45743</v>
      </c>
      <c r="B28" s="15"/>
      <c r="C28" s="62"/>
      <c r="D28" s="62"/>
      <c r="E28" s="62"/>
      <c r="F28" s="48"/>
      <c r="G28" s="49"/>
      <c r="H28" s="50"/>
      <c r="I28" s="50"/>
      <c r="J28" s="17">
        <f t="shared" si="0"/>
        <v>0</v>
      </c>
      <c r="K28" s="17" t="e">
        <f t="shared" si="1"/>
        <v>#DIV/0!</v>
      </c>
      <c r="L28" s="71" t="e">
        <f t="shared" si="2"/>
        <v>#DIV/0!</v>
      </c>
      <c r="M28" s="72" t="e">
        <f t="shared" si="3"/>
        <v>#DIV/0!</v>
      </c>
      <c r="N28" s="48"/>
      <c r="O28" s="50"/>
      <c r="P28" s="50"/>
      <c r="Q28" s="50"/>
      <c r="R28" s="17">
        <f t="shared" si="4"/>
        <v>0</v>
      </c>
      <c r="S28" s="17" t="e">
        <f t="shared" si="5"/>
        <v>#DIV/0!</v>
      </c>
      <c r="T28" s="71" t="e">
        <f t="shared" si="6"/>
        <v>#DIV/0!</v>
      </c>
      <c r="U28" s="72" t="e">
        <f t="shared" si="7"/>
        <v>#DIV/0!</v>
      </c>
      <c r="V28" s="48"/>
      <c r="W28" s="73"/>
      <c r="X28" s="48"/>
      <c r="Y28" s="73"/>
      <c r="Z28" s="48"/>
      <c r="AA28" s="74"/>
      <c r="AB28" s="48"/>
      <c r="AC28" s="7"/>
      <c r="AD28" s="7"/>
      <c r="AE28" s="8"/>
      <c r="AF28" s="8"/>
    </row>
    <row r="29" spans="1:32" ht="12.75" hidden="1" customHeight="1" x14ac:dyDescent="0.2">
      <c r="A29" s="11">
        <v>45744</v>
      </c>
      <c r="B29" s="15"/>
      <c r="C29" s="62"/>
      <c r="D29" s="62"/>
      <c r="E29" s="62"/>
      <c r="F29" s="48"/>
      <c r="G29" s="49"/>
      <c r="H29" s="50"/>
      <c r="I29" s="50"/>
      <c r="J29" s="17">
        <f t="shared" si="0"/>
        <v>0</v>
      </c>
      <c r="K29" s="17" t="e">
        <f t="shared" si="1"/>
        <v>#DIV/0!</v>
      </c>
      <c r="L29" s="71" t="e">
        <f t="shared" si="2"/>
        <v>#DIV/0!</v>
      </c>
      <c r="M29" s="72" t="e">
        <f t="shared" si="3"/>
        <v>#DIV/0!</v>
      </c>
      <c r="N29" s="48"/>
      <c r="O29" s="50"/>
      <c r="P29" s="50"/>
      <c r="Q29" s="50"/>
      <c r="R29" s="17">
        <f t="shared" si="4"/>
        <v>0</v>
      </c>
      <c r="S29" s="17" t="e">
        <f t="shared" si="5"/>
        <v>#DIV/0!</v>
      </c>
      <c r="T29" s="71" t="e">
        <f t="shared" si="6"/>
        <v>#DIV/0!</v>
      </c>
      <c r="U29" s="72" t="e">
        <f t="shared" si="7"/>
        <v>#DIV/0!</v>
      </c>
      <c r="V29" s="48"/>
      <c r="W29" s="73"/>
      <c r="X29" s="48"/>
      <c r="Y29" s="73"/>
      <c r="Z29" s="48"/>
      <c r="AA29" s="74"/>
      <c r="AB29" s="48"/>
      <c r="AC29" s="7"/>
      <c r="AD29" s="7"/>
      <c r="AE29" s="8"/>
      <c r="AF29" s="8"/>
    </row>
    <row r="30" spans="1:32" ht="12.75" hidden="1" customHeight="1" x14ac:dyDescent="0.2">
      <c r="A30" s="11">
        <v>45745</v>
      </c>
      <c r="B30" s="15"/>
      <c r="C30" s="62"/>
      <c r="D30" s="62"/>
      <c r="E30" s="62"/>
      <c r="F30" s="48"/>
      <c r="G30" s="49"/>
      <c r="H30" s="50"/>
      <c r="I30" s="50"/>
      <c r="J30" s="17">
        <f t="shared" si="0"/>
        <v>0</v>
      </c>
      <c r="K30" s="17" t="e">
        <f t="shared" si="1"/>
        <v>#DIV/0!</v>
      </c>
      <c r="L30" s="71" t="e">
        <f t="shared" si="2"/>
        <v>#DIV/0!</v>
      </c>
      <c r="M30" s="72" t="e">
        <f t="shared" si="3"/>
        <v>#DIV/0!</v>
      </c>
      <c r="N30" s="48"/>
      <c r="O30" s="50"/>
      <c r="P30" s="50"/>
      <c r="Q30" s="50"/>
      <c r="R30" s="17">
        <f t="shared" si="4"/>
        <v>0</v>
      </c>
      <c r="S30" s="17" t="e">
        <f t="shared" si="5"/>
        <v>#DIV/0!</v>
      </c>
      <c r="T30" s="71" t="e">
        <f t="shared" si="6"/>
        <v>#DIV/0!</v>
      </c>
      <c r="U30" s="72" t="e">
        <f t="shared" si="7"/>
        <v>#DIV/0!</v>
      </c>
      <c r="V30" s="48"/>
      <c r="W30" s="73"/>
      <c r="X30" s="48"/>
      <c r="Y30" s="73"/>
      <c r="Z30" s="48"/>
      <c r="AA30" s="74"/>
      <c r="AB30" s="48"/>
      <c r="AC30" s="7"/>
      <c r="AD30" s="7"/>
      <c r="AE30" s="8"/>
      <c r="AF30" s="8"/>
    </row>
    <row r="31" spans="1:32" ht="12.75" hidden="1" customHeight="1" x14ac:dyDescent="0.2">
      <c r="A31" s="11">
        <v>45746</v>
      </c>
      <c r="B31" s="15"/>
      <c r="C31" s="62"/>
      <c r="D31" s="62"/>
      <c r="E31" s="62"/>
      <c r="F31" s="48"/>
      <c r="G31" s="49"/>
      <c r="H31" s="50"/>
      <c r="I31" s="50"/>
      <c r="J31" s="17">
        <f t="shared" si="0"/>
        <v>0</v>
      </c>
      <c r="K31" s="17" t="e">
        <f t="shared" si="1"/>
        <v>#DIV/0!</v>
      </c>
      <c r="L31" s="71" t="e">
        <f t="shared" si="2"/>
        <v>#DIV/0!</v>
      </c>
      <c r="M31" s="72" t="e">
        <f t="shared" si="3"/>
        <v>#DIV/0!</v>
      </c>
      <c r="N31" s="48"/>
      <c r="O31" s="50"/>
      <c r="P31" s="50"/>
      <c r="Q31" s="50"/>
      <c r="R31" s="17">
        <f t="shared" si="4"/>
        <v>0</v>
      </c>
      <c r="S31" s="17" t="e">
        <f t="shared" si="5"/>
        <v>#DIV/0!</v>
      </c>
      <c r="T31" s="71" t="e">
        <f t="shared" si="6"/>
        <v>#DIV/0!</v>
      </c>
      <c r="U31" s="72" t="e">
        <f t="shared" si="7"/>
        <v>#DIV/0!</v>
      </c>
      <c r="V31" s="48"/>
      <c r="W31" s="73"/>
      <c r="X31" s="48"/>
      <c r="Y31" s="73"/>
      <c r="Z31" s="48"/>
      <c r="AA31" s="74"/>
      <c r="AB31" s="48"/>
      <c r="AC31" s="7"/>
      <c r="AD31" s="7"/>
      <c r="AE31" s="8"/>
      <c r="AF31" s="8"/>
    </row>
    <row r="32" spans="1:32" ht="12.75" hidden="1" customHeight="1" x14ac:dyDescent="0.2">
      <c r="A32" s="11">
        <v>45747</v>
      </c>
      <c r="B32" s="15"/>
      <c r="C32" s="62"/>
      <c r="D32" s="62"/>
      <c r="E32" s="62"/>
      <c r="F32" s="48"/>
      <c r="G32" s="49"/>
      <c r="H32" s="50"/>
      <c r="I32" s="50"/>
      <c r="J32" s="17">
        <f t="shared" si="0"/>
        <v>0</v>
      </c>
      <c r="K32" s="17" t="e">
        <f t="shared" si="1"/>
        <v>#DIV/0!</v>
      </c>
      <c r="L32" s="71" t="e">
        <f t="shared" si="2"/>
        <v>#DIV/0!</v>
      </c>
      <c r="M32" s="72" t="e">
        <f t="shared" si="3"/>
        <v>#DIV/0!</v>
      </c>
      <c r="N32" s="48"/>
      <c r="O32" s="50"/>
      <c r="P32" s="50"/>
      <c r="Q32" s="50"/>
      <c r="R32" s="17">
        <f t="shared" si="4"/>
        <v>0</v>
      </c>
      <c r="S32" s="17" t="e">
        <f t="shared" si="5"/>
        <v>#DIV/0!</v>
      </c>
      <c r="T32" s="71" t="e">
        <f t="shared" si="6"/>
        <v>#DIV/0!</v>
      </c>
      <c r="U32" s="72" t="e">
        <f t="shared" si="7"/>
        <v>#DIV/0!</v>
      </c>
      <c r="V32" s="48"/>
      <c r="W32" s="73"/>
      <c r="X32" s="48"/>
      <c r="Y32" s="73"/>
      <c r="Z32" s="48"/>
      <c r="AA32" s="74"/>
      <c r="AB32" s="48"/>
      <c r="AC32" s="7"/>
      <c r="AD32" s="7"/>
      <c r="AE32" s="8"/>
      <c r="AF32" s="8"/>
    </row>
    <row r="33" spans="1:32" ht="12.75" hidden="1" customHeight="1" x14ac:dyDescent="0.2">
      <c r="A33" s="11">
        <v>45748</v>
      </c>
      <c r="B33" s="15"/>
      <c r="C33" s="62"/>
      <c r="D33" s="62"/>
      <c r="E33" s="62"/>
      <c r="F33" s="48"/>
      <c r="G33" s="49"/>
      <c r="H33" s="50"/>
      <c r="I33" s="50"/>
      <c r="J33" s="17">
        <f t="shared" si="0"/>
        <v>0</v>
      </c>
      <c r="K33" s="17" t="e">
        <f t="shared" si="1"/>
        <v>#DIV/0!</v>
      </c>
      <c r="L33" s="71" t="e">
        <f t="shared" si="2"/>
        <v>#DIV/0!</v>
      </c>
      <c r="M33" s="72" t="e">
        <f t="shared" si="3"/>
        <v>#DIV/0!</v>
      </c>
      <c r="N33" s="48"/>
      <c r="O33" s="50"/>
      <c r="P33" s="50"/>
      <c r="Q33" s="50"/>
      <c r="R33" s="17">
        <f t="shared" si="4"/>
        <v>0</v>
      </c>
      <c r="S33" s="17" t="e">
        <f t="shared" si="5"/>
        <v>#DIV/0!</v>
      </c>
      <c r="T33" s="71" t="e">
        <f t="shared" si="6"/>
        <v>#DIV/0!</v>
      </c>
      <c r="U33" s="72" t="e">
        <f t="shared" si="7"/>
        <v>#DIV/0!</v>
      </c>
      <c r="V33" s="48"/>
      <c r="W33" s="73"/>
      <c r="X33" s="48"/>
      <c r="Y33" s="73"/>
      <c r="Z33" s="48"/>
      <c r="AA33" s="74"/>
      <c r="AB33" s="48"/>
      <c r="AC33" s="7"/>
      <c r="AD33" s="7"/>
      <c r="AE33" s="8"/>
      <c r="AF33" s="8"/>
    </row>
    <row r="34" spans="1:32" ht="12.75" hidden="1" customHeight="1" x14ac:dyDescent="0.2">
      <c r="A34" s="11">
        <v>45749</v>
      </c>
      <c r="B34" s="15"/>
      <c r="C34" s="62"/>
      <c r="D34" s="62"/>
      <c r="E34" s="62"/>
      <c r="F34" s="48"/>
      <c r="G34" s="49"/>
      <c r="H34" s="50"/>
      <c r="I34" s="50"/>
      <c r="J34" s="17">
        <f t="shared" si="0"/>
        <v>0</v>
      </c>
      <c r="K34" s="17" t="e">
        <f t="shared" si="1"/>
        <v>#DIV/0!</v>
      </c>
      <c r="L34" s="71" t="e">
        <f t="shared" si="2"/>
        <v>#DIV/0!</v>
      </c>
      <c r="M34" s="72" t="e">
        <f t="shared" si="3"/>
        <v>#DIV/0!</v>
      </c>
      <c r="N34" s="48"/>
      <c r="O34" s="50"/>
      <c r="P34" s="50"/>
      <c r="Q34" s="50"/>
      <c r="R34" s="17">
        <f t="shared" si="4"/>
        <v>0</v>
      </c>
      <c r="S34" s="17" t="e">
        <f t="shared" si="5"/>
        <v>#DIV/0!</v>
      </c>
      <c r="T34" s="71" t="e">
        <f t="shared" si="6"/>
        <v>#DIV/0!</v>
      </c>
      <c r="U34" s="72" t="e">
        <f t="shared" si="7"/>
        <v>#DIV/0!</v>
      </c>
      <c r="V34" s="48"/>
      <c r="W34" s="73"/>
      <c r="X34" s="48"/>
      <c r="Y34" s="73"/>
      <c r="Z34" s="48"/>
      <c r="AA34" s="74"/>
      <c r="AB34" s="48"/>
      <c r="AC34" s="7"/>
      <c r="AD34" s="7"/>
      <c r="AE34" s="8"/>
      <c r="AF34" s="8"/>
    </row>
    <row r="35" spans="1:32" ht="12.75" hidden="1" customHeight="1" x14ac:dyDescent="0.2">
      <c r="A35" s="11">
        <v>45750</v>
      </c>
      <c r="B35" s="15"/>
      <c r="C35" s="62"/>
      <c r="D35" s="62"/>
      <c r="E35" s="62"/>
      <c r="F35" s="48"/>
      <c r="G35" s="49"/>
      <c r="H35" s="50"/>
      <c r="I35" s="50"/>
      <c r="J35" s="17">
        <f t="shared" si="0"/>
        <v>0</v>
      </c>
      <c r="K35" s="17" t="e">
        <f t="shared" si="1"/>
        <v>#DIV/0!</v>
      </c>
      <c r="L35" s="71" t="e">
        <f t="shared" si="2"/>
        <v>#DIV/0!</v>
      </c>
      <c r="M35" s="72" t="e">
        <f t="shared" si="3"/>
        <v>#DIV/0!</v>
      </c>
      <c r="N35" s="48"/>
      <c r="O35" s="50"/>
      <c r="P35" s="50"/>
      <c r="Q35" s="50"/>
      <c r="R35" s="17">
        <f t="shared" si="4"/>
        <v>0</v>
      </c>
      <c r="S35" s="17" t="e">
        <f t="shared" si="5"/>
        <v>#DIV/0!</v>
      </c>
      <c r="T35" s="71" t="e">
        <f t="shared" si="6"/>
        <v>#DIV/0!</v>
      </c>
      <c r="U35" s="72" t="e">
        <f t="shared" si="7"/>
        <v>#DIV/0!</v>
      </c>
      <c r="V35" s="48"/>
      <c r="W35" s="73"/>
      <c r="X35" s="48"/>
      <c r="Y35" s="73"/>
      <c r="Z35" s="48"/>
      <c r="AA35" s="74"/>
      <c r="AB35" s="48"/>
      <c r="AC35" s="7"/>
      <c r="AD35" s="7"/>
      <c r="AE35" s="8"/>
      <c r="AF35" s="8"/>
    </row>
    <row r="36" spans="1:32" ht="12.75" hidden="1" customHeight="1" x14ac:dyDescent="0.2">
      <c r="A36" s="11">
        <v>45751</v>
      </c>
      <c r="B36" s="15"/>
      <c r="C36" s="62"/>
      <c r="D36" s="62"/>
      <c r="E36" s="62"/>
      <c r="F36" s="48"/>
      <c r="G36" s="49"/>
      <c r="H36" s="50"/>
      <c r="I36" s="50"/>
      <c r="J36" s="17">
        <f t="shared" si="0"/>
        <v>0</v>
      </c>
      <c r="K36" s="17" t="e">
        <f t="shared" si="1"/>
        <v>#DIV/0!</v>
      </c>
      <c r="L36" s="71" t="e">
        <f t="shared" si="2"/>
        <v>#DIV/0!</v>
      </c>
      <c r="M36" s="72" t="e">
        <f t="shared" si="3"/>
        <v>#DIV/0!</v>
      </c>
      <c r="N36" s="48"/>
      <c r="O36" s="50"/>
      <c r="P36" s="50"/>
      <c r="Q36" s="50"/>
      <c r="R36" s="17">
        <f t="shared" si="4"/>
        <v>0</v>
      </c>
      <c r="S36" s="17" t="e">
        <f t="shared" si="5"/>
        <v>#DIV/0!</v>
      </c>
      <c r="T36" s="71" t="e">
        <f t="shared" si="6"/>
        <v>#DIV/0!</v>
      </c>
      <c r="U36" s="72" t="e">
        <f t="shared" si="7"/>
        <v>#DIV/0!</v>
      </c>
      <c r="V36" s="48"/>
      <c r="W36" s="73"/>
      <c r="X36" s="48"/>
      <c r="Y36" s="73"/>
      <c r="Z36" s="48"/>
      <c r="AA36" s="74"/>
      <c r="AB36" s="48"/>
      <c r="AC36" s="7"/>
      <c r="AD36" s="7"/>
      <c r="AE36" s="8"/>
      <c r="AF36" s="8"/>
    </row>
    <row r="37" spans="1:32" ht="12.75" hidden="1" customHeight="1" x14ac:dyDescent="0.2">
      <c r="A37" s="11">
        <v>45752</v>
      </c>
      <c r="B37" s="15"/>
      <c r="C37" s="62"/>
      <c r="D37" s="62"/>
      <c r="E37" s="62"/>
      <c r="F37" s="48"/>
      <c r="G37" s="49"/>
      <c r="H37" s="50"/>
      <c r="I37" s="50"/>
      <c r="J37" s="17">
        <f t="shared" si="0"/>
        <v>0</v>
      </c>
      <c r="K37" s="17" t="e">
        <f t="shared" si="1"/>
        <v>#DIV/0!</v>
      </c>
      <c r="L37" s="71" t="e">
        <f t="shared" si="2"/>
        <v>#DIV/0!</v>
      </c>
      <c r="M37" s="72" t="e">
        <f t="shared" si="3"/>
        <v>#DIV/0!</v>
      </c>
      <c r="N37" s="48"/>
      <c r="O37" s="50"/>
      <c r="P37" s="50"/>
      <c r="Q37" s="50"/>
      <c r="R37" s="17">
        <f t="shared" si="4"/>
        <v>0</v>
      </c>
      <c r="S37" s="17" t="e">
        <f t="shared" si="5"/>
        <v>#DIV/0!</v>
      </c>
      <c r="T37" s="71" t="e">
        <f t="shared" si="6"/>
        <v>#DIV/0!</v>
      </c>
      <c r="U37" s="72" t="e">
        <f t="shared" si="7"/>
        <v>#DIV/0!</v>
      </c>
      <c r="V37" s="48"/>
      <c r="W37" s="73"/>
      <c r="X37" s="48"/>
      <c r="Y37" s="73"/>
      <c r="Z37" s="48"/>
      <c r="AA37" s="74"/>
      <c r="AB37" s="48"/>
      <c r="AC37" s="7"/>
      <c r="AD37" s="7"/>
      <c r="AE37" s="8"/>
      <c r="AF37" s="8"/>
    </row>
    <row r="38" spans="1:32" ht="12.75" hidden="1" customHeight="1" x14ac:dyDescent="0.2">
      <c r="A38" s="11">
        <v>45753</v>
      </c>
      <c r="B38" s="15"/>
      <c r="C38" s="62"/>
      <c r="D38" s="62"/>
      <c r="E38" s="62"/>
      <c r="F38" s="48"/>
      <c r="G38" s="49"/>
      <c r="H38" s="50"/>
      <c r="I38" s="50"/>
      <c r="J38" s="17">
        <f t="shared" si="0"/>
        <v>0</v>
      </c>
      <c r="K38" s="17" t="e">
        <f t="shared" si="1"/>
        <v>#DIV/0!</v>
      </c>
      <c r="L38" s="71" t="e">
        <f t="shared" si="2"/>
        <v>#DIV/0!</v>
      </c>
      <c r="M38" s="72" t="e">
        <f t="shared" si="3"/>
        <v>#DIV/0!</v>
      </c>
      <c r="N38" s="48"/>
      <c r="O38" s="50"/>
      <c r="P38" s="50"/>
      <c r="Q38" s="50"/>
      <c r="R38" s="17">
        <f t="shared" si="4"/>
        <v>0</v>
      </c>
      <c r="S38" s="17" t="e">
        <f t="shared" si="5"/>
        <v>#DIV/0!</v>
      </c>
      <c r="T38" s="71" t="e">
        <f t="shared" si="6"/>
        <v>#DIV/0!</v>
      </c>
      <c r="U38" s="72" t="e">
        <f t="shared" si="7"/>
        <v>#DIV/0!</v>
      </c>
      <c r="V38" s="48"/>
      <c r="W38" s="73"/>
      <c r="X38" s="48"/>
      <c r="Y38" s="73"/>
      <c r="Z38" s="48"/>
      <c r="AA38" s="74"/>
      <c r="AB38" s="48"/>
      <c r="AC38" s="7"/>
      <c r="AD38" s="7"/>
      <c r="AE38" s="8"/>
      <c r="AF38" s="8"/>
    </row>
    <row r="39" spans="1:32" ht="12.75" hidden="1" customHeight="1" x14ac:dyDescent="0.2">
      <c r="A39" s="11">
        <v>45754</v>
      </c>
      <c r="B39" s="15"/>
      <c r="C39" s="62"/>
      <c r="D39" s="62"/>
      <c r="E39" s="62"/>
      <c r="F39" s="48"/>
      <c r="G39" s="49"/>
      <c r="H39" s="50"/>
      <c r="I39" s="50"/>
      <c r="J39" s="17">
        <f t="shared" si="0"/>
        <v>0</v>
      </c>
      <c r="K39" s="17" t="e">
        <f t="shared" si="1"/>
        <v>#DIV/0!</v>
      </c>
      <c r="L39" s="71" t="e">
        <f t="shared" si="2"/>
        <v>#DIV/0!</v>
      </c>
      <c r="M39" s="72" t="e">
        <f t="shared" si="3"/>
        <v>#DIV/0!</v>
      </c>
      <c r="N39" s="48"/>
      <c r="O39" s="50"/>
      <c r="P39" s="50"/>
      <c r="Q39" s="50"/>
      <c r="R39" s="17">
        <f t="shared" si="4"/>
        <v>0</v>
      </c>
      <c r="S39" s="17" t="e">
        <f t="shared" si="5"/>
        <v>#DIV/0!</v>
      </c>
      <c r="T39" s="71" t="e">
        <f t="shared" si="6"/>
        <v>#DIV/0!</v>
      </c>
      <c r="U39" s="72" t="e">
        <f t="shared" si="7"/>
        <v>#DIV/0!</v>
      </c>
      <c r="V39" s="48"/>
      <c r="W39" s="73"/>
      <c r="X39" s="48"/>
      <c r="Y39" s="73"/>
      <c r="Z39" s="48"/>
      <c r="AA39" s="74"/>
      <c r="AB39" s="48"/>
      <c r="AC39" s="7"/>
      <c r="AD39" s="7"/>
      <c r="AE39" s="8"/>
      <c r="AF39" s="8"/>
    </row>
    <row r="40" spans="1:32" ht="12.75" hidden="1" customHeight="1" x14ac:dyDescent="0.2">
      <c r="A40" s="11">
        <v>45755</v>
      </c>
      <c r="B40" s="15"/>
      <c r="C40" s="62"/>
      <c r="D40" s="62"/>
      <c r="E40" s="62"/>
      <c r="F40" s="48"/>
      <c r="G40" s="49"/>
      <c r="H40" s="50"/>
      <c r="I40" s="50"/>
      <c r="J40" s="17">
        <f t="shared" si="0"/>
        <v>0</v>
      </c>
      <c r="K40" s="17" t="e">
        <f t="shared" si="1"/>
        <v>#DIV/0!</v>
      </c>
      <c r="L40" s="71" t="e">
        <f t="shared" si="2"/>
        <v>#DIV/0!</v>
      </c>
      <c r="M40" s="72" t="e">
        <f t="shared" si="3"/>
        <v>#DIV/0!</v>
      </c>
      <c r="N40" s="48"/>
      <c r="O40" s="50"/>
      <c r="P40" s="50"/>
      <c r="Q40" s="50"/>
      <c r="R40" s="17">
        <f t="shared" si="4"/>
        <v>0</v>
      </c>
      <c r="S40" s="17" t="e">
        <f t="shared" si="5"/>
        <v>#DIV/0!</v>
      </c>
      <c r="T40" s="71" t="e">
        <f t="shared" si="6"/>
        <v>#DIV/0!</v>
      </c>
      <c r="U40" s="72" t="e">
        <f t="shared" si="7"/>
        <v>#DIV/0!</v>
      </c>
      <c r="V40" s="48"/>
      <c r="W40" s="73"/>
      <c r="X40" s="48"/>
      <c r="Y40" s="73"/>
      <c r="Z40" s="48"/>
      <c r="AA40" s="74"/>
      <c r="AB40" s="48"/>
      <c r="AC40" s="7"/>
      <c r="AD40" s="7"/>
      <c r="AE40" s="8"/>
      <c r="AF40" s="8"/>
    </row>
    <row r="41" spans="1:32" ht="12.75" hidden="1" customHeight="1" x14ac:dyDescent="0.2">
      <c r="A41" s="11">
        <v>45756</v>
      </c>
      <c r="B41" s="15"/>
      <c r="C41" s="62"/>
      <c r="D41" s="62"/>
      <c r="E41" s="62"/>
      <c r="F41" s="48"/>
      <c r="G41" s="49"/>
      <c r="H41" s="50"/>
      <c r="I41" s="50"/>
      <c r="J41" s="17">
        <f t="shared" si="0"/>
        <v>0</v>
      </c>
      <c r="K41" s="17" t="e">
        <f t="shared" si="1"/>
        <v>#DIV/0!</v>
      </c>
      <c r="L41" s="71" t="e">
        <f t="shared" si="2"/>
        <v>#DIV/0!</v>
      </c>
      <c r="M41" s="72" t="e">
        <f t="shared" si="3"/>
        <v>#DIV/0!</v>
      </c>
      <c r="N41" s="48"/>
      <c r="O41" s="50"/>
      <c r="P41" s="50"/>
      <c r="Q41" s="50"/>
      <c r="R41" s="17">
        <f t="shared" si="4"/>
        <v>0</v>
      </c>
      <c r="S41" s="17" t="e">
        <f t="shared" si="5"/>
        <v>#DIV/0!</v>
      </c>
      <c r="T41" s="71" t="e">
        <f t="shared" si="6"/>
        <v>#DIV/0!</v>
      </c>
      <c r="U41" s="72" t="e">
        <f t="shared" si="7"/>
        <v>#DIV/0!</v>
      </c>
      <c r="V41" s="48"/>
      <c r="W41" s="73"/>
      <c r="X41" s="48"/>
      <c r="Y41" s="73"/>
      <c r="Z41" s="48"/>
      <c r="AA41" s="74"/>
      <c r="AB41" s="48"/>
      <c r="AC41" s="7"/>
      <c r="AD41" s="7"/>
      <c r="AE41" s="8"/>
      <c r="AF41" s="8"/>
    </row>
    <row r="42" spans="1:32" ht="12.75" hidden="1" customHeight="1" x14ac:dyDescent="0.2">
      <c r="A42" s="11">
        <v>45757</v>
      </c>
      <c r="B42" s="15"/>
      <c r="C42" s="62"/>
      <c r="D42" s="62"/>
      <c r="E42" s="62"/>
      <c r="F42" s="48"/>
      <c r="G42" s="49"/>
      <c r="H42" s="50"/>
      <c r="I42" s="50"/>
      <c r="J42" s="17">
        <f t="shared" si="0"/>
        <v>0</v>
      </c>
      <c r="K42" s="17" t="e">
        <f t="shared" si="1"/>
        <v>#DIV/0!</v>
      </c>
      <c r="L42" s="71" t="e">
        <f t="shared" si="2"/>
        <v>#DIV/0!</v>
      </c>
      <c r="M42" s="72" t="e">
        <f t="shared" si="3"/>
        <v>#DIV/0!</v>
      </c>
      <c r="N42" s="48"/>
      <c r="O42" s="50"/>
      <c r="P42" s="50"/>
      <c r="Q42" s="50"/>
      <c r="R42" s="17">
        <f t="shared" si="4"/>
        <v>0</v>
      </c>
      <c r="S42" s="17" t="e">
        <f t="shared" si="5"/>
        <v>#DIV/0!</v>
      </c>
      <c r="T42" s="71" t="e">
        <f t="shared" si="6"/>
        <v>#DIV/0!</v>
      </c>
      <c r="U42" s="72" t="e">
        <f t="shared" si="7"/>
        <v>#DIV/0!</v>
      </c>
      <c r="V42" s="48"/>
      <c r="W42" s="73"/>
      <c r="X42" s="48"/>
      <c r="Y42" s="73"/>
      <c r="Z42" s="48"/>
      <c r="AA42" s="74"/>
      <c r="AB42" s="48"/>
      <c r="AC42" s="7"/>
      <c r="AD42" s="7"/>
      <c r="AE42" s="8"/>
      <c r="AF42" s="8"/>
    </row>
    <row r="43" spans="1:32" ht="12.75" hidden="1" customHeight="1" x14ac:dyDescent="0.2">
      <c r="A43" s="11">
        <v>45758</v>
      </c>
      <c r="B43" s="15"/>
      <c r="C43" s="62"/>
      <c r="D43" s="62"/>
      <c r="E43" s="62"/>
      <c r="F43" s="48"/>
      <c r="G43" s="49"/>
      <c r="H43" s="50"/>
      <c r="I43" s="50"/>
      <c r="J43" s="17">
        <f t="shared" si="0"/>
        <v>0</v>
      </c>
      <c r="K43" s="17" t="e">
        <f t="shared" si="1"/>
        <v>#DIV/0!</v>
      </c>
      <c r="L43" s="71" t="e">
        <f t="shared" si="2"/>
        <v>#DIV/0!</v>
      </c>
      <c r="M43" s="72" t="e">
        <f t="shared" si="3"/>
        <v>#DIV/0!</v>
      </c>
      <c r="N43" s="48"/>
      <c r="O43" s="50"/>
      <c r="P43" s="50"/>
      <c r="Q43" s="50"/>
      <c r="R43" s="17">
        <f t="shared" si="4"/>
        <v>0</v>
      </c>
      <c r="S43" s="17" t="e">
        <f t="shared" si="5"/>
        <v>#DIV/0!</v>
      </c>
      <c r="T43" s="71" t="e">
        <f t="shared" si="6"/>
        <v>#DIV/0!</v>
      </c>
      <c r="U43" s="72" t="e">
        <f t="shared" si="7"/>
        <v>#DIV/0!</v>
      </c>
      <c r="V43" s="48"/>
      <c r="W43" s="73"/>
      <c r="X43" s="48"/>
      <c r="Y43" s="73"/>
      <c r="Z43" s="48"/>
      <c r="AA43" s="74"/>
      <c r="AB43" s="48"/>
      <c r="AC43" s="7"/>
      <c r="AD43" s="7"/>
      <c r="AE43" s="8"/>
      <c r="AF43" s="8"/>
    </row>
    <row r="44" spans="1:32" ht="12.75" hidden="1" customHeight="1" x14ac:dyDescent="0.2">
      <c r="A44" s="11">
        <v>45759</v>
      </c>
      <c r="B44" s="15"/>
      <c r="C44" s="62"/>
      <c r="D44" s="62"/>
      <c r="E44" s="62"/>
      <c r="F44" s="48"/>
      <c r="G44" s="49"/>
      <c r="H44" s="50"/>
      <c r="I44" s="50"/>
      <c r="J44" s="17">
        <f t="shared" si="0"/>
        <v>0</v>
      </c>
      <c r="K44" s="17" t="e">
        <f t="shared" si="1"/>
        <v>#DIV/0!</v>
      </c>
      <c r="L44" s="71" t="e">
        <f t="shared" si="2"/>
        <v>#DIV/0!</v>
      </c>
      <c r="M44" s="72" t="e">
        <f t="shared" si="3"/>
        <v>#DIV/0!</v>
      </c>
      <c r="N44" s="48"/>
      <c r="O44" s="50"/>
      <c r="P44" s="50"/>
      <c r="Q44" s="50"/>
      <c r="R44" s="17">
        <f t="shared" si="4"/>
        <v>0</v>
      </c>
      <c r="S44" s="17" t="e">
        <f t="shared" si="5"/>
        <v>#DIV/0!</v>
      </c>
      <c r="T44" s="71" t="e">
        <f t="shared" si="6"/>
        <v>#DIV/0!</v>
      </c>
      <c r="U44" s="72" t="e">
        <f t="shared" si="7"/>
        <v>#DIV/0!</v>
      </c>
      <c r="V44" s="48"/>
      <c r="W44" s="73"/>
      <c r="X44" s="48"/>
      <c r="Y44" s="73"/>
      <c r="Z44" s="48"/>
      <c r="AA44" s="74"/>
      <c r="AB44" s="48"/>
      <c r="AC44" s="7"/>
      <c r="AD44" s="7"/>
      <c r="AE44" s="8"/>
      <c r="AF44" s="8"/>
    </row>
    <row r="45" spans="1:32" ht="12.75" hidden="1" customHeight="1" x14ac:dyDescent="0.2">
      <c r="A45" s="11">
        <v>45760</v>
      </c>
      <c r="B45" s="15"/>
      <c r="C45" s="62"/>
      <c r="D45" s="62"/>
      <c r="E45" s="62"/>
      <c r="F45" s="48"/>
      <c r="G45" s="49"/>
      <c r="H45" s="50"/>
      <c r="I45" s="50"/>
      <c r="J45" s="17">
        <f t="shared" si="0"/>
        <v>0</v>
      </c>
      <c r="K45" s="17" t="e">
        <f t="shared" si="1"/>
        <v>#DIV/0!</v>
      </c>
      <c r="L45" s="71" t="e">
        <f t="shared" si="2"/>
        <v>#DIV/0!</v>
      </c>
      <c r="M45" s="72" t="e">
        <f t="shared" si="3"/>
        <v>#DIV/0!</v>
      </c>
      <c r="N45" s="48"/>
      <c r="O45" s="50"/>
      <c r="P45" s="50"/>
      <c r="Q45" s="50"/>
      <c r="R45" s="17">
        <f t="shared" si="4"/>
        <v>0</v>
      </c>
      <c r="S45" s="17" t="e">
        <f t="shared" si="5"/>
        <v>#DIV/0!</v>
      </c>
      <c r="T45" s="71" t="e">
        <f t="shared" si="6"/>
        <v>#DIV/0!</v>
      </c>
      <c r="U45" s="72" t="e">
        <f t="shared" si="7"/>
        <v>#DIV/0!</v>
      </c>
      <c r="V45" s="48"/>
      <c r="W45" s="73"/>
      <c r="X45" s="48"/>
      <c r="Y45" s="73"/>
      <c r="Z45" s="48"/>
      <c r="AA45" s="74"/>
      <c r="AB45" s="48"/>
      <c r="AC45" s="7"/>
      <c r="AD45" s="7"/>
      <c r="AE45" s="8"/>
      <c r="AF45" s="8"/>
    </row>
    <row r="46" spans="1:32" ht="12.75" hidden="1" customHeight="1" x14ac:dyDescent="0.2">
      <c r="A46" s="11">
        <v>45761</v>
      </c>
      <c r="B46" s="15"/>
      <c r="C46" s="62"/>
      <c r="D46" s="62"/>
      <c r="E46" s="62"/>
      <c r="F46" s="48"/>
      <c r="G46" s="49"/>
      <c r="H46" s="50"/>
      <c r="I46" s="50"/>
      <c r="J46" s="17">
        <f t="shared" si="0"/>
        <v>0</v>
      </c>
      <c r="K46" s="17" t="e">
        <f t="shared" si="1"/>
        <v>#DIV/0!</v>
      </c>
      <c r="L46" s="71" t="e">
        <f t="shared" si="2"/>
        <v>#DIV/0!</v>
      </c>
      <c r="M46" s="72" t="e">
        <f t="shared" si="3"/>
        <v>#DIV/0!</v>
      </c>
      <c r="N46" s="48"/>
      <c r="O46" s="50"/>
      <c r="P46" s="50"/>
      <c r="Q46" s="50"/>
      <c r="R46" s="17">
        <f t="shared" si="4"/>
        <v>0</v>
      </c>
      <c r="S46" s="17" t="e">
        <f t="shared" si="5"/>
        <v>#DIV/0!</v>
      </c>
      <c r="T46" s="71" t="e">
        <f t="shared" si="6"/>
        <v>#DIV/0!</v>
      </c>
      <c r="U46" s="72" t="e">
        <f t="shared" si="7"/>
        <v>#DIV/0!</v>
      </c>
      <c r="V46" s="48"/>
      <c r="W46" s="73"/>
      <c r="X46" s="48"/>
      <c r="Y46" s="73"/>
      <c r="Z46" s="48"/>
      <c r="AA46" s="74"/>
      <c r="AB46" s="48"/>
      <c r="AC46" s="7"/>
      <c r="AD46" s="7"/>
      <c r="AE46" s="8"/>
      <c r="AF46" s="8"/>
    </row>
    <row r="47" spans="1:32" ht="12.75" hidden="1" customHeight="1" x14ac:dyDescent="0.2">
      <c r="A47" s="11">
        <v>45762</v>
      </c>
      <c r="B47" s="15"/>
      <c r="C47" s="62"/>
      <c r="D47" s="62"/>
      <c r="E47" s="62"/>
      <c r="F47" s="48"/>
      <c r="G47" s="49"/>
      <c r="H47" s="50"/>
      <c r="I47" s="50"/>
      <c r="J47" s="17">
        <f t="shared" si="0"/>
        <v>0</v>
      </c>
      <c r="K47" s="17" t="e">
        <f t="shared" si="1"/>
        <v>#DIV/0!</v>
      </c>
      <c r="L47" s="71" t="e">
        <f t="shared" si="2"/>
        <v>#DIV/0!</v>
      </c>
      <c r="M47" s="72" t="e">
        <f t="shared" si="3"/>
        <v>#DIV/0!</v>
      </c>
      <c r="N47" s="48"/>
      <c r="O47" s="50"/>
      <c r="P47" s="50"/>
      <c r="Q47" s="50"/>
      <c r="R47" s="17">
        <f t="shared" si="4"/>
        <v>0</v>
      </c>
      <c r="S47" s="17" t="e">
        <f t="shared" si="5"/>
        <v>#DIV/0!</v>
      </c>
      <c r="T47" s="71" t="e">
        <f t="shared" si="6"/>
        <v>#DIV/0!</v>
      </c>
      <c r="U47" s="72" t="e">
        <f t="shared" si="7"/>
        <v>#DIV/0!</v>
      </c>
      <c r="V47" s="48"/>
      <c r="W47" s="73"/>
      <c r="X47" s="48"/>
      <c r="Y47" s="73"/>
      <c r="Z47" s="48"/>
      <c r="AA47" s="74"/>
      <c r="AB47" s="48"/>
      <c r="AC47" s="7"/>
      <c r="AD47" s="7"/>
      <c r="AE47" s="8"/>
      <c r="AF47" s="8"/>
    </row>
    <row r="48" spans="1:32" ht="12.75" hidden="1" customHeight="1" x14ac:dyDescent="0.2">
      <c r="A48" s="11">
        <v>45763</v>
      </c>
      <c r="B48" s="15"/>
      <c r="C48" s="62"/>
      <c r="D48" s="62"/>
      <c r="E48" s="62"/>
      <c r="F48" s="48"/>
      <c r="G48" s="49"/>
      <c r="H48" s="50"/>
      <c r="I48" s="50"/>
      <c r="J48" s="17">
        <f t="shared" si="0"/>
        <v>0</v>
      </c>
      <c r="K48" s="17" t="e">
        <f t="shared" si="1"/>
        <v>#DIV/0!</v>
      </c>
      <c r="L48" s="71" t="e">
        <f t="shared" si="2"/>
        <v>#DIV/0!</v>
      </c>
      <c r="M48" s="72" t="e">
        <f t="shared" si="3"/>
        <v>#DIV/0!</v>
      </c>
      <c r="N48" s="48"/>
      <c r="O48" s="50"/>
      <c r="P48" s="50"/>
      <c r="Q48" s="50"/>
      <c r="R48" s="17">
        <f t="shared" si="4"/>
        <v>0</v>
      </c>
      <c r="S48" s="17" t="e">
        <f t="shared" si="5"/>
        <v>#DIV/0!</v>
      </c>
      <c r="T48" s="71" t="e">
        <f t="shared" si="6"/>
        <v>#DIV/0!</v>
      </c>
      <c r="U48" s="72" t="e">
        <f t="shared" si="7"/>
        <v>#DIV/0!</v>
      </c>
      <c r="V48" s="48"/>
      <c r="W48" s="73"/>
      <c r="X48" s="48"/>
      <c r="Y48" s="73"/>
      <c r="Z48" s="48"/>
      <c r="AA48" s="74"/>
      <c r="AB48" s="48"/>
      <c r="AC48" s="7"/>
      <c r="AD48" s="7"/>
      <c r="AE48" s="8"/>
      <c r="AF48" s="8"/>
    </row>
    <row r="49" spans="1:32" ht="12.75" hidden="1" customHeight="1" x14ac:dyDescent="0.2">
      <c r="A49" s="11">
        <v>45764</v>
      </c>
      <c r="B49" s="15"/>
      <c r="C49" s="62"/>
      <c r="D49" s="62"/>
      <c r="E49" s="62"/>
      <c r="F49" s="48"/>
      <c r="G49" s="49"/>
      <c r="H49" s="50"/>
      <c r="I49" s="50"/>
      <c r="J49" s="17">
        <f t="shared" si="0"/>
        <v>0</v>
      </c>
      <c r="K49" s="17" t="e">
        <f t="shared" si="1"/>
        <v>#DIV/0!</v>
      </c>
      <c r="L49" s="71" t="e">
        <f t="shared" si="2"/>
        <v>#DIV/0!</v>
      </c>
      <c r="M49" s="72" t="e">
        <f t="shared" si="3"/>
        <v>#DIV/0!</v>
      </c>
      <c r="N49" s="48"/>
      <c r="O49" s="50"/>
      <c r="P49" s="50"/>
      <c r="Q49" s="50"/>
      <c r="R49" s="17">
        <f t="shared" si="4"/>
        <v>0</v>
      </c>
      <c r="S49" s="17" t="e">
        <f t="shared" si="5"/>
        <v>#DIV/0!</v>
      </c>
      <c r="T49" s="71" t="e">
        <f t="shared" si="6"/>
        <v>#DIV/0!</v>
      </c>
      <c r="U49" s="72" t="e">
        <f t="shared" si="7"/>
        <v>#DIV/0!</v>
      </c>
      <c r="V49" s="48"/>
      <c r="W49" s="73"/>
      <c r="X49" s="48"/>
      <c r="Y49" s="73"/>
      <c r="Z49" s="48"/>
      <c r="AA49" s="74"/>
      <c r="AB49" s="48"/>
      <c r="AC49" s="7"/>
      <c r="AD49" s="7"/>
      <c r="AE49" s="8"/>
      <c r="AF49" s="8"/>
    </row>
    <row r="50" spans="1:32" ht="12.75" hidden="1" customHeight="1" x14ac:dyDescent="0.2">
      <c r="A50" s="11">
        <v>45765</v>
      </c>
      <c r="B50" s="15"/>
      <c r="C50" s="62"/>
      <c r="D50" s="62"/>
      <c r="E50" s="62"/>
      <c r="F50" s="48"/>
      <c r="G50" s="49"/>
      <c r="H50" s="50"/>
      <c r="I50" s="50"/>
      <c r="J50" s="17">
        <f t="shared" si="0"/>
        <v>0</v>
      </c>
      <c r="K50" s="17" t="e">
        <f t="shared" si="1"/>
        <v>#DIV/0!</v>
      </c>
      <c r="L50" s="71" t="e">
        <f t="shared" si="2"/>
        <v>#DIV/0!</v>
      </c>
      <c r="M50" s="72" t="e">
        <f t="shared" si="3"/>
        <v>#DIV/0!</v>
      </c>
      <c r="N50" s="48"/>
      <c r="O50" s="50"/>
      <c r="P50" s="50"/>
      <c r="Q50" s="50"/>
      <c r="R50" s="17">
        <f t="shared" si="4"/>
        <v>0</v>
      </c>
      <c r="S50" s="17" t="e">
        <f t="shared" si="5"/>
        <v>#DIV/0!</v>
      </c>
      <c r="T50" s="71" t="e">
        <f t="shared" si="6"/>
        <v>#DIV/0!</v>
      </c>
      <c r="U50" s="72" t="e">
        <f t="shared" si="7"/>
        <v>#DIV/0!</v>
      </c>
      <c r="V50" s="48"/>
      <c r="W50" s="73"/>
      <c r="X50" s="48"/>
      <c r="Y50" s="73"/>
      <c r="Z50" s="48"/>
      <c r="AA50" s="74"/>
      <c r="AB50" s="48"/>
      <c r="AC50" s="7"/>
      <c r="AD50" s="7"/>
      <c r="AE50" s="8"/>
      <c r="AF50" s="8"/>
    </row>
    <row r="51" spans="1:32" ht="12.75" hidden="1" customHeight="1" x14ac:dyDescent="0.2">
      <c r="A51" s="11">
        <v>45766</v>
      </c>
      <c r="B51" s="15"/>
      <c r="C51" s="62"/>
      <c r="D51" s="62"/>
      <c r="E51" s="62"/>
      <c r="F51" s="48"/>
      <c r="G51" s="49"/>
      <c r="H51" s="50"/>
      <c r="I51" s="50"/>
      <c r="J51" s="17">
        <f t="shared" si="0"/>
        <v>0</v>
      </c>
      <c r="K51" s="17" t="e">
        <f t="shared" si="1"/>
        <v>#DIV/0!</v>
      </c>
      <c r="L51" s="71" t="e">
        <f t="shared" si="2"/>
        <v>#DIV/0!</v>
      </c>
      <c r="M51" s="72" t="e">
        <f t="shared" si="3"/>
        <v>#DIV/0!</v>
      </c>
      <c r="N51" s="48"/>
      <c r="O51" s="50"/>
      <c r="P51" s="50"/>
      <c r="Q51" s="50"/>
      <c r="R51" s="17">
        <f t="shared" si="4"/>
        <v>0</v>
      </c>
      <c r="S51" s="17" t="e">
        <f t="shared" si="5"/>
        <v>#DIV/0!</v>
      </c>
      <c r="T51" s="71" t="e">
        <f t="shared" si="6"/>
        <v>#DIV/0!</v>
      </c>
      <c r="U51" s="72" t="e">
        <f t="shared" si="7"/>
        <v>#DIV/0!</v>
      </c>
      <c r="V51" s="48"/>
      <c r="W51" s="73"/>
      <c r="X51" s="48"/>
      <c r="Y51" s="73"/>
      <c r="Z51" s="48"/>
      <c r="AA51" s="74"/>
      <c r="AB51" s="48"/>
      <c r="AC51" s="7"/>
      <c r="AD51" s="7"/>
      <c r="AE51" s="8"/>
      <c r="AF51" s="8"/>
    </row>
    <row r="52" spans="1:32" ht="12.75" hidden="1" customHeight="1" x14ac:dyDescent="0.2">
      <c r="A52" s="11">
        <v>45767</v>
      </c>
      <c r="B52" s="15"/>
      <c r="C52" s="62"/>
      <c r="D52" s="62"/>
      <c r="E52" s="62"/>
      <c r="F52" s="48"/>
      <c r="G52" s="49"/>
      <c r="H52" s="50"/>
      <c r="I52" s="50"/>
      <c r="J52" s="17">
        <f t="shared" si="0"/>
        <v>0</v>
      </c>
      <c r="K52" s="17" t="e">
        <f t="shared" si="1"/>
        <v>#DIV/0!</v>
      </c>
      <c r="L52" s="71" t="e">
        <f t="shared" si="2"/>
        <v>#DIV/0!</v>
      </c>
      <c r="M52" s="72" t="e">
        <f t="shared" si="3"/>
        <v>#DIV/0!</v>
      </c>
      <c r="N52" s="48"/>
      <c r="O52" s="50"/>
      <c r="P52" s="50"/>
      <c r="Q52" s="50"/>
      <c r="R52" s="17">
        <f t="shared" si="4"/>
        <v>0</v>
      </c>
      <c r="S52" s="17" t="e">
        <f t="shared" si="5"/>
        <v>#DIV/0!</v>
      </c>
      <c r="T52" s="71" t="e">
        <f t="shared" si="6"/>
        <v>#DIV/0!</v>
      </c>
      <c r="U52" s="72" t="e">
        <f t="shared" si="7"/>
        <v>#DIV/0!</v>
      </c>
      <c r="V52" s="48"/>
      <c r="W52" s="73"/>
      <c r="X52" s="48"/>
      <c r="Y52" s="73"/>
      <c r="Z52" s="48"/>
      <c r="AA52" s="74"/>
      <c r="AB52" s="48"/>
      <c r="AC52" s="7"/>
      <c r="AD52" s="7"/>
      <c r="AE52" s="8"/>
      <c r="AF52" s="8"/>
    </row>
    <row r="53" spans="1:32" ht="12.75" hidden="1" customHeight="1" x14ac:dyDescent="0.2">
      <c r="A53" s="11">
        <v>45768</v>
      </c>
      <c r="B53" s="15"/>
      <c r="C53" s="62"/>
      <c r="D53" s="62"/>
      <c r="E53" s="62"/>
      <c r="F53" s="48"/>
      <c r="G53" s="49"/>
      <c r="H53" s="50"/>
      <c r="I53" s="50"/>
      <c r="J53" s="17">
        <f t="shared" si="0"/>
        <v>0</v>
      </c>
      <c r="K53" s="17" t="e">
        <f t="shared" si="1"/>
        <v>#DIV/0!</v>
      </c>
      <c r="L53" s="71" t="e">
        <f t="shared" si="2"/>
        <v>#DIV/0!</v>
      </c>
      <c r="M53" s="72" t="e">
        <f t="shared" si="3"/>
        <v>#DIV/0!</v>
      </c>
      <c r="N53" s="48"/>
      <c r="O53" s="50"/>
      <c r="P53" s="50"/>
      <c r="Q53" s="50"/>
      <c r="R53" s="17">
        <f t="shared" si="4"/>
        <v>0</v>
      </c>
      <c r="S53" s="17" t="e">
        <f t="shared" si="5"/>
        <v>#DIV/0!</v>
      </c>
      <c r="T53" s="71" t="e">
        <f t="shared" si="6"/>
        <v>#DIV/0!</v>
      </c>
      <c r="U53" s="72" t="e">
        <f t="shared" si="7"/>
        <v>#DIV/0!</v>
      </c>
      <c r="V53" s="48"/>
      <c r="W53" s="73"/>
      <c r="X53" s="48"/>
      <c r="Y53" s="73"/>
      <c r="Z53" s="48"/>
      <c r="AA53" s="74"/>
      <c r="AB53" s="48"/>
      <c r="AC53" s="7"/>
      <c r="AD53" s="7"/>
      <c r="AE53" s="8"/>
      <c r="AF53" s="8"/>
    </row>
    <row r="54" spans="1:32" ht="12.75" hidden="1" customHeight="1" x14ac:dyDescent="0.2">
      <c r="A54" s="11">
        <v>45769</v>
      </c>
      <c r="B54" s="15"/>
      <c r="C54" s="62"/>
      <c r="D54" s="62"/>
      <c r="E54" s="62"/>
      <c r="F54" s="48"/>
      <c r="G54" s="49"/>
      <c r="H54" s="50"/>
      <c r="I54" s="50"/>
      <c r="J54" s="17">
        <f t="shared" si="0"/>
        <v>0</v>
      </c>
      <c r="K54" s="17" t="e">
        <f t="shared" si="1"/>
        <v>#DIV/0!</v>
      </c>
      <c r="L54" s="71" t="e">
        <f t="shared" si="2"/>
        <v>#DIV/0!</v>
      </c>
      <c r="M54" s="72" t="e">
        <f t="shared" si="3"/>
        <v>#DIV/0!</v>
      </c>
      <c r="N54" s="48"/>
      <c r="O54" s="50"/>
      <c r="P54" s="50"/>
      <c r="Q54" s="50"/>
      <c r="R54" s="17">
        <f t="shared" si="4"/>
        <v>0</v>
      </c>
      <c r="S54" s="17" t="e">
        <f t="shared" si="5"/>
        <v>#DIV/0!</v>
      </c>
      <c r="T54" s="71" t="e">
        <f t="shared" si="6"/>
        <v>#DIV/0!</v>
      </c>
      <c r="U54" s="72" t="e">
        <f t="shared" si="7"/>
        <v>#DIV/0!</v>
      </c>
      <c r="V54" s="48"/>
      <c r="W54" s="73"/>
      <c r="X54" s="48"/>
      <c r="Y54" s="73"/>
      <c r="Z54" s="48"/>
      <c r="AA54" s="74"/>
      <c r="AB54" s="48"/>
      <c r="AC54" s="7"/>
      <c r="AD54" s="7"/>
      <c r="AE54" s="8"/>
      <c r="AF54" s="8"/>
    </row>
    <row r="55" spans="1:32" ht="12.75" hidden="1" customHeight="1" x14ac:dyDescent="0.2">
      <c r="A55" s="11">
        <v>45770</v>
      </c>
      <c r="B55" s="15"/>
      <c r="C55" s="62"/>
      <c r="D55" s="62"/>
      <c r="E55" s="62"/>
      <c r="F55" s="48"/>
      <c r="G55" s="49"/>
      <c r="H55" s="50"/>
      <c r="I55" s="50"/>
      <c r="J55" s="17">
        <f t="shared" si="0"/>
        <v>0</v>
      </c>
      <c r="K55" s="17" t="e">
        <f t="shared" si="1"/>
        <v>#DIV/0!</v>
      </c>
      <c r="L55" s="71" t="e">
        <f t="shared" si="2"/>
        <v>#DIV/0!</v>
      </c>
      <c r="M55" s="72" t="e">
        <f t="shared" si="3"/>
        <v>#DIV/0!</v>
      </c>
      <c r="N55" s="48"/>
      <c r="O55" s="50"/>
      <c r="P55" s="50"/>
      <c r="Q55" s="50"/>
      <c r="R55" s="17">
        <f t="shared" si="4"/>
        <v>0</v>
      </c>
      <c r="S55" s="17" t="e">
        <f t="shared" si="5"/>
        <v>#DIV/0!</v>
      </c>
      <c r="T55" s="71" t="e">
        <f t="shared" si="6"/>
        <v>#DIV/0!</v>
      </c>
      <c r="U55" s="72" t="e">
        <f t="shared" si="7"/>
        <v>#DIV/0!</v>
      </c>
      <c r="V55" s="48"/>
      <c r="W55" s="73"/>
      <c r="X55" s="48"/>
      <c r="Y55" s="73"/>
      <c r="Z55" s="48"/>
      <c r="AA55" s="74"/>
      <c r="AB55" s="48"/>
      <c r="AC55" s="7"/>
      <c r="AD55" s="7"/>
      <c r="AE55" s="8"/>
      <c r="AF55" s="8"/>
    </row>
    <row r="56" spans="1:32" ht="12.75" hidden="1" customHeight="1" x14ac:dyDescent="0.2">
      <c r="A56" s="11">
        <v>45771</v>
      </c>
      <c r="B56" s="15"/>
      <c r="C56" s="62"/>
      <c r="D56" s="62"/>
      <c r="E56" s="62"/>
      <c r="F56" s="48"/>
      <c r="G56" s="49"/>
      <c r="H56" s="50"/>
      <c r="I56" s="50"/>
      <c r="J56" s="17">
        <f t="shared" si="0"/>
        <v>0</v>
      </c>
      <c r="K56" s="17" t="e">
        <f t="shared" si="1"/>
        <v>#DIV/0!</v>
      </c>
      <c r="L56" s="71" t="e">
        <f t="shared" si="2"/>
        <v>#DIV/0!</v>
      </c>
      <c r="M56" s="72" t="e">
        <f t="shared" si="3"/>
        <v>#DIV/0!</v>
      </c>
      <c r="N56" s="48"/>
      <c r="O56" s="50"/>
      <c r="P56" s="50"/>
      <c r="Q56" s="50"/>
      <c r="R56" s="17">
        <f t="shared" si="4"/>
        <v>0</v>
      </c>
      <c r="S56" s="17" t="e">
        <f t="shared" si="5"/>
        <v>#DIV/0!</v>
      </c>
      <c r="T56" s="71" t="e">
        <f t="shared" si="6"/>
        <v>#DIV/0!</v>
      </c>
      <c r="U56" s="72" t="e">
        <f t="shared" si="7"/>
        <v>#DIV/0!</v>
      </c>
      <c r="V56" s="48"/>
      <c r="W56" s="73"/>
      <c r="X56" s="48"/>
      <c r="Y56" s="73"/>
      <c r="Z56" s="48"/>
      <c r="AA56" s="74"/>
      <c r="AB56" s="48"/>
      <c r="AC56" s="7"/>
      <c r="AD56" s="7"/>
      <c r="AE56" s="8"/>
      <c r="AF56" s="8"/>
    </row>
    <row r="57" spans="1:32" ht="12.75" hidden="1" customHeight="1" x14ac:dyDescent="0.2">
      <c r="A57" s="11">
        <v>45772</v>
      </c>
      <c r="B57" s="15"/>
      <c r="C57" s="62"/>
      <c r="D57" s="62"/>
      <c r="E57" s="62"/>
      <c r="F57" s="48"/>
      <c r="G57" s="49"/>
      <c r="H57" s="50"/>
      <c r="I57" s="50"/>
      <c r="J57" s="17">
        <f t="shared" si="0"/>
        <v>0</v>
      </c>
      <c r="K57" s="17" t="e">
        <f t="shared" si="1"/>
        <v>#DIV/0!</v>
      </c>
      <c r="L57" s="71" t="e">
        <f t="shared" si="2"/>
        <v>#DIV/0!</v>
      </c>
      <c r="M57" s="72" t="e">
        <f t="shared" si="3"/>
        <v>#DIV/0!</v>
      </c>
      <c r="N57" s="48"/>
      <c r="O57" s="50"/>
      <c r="P57" s="50"/>
      <c r="Q57" s="50"/>
      <c r="R57" s="17">
        <f t="shared" si="4"/>
        <v>0</v>
      </c>
      <c r="S57" s="17" t="e">
        <f t="shared" si="5"/>
        <v>#DIV/0!</v>
      </c>
      <c r="T57" s="71" t="e">
        <f t="shared" si="6"/>
        <v>#DIV/0!</v>
      </c>
      <c r="U57" s="72" t="e">
        <f t="shared" si="7"/>
        <v>#DIV/0!</v>
      </c>
      <c r="V57" s="48"/>
      <c r="W57" s="73"/>
      <c r="X57" s="48"/>
      <c r="Y57" s="73"/>
      <c r="Z57" s="48"/>
      <c r="AA57" s="74"/>
      <c r="AB57" s="48"/>
      <c r="AC57" s="7"/>
      <c r="AD57" s="7"/>
      <c r="AE57" s="8"/>
      <c r="AF57" s="8"/>
    </row>
    <row r="58" spans="1:32" ht="12.75" hidden="1" customHeight="1" x14ac:dyDescent="0.2">
      <c r="A58" s="11">
        <v>45773</v>
      </c>
      <c r="B58" s="15"/>
      <c r="C58" s="62"/>
      <c r="D58" s="62"/>
      <c r="E58" s="62"/>
      <c r="F58" s="48"/>
      <c r="G58" s="49"/>
      <c r="H58" s="50"/>
      <c r="I58" s="50"/>
      <c r="J58" s="17">
        <f t="shared" si="0"/>
        <v>0</v>
      </c>
      <c r="K58" s="17" t="e">
        <f t="shared" si="1"/>
        <v>#DIV/0!</v>
      </c>
      <c r="L58" s="71" t="e">
        <f t="shared" si="2"/>
        <v>#DIV/0!</v>
      </c>
      <c r="M58" s="72" t="e">
        <f t="shared" si="3"/>
        <v>#DIV/0!</v>
      </c>
      <c r="N58" s="48"/>
      <c r="O58" s="50"/>
      <c r="P58" s="50"/>
      <c r="Q58" s="50"/>
      <c r="R58" s="17">
        <f t="shared" si="4"/>
        <v>0</v>
      </c>
      <c r="S58" s="17" t="e">
        <f t="shared" si="5"/>
        <v>#DIV/0!</v>
      </c>
      <c r="T58" s="71" t="e">
        <f t="shared" si="6"/>
        <v>#DIV/0!</v>
      </c>
      <c r="U58" s="72" t="e">
        <f t="shared" si="7"/>
        <v>#DIV/0!</v>
      </c>
      <c r="V58" s="48"/>
      <c r="W58" s="73"/>
      <c r="X58" s="48"/>
      <c r="Y58" s="73"/>
      <c r="Z58" s="48"/>
      <c r="AA58" s="74"/>
      <c r="AB58" s="48"/>
      <c r="AC58" s="7"/>
      <c r="AD58" s="7"/>
      <c r="AE58" s="8"/>
      <c r="AF58" s="8"/>
    </row>
    <row r="59" spans="1:32" ht="12.75" hidden="1" customHeight="1" x14ac:dyDescent="0.2">
      <c r="A59" s="11">
        <v>45774</v>
      </c>
      <c r="B59" s="15"/>
      <c r="C59" s="62"/>
      <c r="D59" s="62"/>
      <c r="E59" s="62"/>
      <c r="F59" s="48"/>
      <c r="G59" s="49"/>
      <c r="H59" s="50"/>
      <c r="I59" s="50"/>
      <c r="J59" s="17">
        <f t="shared" si="0"/>
        <v>0</v>
      </c>
      <c r="K59" s="17" t="e">
        <f t="shared" si="1"/>
        <v>#DIV/0!</v>
      </c>
      <c r="L59" s="71" t="e">
        <f t="shared" si="2"/>
        <v>#DIV/0!</v>
      </c>
      <c r="M59" s="72" t="e">
        <f>(#REF!-G59)/#REF!</f>
        <v>#REF!</v>
      </c>
      <c r="N59" s="48"/>
      <c r="O59" s="50"/>
      <c r="P59" s="50"/>
      <c r="Q59" s="50"/>
      <c r="R59" s="17">
        <f t="shared" si="4"/>
        <v>0</v>
      </c>
      <c r="S59" s="17" t="e">
        <f t="shared" si="5"/>
        <v>#DIV/0!</v>
      </c>
      <c r="T59" s="71" t="e">
        <f t="shared" si="6"/>
        <v>#DIV/0!</v>
      </c>
      <c r="U59" s="72" t="e">
        <f>(#REF!-O59)/#REF!</f>
        <v>#REF!</v>
      </c>
      <c r="V59" s="48"/>
      <c r="W59" s="73"/>
      <c r="X59" s="48"/>
      <c r="Y59" s="73"/>
      <c r="Z59" s="48"/>
      <c r="AA59" s="74"/>
      <c r="AB59" s="48"/>
      <c r="AC59" s="7"/>
      <c r="AD59" s="7"/>
      <c r="AE59" s="8"/>
      <c r="AF59" s="8"/>
    </row>
    <row r="60" spans="1:32" x14ac:dyDescent="0.2">
      <c r="A60" s="11">
        <v>45814</v>
      </c>
      <c r="B60" s="15"/>
      <c r="C60" s="94"/>
      <c r="D60" s="75"/>
      <c r="E60" s="91"/>
      <c r="F60" s="68"/>
      <c r="G60" s="49"/>
      <c r="H60" s="69"/>
      <c r="I60" s="50">
        <f t="shared" ref="I60:I61" si="8">C60-Q60</f>
        <v>0</v>
      </c>
      <c r="J60" s="89">
        <f t="shared" ref="J60:J110" si="9">F60-H60</f>
        <v>0</v>
      </c>
      <c r="K60" s="66" t="e">
        <f t="shared" ref="K60:K108" si="10">I60/G60</f>
        <v>#DIV/0!</v>
      </c>
      <c r="L60" s="67" t="e">
        <f t="shared" ref="L60:L108" si="11">1/(1-K60)</f>
        <v>#DIV/0!</v>
      </c>
      <c r="M60" s="72" t="e">
        <f t="shared" ref="M60:M110" si="12">(G61-G60)/G61</f>
        <v>#DIV/0!</v>
      </c>
      <c r="N60" s="68"/>
      <c r="O60" s="49">
        <f t="shared" ref="O60:O105" si="13">G60-I60</f>
        <v>0</v>
      </c>
      <c r="P60" s="69"/>
      <c r="Q60" s="50"/>
      <c r="R60" s="89">
        <f t="shared" ref="R60:R110" si="14">N60-P60</f>
        <v>0</v>
      </c>
      <c r="S60" s="66" t="e">
        <f t="shared" ref="S60:S110" si="15">Q60/O60</f>
        <v>#DIV/0!</v>
      </c>
      <c r="T60" s="67" t="e">
        <f t="shared" ref="T60:T110" si="16">1/(1-S60)</f>
        <v>#DIV/0!</v>
      </c>
      <c r="U60" s="72" t="e">
        <f>(#REF!-O60)/#REF!</f>
        <v>#REF!</v>
      </c>
      <c r="V60" s="68"/>
      <c r="W60" s="52" t="e">
        <f>+V60-#REF!</f>
        <v>#REF!</v>
      </c>
      <c r="X60" s="48" t="s">
        <v>74</v>
      </c>
      <c r="Y60" s="52" t="s">
        <v>48</v>
      </c>
      <c r="Z60" s="68"/>
      <c r="AA60" s="96" t="e">
        <f>+Z60-#REF!</f>
        <v>#REF!</v>
      </c>
      <c r="AB60" s="48"/>
      <c r="AC60" s="7"/>
      <c r="AD60" s="52" t="s">
        <v>48</v>
      </c>
      <c r="AE60" s="8"/>
      <c r="AF60" s="8"/>
    </row>
    <row r="61" spans="1:32" x14ac:dyDescent="0.2">
      <c r="A61" s="11">
        <v>45817</v>
      </c>
      <c r="B61" s="15"/>
      <c r="C61" s="94"/>
      <c r="D61" s="75"/>
      <c r="E61" s="91"/>
      <c r="F61" s="68"/>
      <c r="G61" s="49"/>
      <c r="H61" s="69"/>
      <c r="I61" s="50">
        <f t="shared" si="8"/>
        <v>0</v>
      </c>
      <c r="J61" s="89">
        <f t="shared" si="9"/>
        <v>0</v>
      </c>
      <c r="K61" s="66" t="e">
        <f t="shared" si="10"/>
        <v>#DIV/0!</v>
      </c>
      <c r="L61" s="67" t="e">
        <f t="shared" si="11"/>
        <v>#DIV/0!</v>
      </c>
      <c r="M61" s="72" t="e">
        <f t="shared" si="12"/>
        <v>#DIV/0!</v>
      </c>
      <c r="N61" s="68"/>
      <c r="O61" s="49">
        <f t="shared" si="13"/>
        <v>0</v>
      </c>
      <c r="P61" s="69"/>
      <c r="Q61" s="50"/>
      <c r="R61" s="89">
        <f t="shared" si="14"/>
        <v>0</v>
      </c>
      <c r="S61" s="66" t="e">
        <f t="shared" si="15"/>
        <v>#DIV/0!</v>
      </c>
      <c r="T61" s="67" t="e">
        <f t="shared" si="16"/>
        <v>#DIV/0!</v>
      </c>
      <c r="U61" s="72" t="e">
        <f t="shared" ref="U61:U110" si="17">(O62-O61)/O62</f>
        <v>#DIV/0!</v>
      </c>
      <c r="V61" s="68"/>
      <c r="W61" s="52" t="e">
        <f>+#REF!-#REF!</f>
        <v>#REF!</v>
      </c>
      <c r="X61" s="48" t="s">
        <v>74</v>
      </c>
      <c r="Y61" s="52" t="s">
        <v>48</v>
      </c>
      <c r="Z61" s="68"/>
      <c r="AA61" s="96" t="e">
        <f>+Z61-#REF!</f>
        <v>#REF!</v>
      </c>
      <c r="AB61" s="48"/>
      <c r="AC61" s="7"/>
      <c r="AD61" s="7"/>
      <c r="AE61" s="8"/>
      <c r="AF61" s="8"/>
    </row>
    <row r="62" spans="1:32" x14ac:dyDescent="0.2">
      <c r="A62" s="11">
        <v>45818</v>
      </c>
      <c r="B62" s="15"/>
      <c r="C62" s="94"/>
      <c r="D62" s="75"/>
      <c r="E62" s="91"/>
      <c r="F62" s="68"/>
      <c r="G62" s="49"/>
      <c r="H62" s="69"/>
      <c r="I62" s="50">
        <f>C62-Q62</f>
        <v>0</v>
      </c>
      <c r="J62" s="89">
        <f t="shared" si="9"/>
        <v>0</v>
      </c>
      <c r="K62" s="66" t="e">
        <f>I62/G62</f>
        <v>#DIV/0!</v>
      </c>
      <c r="L62" s="67" t="e">
        <f t="shared" si="11"/>
        <v>#DIV/0!</v>
      </c>
      <c r="M62" s="72" t="e">
        <f t="shared" si="12"/>
        <v>#DIV/0!</v>
      </c>
      <c r="N62" s="68"/>
      <c r="O62" s="49">
        <f>G62-I62</f>
        <v>0</v>
      </c>
      <c r="P62" s="69"/>
      <c r="Q62" s="50"/>
      <c r="R62" s="89">
        <f t="shared" si="14"/>
        <v>0</v>
      </c>
      <c r="S62" s="66" t="e">
        <f t="shared" si="15"/>
        <v>#DIV/0!</v>
      </c>
      <c r="T62" s="67" t="e">
        <f t="shared" si="16"/>
        <v>#DIV/0!</v>
      </c>
      <c r="U62" s="72" t="e">
        <f t="shared" si="17"/>
        <v>#DIV/0!</v>
      </c>
      <c r="W62" s="52" t="e">
        <f>+V61-#REF!</f>
        <v>#REF!</v>
      </c>
      <c r="X62" s="48" t="s">
        <v>74</v>
      </c>
      <c r="Y62" s="52" t="s">
        <v>48</v>
      </c>
      <c r="Z62" s="68"/>
      <c r="AA62" s="96"/>
      <c r="AB62" s="48"/>
      <c r="AC62" s="7"/>
      <c r="AD62" s="7"/>
      <c r="AE62" s="8"/>
      <c r="AF62" s="8"/>
    </row>
    <row r="63" spans="1:32" x14ac:dyDescent="0.2">
      <c r="A63" s="11">
        <v>45819</v>
      </c>
      <c r="B63" s="15"/>
      <c r="C63" s="94"/>
      <c r="D63" s="75"/>
      <c r="E63" s="91"/>
      <c r="F63" s="68"/>
      <c r="G63" s="49"/>
      <c r="H63" s="69"/>
      <c r="I63" s="50"/>
      <c r="J63" s="89">
        <f t="shared" si="9"/>
        <v>0</v>
      </c>
      <c r="K63" s="66" t="e">
        <f>I63/G63</f>
        <v>#DIV/0!</v>
      </c>
      <c r="L63" s="67" t="e">
        <f t="shared" si="11"/>
        <v>#DIV/0!</v>
      </c>
      <c r="M63" s="72" t="e">
        <f t="shared" si="12"/>
        <v>#DIV/0!</v>
      </c>
      <c r="N63" s="68"/>
      <c r="O63" s="49">
        <f>G63-I63</f>
        <v>0</v>
      </c>
      <c r="P63" s="69"/>
      <c r="Q63" s="50"/>
      <c r="R63" s="89">
        <f t="shared" si="14"/>
        <v>0</v>
      </c>
      <c r="S63" s="66" t="e">
        <f t="shared" si="15"/>
        <v>#DIV/0!</v>
      </c>
      <c r="T63" s="67" t="e">
        <f t="shared" si="16"/>
        <v>#DIV/0!</v>
      </c>
      <c r="U63" s="72" t="e">
        <f t="shared" si="17"/>
        <v>#DIV/0!</v>
      </c>
      <c r="V63" s="68"/>
      <c r="W63" s="52"/>
      <c r="X63" s="48"/>
      <c r="Y63" s="52" t="s">
        <v>48</v>
      </c>
      <c r="Z63" s="68"/>
      <c r="AA63" s="96"/>
      <c r="AB63" s="48"/>
      <c r="AC63" s="7"/>
      <c r="AD63" s="7"/>
      <c r="AE63" s="8"/>
      <c r="AF63" s="8"/>
    </row>
    <row r="64" spans="1:32" hidden="1" x14ac:dyDescent="0.2">
      <c r="A64" s="11"/>
      <c r="B64" s="15"/>
      <c r="C64" s="94"/>
      <c r="D64" s="75">
        <f t="shared" ref="D64:D71" si="18">+O64-Q64</f>
        <v>0</v>
      </c>
      <c r="E64" s="91" t="e">
        <f t="shared" ref="E64:E71" si="19">+C64/G64</f>
        <v>#DIV/0!</v>
      </c>
      <c r="F64" s="68"/>
      <c r="G64" s="49"/>
      <c r="H64" s="69"/>
      <c r="I64" s="50">
        <f t="shared" ref="I64:I71" si="20">C64-Q64</f>
        <v>0</v>
      </c>
      <c r="J64" s="89">
        <f t="shared" si="9"/>
        <v>0</v>
      </c>
      <c r="K64" s="66" t="e">
        <f t="shared" si="10"/>
        <v>#DIV/0!</v>
      </c>
      <c r="L64" s="67" t="e">
        <f t="shared" si="11"/>
        <v>#DIV/0!</v>
      </c>
      <c r="M64" s="72" t="e">
        <f t="shared" si="12"/>
        <v>#DIV/0!</v>
      </c>
      <c r="N64" s="68"/>
      <c r="O64" s="49">
        <f t="shared" si="13"/>
        <v>0</v>
      </c>
      <c r="P64" s="69"/>
      <c r="Q64" s="50"/>
      <c r="R64" s="89">
        <f t="shared" si="14"/>
        <v>0</v>
      </c>
      <c r="S64" s="66" t="e">
        <f t="shared" si="15"/>
        <v>#DIV/0!</v>
      </c>
      <c r="T64" s="67" t="e">
        <f t="shared" si="16"/>
        <v>#DIV/0!</v>
      </c>
      <c r="U64" s="72" t="e">
        <f t="shared" si="17"/>
        <v>#DIV/0!</v>
      </c>
      <c r="V64" s="68"/>
      <c r="W64" s="52">
        <f t="shared" ref="W64:W71" si="21">+V64-V63</f>
        <v>0</v>
      </c>
      <c r="X64" s="48" t="s">
        <v>74</v>
      </c>
      <c r="Y64" s="52" t="s">
        <v>48</v>
      </c>
      <c r="Z64" s="68"/>
      <c r="AA64" s="96">
        <f t="shared" ref="AA64:AA71" si="22">+Z64-Z63</f>
        <v>0</v>
      </c>
      <c r="AB64" s="48"/>
      <c r="AC64" s="7"/>
      <c r="AD64" s="7"/>
      <c r="AE64" s="8"/>
      <c r="AF64" s="8"/>
    </row>
    <row r="65" spans="1:32" hidden="1" x14ac:dyDescent="0.2">
      <c r="A65" s="11"/>
      <c r="B65" s="15"/>
      <c r="C65" s="94"/>
      <c r="D65" s="75">
        <f t="shared" si="18"/>
        <v>0</v>
      </c>
      <c r="E65" s="91" t="e">
        <f t="shared" si="19"/>
        <v>#DIV/0!</v>
      </c>
      <c r="F65" s="68"/>
      <c r="G65" s="49"/>
      <c r="H65" s="69"/>
      <c r="I65" s="50">
        <f t="shared" si="20"/>
        <v>0</v>
      </c>
      <c r="J65" s="89">
        <f t="shared" si="9"/>
        <v>0</v>
      </c>
      <c r="K65" s="66" t="e">
        <f t="shared" si="10"/>
        <v>#DIV/0!</v>
      </c>
      <c r="L65" s="67" t="e">
        <f t="shared" si="11"/>
        <v>#DIV/0!</v>
      </c>
      <c r="M65" s="72" t="e">
        <f t="shared" si="12"/>
        <v>#DIV/0!</v>
      </c>
      <c r="N65" s="68"/>
      <c r="O65" s="49">
        <f t="shared" si="13"/>
        <v>0</v>
      </c>
      <c r="P65" s="69"/>
      <c r="Q65" s="50"/>
      <c r="R65" s="89">
        <f t="shared" si="14"/>
        <v>0</v>
      </c>
      <c r="S65" s="66" t="e">
        <f t="shared" si="15"/>
        <v>#DIV/0!</v>
      </c>
      <c r="T65" s="67" t="e">
        <f t="shared" si="16"/>
        <v>#DIV/0!</v>
      </c>
      <c r="U65" s="72" t="e">
        <f t="shared" si="17"/>
        <v>#DIV/0!</v>
      </c>
      <c r="V65" s="68"/>
      <c r="W65" s="52">
        <f t="shared" si="21"/>
        <v>0</v>
      </c>
      <c r="X65" s="48" t="s">
        <v>74</v>
      </c>
      <c r="Y65" s="52" t="s">
        <v>48</v>
      </c>
      <c r="Z65" s="68"/>
      <c r="AA65" s="96">
        <f t="shared" si="22"/>
        <v>0</v>
      </c>
      <c r="AB65" s="48"/>
      <c r="AC65" s="7"/>
      <c r="AD65" s="7"/>
      <c r="AE65" s="8"/>
      <c r="AF65" s="8"/>
    </row>
    <row r="66" spans="1:32" hidden="1" x14ac:dyDescent="0.2">
      <c r="A66" s="11"/>
      <c r="B66" s="15"/>
      <c r="C66" s="94"/>
      <c r="D66" s="75">
        <f t="shared" si="18"/>
        <v>0</v>
      </c>
      <c r="E66" s="91" t="e">
        <f t="shared" si="19"/>
        <v>#DIV/0!</v>
      </c>
      <c r="F66" s="68"/>
      <c r="G66" s="49"/>
      <c r="H66" s="69"/>
      <c r="I66" s="50">
        <f t="shared" si="20"/>
        <v>0</v>
      </c>
      <c r="J66" s="89">
        <f t="shared" si="9"/>
        <v>0</v>
      </c>
      <c r="K66" s="66" t="e">
        <f t="shared" si="10"/>
        <v>#DIV/0!</v>
      </c>
      <c r="L66" s="67" t="e">
        <f t="shared" si="11"/>
        <v>#DIV/0!</v>
      </c>
      <c r="M66" s="72" t="e">
        <f t="shared" si="12"/>
        <v>#DIV/0!</v>
      </c>
      <c r="N66" s="68"/>
      <c r="O66" s="49">
        <f t="shared" si="13"/>
        <v>0</v>
      </c>
      <c r="P66" s="69"/>
      <c r="Q66" s="50"/>
      <c r="R66" s="89">
        <f t="shared" si="14"/>
        <v>0</v>
      </c>
      <c r="S66" s="66" t="e">
        <f t="shared" si="15"/>
        <v>#DIV/0!</v>
      </c>
      <c r="T66" s="67" t="e">
        <f t="shared" si="16"/>
        <v>#DIV/0!</v>
      </c>
      <c r="U66" s="72" t="e">
        <f t="shared" si="17"/>
        <v>#DIV/0!</v>
      </c>
      <c r="V66" s="68"/>
      <c r="W66" s="52">
        <f t="shared" si="21"/>
        <v>0</v>
      </c>
      <c r="X66" s="48" t="s">
        <v>74</v>
      </c>
      <c r="Y66" s="52" t="s">
        <v>48</v>
      </c>
      <c r="Z66" s="68"/>
      <c r="AA66" s="96">
        <f t="shared" si="22"/>
        <v>0</v>
      </c>
      <c r="AB66" s="48"/>
      <c r="AC66" s="7"/>
      <c r="AD66" s="7"/>
      <c r="AE66" s="8"/>
      <c r="AF66" s="8"/>
    </row>
    <row r="67" spans="1:32" hidden="1" x14ac:dyDescent="0.2">
      <c r="A67" s="11"/>
      <c r="B67" s="15"/>
      <c r="C67" s="94"/>
      <c r="D67" s="75">
        <f t="shared" si="18"/>
        <v>0</v>
      </c>
      <c r="E67" s="91" t="e">
        <f t="shared" si="19"/>
        <v>#DIV/0!</v>
      </c>
      <c r="F67" s="68"/>
      <c r="G67" s="49"/>
      <c r="H67" s="69"/>
      <c r="I67" s="50">
        <f t="shared" si="20"/>
        <v>0</v>
      </c>
      <c r="J67" s="89">
        <f t="shared" si="9"/>
        <v>0</v>
      </c>
      <c r="K67" s="66" t="e">
        <f t="shared" si="10"/>
        <v>#DIV/0!</v>
      </c>
      <c r="L67" s="67" t="e">
        <f t="shared" si="11"/>
        <v>#DIV/0!</v>
      </c>
      <c r="M67" s="72" t="e">
        <f t="shared" si="12"/>
        <v>#DIV/0!</v>
      </c>
      <c r="N67" s="68"/>
      <c r="O67" s="49">
        <f t="shared" si="13"/>
        <v>0</v>
      </c>
      <c r="P67" s="69"/>
      <c r="Q67" s="50"/>
      <c r="R67" s="89">
        <f t="shared" si="14"/>
        <v>0</v>
      </c>
      <c r="S67" s="66" t="e">
        <f t="shared" si="15"/>
        <v>#DIV/0!</v>
      </c>
      <c r="T67" s="67" t="e">
        <f t="shared" si="16"/>
        <v>#DIV/0!</v>
      </c>
      <c r="U67" s="72" t="e">
        <f t="shared" si="17"/>
        <v>#DIV/0!</v>
      </c>
      <c r="V67" s="68"/>
      <c r="W67" s="52">
        <f t="shared" si="21"/>
        <v>0</v>
      </c>
      <c r="X67" s="48" t="s">
        <v>74</v>
      </c>
      <c r="Y67" s="52" t="s">
        <v>48</v>
      </c>
      <c r="Z67" s="68"/>
      <c r="AA67" s="96">
        <f t="shared" si="22"/>
        <v>0</v>
      </c>
      <c r="AB67" s="48"/>
      <c r="AC67" s="7"/>
      <c r="AD67" s="7"/>
      <c r="AE67" s="8"/>
      <c r="AF67" s="8"/>
    </row>
    <row r="68" spans="1:32" x14ac:dyDescent="0.2">
      <c r="A68" s="11">
        <v>45820</v>
      </c>
      <c r="B68" s="15"/>
      <c r="C68" s="94"/>
      <c r="D68" s="75"/>
      <c r="E68" s="91"/>
      <c r="F68" s="68"/>
      <c r="G68" s="49"/>
      <c r="H68" s="69"/>
      <c r="I68" s="50"/>
      <c r="J68" s="89">
        <f t="shared" si="9"/>
        <v>0</v>
      </c>
      <c r="K68" s="66" t="e">
        <f t="shared" si="10"/>
        <v>#DIV/0!</v>
      </c>
      <c r="L68" s="67" t="e">
        <f t="shared" si="11"/>
        <v>#DIV/0!</v>
      </c>
      <c r="M68" s="72" t="e">
        <f t="shared" si="12"/>
        <v>#DIV/0!</v>
      </c>
      <c r="N68" s="68"/>
      <c r="O68" s="49">
        <f t="shared" si="13"/>
        <v>0</v>
      </c>
      <c r="P68" s="69"/>
      <c r="Q68" s="50"/>
      <c r="R68" s="89">
        <f t="shared" si="14"/>
        <v>0</v>
      </c>
      <c r="S68" s="66" t="e">
        <f t="shared" si="15"/>
        <v>#DIV/0!</v>
      </c>
      <c r="T68" s="67" t="e">
        <f t="shared" si="16"/>
        <v>#DIV/0!</v>
      </c>
      <c r="U68" s="72" t="e">
        <f t="shared" si="17"/>
        <v>#DIV/0!</v>
      </c>
      <c r="V68" s="68"/>
      <c r="W68" s="52"/>
      <c r="X68" s="48"/>
      <c r="Y68" s="52" t="s">
        <v>48</v>
      </c>
      <c r="Z68" s="68"/>
      <c r="AA68" s="96"/>
      <c r="AB68" s="48"/>
      <c r="AC68" s="7"/>
      <c r="AD68" s="7"/>
      <c r="AE68" s="8"/>
      <c r="AF68" s="8"/>
    </row>
    <row r="69" spans="1:32" x14ac:dyDescent="0.2">
      <c r="A69" s="11">
        <v>45821</v>
      </c>
      <c r="B69" s="15"/>
      <c r="C69" s="94"/>
      <c r="D69" s="75"/>
      <c r="E69" s="91"/>
      <c r="F69" s="68"/>
      <c r="G69" s="49"/>
      <c r="H69" s="69"/>
      <c r="I69" s="50"/>
      <c r="J69" s="89">
        <f t="shared" si="9"/>
        <v>0</v>
      </c>
      <c r="K69" s="66" t="e">
        <f t="shared" si="10"/>
        <v>#DIV/0!</v>
      </c>
      <c r="L69" s="67" t="e">
        <f t="shared" si="11"/>
        <v>#DIV/0!</v>
      </c>
      <c r="M69" s="72" t="e">
        <f t="shared" si="12"/>
        <v>#DIV/0!</v>
      </c>
      <c r="N69" s="68"/>
      <c r="O69" s="49">
        <f t="shared" si="13"/>
        <v>0</v>
      </c>
      <c r="P69" s="69"/>
      <c r="Q69" s="50"/>
      <c r="R69" s="89">
        <f t="shared" si="14"/>
        <v>0</v>
      </c>
      <c r="S69" s="66" t="e">
        <f t="shared" si="15"/>
        <v>#DIV/0!</v>
      </c>
      <c r="T69" s="67" t="e">
        <f t="shared" si="16"/>
        <v>#DIV/0!</v>
      </c>
      <c r="U69" s="72" t="e">
        <f t="shared" si="17"/>
        <v>#DIV/0!</v>
      </c>
      <c r="V69" s="68"/>
      <c r="W69" s="52"/>
      <c r="X69" s="48"/>
      <c r="Y69" s="52" t="s">
        <v>48</v>
      </c>
      <c r="Z69" s="68"/>
      <c r="AA69" s="96"/>
      <c r="AB69" s="48"/>
      <c r="AC69" s="7"/>
      <c r="AD69" s="7"/>
      <c r="AE69" s="8"/>
      <c r="AF69" s="8"/>
    </row>
    <row r="70" spans="1:32" hidden="1" x14ac:dyDescent="0.2">
      <c r="A70" s="11">
        <v>45822</v>
      </c>
      <c r="B70" s="15"/>
      <c r="C70" s="94"/>
      <c r="D70" s="75">
        <f t="shared" si="18"/>
        <v>0</v>
      </c>
      <c r="E70" s="91" t="e">
        <f t="shared" si="19"/>
        <v>#DIV/0!</v>
      </c>
      <c r="F70" s="68"/>
      <c r="G70" s="49"/>
      <c r="H70" s="69"/>
      <c r="I70" s="50">
        <f t="shared" si="20"/>
        <v>0</v>
      </c>
      <c r="J70" s="89">
        <f t="shared" si="9"/>
        <v>0</v>
      </c>
      <c r="K70" s="66" t="e">
        <f t="shared" si="10"/>
        <v>#DIV/0!</v>
      </c>
      <c r="L70" s="67" t="e">
        <f t="shared" si="11"/>
        <v>#DIV/0!</v>
      </c>
      <c r="M70" s="72" t="e">
        <f t="shared" si="12"/>
        <v>#DIV/0!</v>
      </c>
      <c r="N70" s="68"/>
      <c r="O70" s="49">
        <f t="shared" si="13"/>
        <v>0</v>
      </c>
      <c r="P70" s="69"/>
      <c r="Q70" s="50"/>
      <c r="R70" s="89">
        <f t="shared" si="14"/>
        <v>0</v>
      </c>
      <c r="S70" s="66" t="e">
        <f t="shared" si="15"/>
        <v>#DIV/0!</v>
      </c>
      <c r="T70" s="67" t="e">
        <f t="shared" si="16"/>
        <v>#DIV/0!</v>
      </c>
      <c r="U70" s="72" t="e">
        <f t="shared" si="17"/>
        <v>#DIV/0!</v>
      </c>
      <c r="V70" s="68"/>
      <c r="W70" s="52">
        <f t="shared" si="21"/>
        <v>0</v>
      </c>
      <c r="X70" s="48" t="s">
        <v>74</v>
      </c>
      <c r="Y70" s="52" t="s">
        <v>48</v>
      </c>
      <c r="Z70" s="48"/>
      <c r="AA70" s="52">
        <f t="shared" si="22"/>
        <v>0</v>
      </c>
      <c r="AB70" s="48"/>
      <c r="AC70" s="7"/>
      <c r="AD70" s="7"/>
      <c r="AE70" s="8"/>
      <c r="AF70" s="8"/>
    </row>
    <row r="71" spans="1:32" hidden="1" x14ac:dyDescent="0.2">
      <c r="A71" s="11">
        <v>45823</v>
      </c>
      <c r="B71" s="15"/>
      <c r="C71" s="94"/>
      <c r="D71" s="75">
        <f t="shared" si="18"/>
        <v>0</v>
      </c>
      <c r="E71" s="91" t="e">
        <f t="shared" si="19"/>
        <v>#DIV/0!</v>
      </c>
      <c r="F71" s="68"/>
      <c r="G71" s="49"/>
      <c r="H71" s="69"/>
      <c r="I71" s="50">
        <f t="shared" si="20"/>
        <v>0</v>
      </c>
      <c r="J71" s="89">
        <f t="shared" si="9"/>
        <v>0</v>
      </c>
      <c r="K71" s="66" t="e">
        <f t="shared" si="10"/>
        <v>#DIV/0!</v>
      </c>
      <c r="L71" s="67" t="e">
        <f t="shared" si="11"/>
        <v>#DIV/0!</v>
      </c>
      <c r="M71" s="72" t="e">
        <f t="shared" si="12"/>
        <v>#DIV/0!</v>
      </c>
      <c r="N71" s="68"/>
      <c r="O71" s="49">
        <f t="shared" si="13"/>
        <v>0</v>
      </c>
      <c r="P71" s="69"/>
      <c r="Q71" s="50"/>
      <c r="R71" s="89">
        <f t="shared" si="14"/>
        <v>0</v>
      </c>
      <c r="S71" s="66" t="e">
        <f t="shared" si="15"/>
        <v>#DIV/0!</v>
      </c>
      <c r="T71" s="67" t="e">
        <f t="shared" si="16"/>
        <v>#DIV/0!</v>
      </c>
      <c r="U71" s="72" t="e">
        <f t="shared" si="17"/>
        <v>#DIV/0!</v>
      </c>
      <c r="V71" s="68"/>
      <c r="W71" s="52">
        <f t="shared" si="21"/>
        <v>0</v>
      </c>
      <c r="X71" s="48" t="s">
        <v>74</v>
      </c>
      <c r="Y71" s="73"/>
      <c r="Z71" s="48"/>
      <c r="AA71" s="52">
        <f t="shared" si="22"/>
        <v>0</v>
      </c>
      <c r="AB71" s="48"/>
      <c r="AC71" s="7"/>
      <c r="AD71" s="7"/>
      <c r="AE71" s="8"/>
      <c r="AF71" s="8"/>
    </row>
    <row r="72" spans="1:32" x14ac:dyDescent="0.2">
      <c r="A72" s="11">
        <v>45824</v>
      </c>
      <c r="B72" s="15"/>
      <c r="C72" s="94"/>
      <c r="D72" s="75"/>
      <c r="E72" s="91"/>
      <c r="F72" s="68"/>
      <c r="G72" s="49"/>
      <c r="H72" s="69"/>
      <c r="I72" s="50"/>
      <c r="J72" s="89">
        <f t="shared" si="9"/>
        <v>0</v>
      </c>
      <c r="K72" s="66" t="e">
        <f t="shared" si="10"/>
        <v>#DIV/0!</v>
      </c>
      <c r="L72" s="67" t="e">
        <f t="shared" si="11"/>
        <v>#DIV/0!</v>
      </c>
      <c r="M72" s="72" t="e">
        <f t="shared" si="12"/>
        <v>#DIV/0!</v>
      </c>
      <c r="N72" s="68"/>
      <c r="O72" s="49">
        <f t="shared" si="13"/>
        <v>0</v>
      </c>
      <c r="P72" s="69"/>
      <c r="Q72" s="50"/>
      <c r="R72" s="89">
        <f t="shared" si="14"/>
        <v>0</v>
      </c>
      <c r="S72" s="66" t="e">
        <f t="shared" si="15"/>
        <v>#DIV/0!</v>
      </c>
      <c r="T72" s="67" t="e">
        <f t="shared" si="16"/>
        <v>#DIV/0!</v>
      </c>
      <c r="U72" s="72" t="e">
        <f t="shared" si="17"/>
        <v>#DIV/0!</v>
      </c>
      <c r="V72" s="68"/>
      <c r="W72" s="52"/>
      <c r="X72" s="48"/>
      <c r="Y72" s="52" t="s">
        <v>48</v>
      </c>
      <c r="Z72" s="48"/>
      <c r="AA72" s="52"/>
      <c r="AB72" s="48"/>
      <c r="AC72" s="7"/>
      <c r="AD72" s="7"/>
      <c r="AE72" s="8"/>
      <c r="AF72" s="76" t="s">
        <v>102</v>
      </c>
    </row>
    <row r="73" spans="1:32" x14ac:dyDescent="0.2">
      <c r="A73" s="11">
        <v>45825</v>
      </c>
      <c r="B73" s="15"/>
      <c r="C73" s="94"/>
      <c r="D73" s="75"/>
      <c r="E73" s="91"/>
      <c r="F73" s="68"/>
      <c r="G73" s="49"/>
      <c r="H73" s="69"/>
      <c r="I73" s="95"/>
      <c r="J73" s="89">
        <f t="shared" si="9"/>
        <v>0</v>
      </c>
      <c r="K73" s="66" t="e">
        <f t="shared" si="10"/>
        <v>#DIV/0!</v>
      </c>
      <c r="L73" s="67" t="e">
        <f t="shared" si="11"/>
        <v>#DIV/0!</v>
      </c>
      <c r="M73" s="72" t="e">
        <f t="shared" si="12"/>
        <v>#DIV/0!</v>
      </c>
      <c r="N73" s="68"/>
      <c r="O73" s="49">
        <f t="shared" si="13"/>
        <v>0</v>
      </c>
      <c r="P73" s="69"/>
      <c r="Q73" s="50"/>
      <c r="R73" s="89">
        <f t="shared" si="14"/>
        <v>0</v>
      </c>
      <c r="S73" s="66" t="e">
        <f t="shared" si="15"/>
        <v>#DIV/0!</v>
      </c>
      <c r="T73" s="67" t="e">
        <f t="shared" si="16"/>
        <v>#DIV/0!</v>
      </c>
      <c r="U73" s="72" t="e">
        <f t="shared" si="17"/>
        <v>#DIV/0!</v>
      </c>
      <c r="V73" s="48"/>
      <c r="W73" s="52"/>
      <c r="X73" s="48"/>
      <c r="Y73" s="52" t="s">
        <v>48</v>
      </c>
      <c r="Z73" s="48"/>
      <c r="AA73" s="52"/>
      <c r="AB73" s="48"/>
      <c r="AC73" s="7"/>
      <c r="AD73" s="7"/>
      <c r="AE73" s="8"/>
      <c r="AF73" s="8"/>
    </row>
    <row r="74" spans="1:32" s="2" customFormat="1" x14ac:dyDescent="0.2">
      <c r="A74" s="11">
        <v>45826</v>
      </c>
      <c r="B74" s="15"/>
      <c r="C74" s="97"/>
      <c r="D74" s="75"/>
      <c r="E74" s="98"/>
      <c r="F74" s="48"/>
      <c r="G74" s="49"/>
      <c r="H74" s="50"/>
      <c r="I74" s="95"/>
      <c r="J74" s="17">
        <f t="shared" si="9"/>
        <v>0</v>
      </c>
      <c r="K74" s="66" t="e">
        <f t="shared" si="10"/>
        <v>#DIV/0!</v>
      </c>
      <c r="L74" s="67" t="e">
        <f t="shared" si="11"/>
        <v>#DIV/0!</v>
      </c>
      <c r="M74" s="72" t="e">
        <f t="shared" si="12"/>
        <v>#DIV/0!</v>
      </c>
      <c r="N74" s="48"/>
      <c r="O74" s="50">
        <f t="shared" si="13"/>
        <v>0</v>
      </c>
      <c r="P74" s="50"/>
      <c r="Q74" s="50"/>
      <c r="R74" s="17">
        <f t="shared" si="14"/>
        <v>0</v>
      </c>
      <c r="S74" s="17" t="e">
        <f t="shared" si="15"/>
        <v>#DIV/0!</v>
      </c>
      <c r="T74" s="71" t="e">
        <f t="shared" si="16"/>
        <v>#DIV/0!</v>
      </c>
      <c r="U74" s="72" t="e">
        <f t="shared" si="17"/>
        <v>#DIV/0!</v>
      </c>
      <c r="V74" s="48"/>
      <c r="W74" s="73"/>
      <c r="X74" s="48"/>
      <c r="Y74" s="52" t="s">
        <v>48</v>
      </c>
      <c r="Z74" s="48"/>
      <c r="AA74" s="74"/>
      <c r="AB74" s="48"/>
      <c r="AC74" s="7"/>
      <c r="AD74" s="7"/>
      <c r="AE74" s="8"/>
      <c r="AF74" s="8"/>
    </row>
    <row r="75" spans="1:32" s="2" customFormat="1" x14ac:dyDescent="0.2">
      <c r="A75" s="11">
        <v>45827</v>
      </c>
      <c r="B75" s="15"/>
      <c r="C75" s="62"/>
      <c r="D75" s="99"/>
      <c r="E75" s="62"/>
      <c r="F75" s="48"/>
      <c r="G75" s="49"/>
      <c r="H75" s="50"/>
      <c r="I75" s="95"/>
      <c r="J75" s="17">
        <f t="shared" si="9"/>
        <v>0</v>
      </c>
      <c r="K75" s="17" t="e">
        <f t="shared" si="10"/>
        <v>#DIV/0!</v>
      </c>
      <c r="L75" s="71" t="e">
        <f t="shared" si="11"/>
        <v>#DIV/0!</v>
      </c>
      <c r="M75" s="72" t="e">
        <f t="shared" si="12"/>
        <v>#DIV/0!</v>
      </c>
      <c r="N75" s="48"/>
      <c r="O75" s="50">
        <f t="shared" si="13"/>
        <v>0</v>
      </c>
      <c r="P75" s="50"/>
      <c r="Q75" s="50"/>
      <c r="R75" s="17">
        <f t="shared" si="14"/>
        <v>0</v>
      </c>
      <c r="S75" s="17" t="e">
        <f t="shared" si="15"/>
        <v>#DIV/0!</v>
      </c>
      <c r="T75" s="71" t="e">
        <f t="shared" si="16"/>
        <v>#DIV/0!</v>
      </c>
      <c r="U75" s="72" t="e">
        <f t="shared" si="17"/>
        <v>#DIV/0!</v>
      </c>
      <c r="V75" s="48"/>
      <c r="W75" s="73"/>
      <c r="X75" s="48"/>
      <c r="Y75" s="52" t="s">
        <v>48</v>
      </c>
      <c r="Z75" s="48"/>
      <c r="AA75" s="74"/>
      <c r="AB75" s="48"/>
      <c r="AC75" s="7"/>
      <c r="AD75" s="7"/>
      <c r="AE75" s="8"/>
      <c r="AF75" s="8"/>
    </row>
    <row r="76" spans="1:32" x14ac:dyDescent="0.2">
      <c r="A76" s="11">
        <v>45828</v>
      </c>
      <c r="B76" s="15"/>
      <c r="C76" s="62"/>
      <c r="D76" s="62"/>
      <c r="E76" s="62"/>
      <c r="F76" s="48"/>
      <c r="G76" s="49"/>
      <c r="H76" s="50"/>
      <c r="I76" s="50"/>
      <c r="J76" s="17">
        <f t="shared" si="9"/>
        <v>0</v>
      </c>
      <c r="K76" s="17" t="e">
        <f t="shared" si="10"/>
        <v>#DIV/0!</v>
      </c>
      <c r="L76" s="71" t="e">
        <f t="shared" si="11"/>
        <v>#DIV/0!</v>
      </c>
      <c r="M76" s="72" t="e">
        <f t="shared" si="12"/>
        <v>#DIV/0!</v>
      </c>
      <c r="N76" s="48"/>
      <c r="O76" s="50">
        <f t="shared" si="13"/>
        <v>0</v>
      </c>
      <c r="P76" s="50"/>
      <c r="Q76" s="50"/>
      <c r="R76" s="17">
        <f t="shared" si="14"/>
        <v>0</v>
      </c>
      <c r="S76" s="17" t="e">
        <f t="shared" si="15"/>
        <v>#DIV/0!</v>
      </c>
      <c r="T76" s="71" t="e">
        <f t="shared" si="16"/>
        <v>#DIV/0!</v>
      </c>
      <c r="U76" s="72" t="e">
        <f t="shared" si="17"/>
        <v>#DIV/0!</v>
      </c>
      <c r="V76" s="48"/>
      <c r="W76" s="73"/>
      <c r="X76" s="48"/>
      <c r="Y76" s="52" t="s">
        <v>48</v>
      </c>
      <c r="Z76" s="48"/>
      <c r="AA76" s="74"/>
      <c r="AB76" s="48"/>
      <c r="AC76" s="7"/>
      <c r="AD76" s="7"/>
      <c r="AE76" s="8"/>
      <c r="AF76" s="8"/>
    </row>
    <row r="77" spans="1:32" hidden="1" x14ac:dyDescent="0.2">
      <c r="A77" s="11">
        <v>45829</v>
      </c>
      <c r="B77" s="15"/>
      <c r="C77" s="62"/>
      <c r="D77" s="62"/>
      <c r="E77" s="62"/>
      <c r="F77" s="48"/>
      <c r="G77" s="49"/>
      <c r="H77" s="50"/>
      <c r="I77" s="50"/>
      <c r="J77" s="17">
        <f t="shared" si="9"/>
        <v>0</v>
      </c>
      <c r="K77" s="17" t="e">
        <f t="shared" si="10"/>
        <v>#DIV/0!</v>
      </c>
      <c r="L77" s="71" t="e">
        <f t="shared" si="11"/>
        <v>#DIV/0!</v>
      </c>
      <c r="M77" s="72" t="e">
        <f t="shared" si="12"/>
        <v>#DIV/0!</v>
      </c>
      <c r="N77" s="48"/>
      <c r="O77" s="50">
        <f t="shared" si="13"/>
        <v>0</v>
      </c>
      <c r="P77" s="50"/>
      <c r="Q77" s="50"/>
      <c r="R77" s="17">
        <f t="shared" si="14"/>
        <v>0</v>
      </c>
      <c r="S77" s="17" t="e">
        <f t="shared" si="15"/>
        <v>#DIV/0!</v>
      </c>
      <c r="T77" s="71" t="e">
        <f t="shared" si="16"/>
        <v>#DIV/0!</v>
      </c>
      <c r="U77" s="72" t="e">
        <f t="shared" si="17"/>
        <v>#DIV/0!</v>
      </c>
      <c r="V77" s="48"/>
      <c r="W77" s="73"/>
      <c r="X77" s="48" t="s">
        <v>74</v>
      </c>
      <c r="Y77" s="52" t="s">
        <v>48</v>
      </c>
      <c r="Z77" s="48"/>
      <c r="AA77" s="74"/>
      <c r="AB77" s="48"/>
      <c r="AC77" s="7"/>
      <c r="AD77" s="7"/>
      <c r="AE77" s="8"/>
      <c r="AF77" s="8"/>
    </row>
    <row r="78" spans="1:32" hidden="1" x14ac:dyDescent="0.2">
      <c r="A78" s="11">
        <v>45830</v>
      </c>
      <c r="B78" s="15"/>
      <c r="C78" s="62"/>
      <c r="D78" s="62"/>
      <c r="E78" s="62"/>
      <c r="F78" s="48"/>
      <c r="G78" s="49"/>
      <c r="H78" s="50"/>
      <c r="I78" s="50"/>
      <c r="J78" s="17">
        <f t="shared" si="9"/>
        <v>0</v>
      </c>
      <c r="K78" s="17" t="e">
        <f t="shared" si="10"/>
        <v>#DIV/0!</v>
      </c>
      <c r="L78" s="71" t="e">
        <f t="shared" si="11"/>
        <v>#DIV/0!</v>
      </c>
      <c r="M78" s="72" t="e">
        <f t="shared" si="12"/>
        <v>#DIV/0!</v>
      </c>
      <c r="N78" s="48"/>
      <c r="O78" s="50">
        <f t="shared" si="13"/>
        <v>0</v>
      </c>
      <c r="P78" s="50"/>
      <c r="Q78" s="50"/>
      <c r="R78" s="17">
        <f t="shared" si="14"/>
        <v>0</v>
      </c>
      <c r="S78" s="17" t="e">
        <f t="shared" si="15"/>
        <v>#DIV/0!</v>
      </c>
      <c r="T78" s="71" t="e">
        <f t="shared" si="16"/>
        <v>#DIV/0!</v>
      </c>
      <c r="U78" s="72" t="e">
        <f t="shared" si="17"/>
        <v>#DIV/0!</v>
      </c>
      <c r="V78" s="48"/>
      <c r="W78" s="73"/>
      <c r="X78" s="48" t="s">
        <v>74</v>
      </c>
      <c r="Y78" s="52" t="s">
        <v>48</v>
      </c>
      <c r="Z78" s="48"/>
      <c r="AA78" s="74"/>
      <c r="AB78" s="48"/>
      <c r="AC78" s="7"/>
      <c r="AD78" s="7"/>
      <c r="AE78" s="8"/>
      <c r="AF78" s="8"/>
    </row>
    <row r="79" spans="1:32" hidden="1" x14ac:dyDescent="0.2">
      <c r="A79" s="11">
        <v>45831</v>
      </c>
      <c r="B79" s="15"/>
      <c r="C79" s="62"/>
      <c r="D79" s="62"/>
      <c r="E79" s="62"/>
      <c r="F79" s="48"/>
      <c r="G79" s="49"/>
      <c r="H79" s="50"/>
      <c r="I79" s="50"/>
      <c r="J79" s="17">
        <f t="shared" si="9"/>
        <v>0</v>
      </c>
      <c r="K79" s="17" t="e">
        <f t="shared" si="10"/>
        <v>#DIV/0!</v>
      </c>
      <c r="L79" s="71" t="e">
        <f t="shared" si="11"/>
        <v>#DIV/0!</v>
      </c>
      <c r="M79" s="72" t="e">
        <f t="shared" si="12"/>
        <v>#DIV/0!</v>
      </c>
      <c r="N79" s="48"/>
      <c r="O79" s="50">
        <f t="shared" si="13"/>
        <v>0</v>
      </c>
      <c r="P79" s="50"/>
      <c r="Q79" s="50"/>
      <c r="R79" s="17">
        <f t="shared" si="14"/>
        <v>0</v>
      </c>
      <c r="S79" s="17" t="e">
        <f t="shared" si="15"/>
        <v>#DIV/0!</v>
      </c>
      <c r="T79" s="71" t="e">
        <f t="shared" si="16"/>
        <v>#DIV/0!</v>
      </c>
      <c r="U79" s="72" t="e">
        <f t="shared" si="17"/>
        <v>#DIV/0!</v>
      </c>
      <c r="V79" s="48"/>
      <c r="W79" s="73"/>
      <c r="X79" s="48"/>
      <c r="Y79" s="52" t="s">
        <v>48</v>
      </c>
      <c r="Z79" s="48"/>
      <c r="AA79" s="74"/>
      <c r="AB79" s="48"/>
      <c r="AC79" s="7"/>
      <c r="AD79" s="7"/>
      <c r="AE79" s="8"/>
      <c r="AF79" s="8"/>
    </row>
    <row r="80" spans="1:32" x14ac:dyDescent="0.2">
      <c r="A80" s="11">
        <v>45832</v>
      </c>
      <c r="B80" s="15"/>
      <c r="C80" s="62"/>
      <c r="D80" s="62"/>
      <c r="E80" s="62"/>
      <c r="F80" s="48"/>
      <c r="G80" s="49"/>
      <c r="H80" s="50"/>
      <c r="I80" s="50"/>
      <c r="J80" s="17">
        <f t="shared" si="9"/>
        <v>0</v>
      </c>
      <c r="K80" s="17" t="e">
        <f t="shared" si="10"/>
        <v>#DIV/0!</v>
      </c>
      <c r="L80" s="71" t="e">
        <f t="shared" si="11"/>
        <v>#DIV/0!</v>
      </c>
      <c r="M80" s="72" t="e">
        <f t="shared" si="12"/>
        <v>#DIV/0!</v>
      </c>
      <c r="N80" s="48"/>
      <c r="O80" s="50">
        <f t="shared" si="13"/>
        <v>0</v>
      </c>
      <c r="P80" s="50"/>
      <c r="Q80" s="50"/>
      <c r="R80" s="17">
        <f t="shared" si="14"/>
        <v>0</v>
      </c>
      <c r="S80" s="17" t="e">
        <f t="shared" si="15"/>
        <v>#DIV/0!</v>
      </c>
      <c r="T80" s="71" t="e">
        <f t="shared" si="16"/>
        <v>#DIV/0!</v>
      </c>
      <c r="U80" s="72" t="e">
        <f t="shared" si="17"/>
        <v>#DIV/0!</v>
      </c>
      <c r="V80" s="48"/>
      <c r="W80" s="73"/>
      <c r="X80" s="48"/>
      <c r="Y80" s="52" t="s">
        <v>48</v>
      </c>
      <c r="Z80" s="48"/>
      <c r="AA80" s="74"/>
      <c r="AB80" s="48"/>
      <c r="AC80" s="7"/>
      <c r="AD80" s="7"/>
      <c r="AE80" s="8"/>
      <c r="AF80" s="8"/>
    </row>
    <row r="81" spans="1:32" x14ac:dyDescent="0.2">
      <c r="A81" s="11">
        <v>45833</v>
      </c>
      <c r="B81" s="15"/>
      <c r="C81" s="62"/>
      <c r="D81" s="62"/>
      <c r="E81" s="62"/>
      <c r="F81" s="48"/>
      <c r="G81" s="49"/>
      <c r="H81" s="50"/>
      <c r="I81" s="50"/>
      <c r="J81" s="17">
        <f t="shared" si="9"/>
        <v>0</v>
      </c>
      <c r="K81" s="17" t="e">
        <f t="shared" si="10"/>
        <v>#DIV/0!</v>
      </c>
      <c r="L81" s="71" t="e">
        <f t="shared" si="11"/>
        <v>#DIV/0!</v>
      </c>
      <c r="M81" s="72" t="e">
        <f t="shared" si="12"/>
        <v>#DIV/0!</v>
      </c>
      <c r="N81" s="48"/>
      <c r="O81" s="50">
        <f t="shared" si="13"/>
        <v>0</v>
      </c>
      <c r="P81" s="50"/>
      <c r="Q81" s="50"/>
      <c r="R81" s="17">
        <f t="shared" si="14"/>
        <v>0</v>
      </c>
      <c r="S81" s="17" t="e">
        <f t="shared" si="15"/>
        <v>#DIV/0!</v>
      </c>
      <c r="T81" s="71" t="e">
        <f t="shared" si="16"/>
        <v>#DIV/0!</v>
      </c>
      <c r="U81" s="72" t="e">
        <f t="shared" si="17"/>
        <v>#DIV/0!</v>
      </c>
      <c r="V81" s="48"/>
      <c r="W81" s="73"/>
      <c r="X81" s="48"/>
      <c r="Y81" s="52" t="s">
        <v>48</v>
      </c>
      <c r="Z81" s="48"/>
      <c r="AA81" s="74"/>
      <c r="AB81" s="48"/>
      <c r="AC81" s="7"/>
      <c r="AD81" s="7"/>
      <c r="AE81" s="8"/>
      <c r="AF81" s="8"/>
    </row>
    <row r="82" spans="1:32" x14ac:dyDescent="0.2">
      <c r="A82" s="11">
        <v>45834</v>
      </c>
      <c r="B82" s="15"/>
      <c r="C82" s="62"/>
      <c r="D82" s="62"/>
      <c r="E82" s="62"/>
      <c r="F82" s="48"/>
      <c r="G82" s="49"/>
      <c r="H82" s="50"/>
      <c r="I82" s="50"/>
      <c r="J82" s="17">
        <f t="shared" si="9"/>
        <v>0</v>
      </c>
      <c r="K82" s="17" t="e">
        <f t="shared" si="10"/>
        <v>#DIV/0!</v>
      </c>
      <c r="L82" s="71" t="e">
        <f t="shared" si="11"/>
        <v>#DIV/0!</v>
      </c>
      <c r="M82" s="72" t="e">
        <f t="shared" si="12"/>
        <v>#DIV/0!</v>
      </c>
      <c r="N82" s="48"/>
      <c r="O82" s="50">
        <f t="shared" si="13"/>
        <v>0</v>
      </c>
      <c r="P82" s="50"/>
      <c r="Q82" s="50"/>
      <c r="R82" s="17">
        <f t="shared" si="14"/>
        <v>0</v>
      </c>
      <c r="S82" s="17" t="e">
        <f t="shared" si="15"/>
        <v>#DIV/0!</v>
      </c>
      <c r="T82" s="71" t="e">
        <f t="shared" si="16"/>
        <v>#DIV/0!</v>
      </c>
      <c r="U82" s="72" t="e">
        <f t="shared" si="17"/>
        <v>#DIV/0!</v>
      </c>
      <c r="V82" s="48"/>
      <c r="W82" s="73"/>
      <c r="X82" s="48"/>
      <c r="Y82" s="52" t="s">
        <v>48</v>
      </c>
      <c r="Z82" s="48"/>
      <c r="AA82" s="74"/>
      <c r="AB82" s="48"/>
      <c r="AC82" s="7"/>
      <c r="AD82" s="7"/>
      <c r="AE82" s="8"/>
      <c r="AF82" s="8"/>
    </row>
    <row r="83" spans="1:32" x14ac:dyDescent="0.2">
      <c r="A83" s="11">
        <v>45835</v>
      </c>
      <c r="B83" s="15"/>
      <c r="C83" s="62"/>
      <c r="D83" s="62"/>
      <c r="E83" s="62"/>
      <c r="F83" s="48"/>
      <c r="G83" s="49"/>
      <c r="H83" s="50"/>
      <c r="I83" s="50"/>
      <c r="J83" s="17">
        <f t="shared" si="9"/>
        <v>0</v>
      </c>
      <c r="K83" s="17" t="e">
        <f t="shared" si="10"/>
        <v>#DIV/0!</v>
      </c>
      <c r="L83" s="71" t="e">
        <f t="shared" si="11"/>
        <v>#DIV/0!</v>
      </c>
      <c r="M83" s="72" t="e">
        <f t="shared" si="12"/>
        <v>#DIV/0!</v>
      </c>
      <c r="N83" s="48"/>
      <c r="O83" s="50">
        <f t="shared" si="13"/>
        <v>0</v>
      </c>
      <c r="P83" s="50"/>
      <c r="Q83" s="50"/>
      <c r="R83" s="17">
        <f t="shared" si="14"/>
        <v>0</v>
      </c>
      <c r="S83" s="17" t="e">
        <f t="shared" si="15"/>
        <v>#DIV/0!</v>
      </c>
      <c r="T83" s="71" t="e">
        <f t="shared" si="16"/>
        <v>#DIV/0!</v>
      </c>
      <c r="U83" s="72" t="e">
        <f t="shared" si="17"/>
        <v>#DIV/0!</v>
      </c>
      <c r="V83" s="48"/>
      <c r="W83" s="73"/>
      <c r="X83" s="48"/>
      <c r="Y83" s="73"/>
      <c r="Z83" s="48"/>
      <c r="AA83" s="74"/>
      <c r="AB83" s="48"/>
      <c r="AC83" s="7"/>
      <c r="AD83" s="7"/>
      <c r="AE83" s="8"/>
      <c r="AF83" s="8"/>
    </row>
    <row r="84" spans="1:32" x14ac:dyDescent="0.2">
      <c r="A84" s="11">
        <v>45836</v>
      </c>
      <c r="B84" s="15"/>
      <c r="C84" s="62"/>
      <c r="D84" s="62"/>
      <c r="E84" s="62"/>
      <c r="F84" s="48"/>
      <c r="G84" s="49"/>
      <c r="H84" s="50"/>
      <c r="I84" s="50"/>
      <c r="J84" s="17">
        <f t="shared" si="9"/>
        <v>0</v>
      </c>
      <c r="K84" s="17" t="e">
        <f t="shared" si="10"/>
        <v>#DIV/0!</v>
      </c>
      <c r="L84" s="71" t="e">
        <f t="shared" si="11"/>
        <v>#DIV/0!</v>
      </c>
      <c r="M84" s="72" t="e">
        <f t="shared" si="12"/>
        <v>#DIV/0!</v>
      </c>
      <c r="N84" s="48"/>
      <c r="O84" s="50">
        <f t="shared" si="13"/>
        <v>0</v>
      </c>
      <c r="P84" s="50"/>
      <c r="Q84" s="50"/>
      <c r="R84" s="17">
        <f t="shared" si="14"/>
        <v>0</v>
      </c>
      <c r="S84" s="17" t="e">
        <f t="shared" si="15"/>
        <v>#DIV/0!</v>
      </c>
      <c r="T84" s="71" t="e">
        <f t="shared" si="16"/>
        <v>#DIV/0!</v>
      </c>
      <c r="U84" s="72" t="e">
        <f t="shared" si="17"/>
        <v>#DIV/0!</v>
      </c>
      <c r="V84" s="48"/>
      <c r="W84" s="73"/>
      <c r="X84" s="48"/>
      <c r="Y84" s="73"/>
      <c r="Z84" s="48"/>
      <c r="AA84" s="74"/>
      <c r="AB84" s="48"/>
      <c r="AC84" s="7"/>
      <c r="AD84" s="7"/>
      <c r="AE84" s="8"/>
      <c r="AF84" s="8"/>
    </row>
    <row r="85" spans="1:32" x14ac:dyDescent="0.2">
      <c r="A85" s="11">
        <v>45837</v>
      </c>
      <c r="B85" s="15"/>
      <c r="C85" s="62"/>
      <c r="D85" s="62"/>
      <c r="E85" s="62"/>
      <c r="F85" s="48"/>
      <c r="G85" s="49"/>
      <c r="H85" s="50"/>
      <c r="I85" s="50"/>
      <c r="J85" s="17">
        <f t="shared" si="9"/>
        <v>0</v>
      </c>
      <c r="K85" s="17" t="e">
        <f t="shared" si="10"/>
        <v>#DIV/0!</v>
      </c>
      <c r="L85" s="71" t="e">
        <f t="shared" si="11"/>
        <v>#DIV/0!</v>
      </c>
      <c r="M85" s="72" t="e">
        <f t="shared" si="12"/>
        <v>#DIV/0!</v>
      </c>
      <c r="N85" s="48"/>
      <c r="O85" s="50">
        <f t="shared" si="13"/>
        <v>0</v>
      </c>
      <c r="P85" s="50"/>
      <c r="Q85" s="50"/>
      <c r="R85" s="17">
        <f t="shared" si="14"/>
        <v>0</v>
      </c>
      <c r="S85" s="17" t="e">
        <f t="shared" si="15"/>
        <v>#DIV/0!</v>
      </c>
      <c r="T85" s="71" t="e">
        <f t="shared" si="16"/>
        <v>#DIV/0!</v>
      </c>
      <c r="U85" s="72" t="e">
        <f t="shared" si="17"/>
        <v>#DIV/0!</v>
      </c>
      <c r="V85" s="48"/>
      <c r="W85" s="73"/>
      <c r="X85" s="48"/>
      <c r="Y85" s="73"/>
      <c r="Z85" s="48"/>
      <c r="AA85" s="74"/>
      <c r="AB85" s="48"/>
      <c r="AC85" s="7"/>
      <c r="AD85" s="7"/>
      <c r="AE85" s="8"/>
      <c r="AF85" s="8"/>
    </row>
    <row r="86" spans="1:32" x14ac:dyDescent="0.2">
      <c r="A86" s="11">
        <v>45838</v>
      </c>
      <c r="B86" s="15"/>
      <c r="C86" s="62"/>
      <c r="D86" s="62"/>
      <c r="E86" s="62"/>
      <c r="F86" s="48"/>
      <c r="G86" s="49"/>
      <c r="H86" s="50"/>
      <c r="I86" s="50"/>
      <c r="J86" s="17">
        <f t="shared" si="9"/>
        <v>0</v>
      </c>
      <c r="K86" s="17" t="e">
        <f t="shared" si="10"/>
        <v>#DIV/0!</v>
      </c>
      <c r="L86" s="71" t="e">
        <f t="shared" si="11"/>
        <v>#DIV/0!</v>
      </c>
      <c r="M86" s="72" t="e">
        <f t="shared" si="12"/>
        <v>#DIV/0!</v>
      </c>
      <c r="N86" s="48"/>
      <c r="O86" s="50">
        <f t="shared" si="13"/>
        <v>0</v>
      </c>
      <c r="P86" s="50"/>
      <c r="Q86" s="50"/>
      <c r="R86" s="17">
        <f t="shared" si="14"/>
        <v>0</v>
      </c>
      <c r="S86" s="17" t="e">
        <f t="shared" si="15"/>
        <v>#DIV/0!</v>
      </c>
      <c r="T86" s="71" t="e">
        <f t="shared" si="16"/>
        <v>#DIV/0!</v>
      </c>
      <c r="U86" s="72" t="e">
        <f t="shared" si="17"/>
        <v>#DIV/0!</v>
      </c>
      <c r="V86" s="48"/>
      <c r="W86" s="73"/>
      <c r="X86" s="48"/>
      <c r="Y86" s="73"/>
      <c r="Z86" s="48"/>
      <c r="AA86" s="74"/>
      <c r="AB86" s="48"/>
      <c r="AC86" s="7"/>
      <c r="AD86" s="7"/>
      <c r="AE86" s="8"/>
      <c r="AF86" s="8"/>
    </row>
    <row r="87" spans="1:32" x14ac:dyDescent="0.2">
      <c r="A87" s="11">
        <v>45839</v>
      </c>
      <c r="B87" s="15"/>
      <c r="C87" s="62"/>
      <c r="D87" s="62"/>
      <c r="E87" s="62"/>
      <c r="F87" s="48"/>
      <c r="G87" s="49"/>
      <c r="H87" s="50"/>
      <c r="I87" s="50"/>
      <c r="J87" s="17">
        <f t="shared" si="9"/>
        <v>0</v>
      </c>
      <c r="K87" s="17" t="e">
        <f t="shared" si="10"/>
        <v>#DIV/0!</v>
      </c>
      <c r="L87" s="71" t="e">
        <f t="shared" si="11"/>
        <v>#DIV/0!</v>
      </c>
      <c r="M87" s="72" t="e">
        <f t="shared" si="12"/>
        <v>#DIV/0!</v>
      </c>
      <c r="N87" s="48"/>
      <c r="O87" s="50">
        <f t="shared" si="13"/>
        <v>0</v>
      </c>
      <c r="P87" s="50"/>
      <c r="Q87" s="50"/>
      <c r="R87" s="17">
        <f t="shared" si="14"/>
        <v>0</v>
      </c>
      <c r="S87" s="17" t="e">
        <f t="shared" si="15"/>
        <v>#DIV/0!</v>
      </c>
      <c r="T87" s="71" t="e">
        <f t="shared" si="16"/>
        <v>#DIV/0!</v>
      </c>
      <c r="U87" s="72" t="e">
        <f t="shared" si="17"/>
        <v>#DIV/0!</v>
      </c>
      <c r="V87" s="48"/>
      <c r="W87" s="73"/>
      <c r="X87" s="48"/>
      <c r="Y87" s="73"/>
      <c r="Z87" s="48"/>
      <c r="AA87" s="74"/>
      <c r="AB87" s="48"/>
      <c r="AC87" s="7"/>
      <c r="AD87" s="7"/>
      <c r="AE87" s="8"/>
      <c r="AF87" s="8"/>
    </row>
    <row r="88" spans="1:32" x14ac:dyDescent="0.2">
      <c r="A88" s="11">
        <v>45840</v>
      </c>
      <c r="B88" s="15"/>
      <c r="C88" s="62"/>
      <c r="D88" s="62"/>
      <c r="E88" s="62"/>
      <c r="F88" s="48"/>
      <c r="G88" s="49"/>
      <c r="H88" s="50"/>
      <c r="I88" s="50"/>
      <c r="J88" s="17">
        <f t="shared" si="9"/>
        <v>0</v>
      </c>
      <c r="K88" s="17" t="e">
        <f t="shared" si="10"/>
        <v>#DIV/0!</v>
      </c>
      <c r="L88" s="71" t="e">
        <f t="shared" si="11"/>
        <v>#DIV/0!</v>
      </c>
      <c r="M88" s="72" t="e">
        <f t="shared" si="12"/>
        <v>#DIV/0!</v>
      </c>
      <c r="N88" s="48"/>
      <c r="O88" s="50">
        <f t="shared" si="13"/>
        <v>0</v>
      </c>
      <c r="P88" s="50"/>
      <c r="Q88" s="50"/>
      <c r="R88" s="17">
        <f t="shared" si="14"/>
        <v>0</v>
      </c>
      <c r="S88" s="17" t="e">
        <f t="shared" si="15"/>
        <v>#DIV/0!</v>
      </c>
      <c r="T88" s="71" t="e">
        <f t="shared" si="16"/>
        <v>#DIV/0!</v>
      </c>
      <c r="U88" s="72" t="e">
        <f t="shared" si="17"/>
        <v>#DIV/0!</v>
      </c>
      <c r="V88" s="48"/>
      <c r="W88" s="73"/>
      <c r="X88" s="48"/>
      <c r="Y88" s="73"/>
      <c r="Z88" s="48"/>
      <c r="AA88" s="74"/>
      <c r="AB88" s="48"/>
      <c r="AC88" s="7"/>
      <c r="AD88" s="7"/>
      <c r="AE88" s="8"/>
      <c r="AF88" s="8"/>
    </row>
    <row r="89" spans="1:32" x14ac:dyDescent="0.2">
      <c r="A89" s="11">
        <v>45841</v>
      </c>
      <c r="B89" s="15"/>
      <c r="C89" s="62"/>
      <c r="D89" s="62"/>
      <c r="E89" s="62"/>
      <c r="F89" s="48"/>
      <c r="G89" s="49"/>
      <c r="H89" s="50"/>
      <c r="I89" s="50"/>
      <c r="J89" s="17">
        <f t="shared" si="9"/>
        <v>0</v>
      </c>
      <c r="K89" s="17" t="e">
        <f t="shared" si="10"/>
        <v>#DIV/0!</v>
      </c>
      <c r="L89" s="71" t="e">
        <f t="shared" si="11"/>
        <v>#DIV/0!</v>
      </c>
      <c r="M89" s="72" t="e">
        <f t="shared" si="12"/>
        <v>#DIV/0!</v>
      </c>
      <c r="N89" s="48"/>
      <c r="O89" s="50">
        <f t="shared" si="13"/>
        <v>0</v>
      </c>
      <c r="P89" s="50"/>
      <c r="Q89" s="50"/>
      <c r="R89" s="17">
        <f t="shared" si="14"/>
        <v>0</v>
      </c>
      <c r="S89" s="17" t="e">
        <f t="shared" si="15"/>
        <v>#DIV/0!</v>
      </c>
      <c r="T89" s="71" t="e">
        <f t="shared" si="16"/>
        <v>#DIV/0!</v>
      </c>
      <c r="U89" s="72" t="e">
        <f t="shared" si="17"/>
        <v>#DIV/0!</v>
      </c>
      <c r="V89" s="48"/>
      <c r="W89" s="73"/>
      <c r="X89" s="48"/>
      <c r="Y89" s="73"/>
      <c r="Z89" s="48"/>
      <c r="AA89" s="74"/>
      <c r="AB89" s="48"/>
      <c r="AC89" s="7"/>
      <c r="AD89" s="7"/>
      <c r="AE89" s="8"/>
      <c r="AF89" s="8"/>
    </row>
    <row r="90" spans="1:32" x14ac:dyDescent="0.2">
      <c r="A90" s="11">
        <v>45842</v>
      </c>
      <c r="B90" s="15"/>
      <c r="C90" s="62"/>
      <c r="D90" s="62"/>
      <c r="E90" s="62"/>
      <c r="F90" s="48"/>
      <c r="G90" s="49"/>
      <c r="H90" s="50"/>
      <c r="I90" s="50"/>
      <c r="J90" s="17">
        <f t="shared" si="9"/>
        <v>0</v>
      </c>
      <c r="K90" s="17" t="e">
        <f t="shared" si="10"/>
        <v>#DIV/0!</v>
      </c>
      <c r="L90" s="71" t="e">
        <f t="shared" si="11"/>
        <v>#DIV/0!</v>
      </c>
      <c r="M90" s="72" t="e">
        <f t="shared" si="12"/>
        <v>#DIV/0!</v>
      </c>
      <c r="N90" s="48"/>
      <c r="O90" s="50">
        <f t="shared" si="13"/>
        <v>0</v>
      </c>
      <c r="P90" s="50"/>
      <c r="Q90" s="50"/>
      <c r="R90" s="17">
        <f t="shared" si="14"/>
        <v>0</v>
      </c>
      <c r="S90" s="17" t="e">
        <f t="shared" si="15"/>
        <v>#DIV/0!</v>
      </c>
      <c r="T90" s="71" t="e">
        <f t="shared" si="16"/>
        <v>#DIV/0!</v>
      </c>
      <c r="U90" s="72" t="e">
        <f t="shared" si="17"/>
        <v>#DIV/0!</v>
      </c>
      <c r="V90" s="48"/>
      <c r="W90" s="73"/>
      <c r="X90" s="48"/>
      <c r="Y90" s="73"/>
      <c r="Z90" s="48"/>
      <c r="AA90" s="74"/>
      <c r="AB90" s="48"/>
      <c r="AC90" s="7"/>
      <c r="AD90" s="7"/>
      <c r="AE90" s="8"/>
      <c r="AF90" s="8"/>
    </row>
    <row r="91" spans="1:32" x14ac:dyDescent="0.2">
      <c r="A91" s="11">
        <v>45843</v>
      </c>
      <c r="B91" s="15"/>
      <c r="C91" s="62"/>
      <c r="D91" s="62"/>
      <c r="E91" s="62"/>
      <c r="F91" s="48"/>
      <c r="G91" s="49"/>
      <c r="H91" s="50"/>
      <c r="I91" s="50"/>
      <c r="J91" s="17">
        <f t="shared" si="9"/>
        <v>0</v>
      </c>
      <c r="K91" s="17" t="e">
        <f t="shared" si="10"/>
        <v>#DIV/0!</v>
      </c>
      <c r="L91" s="71" t="e">
        <f t="shared" si="11"/>
        <v>#DIV/0!</v>
      </c>
      <c r="M91" s="72" t="e">
        <f t="shared" si="12"/>
        <v>#DIV/0!</v>
      </c>
      <c r="N91" s="48"/>
      <c r="O91" s="50">
        <f t="shared" si="13"/>
        <v>0</v>
      </c>
      <c r="P91" s="50"/>
      <c r="Q91" s="50"/>
      <c r="R91" s="17">
        <f t="shared" si="14"/>
        <v>0</v>
      </c>
      <c r="S91" s="17" t="e">
        <f t="shared" si="15"/>
        <v>#DIV/0!</v>
      </c>
      <c r="T91" s="71" t="e">
        <f t="shared" si="16"/>
        <v>#DIV/0!</v>
      </c>
      <c r="U91" s="72" t="e">
        <f t="shared" si="17"/>
        <v>#DIV/0!</v>
      </c>
      <c r="V91" s="48"/>
      <c r="W91" s="73"/>
      <c r="X91" s="48"/>
      <c r="Y91" s="73"/>
      <c r="Z91" s="48"/>
      <c r="AA91" s="74"/>
      <c r="AB91" s="48"/>
      <c r="AC91" s="7"/>
      <c r="AD91" s="7"/>
      <c r="AE91" s="8"/>
      <c r="AF91" s="8"/>
    </row>
    <row r="92" spans="1:32" x14ac:dyDescent="0.2">
      <c r="A92" s="11">
        <v>45844</v>
      </c>
      <c r="B92" s="15"/>
      <c r="C92" s="62"/>
      <c r="D92" s="62"/>
      <c r="E92" s="62"/>
      <c r="F92" s="48"/>
      <c r="G92" s="49"/>
      <c r="H92" s="50"/>
      <c r="I92" s="50"/>
      <c r="J92" s="17">
        <f t="shared" si="9"/>
        <v>0</v>
      </c>
      <c r="K92" s="17" t="e">
        <f t="shared" si="10"/>
        <v>#DIV/0!</v>
      </c>
      <c r="L92" s="71" t="e">
        <f t="shared" si="11"/>
        <v>#DIV/0!</v>
      </c>
      <c r="M92" s="72" t="e">
        <f t="shared" si="12"/>
        <v>#DIV/0!</v>
      </c>
      <c r="N92" s="48"/>
      <c r="O92" s="50">
        <f t="shared" si="13"/>
        <v>0</v>
      </c>
      <c r="P92" s="50"/>
      <c r="Q92" s="50"/>
      <c r="R92" s="17">
        <f t="shared" si="14"/>
        <v>0</v>
      </c>
      <c r="S92" s="17" t="e">
        <f t="shared" si="15"/>
        <v>#DIV/0!</v>
      </c>
      <c r="T92" s="71" t="e">
        <f t="shared" si="16"/>
        <v>#DIV/0!</v>
      </c>
      <c r="U92" s="72" t="e">
        <f t="shared" si="17"/>
        <v>#DIV/0!</v>
      </c>
      <c r="V92" s="48"/>
      <c r="W92" s="73"/>
      <c r="X92" s="48"/>
      <c r="Y92" s="73"/>
      <c r="Z92" s="48"/>
      <c r="AA92" s="74"/>
      <c r="AB92" s="48"/>
      <c r="AC92" s="7"/>
      <c r="AD92" s="7"/>
      <c r="AE92" s="8"/>
      <c r="AF92" s="8"/>
    </row>
    <row r="93" spans="1:32" x14ac:dyDescent="0.2">
      <c r="A93" s="11">
        <v>45845</v>
      </c>
      <c r="B93" s="15"/>
      <c r="C93" s="62"/>
      <c r="D93" s="62"/>
      <c r="E93" s="62"/>
      <c r="F93" s="48"/>
      <c r="G93" s="49"/>
      <c r="H93" s="50"/>
      <c r="I93" s="50"/>
      <c r="J93" s="17">
        <f t="shared" si="9"/>
        <v>0</v>
      </c>
      <c r="K93" s="17" t="e">
        <f t="shared" si="10"/>
        <v>#DIV/0!</v>
      </c>
      <c r="L93" s="71" t="e">
        <f t="shared" si="11"/>
        <v>#DIV/0!</v>
      </c>
      <c r="M93" s="72" t="e">
        <f t="shared" si="12"/>
        <v>#DIV/0!</v>
      </c>
      <c r="N93" s="48"/>
      <c r="O93" s="50">
        <f t="shared" si="13"/>
        <v>0</v>
      </c>
      <c r="P93" s="50"/>
      <c r="Q93" s="50"/>
      <c r="R93" s="17">
        <f t="shared" si="14"/>
        <v>0</v>
      </c>
      <c r="S93" s="17" t="e">
        <f t="shared" si="15"/>
        <v>#DIV/0!</v>
      </c>
      <c r="T93" s="71" t="e">
        <f t="shared" si="16"/>
        <v>#DIV/0!</v>
      </c>
      <c r="U93" s="72" t="e">
        <f t="shared" si="17"/>
        <v>#DIV/0!</v>
      </c>
      <c r="V93" s="48"/>
      <c r="W93" s="73"/>
      <c r="X93" s="48"/>
      <c r="Y93" s="73"/>
      <c r="Z93" s="48"/>
      <c r="AA93" s="74"/>
      <c r="AB93" s="48"/>
      <c r="AC93" s="7"/>
      <c r="AD93" s="7"/>
      <c r="AE93" s="8"/>
      <c r="AF93" s="8"/>
    </row>
    <row r="94" spans="1:32" x14ac:dyDescent="0.2">
      <c r="A94" s="11">
        <v>45846</v>
      </c>
      <c r="B94" s="15"/>
      <c r="C94" s="62"/>
      <c r="D94" s="62"/>
      <c r="E94" s="62"/>
      <c r="F94" s="48"/>
      <c r="G94" s="49"/>
      <c r="H94" s="50"/>
      <c r="I94" s="50"/>
      <c r="J94" s="17">
        <f t="shared" si="9"/>
        <v>0</v>
      </c>
      <c r="K94" s="17" t="e">
        <f t="shared" si="10"/>
        <v>#DIV/0!</v>
      </c>
      <c r="L94" s="71" t="e">
        <f t="shared" si="11"/>
        <v>#DIV/0!</v>
      </c>
      <c r="M94" s="72" t="e">
        <f t="shared" si="12"/>
        <v>#DIV/0!</v>
      </c>
      <c r="N94" s="48"/>
      <c r="O94" s="50">
        <f t="shared" si="13"/>
        <v>0</v>
      </c>
      <c r="P94" s="50"/>
      <c r="Q94" s="50"/>
      <c r="R94" s="17">
        <f t="shared" si="14"/>
        <v>0</v>
      </c>
      <c r="S94" s="17" t="e">
        <f t="shared" si="15"/>
        <v>#DIV/0!</v>
      </c>
      <c r="T94" s="71" t="e">
        <f t="shared" si="16"/>
        <v>#DIV/0!</v>
      </c>
      <c r="U94" s="72" t="e">
        <f t="shared" si="17"/>
        <v>#DIV/0!</v>
      </c>
      <c r="V94" s="48"/>
      <c r="W94" s="73"/>
      <c r="X94" s="48"/>
      <c r="Y94" s="73"/>
      <c r="Z94" s="48"/>
      <c r="AA94" s="74"/>
      <c r="AB94" s="48"/>
      <c r="AC94" s="7"/>
      <c r="AD94" s="7"/>
      <c r="AE94" s="8"/>
      <c r="AF94" s="8"/>
    </row>
    <row r="95" spans="1:32" x14ac:dyDescent="0.2">
      <c r="A95" s="11">
        <v>45847</v>
      </c>
      <c r="B95" s="15"/>
      <c r="C95" s="62"/>
      <c r="D95" s="62"/>
      <c r="E95" s="62"/>
      <c r="F95" s="48"/>
      <c r="G95" s="49"/>
      <c r="H95" s="50"/>
      <c r="I95" s="50"/>
      <c r="J95" s="17">
        <f t="shared" si="9"/>
        <v>0</v>
      </c>
      <c r="K95" s="17" t="e">
        <f t="shared" si="10"/>
        <v>#DIV/0!</v>
      </c>
      <c r="L95" s="71" t="e">
        <f t="shared" si="11"/>
        <v>#DIV/0!</v>
      </c>
      <c r="M95" s="72" t="e">
        <f t="shared" si="12"/>
        <v>#DIV/0!</v>
      </c>
      <c r="N95" s="48"/>
      <c r="O95" s="50">
        <f t="shared" si="13"/>
        <v>0</v>
      </c>
      <c r="P95" s="50"/>
      <c r="Q95" s="50"/>
      <c r="R95" s="17">
        <f t="shared" si="14"/>
        <v>0</v>
      </c>
      <c r="S95" s="17" t="e">
        <f t="shared" si="15"/>
        <v>#DIV/0!</v>
      </c>
      <c r="T95" s="71" t="e">
        <f t="shared" si="16"/>
        <v>#DIV/0!</v>
      </c>
      <c r="U95" s="72" t="e">
        <f t="shared" si="17"/>
        <v>#DIV/0!</v>
      </c>
      <c r="V95" s="48"/>
      <c r="W95" s="73"/>
      <c r="X95" s="48"/>
      <c r="Y95" s="73"/>
      <c r="Z95" s="48"/>
      <c r="AA95" s="74"/>
      <c r="AB95" s="48"/>
      <c r="AC95" s="7"/>
      <c r="AD95" s="7"/>
      <c r="AE95" s="8"/>
      <c r="AF95" s="8"/>
    </row>
    <row r="96" spans="1:32" x14ac:dyDescent="0.2">
      <c r="A96" s="11">
        <v>45848</v>
      </c>
      <c r="B96" s="15"/>
      <c r="C96" s="62"/>
      <c r="D96" s="62"/>
      <c r="E96" s="62"/>
      <c r="F96" s="48"/>
      <c r="G96" s="49"/>
      <c r="H96" s="50"/>
      <c r="I96" s="50"/>
      <c r="J96" s="17">
        <f t="shared" si="9"/>
        <v>0</v>
      </c>
      <c r="K96" s="17" t="e">
        <f t="shared" si="10"/>
        <v>#DIV/0!</v>
      </c>
      <c r="L96" s="71" t="e">
        <f t="shared" si="11"/>
        <v>#DIV/0!</v>
      </c>
      <c r="M96" s="72" t="e">
        <f t="shared" si="12"/>
        <v>#DIV/0!</v>
      </c>
      <c r="N96" s="48"/>
      <c r="O96" s="50">
        <f t="shared" si="13"/>
        <v>0</v>
      </c>
      <c r="P96" s="50"/>
      <c r="Q96" s="50"/>
      <c r="R96" s="17">
        <f t="shared" si="14"/>
        <v>0</v>
      </c>
      <c r="S96" s="17" t="e">
        <f t="shared" si="15"/>
        <v>#DIV/0!</v>
      </c>
      <c r="T96" s="71" t="e">
        <f t="shared" si="16"/>
        <v>#DIV/0!</v>
      </c>
      <c r="U96" s="72" t="e">
        <f t="shared" si="17"/>
        <v>#DIV/0!</v>
      </c>
      <c r="V96" s="48"/>
      <c r="W96" s="73"/>
      <c r="X96" s="48"/>
      <c r="Y96" s="73"/>
      <c r="Z96" s="48"/>
      <c r="AA96" s="74"/>
      <c r="AB96" s="48"/>
      <c r="AC96" s="7"/>
      <c r="AD96" s="7"/>
      <c r="AE96" s="8"/>
      <c r="AF96" s="8"/>
    </row>
    <row r="97" spans="1:32" x14ac:dyDescent="0.2">
      <c r="A97" s="11">
        <v>45849</v>
      </c>
      <c r="B97" s="15"/>
      <c r="C97" s="62"/>
      <c r="D97" s="62"/>
      <c r="E97" s="62"/>
      <c r="F97" s="48"/>
      <c r="G97" s="49"/>
      <c r="H97" s="50"/>
      <c r="I97" s="50"/>
      <c r="J97" s="17">
        <f t="shared" si="9"/>
        <v>0</v>
      </c>
      <c r="K97" s="17" t="e">
        <f t="shared" si="10"/>
        <v>#DIV/0!</v>
      </c>
      <c r="L97" s="71" t="e">
        <f t="shared" si="11"/>
        <v>#DIV/0!</v>
      </c>
      <c r="M97" s="72" t="e">
        <f t="shared" si="12"/>
        <v>#DIV/0!</v>
      </c>
      <c r="N97" s="48"/>
      <c r="O97" s="50">
        <f t="shared" si="13"/>
        <v>0</v>
      </c>
      <c r="P97" s="50"/>
      <c r="Q97" s="50"/>
      <c r="R97" s="17">
        <f t="shared" si="14"/>
        <v>0</v>
      </c>
      <c r="S97" s="17" t="e">
        <f t="shared" si="15"/>
        <v>#DIV/0!</v>
      </c>
      <c r="T97" s="71" t="e">
        <f t="shared" si="16"/>
        <v>#DIV/0!</v>
      </c>
      <c r="U97" s="72" t="e">
        <f t="shared" si="17"/>
        <v>#DIV/0!</v>
      </c>
      <c r="V97" s="48"/>
      <c r="W97" s="73"/>
      <c r="X97" s="48"/>
      <c r="Y97" s="73"/>
      <c r="Z97" s="48"/>
      <c r="AA97" s="74"/>
      <c r="AB97" s="48"/>
      <c r="AC97" s="7"/>
      <c r="AD97" s="7"/>
      <c r="AE97" s="8"/>
      <c r="AF97" s="8"/>
    </row>
    <row r="98" spans="1:32" x14ac:dyDescent="0.2">
      <c r="A98" s="11">
        <v>45850</v>
      </c>
      <c r="B98" s="15"/>
      <c r="C98" s="62"/>
      <c r="D98" s="62"/>
      <c r="E98" s="62"/>
      <c r="F98" s="48"/>
      <c r="G98" s="49"/>
      <c r="H98" s="50"/>
      <c r="I98" s="50"/>
      <c r="J98" s="17">
        <f t="shared" si="9"/>
        <v>0</v>
      </c>
      <c r="K98" s="17" t="e">
        <f t="shared" si="10"/>
        <v>#DIV/0!</v>
      </c>
      <c r="L98" s="71" t="e">
        <f t="shared" si="11"/>
        <v>#DIV/0!</v>
      </c>
      <c r="M98" s="72" t="e">
        <f t="shared" si="12"/>
        <v>#DIV/0!</v>
      </c>
      <c r="N98" s="48"/>
      <c r="O98" s="50">
        <f t="shared" si="13"/>
        <v>0</v>
      </c>
      <c r="P98" s="50"/>
      <c r="Q98" s="50"/>
      <c r="R98" s="17">
        <f t="shared" si="14"/>
        <v>0</v>
      </c>
      <c r="S98" s="17" t="e">
        <f t="shared" si="15"/>
        <v>#DIV/0!</v>
      </c>
      <c r="T98" s="71" t="e">
        <f t="shared" si="16"/>
        <v>#DIV/0!</v>
      </c>
      <c r="U98" s="72" t="e">
        <f t="shared" si="17"/>
        <v>#DIV/0!</v>
      </c>
      <c r="V98" s="48"/>
      <c r="W98" s="73"/>
      <c r="X98" s="48"/>
      <c r="Y98" s="73"/>
      <c r="Z98" s="48"/>
      <c r="AA98" s="74"/>
      <c r="AB98" s="48"/>
      <c r="AC98" s="7"/>
      <c r="AD98" s="7"/>
      <c r="AE98" s="8"/>
      <c r="AF98" s="8"/>
    </row>
    <row r="99" spans="1:32" x14ac:dyDescent="0.2">
      <c r="A99" s="11">
        <v>45851</v>
      </c>
      <c r="B99" s="15"/>
      <c r="C99" s="62"/>
      <c r="D99" s="62"/>
      <c r="E99" s="62"/>
      <c r="F99" s="48"/>
      <c r="G99" s="49"/>
      <c r="H99" s="50"/>
      <c r="I99" s="50"/>
      <c r="J99" s="17">
        <f t="shared" si="9"/>
        <v>0</v>
      </c>
      <c r="K99" s="17" t="e">
        <f t="shared" si="10"/>
        <v>#DIV/0!</v>
      </c>
      <c r="L99" s="71" t="e">
        <f t="shared" si="11"/>
        <v>#DIV/0!</v>
      </c>
      <c r="M99" s="72" t="e">
        <f t="shared" si="12"/>
        <v>#DIV/0!</v>
      </c>
      <c r="N99" s="48"/>
      <c r="O99" s="50">
        <f t="shared" si="13"/>
        <v>0</v>
      </c>
      <c r="P99" s="50"/>
      <c r="Q99" s="50"/>
      <c r="R99" s="17">
        <f t="shared" si="14"/>
        <v>0</v>
      </c>
      <c r="S99" s="17" t="e">
        <f t="shared" si="15"/>
        <v>#DIV/0!</v>
      </c>
      <c r="T99" s="71" t="e">
        <f t="shared" si="16"/>
        <v>#DIV/0!</v>
      </c>
      <c r="U99" s="72" t="e">
        <f t="shared" si="17"/>
        <v>#DIV/0!</v>
      </c>
      <c r="V99" s="48"/>
      <c r="W99" s="73"/>
      <c r="X99" s="48"/>
      <c r="Y99" s="73"/>
      <c r="Z99" s="48"/>
      <c r="AA99" s="74"/>
      <c r="AB99" s="48"/>
      <c r="AC99" s="7"/>
      <c r="AD99" s="7"/>
      <c r="AE99" s="8"/>
      <c r="AF99" s="8"/>
    </row>
    <row r="100" spans="1:32" x14ac:dyDescent="0.2">
      <c r="A100" s="11">
        <v>45852</v>
      </c>
      <c r="B100" s="15"/>
      <c r="C100" s="62"/>
      <c r="D100" s="62"/>
      <c r="E100" s="62"/>
      <c r="F100" s="48"/>
      <c r="G100" s="49"/>
      <c r="H100" s="50"/>
      <c r="I100" s="50"/>
      <c r="J100" s="17">
        <f t="shared" si="9"/>
        <v>0</v>
      </c>
      <c r="K100" s="17" t="e">
        <f t="shared" si="10"/>
        <v>#DIV/0!</v>
      </c>
      <c r="L100" s="71" t="e">
        <f t="shared" si="11"/>
        <v>#DIV/0!</v>
      </c>
      <c r="M100" s="72" t="e">
        <f t="shared" si="12"/>
        <v>#DIV/0!</v>
      </c>
      <c r="N100" s="48"/>
      <c r="O100" s="50">
        <f t="shared" si="13"/>
        <v>0</v>
      </c>
      <c r="P100" s="50"/>
      <c r="Q100" s="50"/>
      <c r="R100" s="17">
        <f t="shared" si="14"/>
        <v>0</v>
      </c>
      <c r="S100" s="17" t="e">
        <f t="shared" si="15"/>
        <v>#DIV/0!</v>
      </c>
      <c r="T100" s="71" t="e">
        <f t="shared" si="16"/>
        <v>#DIV/0!</v>
      </c>
      <c r="U100" s="72" t="e">
        <f t="shared" si="17"/>
        <v>#DIV/0!</v>
      </c>
      <c r="V100" s="48"/>
      <c r="W100" s="73"/>
      <c r="X100" s="48"/>
      <c r="Y100" s="73"/>
      <c r="Z100" s="48"/>
      <c r="AA100" s="74"/>
      <c r="AB100" s="48"/>
      <c r="AC100" s="7"/>
      <c r="AD100" s="7"/>
      <c r="AE100" s="8"/>
      <c r="AF100" s="8"/>
    </row>
    <row r="101" spans="1:32" x14ac:dyDescent="0.2">
      <c r="A101" s="11">
        <v>45853</v>
      </c>
      <c r="B101" s="15"/>
      <c r="C101" s="62"/>
      <c r="D101" s="62"/>
      <c r="E101" s="62"/>
      <c r="F101" s="48"/>
      <c r="G101" s="49"/>
      <c r="H101" s="50"/>
      <c r="I101" s="50"/>
      <c r="J101" s="17">
        <f t="shared" si="9"/>
        <v>0</v>
      </c>
      <c r="K101" s="17" t="e">
        <f t="shared" si="10"/>
        <v>#DIV/0!</v>
      </c>
      <c r="L101" s="71" t="e">
        <f t="shared" si="11"/>
        <v>#DIV/0!</v>
      </c>
      <c r="M101" s="72" t="e">
        <f t="shared" si="12"/>
        <v>#DIV/0!</v>
      </c>
      <c r="N101" s="48"/>
      <c r="O101" s="50">
        <f t="shared" si="13"/>
        <v>0</v>
      </c>
      <c r="P101" s="50"/>
      <c r="Q101" s="50"/>
      <c r="R101" s="17">
        <f t="shared" si="14"/>
        <v>0</v>
      </c>
      <c r="S101" s="17" t="e">
        <f t="shared" si="15"/>
        <v>#DIV/0!</v>
      </c>
      <c r="T101" s="71" t="e">
        <f t="shared" si="16"/>
        <v>#DIV/0!</v>
      </c>
      <c r="U101" s="72" t="e">
        <f t="shared" si="17"/>
        <v>#DIV/0!</v>
      </c>
      <c r="V101" s="48"/>
      <c r="W101" s="73"/>
      <c r="X101" s="48"/>
      <c r="Y101" s="73"/>
      <c r="Z101" s="48"/>
      <c r="AA101" s="74"/>
      <c r="AB101" s="48"/>
      <c r="AC101" s="7"/>
      <c r="AD101" s="7"/>
      <c r="AE101" s="8"/>
      <c r="AF101" s="8"/>
    </row>
    <row r="102" spans="1:32" x14ac:dyDescent="0.2">
      <c r="A102" s="11">
        <v>45854</v>
      </c>
      <c r="B102" s="15"/>
      <c r="C102" s="62"/>
      <c r="D102" s="62"/>
      <c r="E102" s="62"/>
      <c r="F102" s="48"/>
      <c r="G102" s="49"/>
      <c r="H102" s="50"/>
      <c r="I102" s="50"/>
      <c r="J102" s="17">
        <f t="shared" si="9"/>
        <v>0</v>
      </c>
      <c r="K102" s="17" t="e">
        <f t="shared" si="10"/>
        <v>#DIV/0!</v>
      </c>
      <c r="L102" s="71" t="e">
        <f t="shared" si="11"/>
        <v>#DIV/0!</v>
      </c>
      <c r="M102" s="72" t="e">
        <f t="shared" si="12"/>
        <v>#DIV/0!</v>
      </c>
      <c r="N102" s="48"/>
      <c r="O102" s="50">
        <f t="shared" si="13"/>
        <v>0</v>
      </c>
      <c r="P102" s="50"/>
      <c r="Q102" s="50"/>
      <c r="R102" s="17">
        <f t="shared" si="14"/>
        <v>0</v>
      </c>
      <c r="S102" s="17" t="e">
        <f t="shared" si="15"/>
        <v>#DIV/0!</v>
      </c>
      <c r="T102" s="71" t="e">
        <f t="shared" si="16"/>
        <v>#DIV/0!</v>
      </c>
      <c r="U102" s="72" t="e">
        <f t="shared" si="17"/>
        <v>#DIV/0!</v>
      </c>
      <c r="V102" s="48"/>
      <c r="W102" s="73"/>
      <c r="X102" s="48"/>
      <c r="Y102" s="73"/>
      <c r="Z102" s="48"/>
      <c r="AA102" s="74"/>
      <c r="AB102" s="48"/>
      <c r="AC102" s="7"/>
      <c r="AD102" s="7"/>
      <c r="AE102" s="8"/>
      <c r="AF102" s="8"/>
    </row>
    <row r="103" spans="1:32" x14ac:dyDescent="0.2">
      <c r="A103" s="11">
        <v>45855</v>
      </c>
      <c r="B103" s="15"/>
      <c r="C103" s="62"/>
      <c r="D103" s="62"/>
      <c r="E103" s="62"/>
      <c r="F103" s="48"/>
      <c r="G103" s="49"/>
      <c r="H103" s="50"/>
      <c r="I103" s="50"/>
      <c r="J103" s="17">
        <f t="shared" si="9"/>
        <v>0</v>
      </c>
      <c r="K103" s="17" t="e">
        <f t="shared" si="10"/>
        <v>#DIV/0!</v>
      </c>
      <c r="L103" s="71" t="e">
        <f t="shared" si="11"/>
        <v>#DIV/0!</v>
      </c>
      <c r="M103" s="72" t="e">
        <f t="shared" si="12"/>
        <v>#DIV/0!</v>
      </c>
      <c r="N103" s="48"/>
      <c r="O103" s="50">
        <f t="shared" si="13"/>
        <v>0</v>
      </c>
      <c r="P103" s="50"/>
      <c r="Q103" s="50"/>
      <c r="R103" s="17">
        <f t="shared" si="14"/>
        <v>0</v>
      </c>
      <c r="S103" s="17" t="e">
        <f t="shared" si="15"/>
        <v>#DIV/0!</v>
      </c>
      <c r="T103" s="71" t="e">
        <f t="shared" si="16"/>
        <v>#DIV/0!</v>
      </c>
      <c r="U103" s="72" t="e">
        <f t="shared" si="17"/>
        <v>#DIV/0!</v>
      </c>
      <c r="V103" s="48"/>
      <c r="W103" s="73"/>
      <c r="X103" s="48"/>
      <c r="Y103" s="73"/>
      <c r="Z103" s="48"/>
      <c r="AA103" s="74"/>
      <c r="AB103" s="48"/>
      <c r="AC103" s="7"/>
      <c r="AD103" s="7"/>
      <c r="AE103" s="8"/>
      <c r="AF103" s="8"/>
    </row>
    <row r="104" spans="1:32" x14ac:dyDescent="0.2">
      <c r="A104" s="11">
        <v>45856</v>
      </c>
      <c r="B104" s="15"/>
      <c r="C104" s="62"/>
      <c r="D104" s="62"/>
      <c r="E104" s="62"/>
      <c r="F104" s="48"/>
      <c r="G104" s="49"/>
      <c r="H104" s="50"/>
      <c r="I104" s="50"/>
      <c r="J104" s="17">
        <f t="shared" si="9"/>
        <v>0</v>
      </c>
      <c r="K104" s="17" t="e">
        <f t="shared" si="10"/>
        <v>#DIV/0!</v>
      </c>
      <c r="L104" s="71" t="e">
        <f t="shared" si="11"/>
        <v>#DIV/0!</v>
      </c>
      <c r="M104" s="72" t="e">
        <f t="shared" si="12"/>
        <v>#DIV/0!</v>
      </c>
      <c r="N104" s="48"/>
      <c r="O104" s="50">
        <f t="shared" si="13"/>
        <v>0</v>
      </c>
      <c r="P104" s="50"/>
      <c r="Q104" s="50"/>
      <c r="R104" s="17">
        <f t="shared" si="14"/>
        <v>0</v>
      </c>
      <c r="S104" s="17" t="e">
        <f t="shared" si="15"/>
        <v>#DIV/0!</v>
      </c>
      <c r="T104" s="71" t="e">
        <f t="shared" si="16"/>
        <v>#DIV/0!</v>
      </c>
      <c r="U104" s="72" t="e">
        <f t="shared" si="17"/>
        <v>#DIV/0!</v>
      </c>
      <c r="V104" s="48"/>
      <c r="W104" s="73"/>
      <c r="X104" s="48"/>
      <c r="Y104" s="73"/>
      <c r="Z104" s="48"/>
      <c r="AA104" s="74"/>
      <c r="AB104" s="48"/>
      <c r="AC104" s="7"/>
      <c r="AD104" s="7"/>
      <c r="AE104" s="8"/>
      <c r="AF104" s="8"/>
    </row>
    <row r="105" spans="1:32" x14ac:dyDescent="0.2">
      <c r="A105" s="11">
        <v>45857</v>
      </c>
      <c r="B105" s="15"/>
      <c r="C105" s="62"/>
      <c r="D105" s="62"/>
      <c r="E105" s="62"/>
      <c r="F105" s="48"/>
      <c r="G105" s="49"/>
      <c r="H105" s="50"/>
      <c r="I105" s="50"/>
      <c r="J105" s="17">
        <f t="shared" si="9"/>
        <v>0</v>
      </c>
      <c r="K105" s="17" t="e">
        <f t="shared" si="10"/>
        <v>#DIV/0!</v>
      </c>
      <c r="L105" s="71" t="e">
        <f t="shared" si="11"/>
        <v>#DIV/0!</v>
      </c>
      <c r="M105" s="72" t="e">
        <f t="shared" si="12"/>
        <v>#DIV/0!</v>
      </c>
      <c r="N105" s="48"/>
      <c r="O105" s="50">
        <f t="shared" si="13"/>
        <v>0</v>
      </c>
      <c r="P105" s="50"/>
      <c r="Q105" s="50"/>
      <c r="R105" s="17">
        <f t="shared" si="14"/>
        <v>0</v>
      </c>
      <c r="S105" s="17" t="e">
        <f t="shared" si="15"/>
        <v>#DIV/0!</v>
      </c>
      <c r="T105" s="71" t="e">
        <f t="shared" si="16"/>
        <v>#DIV/0!</v>
      </c>
      <c r="U105" s="72" t="e">
        <f t="shared" si="17"/>
        <v>#DIV/0!</v>
      </c>
      <c r="V105" s="48"/>
      <c r="W105" s="73"/>
      <c r="X105" s="48"/>
      <c r="Y105" s="73"/>
      <c r="Z105" s="48"/>
      <c r="AA105" s="74"/>
      <c r="AB105" s="48"/>
      <c r="AC105" s="7"/>
      <c r="AD105" s="7"/>
      <c r="AE105" s="8"/>
      <c r="AF105" s="8"/>
    </row>
    <row r="106" spans="1:32" x14ac:dyDescent="0.2">
      <c r="A106" s="11">
        <v>45858</v>
      </c>
      <c r="B106" s="15"/>
      <c r="C106" s="62"/>
      <c r="D106" s="62"/>
      <c r="E106" s="62"/>
      <c r="F106" s="48"/>
      <c r="G106" s="49"/>
      <c r="H106" s="50"/>
      <c r="I106" s="50"/>
      <c r="J106" s="17">
        <f t="shared" si="9"/>
        <v>0</v>
      </c>
      <c r="K106" s="17" t="e">
        <f t="shared" si="10"/>
        <v>#DIV/0!</v>
      </c>
      <c r="L106" s="71" t="e">
        <f t="shared" si="11"/>
        <v>#DIV/0!</v>
      </c>
      <c r="M106" s="72" t="e">
        <f t="shared" si="12"/>
        <v>#DIV/0!</v>
      </c>
      <c r="N106" s="48"/>
      <c r="O106" s="50">
        <f t="shared" ref="O106:O169" si="23">G106-I106</f>
        <v>0</v>
      </c>
      <c r="P106" s="50"/>
      <c r="Q106" s="50"/>
      <c r="R106" s="17">
        <f t="shared" si="14"/>
        <v>0</v>
      </c>
      <c r="S106" s="17" t="e">
        <f t="shared" si="15"/>
        <v>#DIV/0!</v>
      </c>
      <c r="T106" s="71" t="e">
        <f t="shared" si="16"/>
        <v>#DIV/0!</v>
      </c>
      <c r="U106" s="72" t="e">
        <f t="shared" si="17"/>
        <v>#DIV/0!</v>
      </c>
      <c r="V106" s="48"/>
      <c r="W106" s="73"/>
      <c r="X106" s="48"/>
      <c r="Y106" s="73"/>
      <c r="Z106" s="48"/>
      <c r="AA106" s="74"/>
      <c r="AB106" s="48"/>
      <c r="AC106" s="7"/>
      <c r="AD106" s="7"/>
      <c r="AE106" s="8"/>
      <c r="AF106" s="8"/>
    </row>
    <row r="107" spans="1:32" x14ac:dyDescent="0.2">
      <c r="A107" s="11">
        <v>45859</v>
      </c>
      <c r="B107" s="15"/>
      <c r="C107" s="62"/>
      <c r="D107" s="62"/>
      <c r="E107" s="62"/>
      <c r="F107" s="48"/>
      <c r="G107" s="49"/>
      <c r="H107" s="50"/>
      <c r="I107" s="50"/>
      <c r="J107" s="17">
        <f t="shared" si="9"/>
        <v>0</v>
      </c>
      <c r="K107" s="17" t="e">
        <f t="shared" si="10"/>
        <v>#DIV/0!</v>
      </c>
      <c r="L107" s="71" t="e">
        <f t="shared" si="11"/>
        <v>#DIV/0!</v>
      </c>
      <c r="M107" s="72" t="e">
        <f t="shared" si="12"/>
        <v>#DIV/0!</v>
      </c>
      <c r="N107" s="48"/>
      <c r="O107" s="50">
        <f t="shared" si="23"/>
        <v>0</v>
      </c>
      <c r="P107" s="50"/>
      <c r="Q107" s="50"/>
      <c r="R107" s="17">
        <f t="shared" si="14"/>
        <v>0</v>
      </c>
      <c r="S107" s="17" t="e">
        <f t="shared" si="15"/>
        <v>#DIV/0!</v>
      </c>
      <c r="T107" s="71" t="e">
        <f t="shared" si="16"/>
        <v>#DIV/0!</v>
      </c>
      <c r="U107" s="72" t="e">
        <f t="shared" si="17"/>
        <v>#DIV/0!</v>
      </c>
      <c r="V107" s="48"/>
      <c r="W107" s="73"/>
      <c r="X107" s="48"/>
      <c r="Y107" s="73"/>
      <c r="Z107" s="48"/>
      <c r="AA107" s="74"/>
      <c r="AB107" s="48"/>
      <c r="AC107" s="7"/>
      <c r="AD107" s="7"/>
      <c r="AE107" s="8"/>
      <c r="AF107" s="8"/>
    </row>
    <row r="108" spans="1:32" x14ac:dyDescent="0.2">
      <c r="A108" s="11">
        <v>45860</v>
      </c>
      <c r="B108" s="15"/>
      <c r="C108" s="62"/>
      <c r="D108" s="62"/>
      <c r="E108" s="62"/>
      <c r="F108" s="48"/>
      <c r="G108" s="49"/>
      <c r="H108" s="50"/>
      <c r="I108" s="50"/>
      <c r="J108" s="17">
        <f t="shared" si="9"/>
        <v>0</v>
      </c>
      <c r="K108" s="17" t="e">
        <f t="shared" si="10"/>
        <v>#DIV/0!</v>
      </c>
      <c r="L108" s="71" t="e">
        <f t="shared" si="11"/>
        <v>#DIV/0!</v>
      </c>
      <c r="M108" s="72" t="e">
        <f t="shared" si="12"/>
        <v>#DIV/0!</v>
      </c>
      <c r="N108" s="48"/>
      <c r="O108" s="50">
        <f t="shared" si="23"/>
        <v>0</v>
      </c>
      <c r="P108" s="50"/>
      <c r="Q108" s="50"/>
      <c r="R108" s="17">
        <f t="shared" si="14"/>
        <v>0</v>
      </c>
      <c r="S108" s="17" t="e">
        <f t="shared" si="15"/>
        <v>#DIV/0!</v>
      </c>
      <c r="T108" s="71" t="e">
        <f t="shared" si="16"/>
        <v>#DIV/0!</v>
      </c>
      <c r="U108" s="72" t="e">
        <f t="shared" si="17"/>
        <v>#DIV/0!</v>
      </c>
      <c r="V108" s="48"/>
      <c r="W108" s="73"/>
      <c r="X108" s="48"/>
      <c r="Y108" s="73"/>
      <c r="Z108" s="48"/>
      <c r="AA108" s="74"/>
      <c r="AB108" s="48"/>
      <c r="AC108" s="7"/>
      <c r="AD108" s="7"/>
      <c r="AE108" s="8"/>
      <c r="AF108" s="8"/>
    </row>
    <row r="109" spans="1:32" x14ac:dyDescent="0.2">
      <c r="A109" s="11">
        <v>45861</v>
      </c>
      <c r="B109" s="15"/>
      <c r="C109" s="62"/>
      <c r="D109" s="62"/>
      <c r="E109" s="62"/>
      <c r="F109" s="48"/>
      <c r="G109" s="49"/>
      <c r="H109" s="50"/>
      <c r="I109" s="50"/>
      <c r="J109" s="17">
        <f t="shared" si="9"/>
        <v>0</v>
      </c>
      <c r="K109" s="17" t="e">
        <f t="shared" ref="K109:K172" si="24">I109/G109</f>
        <v>#DIV/0!</v>
      </c>
      <c r="L109" s="71" t="e">
        <f t="shared" ref="L109:L172" si="25">1/(1-K109)</f>
        <v>#DIV/0!</v>
      </c>
      <c r="M109" s="72" t="e">
        <f t="shared" si="12"/>
        <v>#DIV/0!</v>
      </c>
      <c r="N109" s="48"/>
      <c r="O109" s="50">
        <f t="shared" si="23"/>
        <v>0</v>
      </c>
      <c r="P109" s="50"/>
      <c r="Q109" s="50"/>
      <c r="R109" s="17">
        <f t="shared" si="14"/>
        <v>0</v>
      </c>
      <c r="S109" s="17" t="e">
        <f t="shared" si="15"/>
        <v>#DIV/0!</v>
      </c>
      <c r="T109" s="71" t="e">
        <f t="shared" si="16"/>
        <v>#DIV/0!</v>
      </c>
      <c r="U109" s="72" t="e">
        <f t="shared" si="17"/>
        <v>#DIV/0!</v>
      </c>
      <c r="V109" s="48"/>
      <c r="W109" s="73"/>
      <c r="X109" s="48"/>
      <c r="Y109" s="73"/>
      <c r="Z109" s="48"/>
      <c r="AA109" s="74"/>
      <c r="AB109" s="48"/>
      <c r="AC109" s="7"/>
      <c r="AD109" s="7"/>
      <c r="AE109" s="8"/>
      <c r="AF109" s="8"/>
    </row>
    <row r="110" spans="1:32" x14ac:dyDescent="0.2">
      <c r="A110" s="11">
        <v>45862</v>
      </c>
      <c r="B110" s="15"/>
      <c r="C110" s="62"/>
      <c r="D110" s="62"/>
      <c r="E110" s="62"/>
      <c r="F110" s="48"/>
      <c r="G110" s="49"/>
      <c r="H110" s="50"/>
      <c r="I110" s="50"/>
      <c r="J110" s="17">
        <f t="shared" si="9"/>
        <v>0</v>
      </c>
      <c r="K110" s="17" t="e">
        <f t="shared" si="24"/>
        <v>#DIV/0!</v>
      </c>
      <c r="L110" s="71" t="e">
        <f t="shared" si="25"/>
        <v>#DIV/0!</v>
      </c>
      <c r="M110" s="72" t="e">
        <f t="shared" si="12"/>
        <v>#DIV/0!</v>
      </c>
      <c r="N110" s="48"/>
      <c r="O110" s="50">
        <f t="shared" si="23"/>
        <v>0</v>
      </c>
      <c r="P110" s="50"/>
      <c r="Q110" s="50"/>
      <c r="R110" s="17">
        <f t="shared" si="14"/>
        <v>0</v>
      </c>
      <c r="S110" s="17" t="e">
        <f t="shared" si="15"/>
        <v>#DIV/0!</v>
      </c>
      <c r="T110" s="71" t="e">
        <f t="shared" si="16"/>
        <v>#DIV/0!</v>
      </c>
      <c r="U110" s="72" t="e">
        <f t="shared" si="17"/>
        <v>#DIV/0!</v>
      </c>
      <c r="V110" s="48"/>
      <c r="W110" s="73"/>
      <c r="X110" s="48"/>
      <c r="Y110" s="73"/>
      <c r="Z110" s="48"/>
      <c r="AA110" s="74"/>
      <c r="AB110" s="48"/>
      <c r="AC110" s="7"/>
      <c r="AD110" s="7"/>
      <c r="AE110" s="8"/>
      <c r="AF110" s="8"/>
    </row>
    <row r="111" spans="1:32" x14ac:dyDescent="0.2">
      <c r="A111" s="11">
        <v>45863</v>
      </c>
      <c r="B111" s="15"/>
      <c r="C111" s="62"/>
      <c r="D111" s="62"/>
      <c r="E111" s="62"/>
      <c r="F111" s="48"/>
      <c r="G111" s="49"/>
      <c r="H111" s="50"/>
      <c r="I111" s="50"/>
      <c r="J111" s="17">
        <f t="shared" ref="J111:J174" si="26">F111-H111</f>
        <v>0</v>
      </c>
      <c r="K111" s="17" t="e">
        <f t="shared" si="24"/>
        <v>#DIV/0!</v>
      </c>
      <c r="L111" s="71" t="e">
        <f t="shared" si="25"/>
        <v>#DIV/0!</v>
      </c>
      <c r="M111" s="72" t="e">
        <f t="shared" ref="M111:M174" si="27">(G112-G111)/G112</f>
        <v>#DIV/0!</v>
      </c>
      <c r="N111" s="48"/>
      <c r="O111" s="50">
        <f t="shared" si="23"/>
        <v>0</v>
      </c>
      <c r="P111" s="50"/>
      <c r="Q111" s="50"/>
      <c r="R111" s="17">
        <f t="shared" ref="R111:R174" si="28">N111-P111</f>
        <v>0</v>
      </c>
      <c r="S111" s="17" t="e">
        <f t="shared" ref="S111:S174" si="29">Q111/O111</f>
        <v>#DIV/0!</v>
      </c>
      <c r="T111" s="71" t="e">
        <f t="shared" ref="T111:T174" si="30">1/(1-S111)</f>
        <v>#DIV/0!</v>
      </c>
      <c r="U111" s="72" t="e">
        <f t="shared" ref="U111:U174" si="31">(O112-O111)/O112</f>
        <v>#DIV/0!</v>
      </c>
      <c r="V111" s="48"/>
      <c r="W111" s="73"/>
      <c r="X111" s="48"/>
      <c r="Y111" s="73"/>
      <c r="Z111" s="48"/>
      <c r="AA111" s="74"/>
      <c r="AB111" s="48"/>
      <c r="AC111" s="7"/>
      <c r="AD111" s="7"/>
      <c r="AE111" s="8"/>
      <c r="AF111" s="8"/>
    </row>
    <row r="112" spans="1:32" x14ac:dyDescent="0.2">
      <c r="A112" s="11">
        <v>45864</v>
      </c>
      <c r="B112" s="15"/>
      <c r="C112" s="62"/>
      <c r="D112" s="62"/>
      <c r="E112" s="62"/>
      <c r="F112" s="48"/>
      <c r="G112" s="49"/>
      <c r="H112" s="50"/>
      <c r="I112" s="50"/>
      <c r="J112" s="17">
        <f t="shared" si="26"/>
        <v>0</v>
      </c>
      <c r="K112" s="17" t="e">
        <f t="shared" si="24"/>
        <v>#DIV/0!</v>
      </c>
      <c r="L112" s="71" t="e">
        <f t="shared" si="25"/>
        <v>#DIV/0!</v>
      </c>
      <c r="M112" s="72" t="e">
        <f t="shared" si="27"/>
        <v>#DIV/0!</v>
      </c>
      <c r="N112" s="48"/>
      <c r="O112" s="50">
        <f t="shared" si="23"/>
        <v>0</v>
      </c>
      <c r="P112" s="50"/>
      <c r="Q112" s="50"/>
      <c r="R112" s="17">
        <f t="shared" si="28"/>
        <v>0</v>
      </c>
      <c r="S112" s="17" t="e">
        <f t="shared" si="29"/>
        <v>#DIV/0!</v>
      </c>
      <c r="T112" s="71" t="e">
        <f t="shared" si="30"/>
        <v>#DIV/0!</v>
      </c>
      <c r="U112" s="72" t="e">
        <f t="shared" si="31"/>
        <v>#DIV/0!</v>
      </c>
      <c r="V112" s="48"/>
      <c r="W112" s="73"/>
      <c r="X112" s="48"/>
      <c r="Y112" s="73"/>
      <c r="Z112" s="48"/>
      <c r="AA112" s="74"/>
      <c r="AB112" s="48"/>
      <c r="AC112" s="7"/>
      <c r="AD112" s="7"/>
      <c r="AE112" s="8"/>
      <c r="AF112" s="8"/>
    </row>
    <row r="113" spans="1:32" x14ac:dyDescent="0.2">
      <c r="A113" s="11">
        <v>45865</v>
      </c>
      <c r="B113" s="15"/>
      <c r="C113" s="62"/>
      <c r="D113" s="62"/>
      <c r="E113" s="62"/>
      <c r="F113" s="48"/>
      <c r="G113" s="49"/>
      <c r="H113" s="50"/>
      <c r="I113" s="50"/>
      <c r="J113" s="17">
        <f t="shared" si="26"/>
        <v>0</v>
      </c>
      <c r="K113" s="17" t="e">
        <f t="shared" si="24"/>
        <v>#DIV/0!</v>
      </c>
      <c r="L113" s="71" t="e">
        <f t="shared" si="25"/>
        <v>#DIV/0!</v>
      </c>
      <c r="M113" s="72" t="e">
        <f t="shared" si="27"/>
        <v>#DIV/0!</v>
      </c>
      <c r="N113" s="48"/>
      <c r="O113" s="50">
        <f t="shared" si="23"/>
        <v>0</v>
      </c>
      <c r="P113" s="50"/>
      <c r="Q113" s="50"/>
      <c r="R113" s="17">
        <f t="shared" si="28"/>
        <v>0</v>
      </c>
      <c r="S113" s="17" t="e">
        <f t="shared" si="29"/>
        <v>#DIV/0!</v>
      </c>
      <c r="T113" s="71" t="e">
        <f t="shared" si="30"/>
        <v>#DIV/0!</v>
      </c>
      <c r="U113" s="72" t="e">
        <f t="shared" si="31"/>
        <v>#DIV/0!</v>
      </c>
      <c r="V113" s="48"/>
      <c r="W113" s="73"/>
      <c r="X113" s="48"/>
      <c r="Y113" s="73"/>
      <c r="Z113" s="48"/>
      <c r="AA113" s="74"/>
      <c r="AB113" s="48"/>
      <c r="AC113" s="7"/>
      <c r="AD113" s="7"/>
      <c r="AE113" s="8"/>
      <c r="AF113" s="8"/>
    </row>
    <row r="114" spans="1:32" x14ac:dyDescent="0.2">
      <c r="A114" s="11">
        <v>45866</v>
      </c>
      <c r="B114" s="15"/>
      <c r="C114" s="62"/>
      <c r="D114" s="62"/>
      <c r="E114" s="62"/>
      <c r="F114" s="48"/>
      <c r="G114" s="49"/>
      <c r="H114" s="50"/>
      <c r="I114" s="50"/>
      <c r="J114" s="17">
        <f t="shared" si="26"/>
        <v>0</v>
      </c>
      <c r="K114" s="17" t="e">
        <f t="shared" si="24"/>
        <v>#DIV/0!</v>
      </c>
      <c r="L114" s="71" t="e">
        <f t="shared" si="25"/>
        <v>#DIV/0!</v>
      </c>
      <c r="M114" s="72" t="e">
        <f t="shared" si="27"/>
        <v>#DIV/0!</v>
      </c>
      <c r="N114" s="48"/>
      <c r="O114" s="50">
        <f t="shared" si="23"/>
        <v>0</v>
      </c>
      <c r="P114" s="50"/>
      <c r="Q114" s="50"/>
      <c r="R114" s="17">
        <f t="shared" si="28"/>
        <v>0</v>
      </c>
      <c r="S114" s="17" t="e">
        <f t="shared" si="29"/>
        <v>#DIV/0!</v>
      </c>
      <c r="T114" s="71" t="e">
        <f t="shared" si="30"/>
        <v>#DIV/0!</v>
      </c>
      <c r="U114" s="72" t="e">
        <f t="shared" si="31"/>
        <v>#DIV/0!</v>
      </c>
      <c r="V114" s="48"/>
      <c r="W114" s="73"/>
      <c r="X114" s="48"/>
      <c r="Y114" s="73"/>
      <c r="Z114" s="48"/>
      <c r="AA114" s="74"/>
      <c r="AB114" s="48"/>
      <c r="AC114" s="7"/>
      <c r="AD114" s="7"/>
      <c r="AE114" s="8"/>
      <c r="AF114" s="8"/>
    </row>
    <row r="115" spans="1:32" x14ac:dyDescent="0.2">
      <c r="A115" s="11">
        <v>45867</v>
      </c>
      <c r="B115" s="15"/>
      <c r="C115" s="62"/>
      <c r="D115" s="62"/>
      <c r="E115" s="62"/>
      <c r="F115" s="48"/>
      <c r="G115" s="49"/>
      <c r="H115" s="50"/>
      <c r="I115" s="50"/>
      <c r="J115" s="17">
        <f t="shared" si="26"/>
        <v>0</v>
      </c>
      <c r="K115" s="17" t="e">
        <f t="shared" si="24"/>
        <v>#DIV/0!</v>
      </c>
      <c r="L115" s="71" t="e">
        <f t="shared" si="25"/>
        <v>#DIV/0!</v>
      </c>
      <c r="M115" s="72" t="e">
        <f t="shared" si="27"/>
        <v>#DIV/0!</v>
      </c>
      <c r="N115" s="48"/>
      <c r="O115" s="50">
        <f t="shared" si="23"/>
        <v>0</v>
      </c>
      <c r="P115" s="50"/>
      <c r="Q115" s="50"/>
      <c r="R115" s="17">
        <f t="shared" si="28"/>
        <v>0</v>
      </c>
      <c r="S115" s="17" t="e">
        <f t="shared" si="29"/>
        <v>#DIV/0!</v>
      </c>
      <c r="T115" s="71" t="e">
        <f t="shared" si="30"/>
        <v>#DIV/0!</v>
      </c>
      <c r="U115" s="72" t="e">
        <f t="shared" si="31"/>
        <v>#DIV/0!</v>
      </c>
      <c r="V115" s="48"/>
      <c r="W115" s="73"/>
      <c r="X115" s="48"/>
      <c r="Y115" s="73"/>
      <c r="Z115" s="48"/>
      <c r="AA115" s="74"/>
      <c r="AB115" s="48"/>
      <c r="AC115" s="7"/>
      <c r="AD115" s="7"/>
      <c r="AE115" s="8"/>
      <c r="AF115" s="8"/>
    </row>
    <row r="116" spans="1:32" x14ac:dyDescent="0.2">
      <c r="A116" s="11">
        <v>45868</v>
      </c>
      <c r="B116" s="15"/>
      <c r="C116" s="62"/>
      <c r="D116" s="62"/>
      <c r="E116" s="62"/>
      <c r="F116" s="48"/>
      <c r="G116" s="49"/>
      <c r="H116" s="50"/>
      <c r="I116" s="50"/>
      <c r="J116" s="17">
        <f t="shared" si="26"/>
        <v>0</v>
      </c>
      <c r="K116" s="17" t="e">
        <f t="shared" si="24"/>
        <v>#DIV/0!</v>
      </c>
      <c r="L116" s="71" t="e">
        <f t="shared" si="25"/>
        <v>#DIV/0!</v>
      </c>
      <c r="M116" s="72" t="e">
        <f t="shared" si="27"/>
        <v>#DIV/0!</v>
      </c>
      <c r="N116" s="48"/>
      <c r="O116" s="50">
        <f t="shared" si="23"/>
        <v>0</v>
      </c>
      <c r="P116" s="50"/>
      <c r="Q116" s="50"/>
      <c r="R116" s="17">
        <f t="shared" si="28"/>
        <v>0</v>
      </c>
      <c r="S116" s="17" t="e">
        <f t="shared" si="29"/>
        <v>#DIV/0!</v>
      </c>
      <c r="T116" s="71" t="e">
        <f t="shared" si="30"/>
        <v>#DIV/0!</v>
      </c>
      <c r="U116" s="72" t="e">
        <f t="shared" si="31"/>
        <v>#DIV/0!</v>
      </c>
      <c r="V116" s="48"/>
      <c r="W116" s="73"/>
      <c r="X116" s="48"/>
      <c r="Y116" s="73"/>
      <c r="Z116" s="48"/>
      <c r="AA116" s="74"/>
      <c r="AB116" s="48"/>
      <c r="AC116" s="7"/>
      <c r="AD116" s="7"/>
      <c r="AE116" s="8"/>
      <c r="AF116" s="8"/>
    </row>
    <row r="117" spans="1:32" x14ac:dyDescent="0.2">
      <c r="A117" s="11">
        <v>45869</v>
      </c>
      <c r="B117" s="15"/>
      <c r="C117" s="62"/>
      <c r="D117" s="62"/>
      <c r="E117" s="62"/>
      <c r="F117" s="48"/>
      <c r="G117" s="49"/>
      <c r="H117" s="50"/>
      <c r="I117" s="50"/>
      <c r="J117" s="17">
        <f t="shared" si="26"/>
        <v>0</v>
      </c>
      <c r="K117" s="17" t="e">
        <f t="shared" si="24"/>
        <v>#DIV/0!</v>
      </c>
      <c r="L117" s="71" t="e">
        <f t="shared" si="25"/>
        <v>#DIV/0!</v>
      </c>
      <c r="M117" s="72" t="e">
        <f t="shared" si="27"/>
        <v>#DIV/0!</v>
      </c>
      <c r="N117" s="48"/>
      <c r="O117" s="50">
        <f t="shared" si="23"/>
        <v>0</v>
      </c>
      <c r="P117" s="50"/>
      <c r="Q117" s="50"/>
      <c r="R117" s="17">
        <f t="shared" si="28"/>
        <v>0</v>
      </c>
      <c r="S117" s="17" t="e">
        <f t="shared" si="29"/>
        <v>#DIV/0!</v>
      </c>
      <c r="T117" s="71" t="e">
        <f t="shared" si="30"/>
        <v>#DIV/0!</v>
      </c>
      <c r="U117" s="72" t="e">
        <f t="shared" si="31"/>
        <v>#DIV/0!</v>
      </c>
      <c r="V117" s="48"/>
      <c r="W117" s="73"/>
      <c r="X117" s="48"/>
      <c r="Y117" s="73"/>
      <c r="Z117" s="48"/>
      <c r="AA117" s="74"/>
      <c r="AB117" s="48"/>
      <c r="AC117" s="7"/>
      <c r="AD117" s="7"/>
      <c r="AE117" s="8"/>
      <c r="AF117" s="8"/>
    </row>
    <row r="118" spans="1:32" x14ac:dyDescent="0.2">
      <c r="A118" s="11">
        <v>45870</v>
      </c>
      <c r="B118" s="15"/>
      <c r="C118" s="62"/>
      <c r="D118" s="62"/>
      <c r="E118" s="62"/>
      <c r="F118" s="48"/>
      <c r="G118" s="49"/>
      <c r="H118" s="50"/>
      <c r="I118" s="50"/>
      <c r="J118" s="17">
        <f t="shared" si="26"/>
        <v>0</v>
      </c>
      <c r="K118" s="17" t="e">
        <f t="shared" si="24"/>
        <v>#DIV/0!</v>
      </c>
      <c r="L118" s="71" t="e">
        <f t="shared" si="25"/>
        <v>#DIV/0!</v>
      </c>
      <c r="M118" s="72" t="e">
        <f t="shared" si="27"/>
        <v>#DIV/0!</v>
      </c>
      <c r="N118" s="48"/>
      <c r="O118" s="50">
        <f t="shared" si="23"/>
        <v>0</v>
      </c>
      <c r="P118" s="50"/>
      <c r="Q118" s="50"/>
      <c r="R118" s="17">
        <f t="shared" si="28"/>
        <v>0</v>
      </c>
      <c r="S118" s="17" t="e">
        <f t="shared" si="29"/>
        <v>#DIV/0!</v>
      </c>
      <c r="T118" s="71" t="e">
        <f t="shared" si="30"/>
        <v>#DIV/0!</v>
      </c>
      <c r="U118" s="72" t="e">
        <f t="shared" si="31"/>
        <v>#DIV/0!</v>
      </c>
      <c r="V118" s="48"/>
      <c r="W118" s="73"/>
      <c r="X118" s="48"/>
      <c r="Y118" s="73"/>
      <c r="Z118" s="48"/>
      <c r="AA118" s="74"/>
      <c r="AB118" s="48"/>
      <c r="AC118" s="7"/>
      <c r="AD118" s="7"/>
      <c r="AE118" s="8"/>
      <c r="AF118" s="8"/>
    </row>
    <row r="119" spans="1:32" x14ac:dyDescent="0.2">
      <c r="A119" s="11">
        <v>45871</v>
      </c>
      <c r="B119" s="15"/>
      <c r="C119" s="62"/>
      <c r="D119" s="62"/>
      <c r="E119" s="62"/>
      <c r="F119" s="48"/>
      <c r="G119" s="49"/>
      <c r="H119" s="50"/>
      <c r="I119" s="50"/>
      <c r="J119" s="17">
        <f t="shared" si="26"/>
        <v>0</v>
      </c>
      <c r="K119" s="17" t="e">
        <f t="shared" si="24"/>
        <v>#DIV/0!</v>
      </c>
      <c r="L119" s="71" t="e">
        <f t="shared" si="25"/>
        <v>#DIV/0!</v>
      </c>
      <c r="M119" s="72" t="e">
        <f t="shared" si="27"/>
        <v>#DIV/0!</v>
      </c>
      <c r="N119" s="48"/>
      <c r="O119" s="50">
        <f t="shared" si="23"/>
        <v>0</v>
      </c>
      <c r="P119" s="50"/>
      <c r="Q119" s="50"/>
      <c r="R119" s="17">
        <f t="shared" si="28"/>
        <v>0</v>
      </c>
      <c r="S119" s="17" t="e">
        <f t="shared" si="29"/>
        <v>#DIV/0!</v>
      </c>
      <c r="T119" s="71" t="e">
        <f t="shared" si="30"/>
        <v>#DIV/0!</v>
      </c>
      <c r="U119" s="72" t="e">
        <f t="shared" si="31"/>
        <v>#DIV/0!</v>
      </c>
      <c r="V119" s="48"/>
      <c r="W119" s="73"/>
      <c r="X119" s="48"/>
      <c r="Y119" s="73"/>
      <c r="Z119" s="48"/>
      <c r="AA119" s="74"/>
      <c r="AB119" s="48"/>
      <c r="AC119" s="7"/>
      <c r="AD119" s="7"/>
      <c r="AE119" s="8"/>
      <c r="AF119" s="8"/>
    </row>
    <row r="120" spans="1:32" x14ac:dyDescent="0.2">
      <c r="A120" s="11">
        <v>45872</v>
      </c>
      <c r="B120" s="15"/>
      <c r="C120" s="62"/>
      <c r="D120" s="62"/>
      <c r="E120" s="62"/>
      <c r="F120" s="48"/>
      <c r="G120" s="49"/>
      <c r="H120" s="50"/>
      <c r="I120" s="50"/>
      <c r="J120" s="17">
        <f t="shared" si="26"/>
        <v>0</v>
      </c>
      <c r="K120" s="17" t="e">
        <f t="shared" si="24"/>
        <v>#DIV/0!</v>
      </c>
      <c r="L120" s="71" t="e">
        <f t="shared" si="25"/>
        <v>#DIV/0!</v>
      </c>
      <c r="M120" s="72" t="e">
        <f t="shared" si="27"/>
        <v>#DIV/0!</v>
      </c>
      <c r="N120" s="48"/>
      <c r="O120" s="50">
        <f t="shared" si="23"/>
        <v>0</v>
      </c>
      <c r="P120" s="50"/>
      <c r="Q120" s="50"/>
      <c r="R120" s="17">
        <f t="shared" si="28"/>
        <v>0</v>
      </c>
      <c r="S120" s="17" t="e">
        <f t="shared" si="29"/>
        <v>#DIV/0!</v>
      </c>
      <c r="T120" s="71" t="e">
        <f t="shared" si="30"/>
        <v>#DIV/0!</v>
      </c>
      <c r="U120" s="72" t="e">
        <f t="shared" si="31"/>
        <v>#DIV/0!</v>
      </c>
      <c r="V120" s="48"/>
      <c r="W120" s="73"/>
      <c r="X120" s="48"/>
      <c r="Y120" s="73"/>
      <c r="Z120" s="48"/>
      <c r="AA120" s="74"/>
      <c r="AB120" s="48"/>
      <c r="AC120" s="7"/>
      <c r="AD120" s="7"/>
      <c r="AE120" s="8"/>
      <c r="AF120" s="8"/>
    </row>
    <row r="121" spans="1:32" x14ac:dyDescent="0.2">
      <c r="A121" s="11">
        <v>45873</v>
      </c>
      <c r="B121" s="15"/>
      <c r="C121" s="62"/>
      <c r="D121" s="62"/>
      <c r="E121" s="62"/>
      <c r="F121" s="48"/>
      <c r="G121" s="49"/>
      <c r="H121" s="50"/>
      <c r="I121" s="50"/>
      <c r="J121" s="17">
        <f t="shared" si="26"/>
        <v>0</v>
      </c>
      <c r="K121" s="17" t="e">
        <f t="shared" si="24"/>
        <v>#DIV/0!</v>
      </c>
      <c r="L121" s="71" t="e">
        <f t="shared" si="25"/>
        <v>#DIV/0!</v>
      </c>
      <c r="M121" s="72" t="e">
        <f t="shared" si="27"/>
        <v>#DIV/0!</v>
      </c>
      <c r="N121" s="48"/>
      <c r="O121" s="50">
        <f t="shared" si="23"/>
        <v>0</v>
      </c>
      <c r="P121" s="50"/>
      <c r="Q121" s="50"/>
      <c r="R121" s="17">
        <f t="shared" si="28"/>
        <v>0</v>
      </c>
      <c r="S121" s="17" t="e">
        <f t="shared" si="29"/>
        <v>#DIV/0!</v>
      </c>
      <c r="T121" s="71" t="e">
        <f t="shared" si="30"/>
        <v>#DIV/0!</v>
      </c>
      <c r="U121" s="72" t="e">
        <f t="shared" si="31"/>
        <v>#DIV/0!</v>
      </c>
      <c r="V121" s="48"/>
      <c r="W121" s="73"/>
      <c r="X121" s="48"/>
      <c r="Y121" s="73"/>
      <c r="Z121" s="48"/>
      <c r="AA121" s="74"/>
      <c r="AB121" s="48"/>
      <c r="AC121" s="7"/>
      <c r="AD121" s="7"/>
      <c r="AE121" s="8"/>
      <c r="AF121" s="8"/>
    </row>
    <row r="122" spans="1:32" x14ac:dyDescent="0.2">
      <c r="A122" s="11">
        <v>45874</v>
      </c>
      <c r="B122" s="15"/>
      <c r="C122" s="62"/>
      <c r="D122" s="62"/>
      <c r="E122" s="62"/>
      <c r="F122" s="48"/>
      <c r="G122" s="49"/>
      <c r="H122" s="50"/>
      <c r="I122" s="50"/>
      <c r="J122" s="17">
        <f t="shared" si="26"/>
        <v>0</v>
      </c>
      <c r="K122" s="17" t="e">
        <f t="shared" si="24"/>
        <v>#DIV/0!</v>
      </c>
      <c r="L122" s="71" t="e">
        <f t="shared" si="25"/>
        <v>#DIV/0!</v>
      </c>
      <c r="M122" s="72" t="e">
        <f t="shared" si="27"/>
        <v>#DIV/0!</v>
      </c>
      <c r="N122" s="48"/>
      <c r="O122" s="50">
        <f t="shared" si="23"/>
        <v>0</v>
      </c>
      <c r="P122" s="50"/>
      <c r="Q122" s="50"/>
      <c r="R122" s="17">
        <f t="shared" si="28"/>
        <v>0</v>
      </c>
      <c r="S122" s="17" t="e">
        <f t="shared" si="29"/>
        <v>#DIV/0!</v>
      </c>
      <c r="T122" s="71" t="e">
        <f t="shared" si="30"/>
        <v>#DIV/0!</v>
      </c>
      <c r="U122" s="72" t="e">
        <f t="shared" si="31"/>
        <v>#DIV/0!</v>
      </c>
      <c r="V122" s="48"/>
      <c r="W122" s="73"/>
      <c r="X122" s="48"/>
      <c r="Y122" s="73"/>
      <c r="Z122" s="48"/>
      <c r="AA122" s="74"/>
      <c r="AB122" s="48"/>
      <c r="AC122" s="7"/>
      <c r="AD122" s="7"/>
      <c r="AE122" s="8"/>
      <c r="AF122" s="8"/>
    </row>
    <row r="123" spans="1:32" x14ac:dyDescent="0.2">
      <c r="A123" s="11">
        <v>45875</v>
      </c>
      <c r="B123" s="15"/>
      <c r="C123" s="62"/>
      <c r="D123" s="62"/>
      <c r="E123" s="62"/>
      <c r="F123" s="48"/>
      <c r="G123" s="49"/>
      <c r="H123" s="50"/>
      <c r="I123" s="50"/>
      <c r="J123" s="17">
        <f t="shared" si="26"/>
        <v>0</v>
      </c>
      <c r="K123" s="17" t="e">
        <f t="shared" si="24"/>
        <v>#DIV/0!</v>
      </c>
      <c r="L123" s="71" t="e">
        <f t="shared" si="25"/>
        <v>#DIV/0!</v>
      </c>
      <c r="M123" s="72" t="e">
        <f t="shared" si="27"/>
        <v>#DIV/0!</v>
      </c>
      <c r="N123" s="48"/>
      <c r="O123" s="50">
        <f t="shared" si="23"/>
        <v>0</v>
      </c>
      <c r="P123" s="50"/>
      <c r="Q123" s="50"/>
      <c r="R123" s="17">
        <f t="shared" si="28"/>
        <v>0</v>
      </c>
      <c r="S123" s="17" t="e">
        <f t="shared" si="29"/>
        <v>#DIV/0!</v>
      </c>
      <c r="T123" s="71" t="e">
        <f t="shared" si="30"/>
        <v>#DIV/0!</v>
      </c>
      <c r="U123" s="72" t="e">
        <f t="shared" si="31"/>
        <v>#DIV/0!</v>
      </c>
      <c r="V123" s="48"/>
      <c r="W123" s="73"/>
      <c r="X123" s="48"/>
      <c r="Y123" s="73"/>
      <c r="Z123" s="48"/>
      <c r="AA123" s="74"/>
      <c r="AB123" s="48"/>
      <c r="AC123" s="7"/>
      <c r="AD123" s="7"/>
      <c r="AE123" s="8"/>
      <c r="AF123" s="8"/>
    </row>
    <row r="124" spans="1:32" x14ac:dyDescent="0.2">
      <c r="A124" s="11">
        <v>45876</v>
      </c>
      <c r="B124" s="15"/>
      <c r="C124" s="62"/>
      <c r="D124" s="62"/>
      <c r="E124" s="62"/>
      <c r="F124" s="48"/>
      <c r="G124" s="49"/>
      <c r="H124" s="50"/>
      <c r="I124" s="50"/>
      <c r="J124" s="17">
        <f t="shared" si="26"/>
        <v>0</v>
      </c>
      <c r="K124" s="17" t="e">
        <f t="shared" si="24"/>
        <v>#DIV/0!</v>
      </c>
      <c r="L124" s="71" t="e">
        <f t="shared" si="25"/>
        <v>#DIV/0!</v>
      </c>
      <c r="M124" s="72" t="e">
        <f t="shared" si="27"/>
        <v>#DIV/0!</v>
      </c>
      <c r="N124" s="48"/>
      <c r="O124" s="50">
        <f t="shared" si="23"/>
        <v>0</v>
      </c>
      <c r="P124" s="50"/>
      <c r="Q124" s="50"/>
      <c r="R124" s="17">
        <f t="shared" si="28"/>
        <v>0</v>
      </c>
      <c r="S124" s="17" t="e">
        <f t="shared" si="29"/>
        <v>#DIV/0!</v>
      </c>
      <c r="T124" s="71" t="e">
        <f t="shared" si="30"/>
        <v>#DIV/0!</v>
      </c>
      <c r="U124" s="72" t="e">
        <f t="shared" si="31"/>
        <v>#DIV/0!</v>
      </c>
      <c r="V124" s="48"/>
      <c r="W124" s="73"/>
      <c r="X124" s="48"/>
      <c r="Y124" s="73"/>
      <c r="Z124" s="48"/>
      <c r="AA124" s="74"/>
      <c r="AB124" s="48"/>
      <c r="AC124" s="7"/>
      <c r="AD124" s="7"/>
      <c r="AE124" s="8"/>
      <c r="AF124" s="8"/>
    </row>
    <row r="125" spans="1:32" x14ac:dyDescent="0.2">
      <c r="A125" s="11">
        <v>45877</v>
      </c>
      <c r="B125" s="15"/>
      <c r="C125" s="62"/>
      <c r="D125" s="62"/>
      <c r="E125" s="62"/>
      <c r="F125" s="48"/>
      <c r="G125" s="49"/>
      <c r="H125" s="50"/>
      <c r="I125" s="50"/>
      <c r="J125" s="17">
        <f t="shared" si="26"/>
        <v>0</v>
      </c>
      <c r="K125" s="17" t="e">
        <f t="shared" si="24"/>
        <v>#DIV/0!</v>
      </c>
      <c r="L125" s="71" t="e">
        <f t="shared" si="25"/>
        <v>#DIV/0!</v>
      </c>
      <c r="M125" s="72" t="e">
        <f t="shared" si="27"/>
        <v>#DIV/0!</v>
      </c>
      <c r="N125" s="48"/>
      <c r="O125" s="50">
        <f t="shared" si="23"/>
        <v>0</v>
      </c>
      <c r="P125" s="50"/>
      <c r="Q125" s="50"/>
      <c r="R125" s="17">
        <f t="shared" si="28"/>
        <v>0</v>
      </c>
      <c r="S125" s="17" t="e">
        <f t="shared" si="29"/>
        <v>#DIV/0!</v>
      </c>
      <c r="T125" s="71" t="e">
        <f t="shared" si="30"/>
        <v>#DIV/0!</v>
      </c>
      <c r="U125" s="72" t="e">
        <f t="shared" si="31"/>
        <v>#DIV/0!</v>
      </c>
      <c r="V125" s="48"/>
      <c r="W125" s="73"/>
      <c r="X125" s="48"/>
      <c r="Y125" s="73"/>
      <c r="Z125" s="48"/>
      <c r="AA125" s="74"/>
      <c r="AB125" s="48"/>
      <c r="AC125" s="7"/>
      <c r="AD125" s="7"/>
      <c r="AE125" s="8"/>
      <c r="AF125" s="8"/>
    </row>
    <row r="126" spans="1:32" x14ac:dyDescent="0.2">
      <c r="A126" s="11">
        <v>45878</v>
      </c>
      <c r="B126" s="15"/>
      <c r="C126" s="62"/>
      <c r="D126" s="62"/>
      <c r="E126" s="62"/>
      <c r="F126" s="48"/>
      <c r="G126" s="49"/>
      <c r="H126" s="50"/>
      <c r="I126" s="50"/>
      <c r="J126" s="17">
        <f t="shared" si="26"/>
        <v>0</v>
      </c>
      <c r="K126" s="17" t="e">
        <f t="shared" si="24"/>
        <v>#DIV/0!</v>
      </c>
      <c r="L126" s="71" t="e">
        <f t="shared" si="25"/>
        <v>#DIV/0!</v>
      </c>
      <c r="M126" s="72" t="e">
        <f t="shared" si="27"/>
        <v>#DIV/0!</v>
      </c>
      <c r="N126" s="48"/>
      <c r="O126" s="50">
        <f t="shared" si="23"/>
        <v>0</v>
      </c>
      <c r="P126" s="50"/>
      <c r="Q126" s="50"/>
      <c r="R126" s="17">
        <f t="shared" si="28"/>
        <v>0</v>
      </c>
      <c r="S126" s="17" t="e">
        <f t="shared" si="29"/>
        <v>#DIV/0!</v>
      </c>
      <c r="T126" s="71" t="e">
        <f t="shared" si="30"/>
        <v>#DIV/0!</v>
      </c>
      <c r="U126" s="72" t="e">
        <f t="shared" si="31"/>
        <v>#DIV/0!</v>
      </c>
      <c r="V126" s="48"/>
      <c r="W126" s="73"/>
      <c r="X126" s="48"/>
      <c r="Y126" s="73"/>
      <c r="Z126" s="48"/>
      <c r="AA126" s="74"/>
      <c r="AB126" s="48"/>
      <c r="AC126" s="7"/>
      <c r="AD126" s="7"/>
      <c r="AE126" s="8"/>
      <c r="AF126" s="8"/>
    </row>
    <row r="127" spans="1:32" s="3" customFormat="1" x14ac:dyDescent="0.2">
      <c r="A127" s="11">
        <v>45879</v>
      </c>
      <c r="B127" s="15"/>
      <c r="C127" s="62"/>
      <c r="D127" s="62"/>
      <c r="E127" s="62"/>
      <c r="F127" s="48"/>
      <c r="G127" s="49"/>
      <c r="H127" s="50"/>
      <c r="I127" s="50"/>
      <c r="J127" s="17">
        <f t="shared" si="26"/>
        <v>0</v>
      </c>
      <c r="K127" s="17" t="e">
        <f t="shared" si="24"/>
        <v>#DIV/0!</v>
      </c>
      <c r="L127" s="71" t="e">
        <f t="shared" si="25"/>
        <v>#DIV/0!</v>
      </c>
      <c r="M127" s="72" t="e">
        <f t="shared" si="27"/>
        <v>#DIV/0!</v>
      </c>
      <c r="N127" s="48"/>
      <c r="O127" s="50">
        <f t="shared" si="23"/>
        <v>0</v>
      </c>
      <c r="P127" s="50"/>
      <c r="Q127" s="50"/>
      <c r="R127" s="17">
        <f t="shared" si="28"/>
        <v>0</v>
      </c>
      <c r="S127" s="17" t="e">
        <f t="shared" si="29"/>
        <v>#DIV/0!</v>
      </c>
      <c r="T127" s="71" t="e">
        <f t="shared" si="30"/>
        <v>#DIV/0!</v>
      </c>
      <c r="U127" s="72" t="e">
        <f t="shared" si="31"/>
        <v>#DIV/0!</v>
      </c>
      <c r="V127" s="48"/>
      <c r="W127" s="73"/>
      <c r="X127" s="48"/>
      <c r="Y127" s="73"/>
      <c r="Z127" s="48"/>
      <c r="AA127" s="74"/>
      <c r="AB127" s="48"/>
      <c r="AC127" s="7"/>
      <c r="AD127" s="7"/>
      <c r="AE127" s="8"/>
      <c r="AF127" s="8"/>
    </row>
    <row r="128" spans="1:32" s="3" customFormat="1" x14ac:dyDescent="0.2">
      <c r="A128" s="11">
        <v>45880</v>
      </c>
      <c r="B128" s="15"/>
      <c r="C128" s="62"/>
      <c r="D128" s="62"/>
      <c r="E128" s="62"/>
      <c r="F128" s="48"/>
      <c r="G128" s="49"/>
      <c r="H128" s="50"/>
      <c r="I128" s="50"/>
      <c r="J128" s="17">
        <f t="shared" si="26"/>
        <v>0</v>
      </c>
      <c r="K128" s="17" t="e">
        <f t="shared" si="24"/>
        <v>#DIV/0!</v>
      </c>
      <c r="L128" s="71" t="e">
        <f t="shared" si="25"/>
        <v>#DIV/0!</v>
      </c>
      <c r="M128" s="72" t="e">
        <f t="shared" si="27"/>
        <v>#DIV/0!</v>
      </c>
      <c r="N128" s="48"/>
      <c r="O128" s="50">
        <f t="shared" si="23"/>
        <v>0</v>
      </c>
      <c r="P128" s="50"/>
      <c r="Q128" s="50"/>
      <c r="R128" s="17">
        <f t="shared" si="28"/>
        <v>0</v>
      </c>
      <c r="S128" s="17" t="e">
        <f t="shared" si="29"/>
        <v>#DIV/0!</v>
      </c>
      <c r="T128" s="71" t="e">
        <f t="shared" si="30"/>
        <v>#DIV/0!</v>
      </c>
      <c r="U128" s="72" t="e">
        <f t="shared" si="31"/>
        <v>#DIV/0!</v>
      </c>
      <c r="V128" s="48"/>
      <c r="W128" s="73"/>
      <c r="X128" s="48"/>
      <c r="Y128" s="73"/>
      <c r="Z128" s="48"/>
      <c r="AA128" s="74"/>
      <c r="AB128" s="48"/>
      <c r="AC128" s="7"/>
      <c r="AD128" s="7"/>
      <c r="AE128" s="8"/>
      <c r="AF128" s="8"/>
    </row>
    <row r="129" spans="1:32" s="3" customFormat="1" x14ac:dyDescent="0.2">
      <c r="A129" s="11">
        <v>45881</v>
      </c>
      <c r="B129" s="15"/>
      <c r="C129" s="62"/>
      <c r="D129" s="62"/>
      <c r="E129" s="62"/>
      <c r="F129" s="48"/>
      <c r="G129" s="49"/>
      <c r="H129" s="50"/>
      <c r="I129" s="50"/>
      <c r="J129" s="17">
        <f t="shared" si="26"/>
        <v>0</v>
      </c>
      <c r="K129" s="17" t="e">
        <f t="shared" si="24"/>
        <v>#DIV/0!</v>
      </c>
      <c r="L129" s="71" t="e">
        <f t="shared" si="25"/>
        <v>#DIV/0!</v>
      </c>
      <c r="M129" s="72" t="e">
        <f t="shared" si="27"/>
        <v>#DIV/0!</v>
      </c>
      <c r="N129" s="48"/>
      <c r="O129" s="50">
        <f t="shared" si="23"/>
        <v>0</v>
      </c>
      <c r="P129" s="50"/>
      <c r="Q129" s="50"/>
      <c r="R129" s="17">
        <f t="shared" si="28"/>
        <v>0</v>
      </c>
      <c r="S129" s="17" t="e">
        <f t="shared" si="29"/>
        <v>#DIV/0!</v>
      </c>
      <c r="T129" s="71" t="e">
        <f t="shared" si="30"/>
        <v>#DIV/0!</v>
      </c>
      <c r="U129" s="72" t="e">
        <f t="shared" si="31"/>
        <v>#DIV/0!</v>
      </c>
      <c r="V129" s="48"/>
      <c r="W129" s="73"/>
      <c r="X129" s="48"/>
      <c r="Y129" s="73"/>
      <c r="Z129" s="48"/>
      <c r="AA129" s="74"/>
      <c r="AB129" s="48"/>
      <c r="AC129" s="7"/>
      <c r="AD129" s="7"/>
      <c r="AE129" s="8"/>
      <c r="AF129" s="8"/>
    </row>
    <row r="130" spans="1:32" x14ac:dyDescent="0.2">
      <c r="A130" s="11">
        <v>45882</v>
      </c>
      <c r="B130" s="15"/>
      <c r="C130" s="62"/>
      <c r="D130" s="62"/>
      <c r="E130" s="62"/>
      <c r="F130" s="48"/>
      <c r="G130" s="49"/>
      <c r="H130" s="50"/>
      <c r="I130" s="50"/>
      <c r="J130" s="17">
        <f t="shared" si="26"/>
        <v>0</v>
      </c>
      <c r="K130" s="17" t="e">
        <f t="shared" si="24"/>
        <v>#DIV/0!</v>
      </c>
      <c r="L130" s="71" t="e">
        <f t="shared" si="25"/>
        <v>#DIV/0!</v>
      </c>
      <c r="M130" s="72" t="e">
        <f t="shared" si="27"/>
        <v>#DIV/0!</v>
      </c>
      <c r="N130" s="48"/>
      <c r="O130" s="50">
        <f t="shared" si="23"/>
        <v>0</v>
      </c>
      <c r="P130" s="50"/>
      <c r="Q130" s="50"/>
      <c r="R130" s="17">
        <f t="shared" si="28"/>
        <v>0</v>
      </c>
      <c r="S130" s="17" t="e">
        <f t="shared" si="29"/>
        <v>#DIV/0!</v>
      </c>
      <c r="T130" s="71" t="e">
        <f t="shared" si="30"/>
        <v>#DIV/0!</v>
      </c>
      <c r="U130" s="72" t="e">
        <f t="shared" si="31"/>
        <v>#DIV/0!</v>
      </c>
      <c r="V130" s="48"/>
      <c r="W130" s="73"/>
      <c r="X130" s="48"/>
      <c r="Y130" s="73"/>
      <c r="Z130" s="48"/>
      <c r="AA130" s="74"/>
      <c r="AB130" s="48"/>
      <c r="AC130" s="7"/>
      <c r="AD130" s="7"/>
      <c r="AE130" s="8"/>
      <c r="AF130" s="8"/>
    </row>
    <row r="131" spans="1:32" x14ac:dyDescent="0.2">
      <c r="A131" s="11">
        <v>45883</v>
      </c>
      <c r="B131" s="15"/>
      <c r="C131" s="62"/>
      <c r="D131" s="62"/>
      <c r="E131" s="62"/>
      <c r="F131" s="48"/>
      <c r="G131" s="49"/>
      <c r="H131" s="50"/>
      <c r="I131" s="50"/>
      <c r="J131" s="17">
        <f t="shared" si="26"/>
        <v>0</v>
      </c>
      <c r="K131" s="17" t="e">
        <f t="shared" si="24"/>
        <v>#DIV/0!</v>
      </c>
      <c r="L131" s="71" t="e">
        <f t="shared" si="25"/>
        <v>#DIV/0!</v>
      </c>
      <c r="M131" s="72" t="e">
        <f t="shared" si="27"/>
        <v>#DIV/0!</v>
      </c>
      <c r="N131" s="48"/>
      <c r="O131" s="50">
        <f t="shared" si="23"/>
        <v>0</v>
      </c>
      <c r="P131" s="50"/>
      <c r="Q131" s="50"/>
      <c r="R131" s="17">
        <f t="shared" si="28"/>
        <v>0</v>
      </c>
      <c r="S131" s="17" t="e">
        <f t="shared" si="29"/>
        <v>#DIV/0!</v>
      </c>
      <c r="T131" s="71" t="e">
        <f t="shared" si="30"/>
        <v>#DIV/0!</v>
      </c>
      <c r="U131" s="72" t="e">
        <f t="shared" si="31"/>
        <v>#DIV/0!</v>
      </c>
      <c r="V131" s="48"/>
      <c r="W131" s="73"/>
      <c r="X131" s="48"/>
      <c r="Y131" s="73"/>
      <c r="Z131" s="48"/>
      <c r="AA131" s="74"/>
      <c r="AB131" s="48"/>
      <c r="AC131" s="7"/>
      <c r="AD131" s="7"/>
      <c r="AE131" s="8"/>
      <c r="AF131" s="8"/>
    </row>
    <row r="132" spans="1:32" x14ac:dyDescent="0.2">
      <c r="A132" s="11">
        <v>45884</v>
      </c>
      <c r="B132" s="15"/>
      <c r="C132" s="62"/>
      <c r="D132" s="62"/>
      <c r="E132" s="62"/>
      <c r="F132" s="48"/>
      <c r="G132" s="49"/>
      <c r="H132" s="50"/>
      <c r="I132" s="50"/>
      <c r="J132" s="17">
        <f t="shared" si="26"/>
        <v>0</v>
      </c>
      <c r="K132" s="17" t="e">
        <f t="shared" si="24"/>
        <v>#DIV/0!</v>
      </c>
      <c r="L132" s="71" t="e">
        <f t="shared" si="25"/>
        <v>#DIV/0!</v>
      </c>
      <c r="M132" s="72" t="e">
        <f t="shared" si="27"/>
        <v>#DIV/0!</v>
      </c>
      <c r="N132" s="48"/>
      <c r="O132" s="50">
        <f t="shared" si="23"/>
        <v>0</v>
      </c>
      <c r="P132" s="50"/>
      <c r="Q132" s="50"/>
      <c r="R132" s="17">
        <f t="shared" si="28"/>
        <v>0</v>
      </c>
      <c r="S132" s="17" t="e">
        <f t="shared" si="29"/>
        <v>#DIV/0!</v>
      </c>
      <c r="T132" s="71" t="e">
        <f t="shared" si="30"/>
        <v>#DIV/0!</v>
      </c>
      <c r="U132" s="72" t="e">
        <f t="shared" si="31"/>
        <v>#DIV/0!</v>
      </c>
      <c r="V132" s="48"/>
      <c r="W132" s="73"/>
      <c r="X132" s="48"/>
      <c r="Y132" s="73"/>
      <c r="Z132" s="48"/>
      <c r="AA132" s="74"/>
      <c r="AB132" s="48"/>
      <c r="AC132" s="7"/>
      <c r="AD132" s="7"/>
      <c r="AE132" s="8"/>
      <c r="AF132" s="8"/>
    </row>
    <row r="133" spans="1:32" x14ac:dyDescent="0.2">
      <c r="A133" s="11">
        <v>45885</v>
      </c>
      <c r="B133" s="15"/>
      <c r="C133" s="62"/>
      <c r="D133" s="62"/>
      <c r="E133" s="62"/>
      <c r="F133" s="48"/>
      <c r="G133" s="49"/>
      <c r="H133" s="50"/>
      <c r="I133" s="50"/>
      <c r="J133" s="17">
        <f t="shared" si="26"/>
        <v>0</v>
      </c>
      <c r="K133" s="17" t="e">
        <f t="shared" si="24"/>
        <v>#DIV/0!</v>
      </c>
      <c r="L133" s="71" t="e">
        <f t="shared" si="25"/>
        <v>#DIV/0!</v>
      </c>
      <c r="M133" s="72" t="e">
        <f t="shared" si="27"/>
        <v>#DIV/0!</v>
      </c>
      <c r="N133" s="48"/>
      <c r="O133" s="50">
        <f t="shared" si="23"/>
        <v>0</v>
      </c>
      <c r="P133" s="50"/>
      <c r="Q133" s="50"/>
      <c r="R133" s="17">
        <f t="shared" si="28"/>
        <v>0</v>
      </c>
      <c r="S133" s="17" t="e">
        <f t="shared" si="29"/>
        <v>#DIV/0!</v>
      </c>
      <c r="T133" s="71" t="e">
        <f t="shared" si="30"/>
        <v>#DIV/0!</v>
      </c>
      <c r="U133" s="72" t="e">
        <f t="shared" si="31"/>
        <v>#DIV/0!</v>
      </c>
      <c r="V133" s="48"/>
      <c r="W133" s="73"/>
      <c r="X133" s="48"/>
      <c r="Y133" s="73"/>
      <c r="Z133" s="48"/>
      <c r="AA133" s="74"/>
      <c r="AB133" s="48"/>
      <c r="AC133" s="7"/>
      <c r="AD133" s="7"/>
      <c r="AE133" s="8"/>
      <c r="AF133" s="8"/>
    </row>
    <row r="134" spans="1:32" x14ac:dyDescent="0.2">
      <c r="A134" s="11">
        <v>45886</v>
      </c>
      <c r="B134" s="15"/>
      <c r="C134" s="62"/>
      <c r="D134" s="62"/>
      <c r="E134" s="62"/>
      <c r="F134" s="48"/>
      <c r="G134" s="49"/>
      <c r="H134" s="50"/>
      <c r="I134" s="50"/>
      <c r="J134" s="17">
        <f t="shared" si="26"/>
        <v>0</v>
      </c>
      <c r="K134" s="17" t="e">
        <f t="shared" si="24"/>
        <v>#DIV/0!</v>
      </c>
      <c r="L134" s="71" t="e">
        <f t="shared" si="25"/>
        <v>#DIV/0!</v>
      </c>
      <c r="M134" s="72" t="e">
        <f t="shared" si="27"/>
        <v>#DIV/0!</v>
      </c>
      <c r="N134" s="48"/>
      <c r="O134" s="50">
        <f t="shared" si="23"/>
        <v>0</v>
      </c>
      <c r="P134" s="50"/>
      <c r="Q134" s="50"/>
      <c r="R134" s="17">
        <f t="shared" si="28"/>
        <v>0</v>
      </c>
      <c r="S134" s="17" t="e">
        <f t="shared" si="29"/>
        <v>#DIV/0!</v>
      </c>
      <c r="T134" s="71" t="e">
        <f t="shared" si="30"/>
        <v>#DIV/0!</v>
      </c>
      <c r="U134" s="72" t="e">
        <f t="shared" si="31"/>
        <v>#DIV/0!</v>
      </c>
      <c r="V134" s="48"/>
      <c r="W134" s="73"/>
      <c r="X134" s="48"/>
      <c r="Y134" s="73"/>
      <c r="Z134" s="48"/>
      <c r="AA134" s="74"/>
      <c r="AB134" s="48"/>
      <c r="AC134" s="7"/>
      <c r="AD134" s="7"/>
      <c r="AE134" s="8"/>
      <c r="AF134" s="8"/>
    </row>
    <row r="135" spans="1:32" x14ac:dyDescent="0.2">
      <c r="A135" s="11">
        <v>45887</v>
      </c>
      <c r="B135" s="15"/>
      <c r="C135" s="62"/>
      <c r="D135" s="62"/>
      <c r="E135" s="62"/>
      <c r="F135" s="48"/>
      <c r="G135" s="49"/>
      <c r="H135" s="50"/>
      <c r="I135" s="50"/>
      <c r="J135" s="17">
        <f t="shared" si="26"/>
        <v>0</v>
      </c>
      <c r="K135" s="17" t="e">
        <f t="shared" si="24"/>
        <v>#DIV/0!</v>
      </c>
      <c r="L135" s="71" t="e">
        <f t="shared" si="25"/>
        <v>#DIV/0!</v>
      </c>
      <c r="M135" s="72" t="e">
        <f t="shared" si="27"/>
        <v>#DIV/0!</v>
      </c>
      <c r="N135" s="48"/>
      <c r="O135" s="50">
        <f t="shared" si="23"/>
        <v>0</v>
      </c>
      <c r="P135" s="50"/>
      <c r="Q135" s="50"/>
      <c r="R135" s="17">
        <f t="shared" si="28"/>
        <v>0</v>
      </c>
      <c r="S135" s="17" t="e">
        <f t="shared" si="29"/>
        <v>#DIV/0!</v>
      </c>
      <c r="T135" s="71" t="e">
        <f t="shared" si="30"/>
        <v>#DIV/0!</v>
      </c>
      <c r="U135" s="72" t="e">
        <f t="shared" si="31"/>
        <v>#DIV/0!</v>
      </c>
      <c r="V135" s="48"/>
      <c r="W135" s="73"/>
      <c r="X135" s="48"/>
      <c r="Y135" s="73"/>
      <c r="Z135" s="48"/>
      <c r="AA135" s="74"/>
      <c r="AB135" s="48"/>
      <c r="AC135" s="7"/>
      <c r="AD135" s="7"/>
      <c r="AE135" s="8"/>
      <c r="AF135" s="8"/>
    </row>
    <row r="136" spans="1:32" x14ac:dyDescent="0.2">
      <c r="A136" s="11">
        <v>45888</v>
      </c>
      <c r="B136" s="15"/>
      <c r="C136" s="62"/>
      <c r="D136" s="62"/>
      <c r="E136" s="62"/>
      <c r="F136" s="48"/>
      <c r="G136" s="49"/>
      <c r="H136" s="50"/>
      <c r="I136" s="50"/>
      <c r="J136" s="17">
        <f t="shared" si="26"/>
        <v>0</v>
      </c>
      <c r="K136" s="17" t="e">
        <f t="shared" si="24"/>
        <v>#DIV/0!</v>
      </c>
      <c r="L136" s="71" t="e">
        <f t="shared" si="25"/>
        <v>#DIV/0!</v>
      </c>
      <c r="M136" s="72" t="e">
        <f t="shared" si="27"/>
        <v>#DIV/0!</v>
      </c>
      <c r="N136" s="48"/>
      <c r="O136" s="50">
        <f t="shared" si="23"/>
        <v>0</v>
      </c>
      <c r="P136" s="50"/>
      <c r="Q136" s="50"/>
      <c r="R136" s="17">
        <f t="shared" si="28"/>
        <v>0</v>
      </c>
      <c r="S136" s="17" t="e">
        <f t="shared" si="29"/>
        <v>#DIV/0!</v>
      </c>
      <c r="T136" s="71" t="e">
        <f t="shared" si="30"/>
        <v>#DIV/0!</v>
      </c>
      <c r="U136" s="72" t="e">
        <f t="shared" si="31"/>
        <v>#DIV/0!</v>
      </c>
      <c r="V136" s="48"/>
      <c r="W136" s="73"/>
      <c r="X136" s="48"/>
      <c r="Y136" s="73"/>
      <c r="Z136" s="48"/>
      <c r="AA136" s="74"/>
      <c r="AB136" s="48"/>
      <c r="AC136" s="7"/>
      <c r="AD136" s="7"/>
      <c r="AE136" s="8"/>
      <c r="AF136" s="8"/>
    </row>
    <row r="137" spans="1:32" x14ac:dyDescent="0.2">
      <c r="A137" s="11">
        <v>45889</v>
      </c>
      <c r="B137" s="15"/>
      <c r="C137" s="62"/>
      <c r="D137" s="62"/>
      <c r="E137" s="62"/>
      <c r="F137" s="48"/>
      <c r="G137" s="49"/>
      <c r="H137" s="50"/>
      <c r="I137" s="50"/>
      <c r="J137" s="17">
        <f t="shared" si="26"/>
        <v>0</v>
      </c>
      <c r="K137" s="17" t="e">
        <f t="shared" si="24"/>
        <v>#DIV/0!</v>
      </c>
      <c r="L137" s="71" t="e">
        <f t="shared" si="25"/>
        <v>#DIV/0!</v>
      </c>
      <c r="M137" s="72" t="e">
        <f t="shared" si="27"/>
        <v>#DIV/0!</v>
      </c>
      <c r="N137" s="48"/>
      <c r="O137" s="50">
        <f t="shared" si="23"/>
        <v>0</v>
      </c>
      <c r="P137" s="50"/>
      <c r="Q137" s="50"/>
      <c r="R137" s="17">
        <f t="shared" si="28"/>
        <v>0</v>
      </c>
      <c r="S137" s="17" t="e">
        <f t="shared" si="29"/>
        <v>#DIV/0!</v>
      </c>
      <c r="T137" s="71" t="e">
        <f t="shared" si="30"/>
        <v>#DIV/0!</v>
      </c>
      <c r="U137" s="72" t="e">
        <f t="shared" si="31"/>
        <v>#DIV/0!</v>
      </c>
      <c r="V137" s="48"/>
      <c r="W137" s="73"/>
      <c r="X137" s="48"/>
      <c r="Y137" s="73"/>
      <c r="Z137" s="48"/>
      <c r="AA137" s="74"/>
      <c r="AB137" s="48"/>
      <c r="AC137" s="7"/>
      <c r="AD137" s="7"/>
      <c r="AE137" s="8"/>
      <c r="AF137" s="8"/>
    </row>
    <row r="138" spans="1:32" x14ac:dyDescent="0.2">
      <c r="A138" s="11">
        <v>45890</v>
      </c>
      <c r="B138" s="15"/>
      <c r="C138" s="62"/>
      <c r="D138" s="62"/>
      <c r="E138" s="62"/>
      <c r="F138" s="48"/>
      <c r="G138" s="49"/>
      <c r="H138" s="50"/>
      <c r="I138" s="50"/>
      <c r="J138" s="17">
        <f t="shared" si="26"/>
        <v>0</v>
      </c>
      <c r="K138" s="17" t="e">
        <f t="shared" si="24"/>
        <v>#DIV/0!</v>
      </c>
      <c r="L138" s="71" t="e">
        <f t="shared" si="25"/>
        <v>#DIV/0!</v>
      </c>
      <c r="M138" s="72" t="e">
        <f t="shared" si="27"/>
        <v>#DIV/0!</v>
      </c>
      <c r="N138" s="48"/>
      <c r="O138" s="50">
        <f t="shared" si="23"/>
        <v>0</v>
      </c>
      <c r="P138" s="50"/>
      <c r="Q138" s="50"/>
      <c r="R138" s="17">
        <f t="shared" si="28"/>
        <v>0</v>
      </c>
      <c r="S138" s="17" t="e">
        <f t="shared" si="29"/>
        <v>#DIV/0!</v>
      </c>
      <c r="T138" s="71" t="e">
        <f t="shared" si="30"/>
        <v>#DIV/0!</v>
      </c>
      <c r="U138" s="72" t="e">
        <f t="shared" si="31"/>
        <v>#DIV/0!</v>
      </c>
      <c r="V138" s="48"/>
      <c r="W138" s="73"/>
      <c r="X138" s="48"/>
      <c r="Y138" s="73"/>
      <c r="Z138" s="48"/>
      <c r="AA138" s="74"/>
      <c r="AB138" s="48"/>
      <c r="AC138" s="7"/>
      <c r="AD138" s="7"/>
      <c r="AE138" s="8"/>
      <c r="AF138" s="8"/>
    </row>
    <row r="139" spans="1:32" x14ac:dyDescent="0.2">
      <c r="A139" s="11">
        <v>45891</v>
      </c>
      <c r="B139" s="15"/>
      <c r="C139" s="62"/>
      <c r="D139" s="62"/>
      <c r="E139" s="62"/>
      <c r="F139" s="48"/>
      <c r="G139" s="49"/>
      <c r="H139" s="50"/>
      <c r="I139" s="50"/>
      <c r="J139" s="17">
        <f t="shared" si="26"/>
        <v>0</v>
      </c>
      <c r="K139" s="17" t="e">
        <f t="shared" si="24"/>
        <v>#DIV/0!</v>
      </c>
      <c r="L139" s="71" t="e">
        <f t="shared" si="25"/>
        <v>#DIV/0!</v>
      </c>
      <c r="M139" s="72" t="e">
        <f t="shared" si="27"/>
        <v>#DIV/0!</v>
      </c>
      <c r="N139" s="48"/>
      <c r="O139" s="50">
        <f t="shared" si="23"/>
        <v>0</v>
      </c>
      <c r="P139" s="50"/>
      <c r="Q139" s="50"/>
      <c r="R139" s="17">
        <f t="shared" si="28"/>
        <v>0</v>
      </c>
      <c r="S139" s="17" t="e">
        <f t="shared" si="29"/>
        <v>#DIV/0!</v>
      </c>
      <c r="T139" s="71" t="e">
        <f t="shared" si="30"/>
        <v>#DIV/0!</v>
      </c>
      <c r="U139" s="72" t="e">
        <f t="shared" si="31"/>
        <v>#DIV/0!</v>
      </c>
      <c r="V139" s="48"/>
      <c r="W139" s="73"/>
      <c r="X139" s="48"/>
      <c r="Y139" s="73"/>
      <c r="Z139" s="48"/>
      <c r="AA139" s="74"/>
      <c r="AB139" s="48"/>
      <c r="AC139" s="7"/>
      <c r="AD139" s="7"/>
      <c r="AE139" s="8"/>
      <c r="AF139" s="8"/>
    </row>
    <row r="140" spans="1:32" x14ac:dyDescent="0.2">
      <c r="A140" s="11">
        <v>45892</v>
      </c>
      <c r="B140" s="15"/>
      <c r="C140" s="62"/>
      <c r="D140" s="62"/>
      <c r="E140" s="62"/>
      <c r="F140" s="48"/>
      <c r="G140" s="49"/>
      <c r="H140" s="50"/>
      <c r="I140" s="50"/>
      <c r="J140" s="17">
        <f t="shared" si="26"/>
        <v>0</v>
      </c>
      <c r="K140" s="17" t="e">
        <f t="shared" si="24"/>
        <v>#DIV/0!</v>
      </c>
      <c r="L140" s="71" t="e">
        <f t="shared" si="25"/>
        <v>#DIV/0!</v>
      </c>
      <c r="M140" s="72" t="e">
        <f t="shared" si="27"/>
        <v>#DIV/0!</v>
      </c>
      <c r="N140" s="48"/>
      <c r="O140" s="50">
        <f t="shared" si="23"/>
        <v>0</v>
      </c>
      <c r="P140" s="50"/>
      <c r="Q140" s="50"/>
      <c r="R140" s="17">
        <f t="shared" si="28"/>
        <v>0</v>
      </c>
      <c r="S140" s="17" t="e">
        <f t="shared" si="29"/>
        <v>#DIV/0!</v>
      </c>
      <c r="T140" s="71" t="e">
        <f t="shared" si="30"/>
        <v>#DIV/0!</v>
      </c>
      <c r="U140" s="72" t="e">
        <f t="shared" si="31"/>
        <v>#DIV/0!</v>
      </c>
      <c r="V140" s="48"/>
      <c r="W140" s="73"/>
      <c r="X140" s="48"/>
      <c r="Y140" s="73"/>
      <c r="Z140" s="48"/>
      <c r="AA140" s="74"/>
      <c r="AB140" s="48"/>
      <c r="AC140" s="7"/>
      <c r="AD140" s="7"/>
      <c r="AE140" s="8"/>
      <c r="AF140" s="8"/>
    </row>
    <row r="141" spans="1:32" x14ac:dyDescent="0.2">
      <c r="A141" s="11">
        <v>45893</v>
      </c>
      <c r="B141" s="15"/>
      <c r="C141" s="62"/>
      <c r="D141" s="62"/>
      <c r="E141" s="62"/>
      <c r="F141" s="48"/>
      <c r="G141" s="49"/>
      <c r="H141" s="50"/>
      <c r="I141" s="50"/>
      <c r="J141" s="17">
        <f t="shared" si="26"/>
        <v>0</v>
      </c>
      <c r="K141" s="17" t="e">
        <f t="shared" si="24"/>
        <v>#DIV/0!</v>
      </c>
      <c r="L141" s="71" t="e">
        <f t="shared" si="25"/>
        <v>#DIV/0!</v>
      </c>
      <c r="M141" s="72" t="e">
        <f t="shared" si="27"/>
        <v>#DIV/0!</v>
      </c>
      <c r="N141" s="48"/>
      <c r="O141" s="50">
        <f t="shared" si="23"/>
        <v>0</v>
      </c>
      <c r="P141" s="50"/>
      <c r="Q141" s="50"/>
      <c r="R141" s="17">
        <f t="shared" si="28"/>
        <v>0</v>
      </c>
      <c r="S141" s="17" t="e">
        <f t="shared" si="29"/>
        <v>#DIV/0!</v>
      </c>
      <c r="T141" s="71" t="e">
        <f t="shared" si="30"/>
        <v>#DIV/0!</v>
      </c>
      <c r="U141" s="72" t="e">
        <f t="shared" si="31"/>
        <v>#DIV/0!</v>
      </c>
      <c r="V141" s="48"/>
      <c r="W141" s="73"/>
      <c r="X141" s="48"/>
      <c r="Y141" s="73"/>
      <c r="Z141" s="48"/>
      <c r="AA141" s="74"/>
      <c r="AB141" s="48"/>
      <c r="AC141" s="7"/>
      <c r="AD141" s="7"/>
      <c r="AE141" s="8"/>
      <c r="AF141" s="8"/>
    </row>
    <row r="142" spans="1:32" x14ac:dyDescent="0.2">
      <c r="A142" s="11">
        <v>45894</v>
      </c>
      <c r="B142" s="15"/>
      <c r="C142" s="62"/>
      <c r="D142" s="62"/>
      <c r="E142" s="62"/>
      <c r="F142" s="48"/>
      <c r="G142" s="49"/>
      <c r="H142" s="50"/>
      <c r="I142" s="50"/>
      <c r="J142" s="17">
        <f t="shared" si="26"/>
        <v>0</v>
      </c>
      <c r="K142" s="17" t="e">
        <f t="shared" si="24"/>
        <v>#DIV/0!</v>
      </c>
      <c r="L142" s="71" t="e">
        <f t="shared" si="25"/>
        <v>#DIV/0!</v>
      </c>
      <c r="M142" s="72" t="e">
        <f t="shared" si="27"/>
        <v>#DIV/0!</v>
      </c>
      <c r="N142" s="48"/>
      <c r="O142" s="50">
        <f t="shared" si="23"/>
        <v>0</v>
      </c>
      <c r="P142" s="50"/>
      <c r="Q142" s="50"/>
      <c r="R142" s="17">
        <f t="shared" si="28"/>
        <v>0</v>
      </c>
      <c r="S142" s="17" t="e">
        <f t="shared" si="29"/>
        <v>#DIV/0!</v>
      </c>
      <c r="T142" s="71" t="e">
        <f t="shared" si="30"/>
        <v>#DIV/0!</v>
      </c>
      <c r="U142" s="72" t="e">
        <f t="shared" si="31"/>
        <v>#DIV/0!</v>
      </c>
      <c r="V142" s="48"/>
      <c r="W142" s="73"/>
      <c r="X142" s="48"/>
      <c r="Y142" s="73"/>
      <c r="Z142" s="48"/>
      <c r="AA142" s="74"/>
      <c r="AB142" s="48"/>
      <c r="AC142" s="7"/>
      <c r="AD142" s="7"/>
      <c r="AE142" s="8"/>
      <c r="AF142" s="8"/>
    </row>
    <row r="143" spans="1:32" x14ac:dyDescent="0.2">
      <c r="A143" s="11">
        <v>45895</v>
      </c>
      <c r="B143" s="15"/>
      <c r="C143" s="62"/>
      <c r="D143" s="62"/>
      <c r="E143" s="62"/>
      <c r="F143" s="48"/>
      <c r="G143" s="49"/>
      <c r="H143" s="50"/>
      <c r="I143" s="50"/>
      <c r="J143" s="17">
        <f t="shared" si="26"/>
        <v>0</v>
      </c>
      <c r="K143" s="17" t="e">
        <f t="shared" si="24"/>
        <v>#DIV/0!</v>
      </c>
      <c r="L143" s="71" t="e">
        <f t="shared" si="25"/>
        <v>#DIV/0!</v>
      </c>
      <c r="M143" s="72" t="e">
        <f t="shared" si="27"/>
        <v>#DIV/0!</v>
      </c>
      <c r="N143" s="48"/>
      <c r="O143" s="50">
        <f t="shared" si="23"/>
        <v>0</v>
      </c>
      <c r="P143" s="50"/>
      <c r="Q143" s="50"/>
      <c r="R143" s="17">
        <f t="shared" si="28"/>
        <v>0</v>
      </c>
      <c r="S143" s="17" t="e">
        <f t="shared" si="29"/>
        <v>#DIV/0!</v>
      </c>
      <c r="T143" s="71" t="e">
        <f t="shared" si="30"/>
        <v>#DIV/0!</v>
      </c>
      <c r="U143" s="72" t="e">
        <f t="shared" si="31"/>
        <v>#DIV/0!</v>
      </c>
      <c r="V143" s="48"/>
      <c r="W143" s="73"/>
      <c r="X143" s="48"/>
      <c r="Y143" s="73"/>
      <c r="Z143" s="48"/>
      <c r="AA143" s="74"/>
      <c r="AB143" s="48"/>
      <c r="AC143" s="7"/>
      <c r="AD143" s="7"/>
      <c r="AE143" s="8"/>
      <c r="AF143" s="8"/>
    </row>
    <row r="144" spans="1:32" x14ac:dyDescent="0.2">
      <c r="A144" s="11">
        <v>45896</v>
      </c>
      <c r="B144" s="15"/>
      <c r="C144" s="62"/>
      <c r="D144" s="62"/>
      <c r="E144" s="62"/>
      <c r="F144" s="48"/>
      <c r="G144" s="49"/>
      <c r="H144" s="50"/>
      <c r="I144" s="50"/>
      <c r="J144" s="17">
        <f t="shared" si="26"/>
        <v>0</v>
      </c>
      <c r="K144" s="17" t="e">
        <f t="shared" si="24"/>
        <v>#DIV/0!</v>
      </c>
      <c r="L144" s="71" t="e">
        <f t="shared" si="25"/>
        <v>#DIV/0!</v>
      </c>
      <c r="M144" s="72" t="e">
        <f t="shared" si="27"/>
        <v>#DIV/0!</v>
      </c>
      <c r="N144" s="48"/>
      <c r="O144" s="50">
        <f t="shared" si="23"/>
        <v>0</v>
      </c>
      <c r="P144" s="50"/>
      <c r="Q144" s="50"/>
      <c r="R144" s="17">
        <f t="shared" si="28"/>
        <v>0</v>
      </c>
      <c r="S144" s="17" t="e">
        <f t="shared" si="29"/>
        <v>#DIV/0!</v>
      </c>
      <c r="T144" s="71" t="e">
        <f t="shared" si="30"/>
        <v>#DIV/0!</v>
      </c>
      <c r="U144" s="72" t="e">
        <f t="shared" si="31"/>
        <v>#DIV/0!</v>
      </c>
      <c r="V144" s="48"/>
      <c r="W144" s="73"/>
      <c r="X144" s="48"/>
      <c r="Y144" s="73"/>
      <c r="Z144" s="48"/>
      <c r="AA144" s="74"/>
      <c r="AB144" s="48"/>
      <c r="AC144" s="7"/>
      <c r="AD144" s="7"/>
      <c r="AE144" s="8"/>
      <c r="AF144" s="8"/>
    </row>
    <row r="145" spans="1:32" x14ac:dyDescent="0.2">
      <c r="A145" s="11">
        <v>45897</v>
      </c>
      <c r="B145" s="15"/>
      <c r="C145" s="62"/>
      <c r="D145" s="62"/>
      <c r="E145" s="62"/>
      <c r="F145" s="48"/>
      <c r="G145" s="49"/>
      <c r="H145" s="50"/>
      <c r="I145" s="50"/>
      <c r="J145" s="17">
        <f t="shared" si="26"/>
        <v>0</v>
      </c>
      <c r="K145" s="17" t="e">
        <f t="shared" si="24"/>
        <v>#DIV/0!</v>
      </c>
      <c r="L145" s="71" t="e">
        <f t="shared" si="25"/>
        <v>#DIV/0!</v>
      </c>
      <c r="M145" s="72" t="e">
        <f t="shared" si="27"/>
        <v>#DIV/0!</v>
      </c>
      <c r="N145" s="48"/>
      <c r="O145" s="50">
        <f t="shared" si="23"/>
        <v>0</v>
      </c>
      <c r="P145" s="50"/>
      <c r="Q145" s="50"/>
      <c r="R145" s="17">
        <f t="shared" si="28"/>
        <v>0</v>
      </c>
      <c r="S145" s="17" t="e">
        <f t="shared" si="29"/>
        <v>#DIV/0!</v>
      </c>
      <c r="T145" s="71" t="e">
        <f t="shared" si="30"/>
        <v>#DIV/0!</v>
      </c>
      <c r="U145" s="72" t="e">
        <f t="shared" si="31"/>
        <v>#DIV/0!</v>
      </c>
      <c r="V145" s="48"/>
      <c r="W145" s="73"/>
      <c r="X145" s="48"/>
      <c r="Y145" s="73"/>
      <c r="Z145" s="48"/>
      <c r="AA145" s="74"/>
      <c r="AB145" s="48"/>
      <c r="AC145" s="7"/>
      <c r="AD145" s="7"/>
      <c r="AE145" s="8"/>
      <c r="AF145" s="8"/>
    </row>
    <row r="146" spans="1:32" x14ac:dyDescent="0.2">
      <c r="A146" s="11">
        <v>45898</v>
      </c>
      <c r="B146" s="15"/>
      <c r="C146" s="62"/>
      <c r="D146" s="62"/>
      <c r="E146" s="62"/>
      <c r="F146" s="48"/>
      <c r="G146" s="49"/>
      <c r="H146" s="50"/>
      <c r="I146" s="50"/>
      <c r="J146" s="17">
        <f t="shared" si="26"/>
        <v>0</v>
      </c>
      <c r="K146" s="17" t="e">
        <f t="shared" si="24"/>
        <v>#DIV/0!</v>
      </c>
      <c r="L146" s="71" t="e">
        <f t="shared" si="25"/>
        <v>#DIV/0!</v>
      </c>
      <c r="M146" s="72" t="e">
        <f t="shared" si="27"/>
        <v>#DIV/0!</v>
      </c>
      <c r="N146" s="48"/>
      <c r="O146" s="50">
        <f t="shared" si="23"/>
        <v>0</v>
      </c>
      <c r="P146" s="50"/>
      <c r="Q146" s="50"/>
      <c r="R146" s="17">
        <f t="shared" si="28"/>
        <v>0</v>
      </c>
      <c r="S146" s="17" t="e">
        <f t="shared" si="29"/>
        <v>#DIV/0!</v>
      </c>
      <c r="T146" s="71" t="e">
        <f t="shared" si="30"/>
        <v>#DIV/0!</v>
      </c>
      <c r="U146" s="72" t="e">
        <f t="shared" si="31"/>
        <v>#DIV/0!</v>
      </c>
      <c r="V146" s="48"/>
      <c r="W146" s="73"/>
      <c r="X146" s="48"/>
      <c r="Y146" s="73"/>
      <c r="Z146" s="48"/>
      <c r="AA146" s="74"/>
      <c r="AB146" s="48"/>
      <c r="AC146" s="7"/>
      <c r="AD146" s="7"/>
      <c r="AE146" s="8"/>
      <c r="AF146" s="8"/>
    </row>
    <row r="147" spans="1:32" x14ac:dyDescent="0.2">
      <c r="A147" s="11">
        <v>45899</v>
      </c>
      <c r="B147" s="15"/>
      <c r="C147" s="62"/>
      <c r="D147" s="62"/>
      <c r="E147" s="62"/>
      <c r="F147" s="48"/>
      <c r="G147" s="49"/>
      <c r="H147" s="50"/>
      <c r="I147" s="50"/>
      <c r="J147" s="17">
        <f t="shared" si="26"/>
        <v>0</v>
      </c>
      <c r="K147" s="17" t="e">
        <f t="shared" si="24"/>
        <v>#DIV/0!</v>
      </c>
      <c r="L147" s="71" t="e">
        <f t="shared" si="25"/>
        <v>#DIV/0!</v>
      </c>
      <c r="M147" s="72" t="e">
        <f t="shared" si="27"/>
        <v>#DIV/0!</v>
      </c>
      <c r="N147" s="48"/>
      <c r="O147" s="50">
        <f t="shared" si="23"/>
        <v>0</v>
      </c>
      <c r="P147" s="50"/>
      <c r="Q147" s="50"/>
      <c r="R147" s="17">
        <f t="shared" si="28"/>
        <v>0</v>
      </c>
      <c r="S147" s="17" t="e">
        <f t="shared" si="29"/>
        <v>#DIV/0!</v>
      </c>
      <c r="T147" s="71" t="e">
        <f t="shared" si="30"/>
        <v>#DIV/0!</v>
      </c>
      <c r="U147" s="72" t="e">
        <f t="shared" si="31"/>
        <v>#DIV/0!</v>
      </c>
      <c r="V147" s="48"/>
      <c r="W147" s="73"/>
      <c r="X147" s="48"/>
      <c r="Y147" s="73"/>
      <c r="Z147" s="48"/>
      <c r="AA147" s="74"/>
      <c r="AB147" s="48"/>
      <c r="AC147" s="7"/>
      <c r="AD147" s="7"/>
      <c r="AE147" s="8"/>
      <c r="AF147" s="8"/>
    </row>
    <row r="148" spans="1:32" x14ac:dyDescent="0.2">
      <c r="A148" s="11">
        <v>45900</v>
      </c>
      <c r="B148" s="15"/>
      <c r="C148" s="62"/>
      <c r="D148" s="62"/>
      <c r="E148" s="62"/>
      <c r="F148" s="48"/>
      <c r="G148" s="49"/>
      <c r="H148" s="50"/>
      <c r="I148" s="50"/>
      <c r="J148" s="17">
        <f t="shared" si="26"/>
        <v>0</v>
      </c>
      <c r="K148" s="17" t="e">
        <f t="shared" si="24"/>
        <v>#DIV/0!</v>
      </c>
      <c r="L148" s="71" t="e">
        <f t="shared" si="25"/>
        <v>#DIV/0!</v>
      </c>
      <c r="M148" s="72" t="e">
        <f t="shared" si="27"/>
        <v>#DIV/0!</v>
      </c>
      <c r="N148" s="48"/>
      <c r="O148" s="50">
        <f t="shared" si="23"/>
        <v>0</v>
      </c>
      <c r="P148" s="50"/>
      <c r="Q148" s="50"/>
      <c r="R148" s="17">
        <f t="shared" si="28"/>
        <v>0</v>
      </c>
      <c r="S148" s="17" t="e">
        <f t="shared" si="29"/>
        <v>#DIV/0!</v>
      </c>
      <c r="T148" s="71" t="e">
        <f t="shared" si="30"/>
        <v>#DIV/0!</v>
      </c>
      <c r="U148" s="72" t="e">
        <f t="shared" si="31"/>
        <v>#DIV/0!</v>
      </c>
      <c r="V148" s="48"/>
      <c r="W148" s="73"/>
      <c r="X148" s="48"/>
      <c r="Y148" s="73"/>
      <c r="Z148" s="48"/>
      <c r="AA148" s="74"/>
      <c r="AB148" s="48"/>
      <c r="AC148" s="7"/>
      <c r="AD148" s="7"/>
      <c r="AE148" s="8"/>
      <c r="AF148" s="8"/>
    </row>
    <row r="149" spans="1:32" x14ac:dyDescent="0.2">
      <c r="A149" s="11">
        <v>45901</v>
      </c>
      <c r="B149" s="15"/>
      <c r="C149" s="62"/>
      <c r="D149" s="62"/>
      <c r="E149" s="62"/>
      <c r="F149" s="48"/>
      <c r="G149" s="49"/>
      <c r="H149" s="50"/>
      <c r="I149" s="50"/>
      <c r="J149" s="17">
        <f t="shared" si="26"/>
        <v>0</v>
      </c>
      <c r="K149" s="17" t="e">
        <f t="shared" si="24"/>
        <v>#DIV/0!</v>
      </c>
      <c r="L149" s="71" t="e">
        <f t="shared" si="25"/>
        <v>#DIV/0!</v>
      </c>
      <c r="M149" s="72" t="e">
        <f t="shared" si="27"/>
        <v>#DIV/0!</v>
      </c>
      <c r="N149" s="48"/>
      <c r="O149" s="50">
        <f t="shared" si="23"/>
        <v>0</v>
      </c>
      <c r="P149" s="50"/>
      <c r="Q149" s="50"/>
      <c r="R149" s="17">
        <f t="shared" si="28"/>
        <v>0</v>
      </c>
      <c r="S149" s="17" t="e">
        <f t="shared" si="29"/>
        <v>#DIV/0!</v>
      </c>
      <c r="T149" s="71" t="e">
        <f t="shared" si="30"/>
        <v>#DIV/0!</v>
      </c>
      <c r="U149" s="72" t="e">
        <f t="shared" si="31"/>
        <v>#DIV/0!</v>
      </c>
      <c r="V149" s="48"/>
      <c r="W149" s="73"/>
      <c r="X149" s="48"/>
      <c r="Y149" s="73"/>
      <c r="Z149" s="48"/>
      <c r="AA149" s="74"/>
      <c r="AB149" s="48"/>
      <c r="AC149" s="7"/>
      <c r="AD149" s="7"/>
      <c r="AE149" s="8"/>
      <c r="AF149" s="8"/>
    </row>
    <row r="150" spans="1:32" x14ac:dyDescent="0.2">
      <c r="A150" s="11">
        <v>45902</v>
      </c>
      <c r="B150" s="15"/>
      <c r="C150" s="62"/>
      <c r="D150" s="62"/>
      <c r="E150" s="62"/>
      <c r="F150" s="48"/>
      <c r="G150" s="49"/>
      <c r="H150" s="50"/>
      <c r="I150" s="50"/>
      <c r="J150" s="17">
        <f t="shared" si="26"/>
        <v>0</v>
      </c>
      <c r="K150" s="17" t="e">
        <f t="shared" si="24"/>
        <v>#DIV/0!</v>
      </c>
      <c r="L150" s="71" t="e">
        <f t="shared" si="25"/>
        <v>#DIV/0!</v>
      </c>
      <c r="M150" s="72" t="e">
        <f t="shared" si="27"/>
        <v>#DIV/0!</v>
      </c>
      <c r="N150" s="48"/>
      <c r="O150" s="50">
        <f t="shared" si="23"/>
        <v>0</v>
      </c>
      <c r="P150" s="50"/>
      <c r="Q150" s="50"/>
      <c r="R150" s="17">
        <f t="shared" si="28"/>
        <v>0</v>
      </c>
      <c r="S150" s="17" t="e">
        <f t="shared" si="29"/>
        <v>#DIV/0!</v>
      </c>
      <c r="T150" s="71" t="e">
        <f t="shared" si="30"/>
        <v>#DIV/0!</v>
      </c>
      <c r="U150" s="72" t="e">
        <f t="shared" si="31"/>
        <v>#DIV/0!</v>
      </c>
      <c r="V150" s="48"/>
      <c r="W150" s="73"/>
      <c r="X150" s="48"/>
      <c r="Y150" s="73"/>
      <c r="Z150" s="48"/>
      <c r="AA150" s="74"/>
      <c r="AB150" s="48"/>
      <c r="AC150" s="7"/>
      <c r="AD150" s="7"/>
      <c r="AE150" s="8"/>
      <c r="AF150" s="8"/>
    </row>
    <row r="151" spans="1:32" x14ac:dyDescent="0.2">
      <c r="A151" s="11">
        <v>45903</v>
      </c>
      <c r="B151" s="15"/>
      <c r="C151" s="62"/>
      <c r="D151" s="62"/>
      <c r="E151" s="62"/>
      <c r="F151" s="48"/>
      <c r="G151" s="49"/>
      <c r="H151" s="50"/>
      <c r="I151" s="50"/>
      <c r="J151" s="17">
        <f t="shared" si="26"/>
        <v>0</v>
      </c>
      <c r="K151" s="17" t="e">
        <f t="shared" si="24"/>
        <v>#DIV/0!</v>
      </c>
      <c r="L151" s="71" t="e">
        <f t="shared" si="25"/>
        <v>#DIV/0!</v>
      </c>
      <c r="M151" s="72" t="e">
        <f t="shared" si="27"/>
        <v>#DIV/0!</v>
      </c>
      <c r="N151" s="48"/>
      <c r="O151" s="50">
        <f t="shared" si="23"/>
        <v>0</v>
      </c>
      <c r="P151" s="50"/>
      <c r="Q151" s="50"/>
      <c r="R151" s="17">
        <f t="shared" si="28"/>
        <v>0</v>
      </c>
      <c r="S151" s="17" t="e">
        <f t="shared" si="29"/>
        <v>#DIV/0!</v>
      </c>
      <c r="T151" s="71" t="e">
        <f t="shared" si="30"/>
        <v>#DIV/0!</v>
      </c>
      <c r="U151" s="72" t="e">
        <f t="shared" si="31"/>
        <v>#DIV/0!</v>
      </c>
      <c r="V151" s="48"/>
      <c r="W151" s="73"/>
      <c r="X151" s="48"/>
      <c r="Y151" s="73"/>
      <c r="Z151" s="48"/>
      <c r="AA151" s="74"/>
      <c r="AB151" s="48"/>
      <c r="AC151" s="7"/>
      <c r="AD151" s="7"/>
      <c r="AE151" s="8"/>
      <c r="AF151" s="8"/>
    </row>
    <row r="152" spans="1:32" x14ac:dyDescent="0.2">
      <c r="A152" s="11">
        <v>45904</v>
      </c>
      <c r="B152" s="15"/>
      <c r="C152" s="62"/>
      <c r="D152" s="62"/>
      <c r="E152" s="62"/>
      <c r="F152" s="48"/>
      <c r="G152" s="49"/>
      <c r="H152" s="50"/>
      <c r="I152" s="50"/>
      <c r="J152" s="17">
        <f t="shared" si="26"/>
        <v>0</v>
      </c>
      <c r="K152" s="17" t="e">
        <f t="shared" si="24"/>
        <v>#DIV/0!</v>
      </c>
      <c r="L152" s="71" t="e">
        <f t="shared" si="25"/>
        <v>#DIV/0!</v>
      </c>
      <c r="M152" s="72" t="e">
        <f t="shared" si="27"/>
        <v>#DIV/0!</v>
      </c>
      <c r="N152" s="48"/>
      <c r="O152" s="50">
        <f t="shared" si="23"/>
        <v>0</v>
      </c>
      <c r="P152" s="50"/>
      <c r="Q152" s="50"/>
      <c r="R152" s="17">
        <f t="shared" si="28"/>
        <v>0</v>
      </c>
      <c r="S152" s="17" t="e">
        <f t="shared" si="29"/>
        <v>#DIV/0!</v>
      </c>
      <c r="T152" s="71" t="e">
        <f t="shared" si="30"/>
        <v>#DIV/0!</v>
      </c>
      <c r="U152" s="72" t="e">
        <f t="shared" si="31"/>
        <v>#DIV/0!</v>
      </c>
      <c r="V152" s="48"/>
      <c r="W152" s="73"/>
      <c r="X152" s="48"/>
      <c r="Y152" s="73"/>
      <c r="Z152" s="48"/>
      <c r="AA152" s="74"/>
      <c r="AB152" s="48"/>
      <c r="AC152" s="7"/>
      <c r="AD152" s="7"/>
      <c r="AE152" s="8"/>
      <c r="AF152" s="8"/>
    </row>
    <row r="153" spans="1:32" x14ac:dyDescent="0.2">
      <c r="A153" s="11">
        <v>45905</v>
      </c>
      <c r="B153" s="15"/>
      <c r="C153" s="62"/>
      <c r="D153" s="62"/>
      <c r="E153" s="62"/>
      <c r="F153" s="48"/>
      <c r="G153" s="49"/>
      <c r="H153" s="50"/>
      <c r="I153" s="50"/>
      <c r="J153" s="17">
        <f t="shared" si="26"/>
        <v>0</v>
      </c>
      <c r="K153" s="17" t="e">
        <f t="shared" si="24"/>
        <v>#DIV/0!</v>
      </c>
      <c r="L153" s="71" t="e">
        <f t="shared" si="25"/>
        <v>#DIV/0!</v>
      </c>
      <c r="M153" s="72" t="e">
        <f t="shared" si="27"/>
        <v>#DIV/0!</v>
      </c>
      <c r="N153" s="48"/>
      <c r="O153" s="50">
        <f t="shared" si="23"/>
        <v>0</v>
      </c>
      <c r="P153" s="50"/>
      <c r="Q153" s="50"/>
      <c r="R153" s="17">
        <f t="shared" si="28"/>
        <v>0</v>
      </c>
      <c r="S153" s="17" t="e">
        <f t="shared" si="29"/>
        <v>#DIV/0!</v>
      </c>
      <c r="T153" s="71" t="e">
        <f t="shared" si="30"/>
        <v>#DIV/0!</v>
      </c>
      <c r="U153" s="72" t="e">
        <f t="shared" si="31"/>
        <v>#DIV/0!</v>
      </c>
      <c r="V153" s="48"/>
      <c r="W153" s="73"/>
      <c r="X153" s="48"/>
      <c r="Y153" s="73"/>
      <c r="Z153" s="48"/>
      <c r="AA153" s="74"/>
      <c r="AB153" s="48"/>
      <c r="AC153" s="7"/>
      <c r="AD153" s="7"/>
      <c r="AE153" s="8"/>
      <c r="AF153" s="8"/>
    </row>
    <row r="154" spans="1:32" x14ac:dyDescent="0.2">
      <c r="A154" s="11">
        <v>45906</v>
      </c>
      <c r="B154" s="15"/>
      <c r="C154" s="62"/>
      <c r="D154" s="62"/>
      <c r="E154" s="62"/>
      <c r="F154" s="48"/>
      <c r="G154" s="49"/>
      <c r="H154" s="50"/>
      <c r="I154" s="50"/>
      <c r="J154" s="17">
        <f t="shared" si="26"/>
        <v>0</v>
      </c>
      <c r="K154" s="17" t="e">
        <f t="shared" si="24"/>
        <v>#DIV/0!</v>
      </c>
      <c r="L154" s="71" t="e">
        <f t="shared" si="25"/>
        <v>#DIV/0!</v>
      </c>
      <c r="M154" s="72" t="e">
        <f t="shared" si="27"/>
        <v>#DIV/0!</v>
      </c>
      <c r="N154" s="48"/>
      <c r="O154" s="50">
        <f t="shared" si="23"/>
        <v>0</v>
      </c>
      <c r="P154" s="50"/>
      <c r="Q154" s="50"/>
      <c r="R154" s="17">
        <f t="shared" si="28"/>
        <v>0</v>
      </c>
      <c r="S154" s="17" t="e">
        <f t="shared" si="29"/>
        <v>#DIV/0!</v>
      </c>
      <c r="T154" s="71" t="e">
        <f t="shared" si="30"/>
        <v>#DIV/0!</v>
      </c>
      <c r="U154" s="72" t="e">
        <f t="shared" si="31"/>
        <v>#DIV/0!</v>
      </c>
      <c r="V154" s="48"/>
      <c r="W154" s="73"/>
      <c r="X154" s="48"/>
      <c r="Y154" s="73"/>
      <c r="Z154" s="48"/>
      <c r="AA154" s="74"/>
      <c r="AB154" s="48"/>
      <c r="AC154" s="7"/>
      <c r="AD154" s="7"/>
      <c r="AE154" s="8"/>
      <c r="AF154" s="8"/>
    </row>
    <row r="155" spans="1:32" x14ac:dyDescent="0.2">
      <c r="A155" s="11">
        <v>45907</v>
      </c>
      <c r="B155" s="15"/>
      <c r="C155" s="62"/>
      <c r="D155" s="62"/>
      <c r="E155" s="62"/>
      <c r="F155" s="48"/>
      <c r="G155" s="49"/>
      <c r="H155" s="50"/>
      <c r="I155" s="50"/>
      <c r="J155" s="17">
        <f t="shared" si="26"/>
        <v>0</v>
      </c>
      <c r="K155" s="17" t="e">
        <f t="shared" si="24"/>
        <v>#DIV/0!</v>
      </c>
      <c r="L155" s="71" t="e">
        <f t="shared" si="25"/>
        <v>#DIV/0!</v>
      </c>
      <c r="M155" s="72" t="e">
        <f t="shared" si="27"/>
        <v>#DIV/0!</v>
      </c>
      <c r="N155" s="48"/>
      <c r="O155" s="50">
        <f t="shared" si="23"/>
        <v>0</v>
      </c>
      <c r="P155" s="50"/>
      <c r="Q155" s="50"/>
      <c r="R155" s="17">
        <f t="shared" si="28"/>
        <v>0</v>
      </c>
      <c r="S155" s="17" t="e">
        <f t="shared" si="29"/>
        <v>#DIV/0!</v>
      </c>
      <c r="T155" s="71" t="e">
        <f t="shared" si="30"/>
        <v>#DIV/0!</v>
      </c>
      <c r="U155" s="72" t="e">
        <f t="shared" si="31"/>
        <v>#DIV/0!</v>
      </c>
      <c r="V155" s="48"/>
      <c r="W155" s="73"/>
      <c r="X155" s="48"/>
      <c r="Y155" s="73"/>
      <c r="Z155" s="48"/>
      <c r="AA155" s="74"/>
      <c r="AB155" s="48"/>
      <c r="AC155" s="7"/>
      <c r="AD155" s="7"/>
      <c r="AE155" s="8"/>
      <c r="AF155" s="8"/>
    </row>
    <row r="156" spans="1:32" x14ac:dyDescent="0.2">
      <c r="A156" s="11">
        <v>45908</v>
      </c>
      <c r="B156" s="15"/>
      <c r="C156" s="62"/>
      <c r="D156" s="62"/>
      <c r="E156" s="62"/>
      <c r="F156" s="48"/>
      <c r="G156" s="49"/>
      <c r="H156" s="50"/>
      <c r="I156" s="50"/>
      <c r="J156" s="17">
        <f t="shared" si="26"/>
        <v>0</v>
      </c>
      <c r="K156" s="17" t="e">
        <f t="shared" si="24"/>
        <v>#DIV/0!</v>
      </c>
      <c r="L156" s="71" t="e">
        <f t="shared" si="25"/>
        <v>#DIV/0!</v>
      </c>
      <c r="M156" s="72" t="e">
        <f t="shared" si="27"/>
        <v>#DIV/0!</v>
      </c>
      <c r="N156" s="48"/>
      <c r="O156" s="50">
        <f t="shared" si="23"/>
        <v>0</v>
      </c>
      <c r="P156" s="50"/>
      <c r="Q156" s="50"/>
      <c r="R156" s="17">
        <f t="shared" si="28"/>
        <v>0</v>
      </c>
      <c r="S156" s="17" t="e">
        <f t="shared" si="29"/>
        <v>#DIV/0!</v>
      </c>
      <c r="T156" s="71" t="e">
        <f t="shared" si="30"/>
        <v>#DIV/0!</v>
      </c>
      <c r="U156" s="72" t="e">
        <f t="shared" si="31"/>
        <v>#DIV/0!</v>
      </c>
      <c r="V156" s="48"/>
      <c r="W156" s="73"/>
      <c r="X156" s="48"/>
      <c r="Y156" s="73"/>
      <c r="Z156" s="48"/>
      <c r="AA156" s="74"/>
      <c r="AB156" s="48"/>
      <c r="AC156" s="7"/>
      <c r="AD156" s="7"/>
      <c r="AE156" s="8"/>
      <c r="AF156" s="8"/>
    </row>
    <row r="157" spans="1:32" x14ac:dyDescent="0.2">
      <c r="A157" s="11">
        <v>45909</v>
      </c>
      <c r="B157" s="15"/>
      <c r="C157" s="62"/>
      <c r="D157" s="62"/>
      <c r="E157" s="62"/>
      <c r="F157" s="48"/>
      <c r="G157" s="49"/>
      <c r="H157" s="50"/>
      <c r="I157" s="50"/>
      <c r="J157" s="17">
        <f t="shared" si="26"/>
        <v>0</v>
      </c>
      <c r="K157" s="17" t="e">
        <f t="shared" si="24"/>
        <v>#DIV/0!</v>
      </c>
      <c r="L157" s="71" t="e">
        <f t="shared" si="25"/>
        <v>#DIV/0!</v>
      </c>
      <c r="M157" s="72" t="e">
        <f t="shared" si="27"/>
        <v>#DIV/0!</v>
      </c>
      <c r="N157" s="48"/>
      <c r="O157" s="50">
        <f t="shared" si="23"/>
        <v>0</v>
      </c>
      <c r="P157" s="50"/>
      <c r="Q157" s="50"/>
      <c r="R157" s="17">
        <f t="shared" si="28"/>
        <v>0</v>
      </c>
      <c r="S157" s="17" t="e">
        <f t="shared" si="29"/>
        <v>#DIV/0!</v>
      </c>
      <c r="T157" s="71" t="e">
        <f t="shared" si="30"/>
        <v>#DIV/0!</v>
      </c>
      <c r="U157" s="72" t="e">
        <f t="shared" si="31"/>
        <v>#DIV/0!</v>
      </c>
      <c r="V157" s="48"/>
      <c r="W157" s="73"/>
      <c r="X157" s="48"/>
      <c r="Y157" s="73"/>
      <c r="Z157" s="48"/>
      <c r="AA157" s="74"/>
      <c r="AB157" s="48"/>
      <c r="AC157" s="7"/>
      <c r="AD157" s="7"/>
      <c r="AE157" s="8"/>
      <c r="AF157" s="8"/>
    </row>
    <row r="158" spans="1:32" x14ac:dyDescent="0.2">
      <c r="A158" s="11">
        <v>45910</v>
      </c>
      <c r="B158" s="15"/>
      <c r="C158" s="62"/>
      <c r="D158" s="62"/>
      <c r="E158" s="62"/>
      <c r="F158" s="48"/>
      <c r="G158" s="49"/>
      <c r="H158" s="50"/>
      <c r="I158" s="50"/>
      <c r="J158" s="17">
        <f t="shared" si="26"/>
        <v>0</v>
      </c>
      <c r="K158" s="17" t="e">
        <f t="shared" si="24"/>
        <v>#DIV/0!</v>
      </c>
      <c r="L158" s="71" t="e">
        <f t="shared" si="25"/>
        <v>#DIV/0!</v>
      </c>
      <c r="M158" s="72" t="e">
        <f t="shared" si="27"/>
        <v>#DIV/0!</v>
      </c>
      <c r="N158" s="48"/>
      <c r="O158" s="50">
        <f t="shared" si="23"/>
        <v>0</v>
      </c>
      <c r="P158" s="50"/>
      <c r="Q158" s="50"/>
      <c r="R158" s="17">
        <f t="shared" si="28"/>
        <v>0</v>
      </c>
      <c r="S158" s="17" t="e">
        <f t="shared" si="29"/>
        <v>#DIV/0!</v>
      </c>
      <c r="T158" s="71" t="e">
        <f t="shared" si="30"/>
        <v>#DIV/0!</v>
      </c>
      <c r="U158" s="72" t="e">
        <f t="shared" si="31"/>
        <v>#DIV/0!</v>
      </c>
      <c r="V158" s="48"/>
      <c r="W158" s="73"/>
      <c r="X158" s="48"/>
      <c r="Y158" s="73"/>
      <c r="Z158" s="48"/>
      <c r="AA158" s="74"/>
      <c r="AB158" s="48"/>
      <c r="AC158" s="7"/>
      <c r="AD158" s="7"/>
      <c r="AE158" s="8"/>
      <c r="AF158" s="8"/>
    </row>
    <row r="159" spans="1:32" x14ac:dyDescent="0.2">
      <c r="A159" s="11">
        <v>45911</v>
      </c>
      <c r="B159" s="15"/>
      <c r="C159" s="62"/>
      <c r="D159" s="62"/>
      <c r="E159" s="62"/>
      <c r="F159" s="48"/>
      <c r="G159" s="49"/>
      <c r="H159" s="50"/>
      <c r="I159" s="50"/>
      <c r="J159" s="17">
        <f t="shared" si="26"/>
        <v>0</v>
      </c>
      <c r="K159" s="17" t="e">
        <f t="shared" si="24"/>
        <v>#DIV/0!</v>
      </c>
      <c r="L159" s="71" t="e">
        <f t="shared" si="25"/>
        <v>#DIV/0!</v>
      </c>
      <c r="M159" s="72" t="e">
        <f t="shared" si="27"/>
        <v>#DIV/0!</v>
      </c>
      <c r="N159" s="48"/>
      <c r="O159" s="50">
        <f t="shared" si="23"/>
        <v>0</v>
      </c>
      <c r="P159" s="50"/>
      <c r="Q159" s="50"/>
      <c r="R159" s="17">
        <f t="shared" si="28"/>
        <v>0</v>
      </c>
      <c r="S159" s="17" t="e">
        <f t="shared" si="29"/>
        <v>#DIV/0!</v>
      </c>
      <c r="T159" s="71" t="e">
        <f t="shared" si="30"/>
        <v>#DIV/0!</v>
      </c>
      <c r="U159" s="72" t="e">
        <f t="shared" si="31"/>
        <v>#DIV/0!</v>
      </c>
      <c r="V159" s="48"/>
      <c r="W159" s="73"/>
      <c r="X159" s="48"/>
      <c r="Y159" s="73"/>
      <c r="Z159" s="48"/>
      <c r="AA159" s="74"/>
      <c r="AB159" s="48"/>
      <c r="AC159" s="7"/>
      <c r="AD159" s="7"/>
      <c r="AE159" s="8"/>
      <c r="AF159" s="8"/>
    </row>
    <row r="160" spans="1:32" x14ac:dyDescent="0.2">
      <c r="A160" s="11">
        <v>45912</v>
      </c>
      <c r="B160" s="15"/>
      <c r="C160" s="62"/>
      <c r="D160" s="62"/>
      <c r="E160" s="62"/>
      <c r="F160" s="48"/>
      <c r="G160" s="49"/>
      <c r="H160" s="50"/>
      <c r="I160" s="50"/>
      <c r="J160" s="17">
        <f t="shared" si="26"/>
        <v>0</v>
      </c>
      <c r="K160" s="17" t="e">
        <f t="shared" si="24"/>
        <v>#DIV/0!</v>
      </c>
      <c r="L160" s="71" t="e">
        <f t="shared" si="25"/>
        <v>#DIV/0!</v>
      </c>
      <c r="M160" s="72" t="e">
        <f t="shared" si="27"/>
        <v>#DIV/0!</v>
      </c>
      <c r="N160" s="48"/>
      <c r="O160" s="50">
        <f t="shared" si="23"/>
        <v>0</v>
      </c>
      <c r="P160" s="50"/>
      <c r="Q160" s="50"/>
      <c r="R160" s="17">
        <f t="shared" si="28"/>
        <v>0</v>
      </c>
      <c r="S160" s="17" t="e">
        <f t="shared" si="29"/>
        <v>#DIV/0!</v>
      </c>
      <c r="T160" s="71" t="e">
        <f t="shared" si="30"/>
        <v>#DIV/0!</v>
      </c>
      <c r="U160" s="72" t="e">
        <f t="shared" si="31"/>
        <v>#DIV/0!</v>
      </c>
      <c r="V160" s="48"/>
      <c r="W160" s="73"/>
      <c r="X160" s="48"/>
      <c r="Y160" s="73"/>
      <c r="Z160" s="48"/>
      <c r="AA160" s="74"/>
      <c r="AB160" s="48"/>
      <c r="AC160" s="7"/>
      <c r="AD160" s="7"/>
      <c r="AE160" s="8"/>
      <c r="AF160" s="8"/>
    </row>
    <row r="161" spans="1:32" x14ac:dyDescent="0.2">
      <c r="A161" s="11">
        <v>45913</v>
      </c>
      <c r="B161" s="15"/>
      <c r="C161" s="62"/>
      <c r="D161" s="62"/>
      <c r="E161" s="62"/>
      <c r="F161" s="48"/>
      <c r="G161" s="49"/>
      <c r="H161" s="50"/>
      <c r="I161" s="50"/>
      <c r="J161" s="17">
        <f t="shared" si="26"/>
        <v>0</v>
      </c>
      <c r="K161" s="17" t="e">
        <f t="shared" si="24"/>
        <v>#DIV/0!</v>
      </c>
      <c r="L161" s="71" t="e">
        <f t="shared" si="25"/>
        <v>#DIV/0!</v>
      </c>
      <c r="M161" s="72" t="e">
        <f t="shared" si="27"/>
        <v>#DIV/0!</v>
      </c>
      <c r="N161" s="48"/>
      <c r="O161" s="50">
        <f t="shared" si="23"/>
        <v>0</v>
      </c>
      <c r="P161" s="50"/>
      <c r="Q161" s="50"/>
      <c r="R161" s="17">
        <f t="shared" si="28"/>
        <v>0</v>
      </c>
      <c r="S161" s="17" t="e">
        <f t="shared" si="29"/>
        <v>#DIV/0!</v>
      </c>
      <c r="T161" s="71" t="e">
        <f t="shared" si="30"/>
        <v>#DIV/0!</v>
      </c>
      <c r="U161" s="72" t="e">
        <f t="shared" si="31"/>
        <v>#DIV/0!</v>
      </c>
      <c r="V161" s="48"/>
      <c r="W161" s="73"/>
      <c r="X161" s="48"/>
      <c r="Y161" s="73"/>
      <c r="Z161" s="48"/>
      <c r="AA161" s="74"/>
      <c r="AB161" s="48"/>
      <c r="AC161" s="7"/>
      <c r="AD161" s="7"/>
      <c r="AE161" s="8"/>
      <c r="AF161" s="8"/>
    </row>
    <row r="162" spans="1:32" x14ac:dyDescent="0.2">
      <c r="A162" s="11">
        <v>45914</v>
      </c>
      <c r="B162" s="15"/>
      <c r="C162" s="62"/>
      <c r="D162" s="62"/>
      <c r="E162" s="62"/>
      <c r="F162" s="48"/>
      <c r="G162" s="49"/>
      <c r="H162" s="50"/>
      <c r="I162" s="50"/>
      <c r="J162" s="17">
        <f t="shared" si="26"/>
        <v>0</v>
      </c>
      <c r="K162" s="17" t="e">
        <f t="shared" si="24"/>
        <v>#DIV/0!</v>
      </c>
      <c r="L162" s="71" t="e">
        <f t="shared" si="25"/>
        <v>#DIV/0!</v>
      </c>
      <c r="M162" s="72" t="e">
        <f t="shared" si="27"/>
        <v>#DIV/0!</v>
      </c>
      <c r="N162" s="48"/>
      <c r="O162" s="50">
        <f t="shared" si="23"/>
        <v>0</v>
      </c>
      <c r="P162" s="50"/>
      <c r="Q162" s="50"/>
      <c r="R162" s="17">
        <f t="shared" si="28"/>
        <v>0</v>
      </c>
      <c r="S162" s="17" t="e">
        <f t="shared" si="29"/>
        <v>#DIV/0!</v>
      </c>
      <c r="T162" s="71" t="e">
        <f t="shared" si="30"/>
        <v>#DIV/0!</v>
      </c>
      <c r="U162" s="72" t="e">
        <f t="shared" si="31"/>
        <v>#DIV/0!</v>
      </c>
      <c r="V162" s="48"/>
      <c r="W162" s="73"/>
      <c r="X162" s="48"/>
      <c r="Y162" s="73"/>
      <c r="Z162" s="48"/>
      <c r="AA162" s="74"/>
      <c r="AB162" s="48"/>
      <c r="AC162" s="7"/>
      <c r="AD162" s="7"/>
      <c r="AE162" s="8"/>
      <c r="AF162" s="8"/>
    </row>
    <row r="163" spans="1:32" x14ac:dyDescent="0.2">
      <c r="A163" s="11">
        <v>45915</v>
      </c>
      <c r="B163" s="15"/>
      <c r="C163" s="62"/>
      <c r="D163" s="62"/>
      <c r="E163" s="62"/>
      <c r="F163" s="48"/>
      <c r="G163" s="49"/>
      <c r="H163" s="50"/>
      <c r="I163" s="50"/>
      <c r="J163" s="17">
        <f t="shared" si="26"/>
        <v>0</v>
      </c>
      <c r="K163" s="17" t="e">
        <f t="shared" si="24"/>
        <v>#DIV/0!</v>
      </c>
      <c r="L163" s="71" t="e">
        <f t="shared" si="25"/>
        <v>#DIV/0!</v>
      </c>
      <c r="M163" s="72" t="e">
        <f t="shared" si="27"/>
        <v>#DIV/0!</v>
      </c>
      <c r="N163" s="48"/>
      <c r="O163" s="50">
        <f t="shared" si="23"/>
        <v>0</v>
      </c>
      <c r="P163" s="50"/>
      <c r="Q163" s="50"/>
      <c r="R163" s="17">
        <f t="shared" si="28"/>
        <v>0</v>
      </c>
      <c r="S163" s="17" t="e">
        <f t="shared" si="29"/>
        <v>#DIV/0!</v>
      </c>
      <c r="T163" s="71" t="e">
        <f t="shared" si="30"/>
        <v>#DIV/0!</v>
      </c>
      <c r="U163" s="72" t="e">
        <f t="shared" si="31"/>
        <v>#DIV/0!</v>
      </c>
      <c r="V163" s="48"/>
      <c r="W163" s="73"/>
      <c r="X163" s="48"/>
      <c r="Y163" s="73"/>
      <c r="Z163" s="48"/>
      <c r="AA163" s="74"/>
      <c r="AB163" s="48"/>
      <c r="AC163" s="7"/>
      <c r="AD163" s="7"/>
      <c r="AE163" s="8"/>
      <c r="AF163" s="8"/>
    </row>
    <row r="164" spans="1:32" x14ac:dyDescent="0.2">
      <c r="A164" s="11">
        <v>45916</v>
      </c>
      <c r="B164" s="15"/>
      <c r="C164" s="62"/>
      <c r="D164" s="62"/>
      <c r="E164" s="62"/>
      <c r="F164" s="48"/>
      <c r="G164" s="49"/>
      <c r="H164" s="50"/>
      <c r="I164" s="50"/>
      <c r="J164" s="17">
        <f t="shared" si="26"/>
        <v>0</v>
      </c>
      <c r="K164" s="17" t="e">
        <f t="shared" si="24"/>
        <v>#DIV/0!</v>
      </c>
      <c r="L164" s="71" t="e">
        <f t="shared" si="25"/>
        <v>#DIV/0!</v>
      </c>
      <c r="M164" s="72" t="e">
        <f t="shared" si="27"/>
        <v>#DIV/0!</v>
      </c>
      <c r="N164" s="48"/>
      <c r="O164" s="50">
        <f t="shared" si="23"/>
        <v>0</v>
      </c>
      <c r="P164" s="50"/>
      <c r="Q164" s="50"/>
      <c r="R164" s="17">
        <f t="shared" si="28"/>
        <v>0</v>
      </c>
      <c r="S164" s="17" t="e">
        <f t="shared" si="29"/>
        <v>#DIV/0!</v>
      </c>
      <c r="T164" s="71" t="e">
        <f t="shared" si="30"/>
        <v>#DIV/0!</v>
      </c>
      <c r="U164" s="72" t="e">
        <f t="shared" si="31"/>
        <v>#DIV/0!</v>
      </c>
      <c r="V164" s="48"/>
      <c r="W164" s="73"/>
      <c r="X164" s="48"/>
      <c r="Y164" s="73"/>
      <c r="Z164" s="48"/>
      <c r="AA164" s="74"/>
      <c r="AB164" s="48"/>
      <c r="AC164" s="7"/>
      <c r="AD164" s="7"/>
      <c r="AE164" s="8"/>
      <c r="AF164" s="8"/>
    </row>
    <row r="165" spans="1:32" x14ac:dyDescent="0.2">
      <c r="A165" s="11">
        <v>45917</v>
      </c>
      <c r="B165" s="15"/>
      <c r="C165" s="62"/>
      <c r="D165" s="62"/>
      <c r="E165" s="62"/>
      <c r="F165" s="48"/>
      <c r="G165" s="49"/>
      <c r="H165" s="50"/>
      <c r="I165" s="50"/>
      <c r="J165" s="17">
        <f t="shared" si="26"/>
        <v>0</v>
      </c>
      <c r="K165" s="17" t="e">
        <f t="shared" si="24"/>
        <v>#DIV/0!</v>
      </c>
      <c r="L165" s="71" t="e">
        <f t="shared" si="25"/>
        <v>#DIV/0!</v>
      </c>
      <c r="M165" s="72" t="e">
        <f t="shared" si="27"/>
        <v>#DIV/0!</v>
      </c>
      <c r="N165" s="48"/>
      <c r="O165" s="50">
        <f t="shared" si="23"/>
        <v>0</v>
      </c>
      <c r="P165" s="50"/>
      <c r="Q165" s="50"/>
      <c r="R165" s="17">
        <f t="shared" si="28"/>
        <v>0</v>
      </c>
      <c r="S165" s="17" t="e">
        <f t="shared" si="29"/>
        <v>#DIV/0!</v>
      </c>
      <c r="T165" s="71" t="e">
        <f t="shared" si="30"/>
        <v>#DIV/0!</v>
      </c>
      <c r="U165" s="72" t="e">
        <f t="shared" si="31"/>
        <v>#DIV/0!</v>
      </c>
      <c r="V165" s="48"/>
      <c r="W165" s="73"/>
      <c r="X165" s="48"/>
      <c r="Y165" s="73"/>
      <c r="Z165" s="48"/>
      <c r="AA165" s="74"/>
      <c r="AB165" s="48"/>
      <c r="AC165" s="7"/>
      <c r="AD165" s="7"/>
      <c r="AE165" s="8"/>
      <c r="AF165" s="8"/>
    </row>
    <row r="166" spans="1:32" x14ac:dyDescent="0.2">
      <c r="A166" s="11">
        <v>45918</v>
      </c>
      <c r="B166" s="15"/>
      <c r="C166" s="62"/>
      <c r="D166" s="62"/>
      <c r="E166" s="62"/>
      <c r="F166" s="48"/>
      <c r="G166" s="49"/>
      <c r="H166" s="50"/>
      <c r="I166" s="50"/>
      <c r="J166" s="17">
        <f t="shared" si="26"/>
        <v>0</v>
      </c>
      <c r="K166" s="17" t="e">
        <f t="shared" si="24"/>
        <v>#DIV/0!</v>
      </c>
      <c r="L166" s="71" t="e">
        <f t="shared" si="25"/>
        <v>#DIV/0!</v>
      </c>
      <c r="M166" s="72" t="e">
        <f t="shared" si="27"/>
        <v>#DIV/0!</v>
      </c>
      <c r="N166" s="48"/>
      <c r="O166" s="50">
        <f t="shared" si="23"/>
        <v>0</v>
      </c>
      <c r="P166" s="50"/>
      <c r="Q166" s="50"/>
      <c r="R166" s="17">
        <f t="shared" si="28"/>
        <v>0</v>
      </c>
      <c r="S166" s="17" t="e">
        <f t="shared" si="29"/>
        <v>#DIV/0!</v>
      </c>
      <c r="T166" s="71" t="e">
        <f t="shared" si="30"/>
        <v>#DIV/0!</v>
      </c>
      <c r="U166" s="72" t="e">
        <f t="shared" si="31"/>
        <v>#DIV/0!</v>
      </c>
      <c r="V166" s="48"/>
      <c r="W166" s="73"/>
      <c r="X166" s="48"/>
      <c r="Y166" s="73"/>
      <c r="Z166" s="48"/>
      <c r="AA166" s="74"/>
      <c r="AB166" s="48"/>
      <c r="AC166" s="7"/>
      <c r="AD166" s="7"/>
      <c r="AE166" s="8"/>
      <c r="AF166" s="8"/>
    </row>
    <row r="167" spans="1:32" x14ac:dyDescent="0.2">
      <c r="A167" s="11">
        <v>45919</v>
      </c>
      <c r="B167" s="15"/>
      <c r="C167" s="62"/>
      <c r="D167" s="62"/>
      <c r="E167" s="62"/>
      <c r="F167" s="48"/>
      <c r="G167" s="49"/>
      <c r="H167" s="50"/>
      <c r="I167" s="50"/>
      <c r="J167" s="17">
        <f t="shared" si="26"/>
        <v>0</v>
      </c>
      <c r="K167" s="17" t="e">
        <f t="shared" si="24"/>
        <v>#DIV/0!</v>
      </c>
      <c r="L167" s="71" t="e">
        <f t="shared" si="25"/>
        <v>#DIV/0!</v>
      </c>
      <c r="M167" s="72" t="e">
        <f t="shared" si="27"/>
        <v>#DIV/0!</v>
      </c>
      <c r="N167" s="48"/>
      <c r="O167" s="50">
        <f t="shared" si="23"/>
        <v>0</v>
      </c>
      <c r="P167" s="50"/>
      <c r="Q167" s="50"/>
      <c r="R167" s="17">
        <f t="shared" si="28"/>
        <v>0</v>
      </c>
      <c r="S167" s="17" t="e">
        <f t="shared" si="29"/>
        <v>#DIV/0!</v>
      </c>
      <c r="T167" s="71" t="e">
        <f t="shared" si="30"/>
        <v>#DIV/0!</v>
      </c>
      <c r="U167" s="72" t="e">
        <f t="shared" si="31"/>
        <v>#DIV/0!</v>
      </c>
      <c r="V167" s="48"/>
      <c r="W167" s="73"/>
      <c r="X167" s="48"/>
      <c r="Y167" s="73"/>
      <c r="Z167" s="48"/>
      <c r="AA167" s="74"/>
      <c r="AB167" s="48"/>
      <c r="AC167" s="7"/>
      <c r="AD167" s="7"/>
      <c r="AE167" s="8"/>
      <c r="AF167" s="8"/>
    </row>
    <row r="168" spans="1:32" x14ac:dyDescent="0.2">
      <c r="A168" s="11">
        <v>45920</v>
      </c>
      <c r="B168" s="15"/>
      <c r="C168" s="62"/>
      <c r="D168" s="62"/>
      <c r="E168" s="62"/>
      <c r="F168" s="48"/>
      <c r="G168" s="49"/>
      <c r="H168" s="50"/>
      <c r="I168" s="50"/>
      <c r="J168" s="17">
        <f t="shared" si="26"/>
        <v>0</v>
      </c>
      <c r="K168" s="17" t="e">
        <f t="shared" si="24"/>
        <v>#DIV/0!</v>
      </c>
      <c r="L168" s="71" t="e">
        <f t="shared" si="25"/>
        <v>#DIV/0!</v>
      </c>
      <c r="M168" s="72" t="e">
        <f t="shared" si="27"/>
        <v>#DIV/0!</v>
      </c>
      <c r="N168" s="48"/>
      <c r="O168" s="50">
        <f t="shared" si="23"/>
        <v>0</v>
      </c>
      <c r="P168" s="50"/>
      <c r="Q168" s="50"/>
      <c r="R168" s="17">
        <f t="shared" si="28"/>
        <v>0</v>
      </c>
      <c r="S168" s="17" t="e">
        <f t="shared" si="29"/>
        <v>#DIV/0!</v>
      </c>
      <c r="T168" s="71" t="e">
        <f t="shared" si="30"/>
        <v>#DIV/0!</v>
      </c>
      <c r="U168" s="72" t="e">
        <f t="shared" si="31"/>
        <v>#DIV/0!</v>
      </c>
      <c r="V168" s="48"/>
      <c r="W168" s="73"/>
      <c r="X168" s="48"/>
      <c r="Y168" s="73"/>
      <c r="Z168" s="48"/>
      <c r="AA168" s="74"/>
      <c r="AB168" s="48"/>
      <c r="AC168" s="7"/>
      <c r="AD168" s="7"/>
      <c r="AE168" s="8"/>
      <c r="AF168" s="8"/>
    </row>
    <row r="169" spans="1:32" x14ac:dyDescent="0.2">
      <c r="A169" s="11">
        <v>45921</v>
      </c>
      <c r="B169" s="15"/>
      <c r="C169" s="62"/>
      <c r="D169" s="62"/>
      <c r="E169" s="62"/>
      <c r="F169" s="48"/>
      <c r="G169" s="49"/>
      <c r="H169" s="50"/>
      <c r="I169" s="50"/>
      <c r="J169" s="17">
        <f t="shared" si="26"/>
        <v>0</v>
      </c>
      <c r="K169" s="17" t="e">
        <f t="shared" si="24"/>
        <v>#DIV/0!</v>
      </c>
      <c r="L169" s="71" t="e">
        <f t="shared" si="25"/>
        <v>#DIV/0!</v>
      </c>
      <c r="M169" s="72" t="e">
        <f t="shared" si="27"/>
        <v>#DIV/0!</v>
      </c>
      <c r="N169" s="48"/>
      <c r="O169" s="50">
        <f t="shared" si="23"/>
        <v>0</v>
      </c>
      <c r="P169" s="50"/>
      <c r="Q169" s="50"/>
      <c r="R169" s="17">
        <f t="shared" si="28"/>
        <v>0</v>
      </c>
      <c r="S169" s="17" t="e">
        <f t="shared" si="29"/>
        <v>#DIV/0!</v>
      </c>
      <c r="T169" s="71" t="e">
        <f t="shared" si="30"/>
        <v>#DIV/0!</v>
      </c>
      <c r="U169" s="72" t="e">
        <f t="shared" si="31"/>
        <v>#DIV/0!</v>
      </c>
      <c r="V169" s="48"/>
      <c r="W169" s="73"/>
      <c r="X169" s="48"/>
      <c r="Y169" s="73"/>
      <c r="Z169" s="48"/>
      <c r="AA169" s="74"/>
      <c r="AB169" s="48"/>
      <c r="AC169" s="7"/>
      <c r="AD169" s="7"/>
      <c r="AE169" s="8"/>
      <c r="AF169" s="8"/>
    </row>
    <row r="170" spans="1:32" x14ac:dyDescent="0.2">
      <c r="A170" s="11">
        <v>45922</v>
      </c>
      <c r="B170" s="15"/>
      <c r="C170" s="62"/>
      <c r="D170" s="62"/>
      <c r="E170" s="62"/>
      <c r="F170" s="48"/>
      <c r="G170" s="49"/>
      <c r="H170" s="50"/>
      <c r="I170" s="50"/>
      <c r="J170" s="17">
        <f t="shared" si="26"/>
        <v>0</v>
      </c>
      <c r="K170" s="17" t="e">
        <f t="shared" si="24"/>
        <v>#DIV/0!</v>
      </c>
      <c r="L170" s="71" t="e">
        <f t="shared" si="25"/>
        <v>#DIV/0!</v>
      </c>
      <c r="M170" s="72" t="e">
        <f t="shared" si="27"/>
        <v>#DIV/0!</v>
      </c>
      <c r="N170" s="48"/>
      <c r="O170" s="50">
        <f t="shared" ref="O170:O224" si="32">G170-I170</f>
        <v>0</v>
      </c>
      <c r="P170" s="50"/>
      <c r="Q170" s="50"/>
      <c r="R170" s="17">
        <f t="shared" si="28"/>
        <v>0</v>
      </c>
      <c r="S170" s="17" t="e">
        <f t="shared" si="29"/>
        <v>#DIV/0!</v>
      </c>
      <c r="T170" s="71" t="e">
        <f t="shared" si="30"/>
        <v>#DIV/0!</v>
      </c>
      <c r="U170" s="72" t="e">
        <f t="shared" si="31"/>
        <v>#DIV/0!</v>
      </c>
      <c r="V170" s="48"/>
      <c r="W170" s="73"/>
      <c r="X170" s="48"/>
      <c r="Y170" s="73"/>
      <c r="Z170" s="48"/>
      <c r="AA170" s="74"/>
      <c r="AB170" s="48"/>
      <c r="AC170" s="7"/>
      <c r="AD170" s="7"/>
      <c r="AE170" s="8"/>
      <c r="AF170" s="8"/>
    </row>
    <row r="171" spans="1:32" x14ac:dyDescent="0.2">
      <c r="A171" s="11">
        <v>45923</v>
      </c>
      <c r="B171" s="15"/>
      <c r="C171" s="62"/>
      <c r="D171" s="62"/>
      <c r="E171" s="62"/>
      <c r="F171" s="48"/>
      <c r="G171" s="49"/>
      <c r="H171" s="50"/>
      <c r="I171" s="50"/>
      <c r="J171" s="17">
        <f t="shared" si="26"/>
        <v>0</v>
      </c>
      <c r="K171" s="17" t="e">
        <f t="shared" si="24"/>
        <v>#DIV/0!</v>
      </c>
      <c r="L171" s="71" t="e">
        <f t="shared" si="25"/>
        <v>#DIV/0!</v>
      </c>
      <c r="M171" s="72" t="e">
        <f t="shared" si="27"/>
        <v>#DIV/0!</v>
      </c>
      <c r="N171" s="48"/>
      <c r="O171" s="50">
        <f t="shared" si="32"/>
        <v>0</v>
      </c>
      <c r="P171" s="50"/>
      <c r="Q171" s="50"/>
      <c r="R171" s="17">
        <f t="shared" si="28"/>
        <v>0</v>
      </c>
      <c r="S171" s="17" t="e">
        <f t="shared" si="29"/>
        <v>#DIV/0!</v>
      </c>
      <c r="T171" s="71" t="e">
        <f t="shared" si="30"/>
        <v>#DIV/0!</v>
      </c>
      <c r="U171" s="72" t="e">
        <f t="shared" si="31"/>
        <v>#DIV/0!</v>
      </c>
      <c r="V171" s="48"/>
      <c r="W171" s="73"/>
      <c r="X171" s="48"/>
      <c r="Y171" s="73"/>
      <c r="Z171" s="48"/>
      <c r="AA171" s="74"/>
      <c r="AB171" s="48"/>
      <c r="AC171" s="7"/>
      <c r="AD171" s="7"/>
      <c r="AE171" s="8"/>
      <c r="AF171" s="8"/>
    </row>
    <row r="172" spans="1:32" x14ac:dyDescent="0.2">
      <c r="A172" s="11">
        <v>45924</v>
      </c>
      <c r="B172" s="15"/>
      <c r="C172" s="62"/>
      <c r="D172" s="62"/>
      <c r="E172" s="62"/>
      <c r="F172" s="48"/>
      <c r="G172" s="49"/>
      <c r="H172" s="50"/>
      <c r="I172" s="50"/>
      <c r="J172" s="17">
        <f t="shared" si="26"/>
        <v>0</v>
      </c>
      <c r="K172" s="17" t="e">
        <f t="shared" si="24"/>
        <v>#DIV/0!</v>
      </c>
      <c r="L172" s="71" t="e">
        <f t="shared" si="25"/>
        <v>#DIV/0!</v>
      </c>
      <c r="M172" s="72" t="e">
        <f t="shared" si="27"/>
        <v>#DIV/0!</v>
      </c>
      <c r="N172" s="48"/>
      <c r="O172" s="50">
        <f t="shared" si="32"/>
        <v>0</v>
      </c>
      <c r="P172" s="50"/>
      <c r="Q172" s="50"/>
      <c r="R172" s="17">
        <f t="shared" si="28"/>
        <v>0</v>
      </c>
      <c r="S172" s="17" t="e">
        <f t="shared" si="29"/>
        <v>#DIV/0!</v>
      </c>
      <c r="T172" s="71" t="e">
        <f t="shared" si="30"/>
        <v>#DIV/0!</v>
      </c>
      <c r="U172" s="72" t="e">
        <f t="shared" si="31"/>
        <v>#DIV/0!</v>
      </c>
      <c r="V172" s="48"/>
      <c r="W172" s="73"/>
      <c r="X172" s="48"/>
      <c r="Y172" s="73"/>
      <c r="Z172" s="48"/>
      <c r="AA172" s="74"/>
      <c r="AB172" s="48"/>
      <c r="AC172" s="7"/>
      <c r="AD172" s="7"/>
      <c r="AE172" s="8"/>
      <c r="AF172" s="8"/>
    </row>
    <row r="173" spans="1:32" x14ac:dyDescent="0.2">
      <c r="A173" s="11">
        <v>45925</v>
      </c>
      <c r="B173" s="15"/>
      <c r="C173" s="62"/>
      <c r="D173" s="62"/>
      <c r="E173" s="62"/>
      <c r="F173" s="48"/>
      <c r="G173" s="49"/>
      <c r="H173" s="50"/>
      <c r="I173" s="50"/>
      <c r="J173" s="17">
        <f t="shared" si="26"/>
        <v>0</v>
      </c>
      <c r="K173" s="17" t="e">
        <f t="shared" ref="K173:K224" si="33">I173/G173</f>
        <v>#DIV/0!</v>
      </c>
      <c r="L173" s="71" t="e">
        <f t="shared" ref="L173:L224" si="34">1/(1-K173)</f>
        <v>#DIV/0!</v>
      </c>
      <c r="M173" s="72" t="e">
        <f t="shared" si="27"/>
        <v>#DIV/0!</v>
      </c>
      <c r="N173" s="48"/>
      <c r="O173" s="50">
        <f t="shared" si="32"/>
        <v>0</v>
      </c>
      <c r="P173" s="50"/>
      <c r="Q173" s="50"/>
      <c r="R173" s="17">
        <f t="shared" si="28"/>
        <v>0</v>
      </c>
      <c r="S173" s="17" t="e">
        <f t="shared" si="29"/>
        <v>#DIV/0!</v>
      </c>
      <c r="T173" s="71" t="e">
        <f t="shared" si="30"/>
        <v>#DIV/0!</v>
      </c>
      <c r="U173" s="72" t="e">
        <f t="shared" si="31"/>
        <v>#DIV/0!</v>
      </c>
      <c r="V173" s="48"/>
      <c r="W173" s="73"/>
      <c r="X173" s="48"/>
      <c r="Y173" s="73"/>
      <c r="Z173" s="48"/>
      <c r="AA173" s="74"/>
      <c r="AB173" s="48"/>
      <c r="AC173" s="7"/>
      <c r="AD173" s="7"/>
      <c r="AE173" s="8"/>
      <c r="AF173" s="8"/>
    </row>
    <row r="174" spans="1:32" x14ac:dyDescent="0.2">
      <c r="A174" s="11">
        <v>45926</v>
      </c>
      <c r="B174" s="15"/>
      <c r="C174" s="62"/>
      <c r="D174" s="62"/>
      <c r="E174" s="62"/>
      <c r="F174" s="48"/>
      <c r="G174" s="49"/>
      <c r="H174" s="50"/>
      <c r="I174" s="50"/>
      <c r="J174" s="17">
        <f t="shared" si="26"/>
        <v>0</v>
      </c>
      <c r="K174" s="17" t="e">
        <f t="shared" si="33"/>
        <v>#DIV/0!</v>
      </c>
      <c r="L174" s="71" t="e">
        <f t="shared" si="34"/>
        <v>#DIV/0!</v>
      </c>
      <c r="M174" s="72" t="e">
        <f t="shared" si="27"/>
        <v>#DIV/0!</v>
      </c>
      <c r="N174" s="48"/>
      <c r="O174" s="50">
        <f t="shared" si="32"/>
        <v>0</v>
      </c>
      <c r="P174" s="50"/>
      <c r="Q174" s="50"/>
      <c r="R174" s="17">
        <f t="shared" si="28"/>
        <v>0</v>
      </c>
      <c r="S174" s="17" t="e">
        <f t="shared" si="29"/>
        <v>#DIV/0!</v>
      </c>
      <c r="T174" s="71" t="e">
        <f t="shared" si="30"/>
        <v>#DIV/0!</v>
      </c>
      <c r="U174" s="72" t="e">
        <f t="shared" si="31"/>
        <v>#DIV/0!</v>
      </c>
      <c r="V174" s="48"/>
      <c r="W174" s="73"/>
      <c r="X174" s="48"/>
      <c r="Y174" s="73"/>
      <c r="Z174" s="48"/>
      <c r="AA174" s="74"/>
      <c r="AB174" s="48"/>
      <c r="AC174" s="7"/>
      <c r="AD174" s="7"/>
      <c r="AE174" s="8"/>
      <c r="AF174" s="8"/>
    </row>
    <row r="175" spans="1:32" x14ac:dyDescent="0.2">
      <c r="A175" s="11">
        <v>45927</v>
      </c>
      <c r="B175" s="15"/>
      <c r="C175" s="62"/>
      <c r="D175" s="62"/>
      <c r="E175" s="62"/>
      <c r="F175" s="48"/>
      <c r="G175" s="49"/>
      <c r="H175" s="50"/>
      <c r="I175" s="50"/>
      <c r="J175" s="17">
        <f t="shared" ref="J175:J224" si="35">F175-H175</f>
        <v>0</v>
      </c>
      <c r="K175" s="17" t="e">
        <f t="shared" si="33"/>
        <v>#DIV/0!</v>
      </c>
      <c r="L175" s="71" t="e">
        <f t="shared" si="34"/>
        <v>#DIV/0!</v>
      </c>
      <c r="M175" s="72" t="e">
        <f t="shared" ref="M175:M224" si="36">(G176-G175)/G176</f>
        <v>#DIV/0!</v>
      </c>
      <c r="N175" s="48"/>
      <c r="O175" s="50">
        <f t="shared" si="32"/>
        <v>0</v>
      </c>
      <c r="P175" s="50"/>
      <c r="Q175" s="50"/>
      <c r="R175" s="17">
        <f t="shared" ref="R175:R220" si="37">N175-P175</f>
        <v>0</v>
      </c>
      <c r="S175" s="17" t="e">
        <f t="shared" ref="S175:S220" si="38">Q175/O175</f>
        <v>#DIV/0!</v>
      </c>
      <c r="T175" s="71" t="e">
        <f t="shared" ref="T175:T224" si="39">1/(1-S175)</f>
        <v>#DIV/0!</v>
      </c>
      <c r="U175" s="72" t="e">
        <f t="shared" ref="U175:U220" si="40">(O176-O175)/O176</f>
        <v>#DIV/0!</v>
      </c>
      <c r="V175" s="48"/>
      <c r="W175" s="73"/>
      <c r="X175" s="48"/>
      <c r="Y175" s="73"/>
      <c r="Z175" s="48"/>
      <c r="AA175" s="74"/>
      <c r="AB175" s="48"/>
      <c r="AC175" s="7"/>
      <c r="AD175" s="7"/>
      <c r="AE175" s="8"/>
      <c r="AF175" s="8"/>
    </row>
    <row r="176" spans="1:32" x14ac:dyDescent="0.2">
      <c r="A176" s="11">
        <v>45928</v>
      </c>
      <c r="B176" s="15"/>
      <c r="C176" s="62"/>
      <c r="D176" s="62"/>
      <c r="E176" s="62"/>
      <c r="F176" s="48"/>
      <c r="G176" s="49"/>
      <c r="H176" s="50"/>
      <c r="I176" s="50"/>
      <c r="J176" s="17">
        <f t="shared" si="35"/>
        <v>0</v>
      </c>
      <c r="K176" s="17" t="e">
        <f t="shared" si="33"/>
        <v>#DIV/0!</v>
      </c>
      <c r="L176" s="71" t="e">
        <f t="shared" si="34"/>
        <v>#DIV/0!</v>
      </c>
      <c r="M176" s="72" t="e">
        <f t="shared" si="36"/>
        <v>#DIV/0!</v>
      </c>
      <c r="N176" s="48"/>
      <c r="O176" s="50">
        <f t="shared" si="32"/>
        <v>0</v>
      </c>
      <c r="P176" s="50"/>
      <c r="Q176" s="50"/>
      <c r="R176" s="17">
        <f t="shared" si="37"/>
        <v>0</v>
      </c>
      <c r="S176" s="17" t="e">
        <f t="shared" si="38"/>
        <v>#DIV/0!</v>
      </c>
      <c r="T176" s="71" t="e">
        <f t="shared" si="39"/>
        <v>#DIV/0!</v>
      </c>
      <c r="U176" s="72" t="e">
        <f t="shared" si="40"/>
        <v>#DIV/0!</v>
      </c>
      <c r="V176" s="48"/>
      <c r="W176" s="73"/>
      <c r="X176" s="48"/>
      <c r="Y176" s="73"/>
      <c r="Z176" s="48"/>
      <c r="AA176" s="74"/>
      <c r="AB176" s="48"/>
      <c r="AC176" s="7"/>
      <c r="AD176" s="7"/>
      <c r="AE176" s="8"/>
      <c r="AF176" s="8"/>
    </row>
    <row r="177" spans="1:32" x14ac:dyDescent="0.2">
      <c r="A177" s="11">
        <v>45929</v>
      </c>
      <c r="B177" s="15"/>
      <c r="C177" s="62"/>
      <c r="D177" s="62"/>
      <c r="E177" s="62"/>
      <c r="F177" s="48"/>
      <c r="G177" s="49"/>
      <c r="H177" s="50"/>
      <c r="I177" s="50"/>
      <c r="J177" s="17">
        <f t="shared" si="35"/>
        <v>0</v>
      </c>
      <c r="K177" s="17" t="e">
        <f t="shared" si="33"/>
        <v>#DIV/0!</v>
      </c>
      <c r="L177" s="71" t="e">
        <f t="shared" si="34"/>
        <v>#DIV/0!</v>
      </c>
      <c r="M177" s="72" t="e">
        <f t="shared" si="36"/>
        <v>#DIV/0!</v>
      </c>
      <c r="N177" s="48"/>
      <c r="O177" s="50">
        <f t="shared" si="32"/>
        <v>0</v>
      </c>
      <c r="P177" s="50"/>
      <c r="Q177" s="50"/>
      <c r="R177" s="17">
        <f t="shared" si="37"/>
        <v>0</v>
      </c>
      <c r="S177" s="17" t="e">
        <f t="shared" si="38"/>
        <v>#DIV/0!</v>
      </c>
      <c r="T177" s="71" t="e">
        <f t="shared" si="39"/>
        <v>#DIV/0!</v>
      </c>
      <c r="U177" s="72" t="e">
        <f t="shared" si="40"/>
        <v>#DIV/0!</v>
      </c>
      <c r="V177" s="48"/>
      <c r="W177" s="73"/>
      <c r="X177" s="48"/>
      <c r="Y177" s="73"/>
      <c r="Z177" s="48"/>
      <c r="AA177" s="74"/>
      <c r="AB177" s="48"/>
      <c r="AC177" s="7"/>
      <c r="AD177" s="7"/>
      <c r="AE177" s="8"/>
      <c r="AF177" s="8"/>
    </row>
    <row r="178" spans="1:32" x14ac:dyDescent="0.2">
      <c r="A178" s="11">
        <v>45930</v>
      </c>
      <c r="B178" s="15"/>
      <c r="C178" s="62"/>
      <c r="D178" s="62"/>
      <c r="E178" s="62"/>
      <c r="F178" s="48"/>
      <c r="G178" s="49"/>
      <c r="H178" s="50"/>
      <c r="I178" s="50"/>
      <c r="J178" s="17">
        <f t="shared" si="35"/>
        <v>0</v>
      </c>
      <c r="K178" s="17" t="e">
        <f t="shared" si="33"/>
        <v>#DIV/0!</v>
      </c>
      <c r="L178" s="71" t="e">
        <f t="shared" si="34"/>
        <v>#DIV/0!</v>
      </c>
      <c r="M178" s="72" t="e">
        <f t="shared" si="36"/>
        <v>#DIV/0!</v>
      </c>
      <c r="N178" s="48"/>
      <c r="O178" s="50">
        <f t="shared" si="32"/>
        <v>0</v>
      </c>
      <c r="P178" s="50"/>
      <c r="Q178" s="50"/>
      <c r="R178" s="17">
        <f t="shared" si="37"/>
        <v>0</v>
      </c>
      <c r="S178" s="17" t="e">
        <f t="shared" si="38"/>
        <v>#DIV/0!</v>
      </c>
      <c r="T178" s="71" t="e">
        <f t="shared" si="39"/>
        <v>#DIV/0!</v>
      </c>
      <c r="U178" s="72" t="e">
        <f t="shared" si="40"/>
        <v>#DIV/0!</v>
      </c>
      <c r="V178" s="48"/>
      <c r="W178" s="73"/>
      <c r="X178" s="48"/>
      <c r="Y178" s="73"/>
      <c r="Z178" s="48"/>
      <c r="AA178" s="74"/>
      <c r="AB178" s="48"/>
      <c r="AC178" s="7"/>
      <c r="AD178" s="7"/>
      <c r="AE178" s="8"/>
      <c r="AF178" s="8"/>
    </row>
    <row r="179" spans="1:32" x14ac:dyDescent="0.2">
      <c r="A179" s="11">
        <v>45931</v>
      </c>
      <c r="B179" s="15"/>
      <c r="C179" s="62"/>
      <c r="D179" s="62"/>
      <c r="E179" s="62"/>
      <c r="F179" s="48"/>
      <c r="G179" s="49"/>
      <c r="H179" s="50"/>
      <c r="I179" s="50"/>
      <c r="J179" s="17">
        <f t="shared" si="35"/>
        <v>0</v>
      </c>
      <c r="K179" s="17" t="e">
        <f t="shared" si="33"/>
        <v>#DIV/0!</v>
      </c>
      <c r="L179" s="71" t="e">
        <f t="shared" si="34"/>
        <v>#DIV/0!</v>
      </c>
      <c r="M179" s="72" t="e">
        <f t="shared" si="36"/>
        <v>#DIV/0!</v>
      </c>
      <c r="N179" s="48"/>
      <c r="O179" s="50">
        <f t="shared" si="32"/>
        <v>0</v>
      </c>
      <c r="P179" s="50"/>
      <c r="Q179" s="50"/>
      <c r="R179" s="17">
        <f t="shared" si="37"/>
        <v>0</v>
      </c>
      <c r="S179" s="17" t="e">
        <f t="shared" si="38"/>
        <v>#DIV/0!</v>
      </c>
      <c r="T179" s="71" t="e">
        <f t="shared" si="39"/>
        <v>#DIV/0!</v>
      </c>
      <c r="U179" s="72" t="e">
        <f t="shared" si="40"/>
        <v>#DIV/0!</v>
      </c>
      <c r="V179" s="48"/>
      <c r="W179" s="73"/>
      <c r="X179" s="48"/>
      <c r="Y179" s="73"/>
      <c r="Z179" s="48"/>
      <c r="AA179" s="74"/>
      <c r="AB179" s="48"/>
      <c r="AC179" s="7"/>
      <c r="AD179" s="7"/>
      <c r="AE179" s="8"/>
      <c r="AF179" s="8"/>
    </row>
    <row r="180" spans="1:32" x14ac:dyDescent="0.2">
      <c r="A180" s="11">
        <v>45932</v>
      </c>
      <c r="B180" s="15"/>
      <c r="C180" s="62"/>
      <c r="D180" s="62"/>
      <c r="E180" s="62"/>
      <c r="F180" s="48"/>
      <c r="G180" s="49"/>
      <c r="H180" s="50"/>
      <c r="I180" s="50"/>
      <c r="J180" s="17">
        <f t="shared" si="35"/>
        <v>0</v>
      </c>
      <c r="K180" s="17" t="e">
        <f t="shared" si="33"/>
        <v>#DIV/0!</v>
      </c>
      <c r="L180" s="71" t="e">
        <f t="shared" si="34"/>
        <v>#DIV/0!</v>
      </c>
      <c r="M180" s="72" t="e">
        <f t="shared" si="36"/>
        <v>#DIV/0!</v>
      </c>
      <c r="N180" s="48"/>
      <c r="O180" s="50">
        <f t="shared" si="32"/>
        <v>0</v>
      </c>
      <c r="P180" s="50"/>
      <c r="Q180" s="50"/>
      <c r="R180" s="17">
        <f t="shared" si="37"/>
        <v>0</v>
      </c>
      <c r="S180" s="17" t="e">
        <f t="shared" si="38"/>
        <v>#DIV/0!</v>
      </c>
      <c r="T180" s="71" t="e">
        <f t="shared" si="39"/>
        <v>#DIV/0!</v>
      </c>
      <c r="U180" s="72" t="e">
        <f t="shared" si="40"/>
        <v>#DIV/0!</v>
      </c>
      <c r="V180" s="48"/>
      <c r="W180" s="73"/>
      <c r="X180" s="48"/>
      <c r="Y180" s="73"/>
      <c r="Z180" s="48"/>
      <c r="AA180" s="74"/>
      <c r="AB180" s="48"/>
      <c r="AC180" s="7"/>
      <c r="AD180" s="7"/>
      <c r="AE180" s="8"/>
      <c r="AF180" s="8"/>
    </row>
    <row r="181" spans="1:32" x14ac:dyDescent="0.2">
      <c r="A181" s="11">
        <v>45933</v>
      </c>
      <c r="B181" s="15"/>
      <c r="C181" s="62"/>
      <c r="D181" s="62"/>
      <c r="E181" s="62"/>
      <c r="F181" s="48"/>
      <c r="G181" s="49"/>
      <c r="H181" s="50"/>
      <c r="I181" s="50"/>
      <c r="J181" s="17">
        <f t="shared" si="35"/>
        <v>0</v>
      </c>
      <c r="K181" s="17" t="e">
        <f t="shared" si="33"/>
        <v>#DIV/0!</v>
      </c>
      <c r="L181" s="71" t="e">
        <f t="shared" si="34"/>
        <v>#DIV/0!</v>
      </c>
      <c r="M181" s="72" t="e">
        <f t="shared" si="36"/>
        <v>#DIV/0!</v>
      </c>
      <c r="N181" s="48"/>
      <c r="O181" s="50">
        <f t="shared" si="32"/>
        <v>0</v>
      </c>
      <c r="P181" s="50"/>
      <c r="Q181" s="50"/>
      <c r="R181" s="17">
        <f t="shared" si="37"/>
        <v>0</v>
      </c>
      <c r="S181" s="17" t="e">
        <f t="shared" si="38"/>
        <v>#DIV/0!</v>
      </c>
      <c r="T181" s="71" t="e">
        <f t="shared" si="39"/>
        <v>#DIV/0!</v>
      </c>
      <c r="U181" s="72" t="e">
        <f t="shared" si="40"/>
        <v>#DIV/0!</v>
      </c>
      <c r="V181" s="48"/>
      <c r="W181" s="73"/>
      <c r="X181" s="48"/>
      <c r="Y181" s="73"/>
      <c r="Z181" s="48"/>
      <c r="AA181" s="74"/>
      <c r="AB181" s="48"/>
      <c r="AC181" s="7"/>
      <c r="AD181" s="7"/>
      <c r="AE181" s="8"/>
      <c r="AF181" s="8"/>
    </row>
    <row r="182" spans="1:32" x14ac:dyDescent="0.2">
      <c r="A182" s="11">
        <v>45934</v>
      </c>
      <c r="B182" s="15"/>
      <c r="C182" s="62"/>
      <c r="D182" s="62"/>
      <c r="E182" s="62"/>
      <c r="F182" s="48"/>
      <c r="G182" s="49"/>
      <c r="H182" s="50"/>
      <c r="I182" s="50"/>
      <c r="J182" s="17">
        <f t="shared" si="35"/>
        <v>0</v>
      </c>
      <c r="K182" s="17" t="e">
        <f t="shared" si="33"/>
        <v>#DIV/0!</v>
      </c>
      <c r="L182" s="71" t="e">
        <f t="shared" si="34"/>
        <v>#DIV/0!</v>
      </c>
      <c r="M182" s="72" t="e">
        <f t="shared" si="36"/>
        <v>#DIV/0!</v>
      </c>
      <c r="N182" s="48"/>
      <c r="O182" s="50">
        <f t="shared" si="32"/>
        <v>0</v>
      </c>
      <c r="P182" s="50"/>
      <c r="Q182" s="50"/>
      <c r="R182" s="17">
        <f t="shared" si="37"/>
        <v>0</v>
      </c>
      <c r="S182" s="17" t="e">
        <f t="shared" si="38"/>
        <v>#DIV/0!</v>
      </c>
      <c r="T182" s="71" t="e">
        <f t="shared" si="39"/>
        <v>#DIV/0!</v>
      </c>
      <c r="U182" s="72" t="e">
        <f t="shared" si="40"/>
        <v>#DIV/0!</v>
      </c>
      <c r="V182" s="48"/>
      <c r="W182" s="73"/>
      <c r="X182" s="48"/>
      <c r="Y182" s="73"/>
      <c r="Z182" s="48"/>
      <c r="AA182" s="74"/>
      <c r="AB182" s="48"/>
      <c r="AC182" s="7"/>
      <c r="AD182" s="7"/>
      <c r="AE182" s="8"/>
      <c r="AF182" s="8"/>
    </row>
    <row r="183" spans="1:32" x14ac:dyDescent="0.2">
      <c r="A183" s="11">
        <v>45935</v>
      </c>
      <c r="B183" s="15"/>
      <c r="C183" s="62"/>
      <c r="D183" s="62"/>
      <c r="E183" s="62"/>
      <c r="F183" s="48"/>
      <c r="G183" s="49"/>
      <c r="H183" s="50"/>
      <c r="I183" s="50"/>
      <c r="J183" s="17">
        <f t="shared" si="35"/>
        <v>0</v>
      </c>
      <c r="K183" s="17" t="e">
        <f t="shared" si="33"/>
        <v>#DIV/0!</v>
      </c>
      <c r="L183" s="71" t="e">
        <f t="shared" si="34"/>
        <v>#DIV/0!</v>
      </c>
      <c r="M183" s="72" t="e">
        <f t="shared" si="36"/>
        <v>#DIV/0!</v>
      </c>
      <c r="N183" s="48"/>
      <c r="O183" s="50">
        <f t="shared" si="32"/>
        <v>0</v>
      </c>
      <c r="P183" s="50"/>
      <c r="Q183" s="50"/>
      <c r="R183" s="17">
        <f t="shared" si="37"/>
        <v>0</v>
      </c>
      <c r="S183" s="17" t="e">
        <f t="shared" si="38"/>
        <v>#DIV/0!</v>
      </c>
      <c r="T183" s="71" t="e">
        <f t="shared" si="39"/>
        <v>#DIV/0!</v>
      </c>
      <c r="U183" s="72" t="e">
        <f t="shared" si="40"/>
        <v>#DIV/0!</v>
      </c>
      <c r="V183" s="48"/>
      <c r="W183" s="73"/>
      <c r="X183" s="48"/>
      <c r="Y183" s="73"/>
      <c r="Z183" s="48"/>
      <c r="AA183" s="74"/>
      <c r="AB183" s="48"/>
      <c r="AC183" s="7"/>
      <c r="AD183" s="7"/>
      <c r="AE183" s="8"/>
      <c r="AF183" s="8"/>
    </row>
    <row r="184" spans="1:32" x14ac:dyDescent="0.2">
      <c r="A184" s="11">
        <v>45936</v>
      </c>
      <c r="B184" s="15"/>
      <c r="C184" s="62"/>
      <c r="D184" s="62"/>
      <c r="E184" s="62"/>
      <c r="F184" s="48"/>
      <c r="G184" s="49"/>
      <c r="H184" s="50"/>
      <c r="I184" s="50"/>
      <c r="J184" s="17">
        <f t="shared" si="35"/>
        <v>0</v>
      </c>
      <c r="K184" s="17" t="e">
        <f t="shared" si="33"/>
        <v>#DIV/0!</v>
      </c>
      <c r="L184" s="71" t="e">
        <f t="shared" si="34"/>
        <v>#DIV/0!</v>
      </c>
      <c r="M184" s="72" t="e">
        <f t="shared" si="36"/>
        <v>#DIV/0!</v>
      </c>
      <c r="N184" s="48"/>
      <c r="O184" s="50">
        <f t="shared" si="32"/>
        <v>0</v>
      </c>
      <c r="P184" s="50"/>
      <c r="Q184" s="50"/>
      <c r="R184" s="17">
        <f t="shared" si="37"/>
        <v>0</v>
      </c>
      <c r="S184" s="17" t="e">
        <f t="shared" si="38"/>
        <v>#DIV/0!</v>
      </c>
      <c r="T184" s="71" t="e">
        <f t="shared" si="39"/>
        <v>#DIV/0!</v>
      </c>
      <c r="U184" s="72" t="e">
        <f t="shared" si="40"/>
        <v>#DIV/0!</v>
      </c>
      <c r="V184" s="48"/>
      <c r="W184" s="73"/>
      <c r="X184" s="48"/>
      <c r="Y184" s="73"/>
      <c r="Z184" s="48"/>
      <c r="AA184" s="74"/>
      <c r="AB184" s="48"/>
      <c r="AC184" s="7"/>
      <c r="AD184" s="7"/>
      <c r="AE184" s="8"/>
      <c r="AF184" s="8"/>
    </row>
    <row r="185" spans="1:32" x14ac:dyDescent="0.2">
      <c r="A185" s="11">
        <v>45937</v>
      </c>
      <c r="B185" s="15"/>
      <c r="C185" s="62"/>
      <c r="D185" s="62"/>
      <c r="E185" s="62"/>
      <c r="F185" s="48"/>
      <c r="G185" s="49"/>
      <c r="H185" s="50"/>
      <c r="I185" s="50"/>
      <c r="J185" s="17">
        <f t="shared" si="35"/>
        <v>0</v>
      </c>
      <c r="K185" s="17" t="e">
        <f t="shared" si="33"/>
        <v>#DIV/0!</v>
      </c>
      <c r="L185" s="71" t="e">
        <f t="shared" si="34"/>
        <v>#DIV/0!</v>
      </c>
      <c r="M185" s="72" t="e">
        <f t="shared" si="36"/>
        <v>#DIV/0!</v>
      </c>
      <c r="N185" s="48"/>
      <c r="O185" s="50">
        <f t="shared" si="32"/>
        <v>0</v>
      </c>
      <c r="P185" s="50"/>
      <c r="Q185" s="50"/>
      <c r="R185" s="17">
        <f t="shared" si="37"/>
        <v>0</v>
      </c>
      <c r="S185" s="17" t="e">
        <f t="shared" si="38"/>
        <v>#DIV/0!</v>
      </c>
      <c r="T185" s="71" t="e">
        <f t="shared" si="39"/>
        <v>#DIV/0!</v>
      </c>
      <c r="U185" s="72" t="e">
        <f t="shared" si="40"/>
        <v>#DIV/0!</v>
      </c>
      <c r="V185" s="48"/>
      <c r="W185" s="73"/>
      <c r="X185" s="48"/>
      <c r="Y185" s="73"/>
      <c r="Z185" s="48"/>
      <c r="AA185" s="74"/>
      <c r="AB185" s="48"/>
      <c r="AC185" s="7"/>
      <c r="AD185" s="7"/>
      <c r="AE185" s="8"/>
      <c r="AF185" s="8"/>
    </row>
    <row r="186" spans="1:32" x14ac:dyDescent="0.2">
      <c r="A186" s="11">
        <v>45938</v>
      </c>
      <c r="B186" s="15"/>
      <c r="C186" s="62"/>
      <c r="D186" s="62"/>
      <c r="E186" s="62"/>
      <c r="F186" s="48"/>
      <c r="G186" s="49"/>
      <c r="H186" s="50"/>
      <c r="I186" s="50"/>
      <c r="J186" s="17">
        <f t="shared" si="35"/>
        <v>0</v>
      </c>
      <c r="K186" s="17" t="e">
        <f t="shared" si="33"/>
        <v>#DIV/0!</v>
      </c>
      <c r="L186" s="71" t="e">
        <f t="shared" si="34"/>
        <v>#DIV/0!</v>
      </c>
      <c r="M186" s="72" t="e">
        <f t="shared" si="36"/>
        <v>#DIV/0!</v>
      </c>
      <c r="N186" s="48"/>
      <c r="O186" s="50">
        <f t="shared" si="32"/>
        <v>0</v>
      </c>
      <c r="P186" s="50"/>
      <c r="Q186" s="50"/>
      <c r="R186" s="17">
        <f t="shared" si="37"/>
        <v>0</v>
      </c>
      <c r="S186" s="17" t="e">
        <f t="shared" si="38"/>
        <v>#DIV/0!</v>
      </c>
      <c r="T186" s="71" t="e">
        <f t="shared" si="39"/>
        <v>#DIV/0!</v>
      </c>
      <c r="U186" s="72" t="e">
        <f t="shared" si="40"/>
        <v>#DIV/0!</v>
      </c>
      <c r="V186" s="48"/>
      <c r="W186" s="73"/>
      <c r="X186" s="48"/>
      <c r="Y186" s="73"/>
      <c r="Z186" s="48"/>
      <c r="AA186" s="74"/>
      <c r="AB186" s="48"/>
      <c r="AC186" s="7"/>
      <c r="AD186" s="7"/>
      <c r="AE186" s="8"/>
      <c r="AF186" s="8"/>
    </row>
    <row r="187" spans="1:32" x14ac:dyDescent="0.2">
      <c r="A187" s="11">
        <v>45939</v>
      </c>
      <c r="B187" s="15"/>
      <c r="C187" s="62"/>
      <c r="D187" s="62"/>
      <c r="E187" s="62"/>
      <c r="F187" s="48"/>
      <c r="G187" s="49"/>
      <c r="H187" s="50"/>
      <c r="I187" s="50"/>
      <c r="J187" s="17">
        <f t="shared" si="35"/>
        <v>0</v>
      </c>
      <c r="K187" s="17" t="e">
        <f t="shared" si="33"/>
        <v>#DIV/0!</v>
      </c>
      <c r="L187" s="71" t="e">
        <f t="shared" si="34"/>
        <v>#DIV/0!</v>
      </c>
      <c r="M187" s="72" t="e">
        <f t="shared" si="36"/>
        <v>#DIV/0!</v>
      </c>
      <c r="N187" s="48"/>
      <c r="O187" s="50">
        <f t="shared" si="32"/>
        <v>0</v>
      </c>
      <c r="P187" s="50"/>
      <c r="Q187" s="50"/>
      <c r="R187" s="17">
        <f t="shared" si="37"/>
        <v>0</v>
      </c>
      <c r="S187" s="17" t="e">
        <f t="shared" si="38"/>
        <v>#DIV/0!</v>
      </c>
      <c r="T187" s="71" t="e">
        <f t="shared" si="39"/>
        <v>#DIV/0!</v>
      </c>
      <c r="U187" s="72" t="e">
        <f t="shared" si="40"/>
        <v>#DIV/0!</v>
      </c>
      <c r="V187" s="48"/>
      <c r="W187" s="73"/>
      <c r="X187" s="48"/>
      <c r="Y187" s="73"/>
      <c r="Z187" s="48"/>
      <c r="AA187" s="74"/>
      <c r="AB187" s="48"/>
      <c r="AC187" s="7"/>
      <c r="AD187" s="7"/>
      <c r="AE187" s="8"/>
      <c r="AF187" s="8"/>
    </row>
    <row r="188" spans="1:32" x14ac:dyDescent="0.2">
      <c r="A188" s="11">
        <v>45940</v>
      </c>
      <c r="B188" s="15"/>
      <c r="C188" s="62"/>
      <c r="D188" s="62"/>
      <c r="E188" s="62"/>
      <c r="F188" s="48"/>
      <c r="G188" s="49"/>
      <c r="H188" s="50"/>
      <c r="I188" s="50"/>
      <c r="J188" s="17">
        <f t="shared" si="35"/>
        <v>0</v>
      </c>
      <c r="K188" s="17" t="e">
        <f t="shared" si="33"/>
        <v>#DIV/0!</v>
      </c>
      <c r="L188" s="71" t="e">
        <f t="shared" si="34"/>
        <v>#DIV/0!</v>
      </c>
      <c r="M188" s="72" t="e">
        <f t="shared" si="36"/>
        <v>#DIV/0!</v>
      </c>
      <c r="N188" s="48"/>
      <c r="O188" s="50">
        <f t="shared" si="32"/>
        <v>0</v>
      </c>
      <c r="P188" s="50"/>
      <c r="Q188" s="50"/>
      <c r="R188" s="17">
        <f t="shared" si="37"/>
        <v>0</v>
      </c>
      <c r="S188" s="17" t="e">
        <f t="shared" si="38"/>
        <v>#DIV/0!</v>
      </c>
      <c r="T188" s="71" t="e">
        <f t="shared" si="39"/>
        <v>#DIV/0!</v>
      </c>
      <c r="U188" s="72" t="e">
        <f t="shared" si="40"/>
        <v>#DIV/0!</v>
      </c>
      <c r="V188" s="48"/>
      <c r="W188" s="73"/>
      <c r="X188" s="48"/>
      <c r="Y188" s="73"/>
      <c r="Z188" s="48"/>
      <c r="AA188" s="74"/>
      <c r="AB188" s="48"/>
      <c r="AC188" s="7"/>
      <c r="AD188" s="7"/>
      <c r="AE188" s="8"/>
      <c r="AF188" s="8"/>
    </row>
    <row r="189" spans="1:32" x14ac:dyDescent="0.2">
      <c r="A189" s="11">
        <v>45941</v>
      </c>
      <c r="B189" s="15"/>
      <c r="C189" s="62"/>
      <c r="D189" s="62"/>
      <c r="E189" s="62"/>
      <c r="F189" s="48"/>
      <c r="G189" s="49"/>
      <c r="H189" s="50"/>
      <c r="I189" s="50"/>
      <c r="J189" s="17">
        <f t="shared" si="35"/>
        <v>0</v>
      </c>
      <c r="K189" s="17" t="e">
        <f t="shared" si="33"/>
        <v>#DIV/0!</v>
      </c>
      <c r="L189" s="71" t="e">
        <f t="shared" si="34"/>
        <v>#DIV/0!</v>
      </c>
      <c r="M189" s="72" t="e">
        <f t="shared" si="36"/>
        <v>#DIV/0!</v>
      </c>
      <c r="N189" s="48"/>
      <c r="O189" s="50">
        <f t="shared" si="32"/>
        <v>0</v>
      </c>
      <c r="P189" s="50"/>
      <c r="Q189" s="50"/>
      <c r="R189" s="17">
        <f t="shared" si="37"/>
        <v>0</v>
      </c>
      <c r="S189" s="17" t="e">
        <f t="shared" si="38"/>
        <v>#DIV/0!</v>
      </c>
      <c r="T189" s="71" t="e">
        <f t="shared" si="39"/>
        <v>#DIV/0!</v>
      </c>
      <c r="U189" s="72" t="e">
        <f t="shared" si="40"/>
        <v>#DIV/0!</v>
      </c>
      <c r="V189" s="48"/>
      <c r="W189" s="73"/>
      <c r="X189" s="48"/>
      <c r="Y189" s="73"/>
      <c r="Z189" s="48"/>
      <c r="AA189" s="74"/>
      <c r="AB189" s="48"/>
      <c r="AC189" s="7"/>
      <c r="AD189" s="7"/>
      <c r="AE189" s="8"/>
      <c r="AF189" s="8"/>
    </row>
    <row r="190" spans="1:32" x14ac:dyDescent="0.2">
      <c r="A190" s="11">
        <v>45942</v>
      </c>
      <c r="B190" s="15"/>
      <c r="C190" s="62"/>
      <c r="D190" s="62"/>
      <c r="E190" s="62"/>
      <c r="F190" s="48"/>
      <c r="G190" s="49"/>
      <c r="H190" s="50"/>
      <c r="I190" s="50"/>
      <c r="J190" s="17">
        <f t="shared" si="35"/>
        <v>0</v>
      </c>
      <c r="K190" s="17" t="e">
        <f t="shared" si="33"/>
        <v>#DIV/0!</v>
      </c>
      <c r="L190" s="71" t="e">
        <f t="shared" si="34"/>
        <v>#DIV/0!</v>
      </c>
      <c r="M190" s="72" t="e">
        <f t="shared" si="36"/>
        <v>#DIV/0!</v>
      </c>
      <c r="N190" s="48"/>
      <c r="O190" s="50">
        <f t="shared" si="32"/>
        <v>0</v>
      </c>
      <c r="P190" s="50"/>
      <c r="Q190" s="50"/>
      <c r="R190" s="17">
        <f t="shared" si="37"/>
        <v>0</v>
      </c>
      <c r="S190" s="17" t="e">
        <f t="shared" si="38"/>
        <v>#DIV/0!</v>
      </c>
      <c r="T190" s="71" t="e">
        <f t="shared" si="39"/>
        <v>#DIV/0!</v>
      </c>
      <c r="U190" s="72" t="e">
        <f t="shared" si="40"/>
        <v>#DIV/0!</v>
      </c>
      <c r="V190" s="48"/>
      <c r="W190" s="73"/>
      <c r="X190" s="48"/>
      <c r="Y190" s="73"/>
      <c r="Z190" s="48"/>
      <c r="AA190" s="74"/>
      <c r="AB190" s="48"/>
      <c r="AC190" s="7"/>
      <c r="AD190" s="7"/>
      <c r="AE190" s="8"/>
      <c r="AF190" s="8"/>
    </row>
    <row r="191" spans="1:32" x14ac:dyDescent="0.2">
      <c r="A191" s="11">
        <v>45943</v>
      </c>
      <c r="B191" s="15"/>
      <c r="C191" s="62"/>
      <c r="D191" s="62"/>
      <c r="E191" s="62"/>
      <c r="F191" s="48"/>
      <c r="G191" s="49"/>
      <c r="H191" s="50"/>
      <c r="I191" s="50"/>
      <c r="J191" s="17">
        <f t="shared" si="35"/>
        <v>0</v>
      </c>
      <c r="K191" s="17" t="e">
        <f t="shared" si="33"/>
        <v>#DIV/0!</v>
      </c>
      <c r="L191" s="71" t="e">
        <f t="shared" si="34"/>
        <v>#DIV/0!</v>
      </c>
      <c r="M191" s="72" t="e">
        <f t="shared" si="36"/>
        <v>#DIV/0!</v>
      </c>
      <c r="N191" s="48"/>
      <c r="O191" s="50">
        <f t="shared" si="32"/>
        <v>0</v>
      </c>
      <c r="P191" s="50"/>
      <c r="Q191" s="50"/>
      <c r="R191" s="17">
        <f t="shared" si="37"/>
        <v>0</v>
      </c>
      <c r="S191" s="17" t="e">
        <f t="shared" si="38"/>
        <v>#DIV/0!</v>
      </c>
      <c r="T191" s="71" t="e">
        <f t="shared" si="39"/>
        <v>#DIV/0!</v>
      </c>
      <c r="U191" s="72" t="e">
        <f t="shared" si="40"/>
        <v>#DIV/0!</v>
      </c>
      <c r="V191" s="48"/>
      <c r="W191" s="73"/>
      <c r="X191" s="48"/>
      <c r="Y191" s="73"/>
      <c r="Z191" s="48"/>
      <c r="AA191" s="74"/>
      <c r="AB191" s="48"/>
      <c r="AC191" s="7"/>
      <c r="AD191" s="7"/>
      <c r="AE191" s="8"/>
      <c r="AF191" s="8"/>
    </row>
    <row r="192" spans="1:32" x14ac:dyDescent="0.2">
      <c r="A192" s="11">
        <v>45944</v>
      </c>
      <c r="B192" s="15"/>
      <c r="C192" s="62"/>
      <c r="D192" s="62"/>
      <c r="E192" s="62"/>
      <c r="F192" s="48"/>
      <c r="G192" s="49"/>
      <c r="H192" s="50"/>
      <c r="I192" s="50"/>
      <c r="J192" s="17">
        <f t="shared" si="35"/>
        <v>0</v>
      </c>
      <c r="K192" s="17" t="e">
        <f t="shared" si="33"/>
        <v>#DIV/0!</v>
      </c>
      <c r="L192" s="71" t="e">
        <f t="shared" si="34"/>
        <v>#DIV/0!</v>
      </c>
      <c r="M192" s="72" t="e">
        <f t="shared" si="36"/>
        <v>#DIV/0!</v>
      </c>
      <c r="N192" s="48"/>
      <c r="O192" s="50">
        <f t="shared" si="32"/>
        <v>0</v>
      </c>
      <c r="P192" s="50"/>
      <c r="Q192" s="50"/>
      <c r="R192" s="17">
        <f t="shared" si="37"/>
        <v>0</v>
      </c>
      <c r="S192" s="17" t="e">
        <f t="shared" si="38"/>
        <v>#DIV/0!</v>
      </c>
      <c r="T192" s="71" t="e">
        <f t="shared" si="39"/>
        <v>#DIV/0!</v>
      </c>
      <c r="U192" s="72" t="e">
        <f t="shared" si="40"/>
        <v>#DIV/0!</v>
      </c>
      <c r="V192" s="48"/>
      <c r="W192" s="73"/>
      <c r="X192" s="48"/>
      <c r="Y192" s="73"/>
      <c r="Z192" s="48"/>
      <c r="AA192" s="74"/>
      <c r="AB192" s="48"/>
      <c r="AC192" s="7"/>
      <c r="AD192" s="7"/>
      <c r="AE192" s="8"/>
      <c r="AF192" s="8"/>
    </row>
    <row r="193" spans="1:32" x14ac:dyDescent="0.2">
      <c r="A193" s="11">
        <v>45945</v>
      </c>
      <c r="B193" s="15"/>
      <c r="C193" s="62"/>
      <c r="D193" s="62"/>
      <c r="E193" s="62"/>
      <c r="F193" s="48"/>
      <c r="G193" s="49"/>
      <c r="H193" s="50"/>
      <c r="I193" s="50"/>
      <c r="J193" s="17">
        <f t="shared" si="35"/>
        <v>0</v>
      </c>
      <c r="K193" s="17" t="e">
        <f t="shared" si="33"/>
        <v>#DIV/0!</v>
      </c>
      <c r="L193" s="71" t="e">
        <f t="shared" si="34"/>
        <v>#DIV/0!</v>
      </c>
      <c r="M193" s="72" t="e">
        <f t="shared" si="36"/>
        <v>#DIV/0!</v>
      </c>
      <c r="N193" s="48"/>
      <c r="O193" s="50">
        <f t="shared" si="32"/>
        <v>0</v>
      </c>
      <c r="P193" s="50"/>
      <c r="Q193" s="50"/>
      <c r="R193" s="17">
        <f t="shared" si="37"/>
        <v>0</v>
      </c>
      <c r="S193" s="17" t="e">
        <f t="shared" si="38"/>
        <v>#DIV/0!</v>
      </c>
      <c r="T193" s="71" t="e">
        <f t="shared" si="39"/>
        <v>#DIV/0!</v>
      </c>
      <c r="U193" s="72" t="e">
        <f t="shared" si="40"/>
        <v>#DIV/0!</v>
      </c>
      <c r="V193" s="48"/>
      <c r="W193" s="73"/>
      <c r="X193" s="48"/>
      <c r="Y193" s="73"/>
      <c r="Z193" s="48"/>
      <c r="AA193" s="74"/>
      <c r="AB193" s="48"/>
      <c r="AC193" s="7"/>
      <c r="AD193" s="7"/>
      <c r="AE193" s="8"/>
      <c r="AF193" s="8"/>
    </row>
    <row r="194" spans="1:32" x14ac:dyDescent="0.2">
      <c r="A194" s="11">
        <v>45946</v>
      </c>
      <c r="B194" s="15"/>
      <c r="C194" s="62"/>
      <c r="D194" s="62"/>
      <c r="E194" s="62"/>
      <c r="F194" s="48"/>
      <c r="G194" s="49"/>
      <c r="H194" s="50"/>
      <c r="I194" s="50"/>
      <c r="J194" s="17">
        <f t="shared" si="35"/>
        <v>0</v>
      </c>
      <c r="K194" s="17" t="e">
        <f t="shared" si="33"/>
        <v>#DIV/0!</v>
      </c>
      <c r="L194" s="71" t="e">
        <f t="shared" si="34"/>
        <v>#DIV/0!</v>
      </c>
      <c r="M194" s="72" t="e">
        <f t="shared" si="36"/>
        <v>#DIV/0!</v>
      </c>
      <c r="N194" s="48"/>
      <c r="O194" s="50">
        <f t="shared" si="32"/>
        <v>0</v>
      </c>
      <c r="P194" s="50"/>
      <c r="Q194" s="50"/>
      <c r="R194" s="17">
        <f t="shared" si="37"/>
        <v>0</v>
      </c>
      <c r="S194" s="17" t="e">
        <f t="shared" si="38"/>
        <v>#DIV/0!</v>
      </c>
      <c r="T194" s="71" t="e">
        <f t="shared" si="39"/>
        <v>#DIV/0!</v>
      </c>
      <c r="U194" s="72" t="e">
        <f t="shared" si="40"/>
        <v>#DIV/0!</v>
      </c>
      <c r="V194" s="48"/>
      <c r="W194" s="73"/>
      <c r="X194" s="48"/>
      <c r="Y194" s="73"/>
      <c r="Z194" s="48"/>
      <c r="AA194" s="74"/>
      <c r="AB194" s="48"/>
      <c r="AC194" s="7"/>
      <c r="AD194" s="7"/>
      <c r="AE194" s="8"/>
      <c r="AF194" s="8"/>
    </row>
    <row r="195" spans="1:32" x14ac:dyDescent="0.2">
      <c r="A195" s="11">
        <v>45947</v>
      </c>
      <c r="B195" s="15"/>
      <c r="C195" s="62"/>
      <c r="D195" s="62"/>
      <c r="E195" s="62"/>
      <c r="F195" s="48"/>
      <c r="G195" s="49"/>
      <c r="H195" s="50"/>
      <c r="I195" s="50"/>
      <c r="J195" s="17">
        <f t="shared" si="35"/>
        <v>0</v>
      </c>
      <c r="K195" s="17" t="e">
        <f t="shared" si="33"/>
        <v>#DIV/0!</v>
      </c>
      <c r="L195" s="71" t="e">
        <f t="shared" si="34"/>
        <v>#DIV/0!</v>
      </c>
      <c r="M195" s="72" t="e">
        <f t="shared" si="36"/>
        <v>#DIV/0!</v>
      </c>
      <c r="N195" s="48"/>
      <c r="O195" s="50">
        <f t="shared" si="32"/>
        <v>0</v>
      </c>
      <c r="P195" s="50"/>
      <c r="Q195" s="50"/>
      <c r="R195" s="17">
        <f t="shared" si="37"/>
        <v>0</v>
      </c>
      <c r="S195" s="17" t="e">
        <f t="shared" si="38"/>
        <v>#DIV/0!</v>
      </c>
      <c r="T195" s="71" t="e">
        <f t="shared" si="39"/>
        <v>#DIV/0!</v>
      </c>
      <c r="U195" s="72" t="e">
        <f t="shared" si="40"/>
        <v>#DIV/0!</v>
      </c>
      <c r="V195" s="48"/>
      <c r="W195" s="73"/>
      <c r="X195" s="48"/>
      <c r="Y195" s="73"/>
      <c r="Z195" s="48"/>
      <c r="AA195" s="74"/>
      <c r="AB195" s="48"/>
      <c r="AC195" s="7"/>
      <c r="AD195" s="7"/>
      <c r="AE195" s="8"/>
      <c r="AF195" s="8"/>
    </row>
    <row r="196" spans="1:32" x14ac:dyDescent="0.2">
      <c r="A196" s="11">
        <v>45948</v>
      </c>
      <c r="B196" s="15"/>
      <c r="C196" s="62"/>
      <c r="D196" s="62"/>
      <c r="E196" s="62"/>
      <c r="F196" s="48"/>
      <c r="G196" s="49"/>
      <c r="H196" s="50"/>
      <c r="I196" s="50"/>
      <c r="J196" s="17">
        <f t="shared" si="35"/>
        <v>0</v>
      </c>
      <c r="K196" s="17" t="e">
        <f t="shared" si="33"/>
        <v>#DIV/0!</v>
      </c>
      <c r="L196" s="71" t="e">
        <f t="shared" si="34"/>
        <v>#DIV/0!</v>
      </c>
      <c r="M196" s="72" t="e">
        <f t="shared" si="36"/>
        <v>#DIV/0!</v>
      </c>
      <c r="N196" s="48"/>
      <c r="O196" s="50">
        <f t="shared" si="32"/>
        <v>0</v>
      </c>
      <c r="P196" s="50"/>
      <c r="Q196" s="50"/>
      <c r="R196" s="17">
        <f t="shared" si="37"/>
        <v>0</v>
      </c>
      <c r="S196" s="17" t="e">
        <f t="shared" si="38"/>
        <v>#DIV/0!</v>
      </c>
      <c r="T196" s="71" t="e">
        <f t="shared" si="39"/>
        <v>#DIV/0!</v>
      </c>
      <c r="U196" s="72" t="e">
        <f t="shared" si="40"/>
        <v>#DIV/0!</v>
      </c>
      <c r="V196" s="48"/>
      <c r="W196" s="73"/>
      <c r="X196" s="48"/>
      <c r="Y196" s="73"/>
      <c r="Z196" s="48"/>
      <c r="AA196" s="74"/>
      <c r="AB196" s="48"/>
      <c r="AC196" s="7"/>
      <c r="AD196" s="7"/>
      <c r="AE196" s="8"/>
      <c r="AF196" s="8"/>
    </row>
    <row r="197" spans="1:32" x14ac:dyDescent="0.2">
      <c r="A197" s="11">
        <v>45949</v>
      </c>
      <c r="B197" s="15"/>
      <c r="C197" s="62"/>
      <c r="D197" s="62"/>
      <c r="E197" s="62"/>
      <c r="F197" s="48"/>
      <c r="G197" s="49"/>
      <c r="H197" s="50"/>
      <c r="I197" s="50"/>
      <c r="J197" s="17">
        <f t="shared" si="35"/>
        <v>0</v>
      </c>
      <c r="K197" s="17" t="e">
        <f t="shared" si="33"/>
        <v>#DIV/0!</v>
      </c>
      <c r="L197" s="71" t="e">
        <f t="shared" si="34"/>
        <v>#DIV/0!</v>
      </c>
      <c r="M197" s="72" t="e">
        <f t="shared" si="36"/>
        <v>#DIV/0!</v>
      </c>
      <c r="N197" s="48"/>
      <c r="O197" s="50">
        <f t="shared" si="32"/>
        <v>0</v>
      </c>
      <c r="P197" s="50"/>
      <c r="Q197" s="50"/>
      <c r="R197" s="17">
        <f t="shared" si="37"/>
        <v>0</v>
      </c>
      <c r="S197" s="17" t="e">
        <f t="shared" si="38"/>
        <v>#DIV/0!</v>
      </c>
      <c r="T197" s="71" t="e">
        <f t="shared" si="39"/>
        <v>#DIV/0!</v>
      </c>
      <c r="U197" s="72" t="e">
        <f t="shared" si="40"/>
        <v>#DIV/0!</v>
      </c>
      <c r="V197" s="48"/>
      <c r="W197" s="73"/>
      <c r="X197" s="48"/>
      <c r="Y197" s="73"/>
      <c r="Z197" s="48"/>
      <c r="AA197" s="74"/>
      <c r="AB197" s="48"/>
      <c r="AC197" s="7"/>
      <c r="AD197" s="7"/>
      <c r="AE197" s="8"/>
      <c r="AF197" s="8"/>
    </row>
    <row r="198" spans="1:32" x14ac:dyDescent="0.2">
      <c r="A198" s="11">
        <v>45950</v>
      </c>
      <c r="B198" s="15"/>
      <c r="C198" s="62"/>
      <c r="D198" s="62"/>
      <c r="E198" s="62"/>
      <c r="F198" s="48"/>
      <c r="G198" s="49"/>
      <c r="H198" s="50"/>
      <c r="I198" s="50"/>
      <c r="J198" s="17">
        <f t="shared" si="35"/>
        <v>0</v>
      </c>
      <c r="K198" s="17" t="e">
        <f t="shared" si="33"/>
        <v>#DIV/0!</v>
      </c>
      <c r="L198" s="71" t="e">
        <f t="shared" si="34"/>
        <v>#DIV/0!</v>
      </c>
      <c r="M198" s="72" t="e">
        <f t="shared" si="36"/>
        <v>#DIV/0!</v>
      </c>
      <c r="N198" s="48"/>
      <c r="O198" s="50">
        <f t="shared" si="32"/>
        <v>0</v>
      </c>
      <c r="P198" s="50"/>
      <c r="Q198" s="50"/>
      <c r="R198" s="17">
        <f t="shared" si="37"/>
        <v>0</v>
      </c>
      <c r="S198" s="17" t="e">
        <f t="shared" si="38"/>
        <v>#DIV/0!</v>
      </c>
      <c r="T198" s="71" t="e">
        <f t="shared" si="39"/>
        <v>#DIV/0!</v>
      </c>
      <c r="U198" s="72" t="e">
        <f t="shared" si="40"/>
        <v>#DIV/0!</v>
      </c>
      <c r="V198" s="48"/>
      <c r="W198" s="73"/>
      <c r="X198" s="48"/>
      <c r="Y198" s="73"/>
      <c r="Z198" s="48"/>
      <c r="AA198" s="74"/>
      <c r="AB198" s="48"/>
      <c r="AC198" s="7"/>
      <c r="AD198" s="7"/>
      <c r="AE198" s="8"/>
      <c r="AF198" s="8"/>
    </row>
    <row r="199" spans="1:32" x14ac:dyDescent="0.2">
      <c r="A199" s="11">
        <v>45951</v>
      </c>
      <c r="B199" s="15"/>
      <c r="C199" s="62"/>
      <c r="D199" s="62"/>
      <c r="E199" s="62"/>
      <c r="F199" s="48"/>
      <c r="G199" s="49"/>
      <c r="H199" s="50"/>
      <c r="I199" s="50"/>
      <c r="J199" s="17">
        <f t="shared" si="35"/>
        <v>0</v>
      </c>
      <c r="K199" s="17" t="e">
        <f t="shared" si="33"/>
        <v>#DIV/0!</v>
      </c>
      <c r="L199" s="71" t="e">
        <f t="shared" si="34"/>
        <v>#DIV/0!</v>
      </c>
      <c r="M199" s="72" t="e">
        <f t="shared" si="36"/>
        <v>#DIV/0!</v>
      </c>
      <c r="N199" s="48"/>
      <c r="O199" s="50">
        <f t="shared" si="32"/>
        <v>0</v>
      </c>
      <c r="P199" s="50"/>
      <c r="Q199" s="50"/>
      <c r="R199" s="17">
        <f t="shared" si="37"/>
        <v>0</v>
      </c>
      <c r="S199" s="17" t="e">
        <f t="shared" si="38"/>
        <v>#DIV/0!</v>
      </c>
      <c r="T199" s="71" t="e">
        <f t="shared" si="39"/>
        <v>#DIV/0!</v>
      </c>
      <c r="U199" s="72" t="e">
        <f t="shared" si="40"/>
        <v>#DIV/0!</v>
      </c>
      <c r="V199" s="48"/>
      <c r="W199" s="73"/>
      <c r="X199" s="48"/>
      <c r="Y199" s="73"/>
      <c r="Z199" s="48"/>
      <c r="AA199" s="74"/>
      <c r="AB199" s="48"/>
      <c r="AC199" s="7"/>
      <c r="AD199" s="7"/>
      <c r="AE199" s="8"/>
      <c r="AF199" s="8"/>
    </row>
    <row r="200" spans="1:32" x14ac:dyDescent="0.2">
      <c r="A200" s="11">
        <v>45952</v>
      </c>
      <c r="B200" s="15"/>
      <c r="C200" s="62"/>
      <c r="D200" s="62"/>
      <c r="E200" s="62"/>
      <c r="F200" s="48"/>
      <c r="G200" s="49"/>
      <c r="H200" s="50"/>
      <c r="I200" s="50"/>
      <c r="J200" s="17">
        <f t="shared" si="35"/>
        <v>0</v>
      </c>
      <c r="K200" s="17" t="e">
        <f t="shared" si="33"/>
        <v>#DIV/0!</v>
      </c>
      <c r="L200" s="71" t="e">
        <f t="shared" si="34"/>
        <v>#DIV/0!</v>
      </c>
      <c r="M200" s="72" t="e">
        <f t="shared" si="36"/>
        <v>#DIV/0!</v>
      </c>
      <c r="N200" s="48"/>
      <c r="O200" s="50">
        <f t="shared" si="32"/>
        <v>0</v>
      </c>
      <c r="P200" s="50"/>
      <c r="Q200" s="50"/>
      <c r="R200" s="17">
        <f t="shared" si="37"/>
        <v>0</v>
      </c>
      <c r="S200" s="17" t="e">
        <f t="shared" si="38"/>
        <v>#DIV/0!</v>
      </c>
      <c r="T200" s="71" t="e">
        <f t="shared" si="39"/>
        <v>#DIV/0!</v>
      </c>
      <c r="U200" s="72" t="e">
        <f t="shared" si="40"/>
        <v>#DIV/0!</v>
      </c>
      <c r="V200" s="48"/>
      <c r="W200" s="73"/>
      <c r="X200" s="48"/>
      <c r="Y200" s="73"/>
      <c r="Z200" s="48"/>
      <c r="AA200" s="74"/>
      <c r="AB200" s="48"/>
      <c r="AC200" s="7"/>
      <c r="AD200" s="7"/>
      <c r="AE200" s="8"/>
      <c r="AF200" s="8"/>
    </row>
    <row r="201" spans="1:32" x14ac:dyDescent="0.2">
      <c r="A201" s="11">
        <v>45953</v>
      </c>
      <c r="B201" s="15"/>
      <c r="C201" s="62"/>
      <c r="D201" s="62"/>
      <c r="E201" s="62"/>
      <c r="F201" s="48"/>
      <c r="G201" s="49"/>
      <c r="H201" s="50"/>
      <c r="I201" s="50"/>
      <c r="J201" s="17">
        <f t="shared" si="35"/>
        <v>0</v>
      </c>
      <c r="K201" s="17" t="e">
        <f t="shared" si="33"/>
        <v>#DIV/0!</v>
      </c>
      <c r="L201" s="71" t="e">
        <f t="shared" si="34"/>
        <v>#DIV/0!</v>
      </c>
      <c r="M201" s="72" t="e">
        <f t="shared" si="36"/>
        <v>#DIV/0!</v>
      </c>
      <c r="N201" s="48"/>
      <c r="O201" s="50">
        <f t="shared" si="32"/>
        <v>0</v>
      </c>
      <c r="P201" s="50"/>
      <c r="Q201" s="50"/>
      <c r="R201" s="17">
        <f t="shared" si="37"/>
        <v>0</v>
      </c>
      <c r="S201" s="17" t="e">
        <f t="shared" si="38"/>
        <v>#DIV/0!</v>
      </c>
      <c r="T201" s="71" t="e">
        <f t="shared" si="39"/>
        <v>#DIV/0!</v>
      </c>
      <c r="U201" s="72" t="e">
        <f t="shared" si="40"/>
        <v>#DIV/0!</v>
      </c>
      <c r="V201" s="48"/>
      <c r="W201" s="73"/>
      <c r="X201" s="48"/>
      <c r="Y201" s="73"/>
      <c r="Z201" s="48"/>
      <c r="AA201" s="74"/>
      <c r="AB201" s="48"/>
      <c r="AC201" s="7"/>
      <c r="AD201" s="7"/>
      <c r="AE201" s="8"/>
      <c r="AF201" s="8"/>
    </row>
    <row r="202" spans="1:32" x14ac:dyDescent="0.2">
      <c r="A202" s="11">
        <v>45954</v>
      </c>
      <c r="B202" s="15"/>
      <c r="C202" s="62"/>
      <c r="D202" s="62"/>
      <c r="E202" s="62"/>
      <c r="F202" s="48"/>
      <c r="G202" s="49"/>
      <c r="H202" s="50"/>
      <c r="I202" s="50"/>
      <c r="J202" s="17">
        <f t="shared" si="35"/>
        <v>0</v>
      </c>
      <c r="K202" s="17" t="e">
        <f t="shared" si="33"/>
        <v>#DIV/0!</v>
      </c>
      <c r="L202" s="71" t="e">
        <f t="shared" si="34"/>
        <v>#DIV/0!</v>
      </c>
      <c r="M202" s="72" t="e">
        <f t="shared" si="36"/>
        <v>#DIV/0!</v>
      </c>
      <c r="N202" s="48"/>
      <c r="O202" s="50">
        <f t="shared" si="32"/>
        <v>0</v>
      </c>
      <c r="P202" s="50"/>
      <c r="Q202" s="50"/>
      <c r="R202" s="17">
        <f t="shared" si="37"/>
        <v>0</v>
      </c>
      <c r="S202" s="17" t="e">
        <f t="shared" si="38"/>
        <v>#DIV/0!</v>
      </c>
      <c r="T202" s="71" t="e">
        <f t="shared" si="39"/>
        <v>#DIV/0!</v>
      </c>
      <c r="U202" s="72" t="e">
        <f t="shared" si="40"/>
        <v>#DIV/0!</v>
      </c>
      <c r="V202" s="48"/>
      <c r="W202" s="73"/>
      <c r="X202" s="48"/>
      <c r="Y202" s="73"/>
      <c r="Z202" s="48"/>
      <c r="AA202" s="74"/>
      <c r="AB202" s="48"/>
      <c r="AC202" s="7"/>
      <c r="AD202" s="7"/>
      <c r="AE202" s="8"/>
      <c r="AF202" s="8"/>
    </row>
    <row r="203" spans="1:32" x14ac:dyDescent="0.2">
      <c r="A203" s="11">
        <v>45955</v>
      </c>
      <c r="B203" s="15"/>
      <c r="C203" s="62"/>
      <c r="D203" s="62"/>
      <c r="E203" s="62"/>
      <c r="F203" s="48"/>
      <c r="G203" s="49"/>
      <c r="H203" s="50"/>
      <c r="I203" s="50"/>
      <c r="J203" s="17">
        <f t="shared" si="35"/>
        <v>0</v>
      </c>
      <c r="K203" s="17" t="e">
        <f t="shared" si="33"/>
        <v>#DIV/0!</v>
      </c>
      <c r="L203" s="71" t="e">
        <f t="shared" si="34"/>
        <v>#DIV/0!</v>
      </c>
      <c r="M203" s="72" t="e">
        <f t="shared" si="36"/>
        <v>#DIV/0!</v>
      </c>
      <c r="N203" s="48"/>
      <c r="O203" s="50">
        <f t="shared" si="32"/>
        <v>0</v>
      </c>
      <c r="P203" s="50"/>
      <c r="Q203" s="50"/>
      <c r="R203" s="17">
        <f t="shared" si="37"/>
        <v>0</v>
      </c>
      <c r="S203" s="17" t="e">
        <f t="shared" si="38"/>
        <v>#DIV/0!</v>
      </c>
      <c r="T203" s="71" t="e">
        <f t="shared" si="39"/>
        <v>#DIV/0!</v>
      </c>
      <c r="U203" s="72" t="e">
        <f t="shared" si="40"/>
        <v>#DIV/0!</v>
      </c>
      <c r="V203" s="48"/>
      <c r="W203" s="73"/>
      <c r="X203" s="48"/>
      <c r="Y203" s="73"/>
      <c r="Z203" s="48"/>
      <c r="AA203" s="74"/>
      <c r="AB203" s="48"/>
      <c r="AC203" s="7"/>
      <c r="AD203" s="7"/>
      <c r="AE203" s="8"/>
      <c r="AF203" s="8"/>
    </row>
    <row r="204" spans="1:32" x14ac:dyDescent="0.2">
      <c r="A204" s="11">
        <v>45956</v>
      </c>
      <c r="B204" s="15"/>
      <c r="C204" s="62"/>
      <c r="D204" s="62"/>
      <c r="E204" s="62"/>
      <c r="F204" s="48"/>
      <c r="G204" s="49"/>
      <c r="H204" s="50"/>
      <c r="I204" s="50"/>
      <c r="J204" s="17">
        <f t="shared" si="35"/>
        <v>0</v>
      </c>
      <c r="K204" s="17" t="e">
        <f t="shared" si="33"/>
        <v>#DIV/0!</v>
      </c>
      <c r="L204" s="71" t="e">
        <f t="shared" si="34"/>
        <v>#DIV/0!</v>
      </c>
      <c r="M204" s="72" t="e">
        <f t="shared" si="36"/>
        <v>#DIV/0!</v>
      </c>
      <c r="N204" s="48"/>
      <c r="O204" s="50">
        <f t="shared" si="32"/>
        <v>0</v>
      </c>
      <c r="P204" s="50"/>
      <c r="Q204" s="50"/>
      <c r="R204" s="17">
        <f t="shared" si="37"/>
        <v>0</v>
      </c>
      <c r="S204" s="17" t="e">
        <f t="shared" si="38"/>
        <v>#DIV/0!</v>
      </c>
      <c r="T204" s="71" t="e">
        <f t="shared" si="39"/>
        <v>#DIV/0!</v>
      </c>
      <c r="U204" s="72" t="e">
        <f t="shared" si="40"/>
        <v>#DIV/0!</v>
      </c>
      <c r="V204" s="48"/>
      <c r="W204" s="73"/>
      <c r="X204" s="48"/>
      <c r="Y204" s="73"/>
      <c r="Z204" s="48"/>
      <c r="AA204" s="74"/>
      <c r="AB204" s="48"/>
      <c r="AC204" s="7"/>
      <c r="AD204" s="7"/>
      <c r="AE204" s="8"/>
      <c r="AF204" s="8"/>
    </row>
    <row r="205" spans="1:32" x14ac:dyDescent="0.2">
      <c r="A205" s="11">
        <v>45957</v>
      </c>
      <c r="B205" s="15"/>
      <c r="C205" s="62"/>
      <c r="D205" s="62"/>
      <c r="E205" s="62"/>
      <c r="F205" s="48"/>
      <c r="G205" s="49"/>
      <c r="H205" s="50"/>
      <c r="I205" s="50"/>
      <c r="J205" s="17">
        <f t="shared" si="35"/>
        <v>0</v>
      </c>
      <c r="K205" s="17" t="e">
        <f t="shared" si="33"/>
        <v>#DIV/0!</v>
      </c>
      <c r="L205" s="71" t="e">
        <f t="shared" si="34"/>
        <v>#DIV/0!</v>
      </c>
      <c r="M205" s="72" t="e">
        <f t="shared" si="36"/>
        <v>#DIV/0!</v>
      </c>
      <c r="N205" s="48"/>
      <c r="O205" s="50">
        <f t="shared" si="32"/>
        <v>0</v>
      </c>
      <c r="P205" s="50"/>
      <c r="Q205" s="50"/>
      <c r="R205" s="17">
        <f t="shared" si="37"/>
        <v>0</v>
      </c>
      <c r="S205" s="17" t="e">
        <f t="shared" si="38"/>
        <v>#DIV/0!</v>
      </c>
      <c r="T205" s="71" t="e">
        <f t="shared" si="39"/>
        <v>#DIV/0!</v>
      </c>
      <c r="U205" s="72" t="e">
        <f t="shared" si="40"/>
        <v>#DIV/0!</v>
      </c>
      <c r="V205" s="48"/>
      <c r="W205" s="73"/>
      <c r="X205" s="48"/>
      <c r="Y205" s="73"/>
      <c r="Z205" s="48"/>
      <c r="AA205" s="74"/>
      <c r="AB205" s="48"/>
      <c r="AC205" s="7"/>
      <c r="AD205" s="7"/>
      <c r="AE205" s="8"/>
      <c r="AF205" s="8"/>
    </row>
    <row r="206" spans="1:32" x14ac:dyDescent="0.2">
      <c r="A206" s="11">
        <v>45958</v>
      </c>
      <c r="B206" s="15"/>
      <c r="C206" s="62"/>
      <c r="D206" s="62"/>
      <c r="E206" s="62"/>
      <c r="F206" s="48"/>
      <c r="G206" s="49"/>
      <c r="H206" s="50"/>
      <c r="I206" s="50"/>
      <c r="J206" s="17">
        <f t="shared" si="35"/>
        <v>0</v>
      </c>
      <c r="K206" s="17" t="e">
        <f t="shared" si="33"/>
        <v>#DIV/0!</v>
      </c>
      <c r="L206" s="71" t="e">
        <f t="shared" si="34"/>
        <v>#DIV/0!</v>
      </c>
      <c r="M206" s="72" t="e">
        <f t="shared" si="36"/>
        <v>#DIV/0!</v>
      </c>
      <c r="N206" s="48"/>
      <c r="O206" s="50">
        <f t="shared" si="32"/>
        <v>0</v>
      </c>
      <c r="P206" s="50"/>
      <c r="Q206" s="50"/>
      <c r="R206" s="17">
        <f t="shared" si="37"/>
        <v>0</v>
      </c>
      <c r="S206" s="17" t="e">
        <f t="shared" si="38"/>
        <v>#DIV/0!</v>
      </c>
      <c r="T206" s="71" t="e">
        <f t="shared" si="39"/>
        <v>#DIV/0!</v>
      </c>
      <c r="U206" s="72" t="e">
        <f t="shared" si="40"/>
        <v>#DIV/0!</v>
      </c>
      <c r="V206" s="48"/>
      <c r="W206" s="73"/>
      <c r="X206" s="48"/>
      <c r="Y206" s="73"/>
      <c r="Z206" s="48"/>
      <c r="AA206" s="74"/>
      <c r="AB206" s="48"/>
      <c r="AC206" s="7"/>
      <c r="AD206" s="7"/>
      <c r="AE206" s="8"/>
      <c r="AF206" s="8"/>
    </row>
    <row r="207" spans="1:32" x14ac:dyDescent="0.2">
      <c r="A207" s="11">
        <v>45959</v>
      </c>
      <c r="B207" s="15"/>
      <c r="C207" s="62"/>
      <c r="D207" s="62"/>
      <c r="E207" s="62"/>
      <c r="F207" s="48"/>
      <c r="G207" s="49"/>
      <c r="H207" s="50"/>
      <c r="I207" s="50"/>
      <c r="J207" s="17">
        <f t="shared" si="35"/>
        <v>0</v>
      </c>
      <c r="K207" s="17" t="e">
        <f t="shared" si="33"/>
        <v>#DIV/0!</v>
      </c>
      <c r="L207" s="71" t="e">
        <f t="shared" si="34"/>
        <v>#DIV/0!</v>
      </c>
      <c r="M207" s="72" t="e">
        <f t="shared" si="36"/>
        <v>#DIV/0!</v>
      </c>
      <c r="N207" s="48"/>
      <c r="O207" s="50">
        <f t="shared" si="32"/>
        <v>0</v>
      </c>
      <c r="P207" s="50"/>
      <c r="Q207" s="50"/>
      <c r="R207" s="17">
        <f t="shared" si="37"/>
        <v>0</v>
      </c>
      <c r="S207" s="17" t="e">
        <f t="shared" si="38"/>
        <v>#DIV/0!</v>
      </c>
      <c r="T207" s="71" t="e">
        <f t="shared" si="39"/>
        <v>#DIV/0!</v>
      </c>
      <c r="U207" s="72" t="e">
        <f t="shared" si="40"/>
        <v>#DIV/0!</v>
      </c>
      <c r="V207" s="48"/>
      <c r="W207" s="73"/>
      <c r="X207" s="48"/>
      <c r="Y207" s="73"/>
      <c r="Z207" s="48"/>
      <c r="AA207" s="74"/>
      <c r="AB207" s="48"/>
      <c r="AC207" s="7"/>
      <c r="AD207" s="7"/>
      <c r="AE207" s="8"/>
      <c r="AF207" s="8"/>
    </row>
    <row r="208" spans="1:32" x14ac:dyDescent="0.2">
      <c r="A208" s="11">
        <v>45960</v>
      </c>
      <c r="B208" s="15"/>
      <c r="C208" s="62"/>
      <c r="D208" s="62"/>
      <c r="E208" s="62"/>
      <c r="F208" s="48"/>
      <c r="G208" s="49"/>
      <c r="H208" s="50"/>
      <c r="I208" s="50"/>
      <c r="J208" s="17">
        <f t="shared" si="35"/>
        <v>0</v>
      </c>
      <c r="K208" s="17" t="e">
        <f t="shared" si="33"/>
        <v>#DIV/0!</v>
      </c>
      <c r="L208" s="71" t="e">
        <f t="shared" si="34"/>
        <v>#DIV/0!</v>
      </c>
      <c r="M208" s="72" t="e">
        <f t="shared" si="36"/>
        <v>#DIV/0!</v>
      </c>
      <c r="N208" s="48"/>
      <c r="O208" s="50">
        <f t="shared" si="32"/>
        <v>0</v>
      </c>
      <c r="P208" s="50"/>
      <c r="Q208" s="50"/>
      <c r="R208" s="17">
        <f t="shared" si="37"/>
        <v>0</v>
      </c>
      <c r="S208" s="17" t="e">
        <f t="shared" si="38"/>
        <v>#DIV/0!</v>
      </c>
      <c r="T208" s="71" t="e">
        <f t="shared" si="39"/>
        <v>#DIV/0!</v>
      </c>
      <c r="U208" s="72" t="e">
        <f t="shared" si="40"/>
        <v>#DIV/0!</v>
      </c>
      <c r="V208" s="48"/>
      <c r="W208" s="73"/>
      <c r="X208" s="48"/>
      <c r="Y208" s="73"/>
      <c r="Z208" s="48"/>
      <c r="AA208" s="74"/>
      <c r="AB208" s="48"/>
      <c r="AC208" s="7"/>
      <c r="AD208" s="7"/>
      <c r="AE208" s="8"/>
      <c r="AF208" s="8"/>
    </row>
    <row r="209" spans="1:32" x14ac:dyDescent="0.2">
      <c r="A209" s="11">
        <v>45961</v>
      </c>
      <c r="B209" s="15"/>
      <c r="C209" s="62"/>
      <c r="D209" s="62"/>
      <c r="E209" s="62"/>
      <c r="F209" s="48"/>
      <c r="G209" s="49"/>
      <c r="H209" s="50"/>
      <c r="I209" s="50"/>
      <c r="J209" s="17">
        <f t="shared" si="35"/>
        <v>0</v>
      </c>
      <c r="K209" s="17" t="e">
        <f t="shared" si="33"/>
        <v>#DIV/0!</v>
      </c>
      <c r="L209" s="71" t="e">
        <f t="shared" si="34"/>
        <v>#DIV/0!</v>
      </c>
      <c r="M209" s="72" t="e">
        <f t="shared" si="36"/>
        <v>#DIV/0!</v>
      </c>
      <c r="N209" s="48"/>
      <c r="O209" s="50">
        <f t="shared" si="32"/>
        <v>0</v>
      </c>
      <c r="P209" s="50"/>
      <c r="Q209" s="50"/>
      <c r="R209" s="17">
        <f t="shared" si="37"/>
        <v>0</v>
      </c>
      <c r="S209" s="17" t="e">
        <f t="shared" si="38"/>
        <v>#DIV/0!</v>
      </c>
      <c r="T209" s="71" t="e">
        <f t="shared" si="39"/>
        <v>#DIV/0!</v>
      </c>
      <c r="U209" s="72" t="e">
        <f t="shared" si="40"/>
        <v>#DIV/0!</v>
      </c>
      <c r="V209" s="48"/>
      <c r="W209" s="73"/>
      <c r="X209" s="48"/>
      <c r="Y209" s="73"/>
      <c r="Z209" s="48"/>
      <c r="AA209" s="74"/>
      <c r="AB209" s="48"/>
      <c r="AC209" s="7"/>
      <c r="AD209" s="7"/>
      <c r="AE209" s="8"/>
      <c r="AF209" s="8"/>
    </row>
    <row r="210" spans="1:32" x14ac:dyDescent="0.2">
      <c r="A210" s="11">
        <v>45962</v>
      </c>
      <c r="B210" s="15"/>
      <c r="C210" s="62"/>
      <c r="D210" s="62"/>
      <c r="E210" s="62"/>
      <c r="F210" s="48"/>
      <c r="G210" s="49"/>
      <c r="H210" s="50"/>
      <c r="I210" s="50"/>
      <c r="J210" s="17">
        <f t="shared" si="35"/>
        <v>0</v>
      </c>
      <c r="K210" s="17" t="e">
        <f t="shared" si="33"/>
        <v>#DIV/0!</v>
      </c>
      <c r="L210" s="71" t="e">
        <f t="shared" si="34"/>
        <v>#DIV/0!</v>
      </c>
      <c r="M210" s="72" t="e">
        <f t="shared" si="36"/>
        <v>#DIV/0!</v>
      </c>
      <c r="N210" s="48"/>
      <c r="O210" s="50">
        <f t="shared" si="32"/>
        <v>0</v>
      </c>
      <c r="P210" s="50"/>
      <c r="Q210" s="50"/>
      <c r="R210" s="17">
        <f t="shared" si="37"/>
        <v>0</v>
      </c>
      <c r="S210" s="17" t="e">
        <f t="shared" si="38"/>
        <v>#DIV/0!</v>
      </c>
      <c r="T210" s="71" t="e">
        <f t="shared" si="39"/>
        <v>#DIV/0!</v>
      </c>
      <c r="U210" s="72" t="e">
        <f t="shared" si="40"/>
        <v>#DIV/0!</v>
      </c>
      <c r="V210" s="48"/>
      <c r="W210" s="73"/>
      <c r="X210" s="48"/>
      <c r="Y210" s="73"/>
      <c r="Z210" s="48"/>
      <c r="AA210" s="74"/>
      <c r="AB210" s="48"/>
      <c r="AC210" s="7"/>
      <c r="AD210" s="7"/>
      <c r="AE210" s="8"/>
      <c r="AF210" s="8"/>
    </row>
    <row r="211" spans="1:32" x14ac:dyDescent="0.2">
      <c r="A211" s="11">
        <v>45963</v>
      </c>
      <c r="B211" s="15"/>
      <c r="C211" s="62"/>
      <c r="D211" s="62"/>
      <c r="E211" s="62"/>
      <c r="F211" s="48"/>
      <c r="G211" s="49"/>
      <c r="H211" s="50"/>
      <c r="I211" s="50"/>
      <c r="J211" s="17">
        <f t="shared" si="35"/>
        <v>0</v>
      </c>
      <c r="K211" s="17" t="e">
        <f t="shared" si="33"/>
        <v>#DIV/0!</v>
      </c>
      <c r="L211" s="71" t="e">
        <f t="shared" si="34"/>
        <v>#DIV/0!</v>
      </c>
      <c r="M211" s="72" t="e">
        <f t="shared" si="36"/>
        <v>#DIV/0!</v>
      </c>
      <c r="N211" s="48"/>
      <c r="O211" s="50">
        <f t="shared" si="32"/>
        <v>0</v>
      </c>
      <c r="P211" s="50"/>
      <c r="Q211" s="50"/>
      <c r="R211" s="17">
        <f t="shared" si="37"/>
        <v>0</v>
      </c>
      <c r="S211" s="17" t="e">
        <f t="shared" si="38"/>
        <v>#DIV/0!</v>
      </c>
      <c r="T211" s="71" t="e">
        <f t="shared" si="39"/>
        <v>#DIV/0!</v>
      </c>
      <c r="U211" s="72" t="e">
        <f t="shared" si="40"/>
        <v>#DIV/0!</v>
      </c>
      <c r="V211" s="48"/>
      <c r="W211" s="73"/>
      <c r="X211" s="48"/>
      <c r="Y211" s="73"/>
      <c r="Z211" s="48"/>
      <c r="AA211" s="74"/>
      <c r="AB211" s="48"/>
      <c r="AC211" s="7"/>
      <c r="AD211" s="7"/>
      <c r="AE211" s="8"/>
      <c r="AF211" s="8"/>
    </row>
    <row r="212" spans="1:32" x14ac:dyDescent="0.2">
      <c r="A212" s="11">
        <v>45964</v>
      </c>
      <c r="B212" s="15"/>
      <c r="C212" s="62"/>
      <c r="D212" s="62"/>
      <c r="E212" s="62"/>
      <c r="F212" s="48"/>
      <c r="G212" s="49"/>
      <c r="H212" s="50"/>
      <c r="I212" s="50"/>
      <c r="J212" s="17">
        <f t="shared" si="35"/>
        <v>0</v>
      </c>
      <c r="K212" s="17" t="e">
        <f t="shared" si="33"/>
        <v>#DIV/0!</v>
      </c>
      <c r="L212" s="71" t="e">
        <f t="shared" si="34"/>
        <v>#DIV/0!</v>
      </c>
      <c r="M212" s="72" t="e">
        <f t="shared" si="36"/>
        <v>#DIV/0!</v>
      </c>
      <c r="N212" s="48"/>
      <c r="O212" s="50">
        <f t="shared" si="32"/>
        <v>0</v>
      </c>
      <c r="P212" s="50"/>
      <c r="Q212" s="50"/>
      <c r="R212" s="17">
        <f t="shared" si="37"/>
        <v>0</v>
      </c>
      <c r="S212" s="17" t="e">
        <f t="shared" si="38"/>
        <v>#DIV/0!</v>
      </c>
      <c r="T212" s="71" t="e">
        <f t="shared" si="39"/>
        <v>#DIV/0!</v>
      </c>
      <c r="U212" s="72" t="e">
        <f t="shared" si="40"/>
        <v>#DIV/0!</v>
      </c>
      <c r="V212" s="48"/>
      <c r="W212" s="73"/>
      <c r="X212" s="48"/>
      <c r="Y212" s="73"/>
      <c r="Z212" s="48"/>
      <c r="AA212" s="74"/>
      <c r="AB212" s="48"/>
      <c r="AC212" s="7"/>
      <c r="AD212" s="7"/>
      <c r="AE212" s="8"/>
      <c r="AF212" s="8"/>
    </row>
    <row r="213" spans="1:32" x14ac:dyDescent="0.2">
      <c r="A213" s="11">
        <v>45965</v>
      </c>
      <c r="B213" s="15"/>
      <c r="C213" s="62"/>
      <c r="D213" s="62"/>
      <c r="E213" s="62"/>
      <c r="F213" s="48"/>
      <c r="G213" s="49"/>
      <c r="H213" s="50"/>
      <c r="I213" s="50"/>
      <c r="J213" s="17">
        <f t="shared" si="35"/>
        <v>0</v>
      </c>
      <c r="K213" s="17" t="e">
        <f t="shared" si="33"/>
        <v>#DIV/0!</v>
      </c>
      <c r="L213" s="71" t="e">
        <f t="shared" si="34"/>
        <v>#DIV/0!</v>
      </c>
      <c r="M213" s="72" t="e">
        <f t="shared" si="36"/>
        <v>#DIV/0!</v>
      </c>
      <c r="N213" s="48"/>
      <c r="O213" s="50">
        <f t="shared" si="32"/>
        <v>0</v>
      </c>
      <c r="P213" s="50"/>
      <c r="Q213" s="50"/>
      <c r="R213" s="17">
        <f t="shared" si="37"/>
        <v>0</v>
      </c>
      <c r="S213" s="17" t="e">
        <f t="shared" si="38"/>
        <v>#DIV/0!</v>
      </c>
      <c r="T213" s="71" t="e">
        <f t="shared" si="39"/>
        <v>#DIV/0!</v>
      </c>
      <c r="U213" s="72" t="e">
        <f t="shared" si="40"/>
        <v>#DIV/0!</v>
      </c>
      <c r="V213" s="48"/>
      <c r="W213" s="73"/>
      <c r="X213" s="48"/>
      <c r="Y213" s="73"/>
      <c r="Z213" s="48"/>
      <c r="AA213" s="74"/>
      <c r="AB213" s="48"/>
      <c r="AC213" s="7"/>
      <c r="AD213" s="7"/>
      <c r="AE213" s="8"/>
      <c r="AF213" s="8"/>
    </row>
    <row r="214" spans="1:32" x14ac:dyDescent="0.2">
      <c r="A214" s="11">
        <v>45966</v>
      </c>
      <c r="B214" s="15"/>
      <c r="C214" s="62"/>
      <c r="D214" s="62"/>
      <c r="E214" s="62"/>
      <c r="F214" s="48"/>
      <c r="G214" s="49"/>
      <c r="H214" s="50"/>
      <c r="I214" s="50"/>
      <c r="J214" s="17">
        <f t="shared" si="35"/>
        <v>0</v>
      </c>
      <c r="K214" s="17" t="e">
        <f t="shared" si="33"/>
        <v>#DIV/0!</v>
      </c>
      <c r="L214" s="71" t="e">
        <f t="shared" si="34"/>
        <v>#DIV/0!</v>
      </c>
      <c r="M214" s="72" t="e">
        <f t="shared" si="36"/>
        <v>#DIV/0!</v>
      </c>
      <c r="N214" s="48"/>
      <c r="O214" s="50">
        <f t="shared" si="32"/>
        <v>0</v>
      </c>
      <c r="P214" s="50"/>
      <c r="Q214" s="50"/>
      <c r="R214" s="17">
        <f t="shared" si="37"/>
        <v>0</v>
      </c>
      <c r="S214" s="17" t="e">
        <f t="shared" si="38"/>
        <v>#DIV/0!</v>
      </c>
      <c r="T214" s="71" t="e">
        <f t="shared" si="39"/>
        <v>#DIV/0!</v>
      </c>
      <c r="U214" s="72" t="e">
        <f t="shared" si="40"/>
        <v>#DIV/0!</v>
      </c>
      <c r="V214" s="48"/>
      <c r="W214" s="73"/>
      <c r="X214" s="48"/>
      <c r="Y214" s="73"/>
      <c r="Z214" s="48"/>
      <c r="AA214" s="74"/>
      <c r="AB214" s="48"/>
      <c r="AC214" s="7"/>
      <c r="AD214" s="7"/>
      <c r="AE214" s="8"/>
      <c r="AF214" s="8"/>
    </row>
    <row r="215" spans="1:32" x14ac:dyDescent="0.2">
      <c r="A215" s="11">
        <v>45967</v>
      </c>
      <c r="B215" s="15"/>
      <c r="C215" s="62"/>
      <c r="D215" s="62"/>
      <c r="E215" s="62"/>
      <c r="F215" s="48"/>
      <c r="G215" s="49"/>
      <c r="H215" s="50"/>
      <c r="I215" s="50"/>
      <c r="J215" s="17">
        <f t="shared" si="35"/>
        <v>0</v>
      </c>
      <c r="K215" s="17" t="e">
        <f t="shared" si="33"/>
        <v>#DIV/0!</v>
      </c>
      <c r="L215" s="71" t="e">
        <f t="shared" si="34"/>
        <v>#DIV/0!</v>
      </c>
      <c r="M215" s="72" t="e">
        <f t="shared" si="36"/>
        <v>#DIV/0!</v>
      </c>
      <c r="N215" s="48"/>
      <c r="O215" s="50">
        <f t="shared" si="32"/>
        <v>0</v>
      </c>
      <c r="P215" s="50"/>
      <c r="Q215" s="50"/>
      <c r="R215" s="17">
        <f t="shared" si="37"/>
        <v>0</v>
      </c>
      <c r="S215" s="17" t="e">
        <f t="shared" si="38"/>
        <v>#DIV/0!</v>
      </c>
      <c r="T215" s="71" t="e">
        <f t="shared" si="39"/>
        <v>#DIV/0!</v>
      </c>
      <c r="U215" s="72" t="e">
        <f t="shared" si="40"/>
        <v>#DIV/0!</v>
      </c>
      <c r="V215" s="48"/>
      <c r="W215" s="73"/>
      <c r="X215" s="48"/>
      <c r="Y215" s="73"/>
      <c r="Z215" s="48"/>
      <c r="AA215" s="74"/>
      <c r="AB215" s="48"/>
      <c r="AC215" s="7"/>
      <c r="AD215" s="7"/>
      <c r="AE215" s="8"/>
      <c r="AF215" s="8"/>
    </row>
    <row r="216" spans="1:32" x14ac:dyDescent="0.2">
      <c r="A216" s="11">
        <v>45968</v>
      </c>
      <c r="B216" s="15"/>
      <c r="C216" s="62"/>
      <c r="D216" s="62"/>
      <c r="E216" s="62"/>
      <c r="F216" s="48"/>
      <c r="G216" s="49"/>
      <c r="H216" s="50"/>
      <c r="I216" s="50"/>
      <c r="J216" s="17">
        <f t="shared" si="35"/>
        <v>0</v>
      </c>
      <c r="K216" s="17" t="e">
        <f t="shared" si="33"/>
        <v>#DIV/0!</v>
      </c>
      <c r="L216" s="71" t="e">
        <f t="shared" si="34"/>
        <v>#DIV/0!</v>
      </c>
      <c r="M216" s="72" t="e">
        <f t="shared" si="36"/>
        <v>#DIV/0!</v>
      </c>
      <c r="N216" s="48"/>
      <c r="O216" s="50">
        <f t="shared" si="32"/>
        <v>0</v>
      </c>
      <c r="P216" s="50"/>
      <c r="Q216" s="50"/>
      <c r="R216" s="17">
        <f t="shared" si="37"/>
        <v>0</v>
      </c>
      <c r="S216" s="17" t="e">
        <f t="shared" si="38"/>
        <v>#DIV/0!</v>
      </c>
      <c r="T216" s="71" t="e">
        <f t="shared" si="39"/>
        <v>#DIV/0!</v>
      </c>
      <c r="U216" s="72" t="e">
        <f t="shared" si="40"/>
        <v>#DIV/0!</v>
      </c>
      <c r="V216" s="48"/>
      <c r="W216" s="73"/>
      <c r="X216" s="48"/>
      <c r="Y216" s="73"/>
      <c r="Z216" s="48"/>
      <c r="AA216" s="74"/>
      <c r="AB216" s="48"/>
      <c r="AC216" s="7"/>
      <c r="AD216" s="7"/>
      <c r="AE216" s="8"/>
      <c r="AF216" s="8"/>
    </row>
    <row r="217" spans="1:32" x14ac:dyDescent="0.2">
      <c r="A217" s="11">
        <v>45969</v>
      </c>
      <c r="B217" s="15"/>
      <c r="C217" s="62"/>
      <c r="D217" s="62"/>
      <c r="E217" s="62"/>
      <c r="F217" s="48"/>
      <c r="G217" s="49"/>
      <c r="H217" s="50"/>
      <c r="I217" s="50"/>
      <c r="J217" s="17">
        <f t="shared" si="35"/>
        <v>0</v>
      </c>
      <c r="K217" s="17" t="e">
        <f t="shared" si="33"/>
        <v>#DIV/0!</v>
      </c>
      <c r="L217" s="71" t="e">
        <f t="shared" si="34"/>
        <v>#DIV/0!</v>
      </c>
      <c r="M217" s="72" t="e">
        <f t="shared" si="36"/>
        <v>#DIV/0!</v>
      </c>
      <c r="N217" s="48"/>
      <c r="O217" s="50">
        <f t="shared" si="32"/>
        <v>0</v>
      </c>
      <c r="P217" s="50"/>
      <c r="Q217" s="50"/>
      <c r="R217" s="17">
        <f t="shared" si="37"/>
        <v>0</v>
      </c>
      <c r="S217" s="17" t="e">
        <f t="shared" si="38"/>
        <v>#DIV/0!</v>
      </c>
      <c r="T217" s="71" t="e">
        <f t="shared" si="39"/>
        <v>#DIV/0!</v>
      </c>
      <c r="U217" s="72" t="e">
        <f t="shared" si="40"/>
        <v>#DIV/0!</v>
      </c>
      <c r="V217" s="48"/>
      <c r="W217" s="73"/>
      <c r="X217" s="48"/>
      <c r="Y217" s="73"/>
      <c r="Z217" s="48"/>
      <c r="AA217" s="74"/>
      <c r="AB217" s="48"/>
      <c r="AC217" s="7"/>
      <c r="AD217" s="7"/>
      <c r="AE217" s="8"/>
      <c r="AF217" s="8"/>
    </row>
    <row r="218" spans="1:32" x14ac:dyDescent="0.2">
      <c r="A218" s="11">
        <v>45970</v>
      </c>
      <c r="B218" s="15"/>
      <c r="C218" s="62"/>
      <c r="D218" s="62"/>
      <c r="E218" s="62"/>
      <c r="F218" s="48"/>
      <c r="G218" s="49"/>
      <c r="H218" s="50"/>
      <c r="I218" s="50"/>
      <c r="J218" s="17">
        <f t="shared" si="35"/>
        <v>0</v>
      </c>
      <c r="K218" s="17" t="e">
        <f t="shared" si="33"/>
        <v>#DIV/0!</v>
      </c>
      <c r="L218" s="71" t="e">
        <f t="shared" si="34"/>
        <v>#DIV/0!</v>
      </c>
      <c r="M218" s="72" t="e">
        <f t="shared" si="36"/>
        <v>#DIV/0!</v>
      </c>
      <c r="N218" s="48"/>
      <c r="O218" s="50">
        <f t="shared" si="32"/>
        <v>0</v>
      </c>
      <c r="P218" s="50"/>
      <c r="Q218" s="50"/>
      <c r="R218" s="17">
        <f t="shared" si="37"/>
        <v>0</v>
      </c>
      <c r="S218" s="17" t="e">
        <f t="shared" si="38"/>
        <v>#DIV/0!</v>
      </c>
      <c r="T218" s="71" t="e">
        <f t="shared" si="39"/>
        <v>#DIV/0!</v>
      </c>
      <c r="U218" s="72" t="e">
        <f t="shared" si="40"/>
        <v>#DIV/0!</v>
      </c>
      <c r="V218" s="48"/>
      <c r="W218" s="73"/>
      <c r="X218" s="48"/>
      <c r="Y218" s="73"/>
      <c r="Z218" s="48"/>
      <c r="AA218" s="74"/>
      <c r="AB218" s="48"/>
      <c r="AC218" s="7"/>
      <c r="AD218" s="7"/>
      <c r="AE218" s="8"/>
      <c r="AF218" s="8"/>
    </row>
    <row r="219" spans="1:32" x14ac:dyDescent="0.2">
      <c r="A219" s="11">
        <v>45971</v>
      </c>
      <c r="B219" s="15"/>
      <c r="C219" s="62"/>
      <c r="D219" s="62"/>
      <c r="E219" s="62"/>
      <c r="F219" s="48"/>
      <c r="G219" s="49"/>
      <c r="H219" s="50"/>
      <c r="I219" s="50"/>
      <c r="J219" s="17">
        <f t="shared" si="35"/>
        <v>0</v>
      </c>
      <c r="K219" s="17" t="e">
        <f t="shared" si="33"/>
        <v>#DIV/0!</v>
      </c>
      <c r="L219" s="71" t="e">
        <f t="shared" si="34"/>
        <v>#DIV/0!</v>
      </c>
      <c r="M219" s="72" t="e">
        <f t="shared" si="36"/>
        <v>#DIV/0!</v>
      </c>
      <c r="N219" s="48"/>
      <c r="O219" s="50">
        <f t="shared" si="32"/>
        <v>0</v>
      </c>
      <c r="P219" s="50"/>
      <c r="Q219" s="50"/>
      <c r="R219" s="17">
        <f t="shared" si="37"/>
        <v>0</v>
      </c>
      <c r="S219" s="17" t="e">
        <f t="shared" si="38"/>
        <v>#DIV/0!</v>
      </c>
      <c r="T219" s="71" t="e">
        <f t="shared" si="39"/>
        <v>#DIV/0!</v>
      </c>
      <c r="U219" s="72" t="e">
        <f t="shared" si="40"/>
        <v>#DIV/0!</v>
      </c>
      <c r="V219" s="48"/>
      <c r="W219" s="73"/>
      <c r="X219" s="48"/>
      <c r="Y219" s="73"/>
      <c r="Z219" s="48"/>
      <c r="AA219" s="74"/>
      <c r="AB219" s="48"/>
      <c r="AC219" s="7"/>
      <c r="AD219" s="7"/>
      <c r="AE219" s="8"/>
      <c r="AF219" s="8"/>
    </row>
    <row r="220" spans="1:32" x14ac:dyDescent="0.2">
      <c r="A220" s="11">
        <v>45972</v>
      </c>
      <c r="B220" s="15"/>
      <c r="C220" s="62"/>
      <c r="D220" s="62"/>
      <c r="E220" s="62"/>
      <c r="F220" s="48"/>
      <c r="G220" s="49"/>
      <c r="H220" s="50"/>
      <c r="I220" s="50"/>
      <c r="J220" s="17">
        <f t="shared" si="35"/>
        <v>0</v>
      </c>
      <c r="K220" s="17" t="e">
        <f t="shared" si="33"/>
        <v>#DIV/0!</v>
      </c>
      <c r="L220" s="71" t="e">
        <f t="shared" si="34"/>
        <v>#DIV/0!</v>
      </c>
      <c r="M220" s="72" t="e">
        <f t="shared" si="36"/>
        <v>#DIV/0!</v>
      </c>
      <c r="N220" s="48"/>
      <c r="O220" s="50">
        <f t="shared" si="32"/>
        <v>0</v>
      </c>
      <c r="P220" s="50"/>
      <c r="Q220" s="50"/>
      <c r="R220" s="17">
        <f t="shared" si="37"/>
        <v>0</v>
      </c>
      <c r="S220" s="17" t="e">
        <f t="shared" si="38"/>
        <v>#DIV/0!</v>
      </c>
      <c r="T220" s="71" t="e">
        <f t="shared" si="39"/>
        <v>#DIV/0!</v>
      </c>
      <c r="U220" s="72" t="e">
        <f t="shared" si="40"/>
        <v>#DIV/0!</v>
      </c>
      <c r="V220" s="48"/>
      <c r="W220" s="73"/>
      <c r="X220" s="48"/>
      <c r="Y220" s="73"/>
      <c r="Z220" s="48"/>
      <c r="AA220" s="74"/>
      <c r="AB220" s="48"/>
      <c r="AC220" s="7"/>
      <c r="AD220" s="7"/>
      <c r="AE220" s="8"/>
      <c r="AF220" s="8"/>
    </row>
    <row r="221" spans="1:32" x14ac:dyDescent="0.2">
      <c r="A221" s="11">
        <v>45973</v>
      </c>
      <c r="B221" s="15"/>
      <c r="C221" s="62"/>
      <c r="D221" s="62"/>
      <c r="E221" s="62"/>
      <c r="F221" s="48"/>
      <c r="G221" s="49"/>
      <c r="H221" s="50"/>
      <c r="I221" s="50"/>
      <c r="J221" s="17">
        <f t="shared" si="35"/>
        <v>0</v>
      </c>
      <c r="K221" s="17" t="e">
        <f t="shared" si="33"/>
        <v>#DIV/0!</v>
      </c>
      <c r="L221" s="71" t="e">
        <f t="shared" si="34"/>
        <v>#DIV/0!</v>
      </c>
      <c r="M221" s="72" t="e">
        <f t="shared" si="36"/>
        <v>#DIV/0!</v>
      </c>
      <c r="N221" s="48"/>
      <c r="O221" s="50">
        <f t="shared" si="32"/>
        <v>0</v>
      </c>
      <c r="P221" s="50"/>
      <c r="Q221" s="50"/>
      <c r="R221" s="17">
        <f>N221-P221</f>
        <v>0</v>
      </c>
      <c r="S221" s="17" t="e">
        <f>Q221/O221</f>
        <v>#DIV/0!</v>
      </c>
      <c r="T221" s="71" t="e">
        <f t="shared" si="39"/>
        <v>#DIV/0!</v>
      </c>
      <c r="U221" s="72" t="e">
        <f>(O222-O221)/O222</f>
        <v>#DIV/0!</v>
      </c>
      <c r="V221" s="48"/>
      <c r="W221" s="73"/>
      <c r="X221" s="48"/>
      <c r="Y221" s="73"/>
      <c r="Z221" s="48"/>
      <c r="AA221" s="74"/>
      <c r="AB221" s="48"/>
      <c r="AC221" s="7"/>
      <c r="AD221" s="7"/>
      <c r="AE221" s="8"/>
      <c r="AF221" s="8"/>
    </row>
    <row r="222" spans="1:32" x14ac:dyDescent="0.2">
      <c r="A222" s="11">
        <v>45974</v>
      </c>
      <c r="B222" s="15"/>
      <c r="C222" s="62"/>
      <c r="D222" s="62"/>
      <c r="E222" s="62"/>
      <c r="F222" s="48"/>
      <c r="G222" s="49"/>
      <c r="H222" s="50"/>
      <c r="I222" s="50"/>
      <c r="J222" s="17">
        <f t="shared" si="35"/>
        <v>0</v>
      </c>
      <c r="K222" s="17" t="e">
        <f t="shared" si="33"/>
        <v>#DIV/0!</v>
      </c>
      <c r="L222" s="71" t="e">
        <f t="shared" si="34"/>
        <v>#DIV/0!</v>
      </c>
      <c r="M222" s="72" t="e">
        <f t="shared" si="36"/>
        <v>#DIV/0!</v>
      </c>
      <c r="N222" s="48"/>
      <c r="O222" s="50">
        <f t="shared" si="32"/>
        <v>0</v>
      </c>
      <c r="P222" s="50"/>
      <c r="Q222" s="50"/>
      <c r="R222" s="17">
        <f>N222-P222</f>
        <v>0</v>
      </c>
      <c r="S222" s="17" t="e">
        <f>Q222/O222</f>
        <v>#DIV/0!</v>
      </c>
      <c r="T222" s="71" t="e">
        <f t="shared" si="39"/>
        <v>#DIV/0!</v>
      </c>
      <c r="U222" s="72" t="e">
        <f>(O223-O222)/O223</f>
        <v>#DIV/0!</v>
      </c>
      <c r="V222" s="48"/>
      <c r="W222" s="73"/>
      <c r="X222" s="48"/>
      <c r="Y222" s="73"/>
      <c r="Z222" s="48"/>
      <c r="AA222" s="74"/>
      <c r="AB222" s="48"/>
      <c r="AC222" s="7"/>
      <c r="AD222" s="7"/>
      <c r="AE222" s="8"/>
      <c r="AF222" s="8"/>
    </row>
    <row r="223" spans="1:32" x14ac:dyDescent="0.2">
      <c r="A223" s="11">
        <v>45975</v>
      </c>
      <c r="B223" s="15"/>
      <c r="C223" s="62"/>
      <c r="D223" s="62"/>
      <c r="E223" s="62"/>
      <c r="F223" s="48"/>
      <c r="G223" s="49"/>
      <c r="H223" s="50"/>
      <c r="I223" s="50"/>
      <c r="J223" s="17">
        <f t="shared" si="35"/>
        <v>0</v>
      </c>
      <c r="K223" s="17" t="e">
        <f t="shared" si="33"/>
        <v>#DIV/0!</v>
      </c>
      <c r="L223" s="71" t="e">
        <f t="shared" si="34"/>
        <v>#DIV/0!</v>
      </c>
      <c r="M223" s="72" t="e">
        <f t="shared" si="36"/>
        <v>#DIV/0!</v>
      </c>
      <c r="N223" s="48"/>
      <c r="O223" s="50">
        <f t="shared" si="32"/>
        <v>0</v>
      </c>
      <c r="P223" s="50"/>
      <c r="Q223" s="50"/>
      <c r="R223" s="17">
        <f>N223-P223</f>
        <v>0</v>
      </c>
      <c r="S223" s="17" t="e">
        <f>Q223/O223</f>
        <v>#DIV/0!</v>
      </c>
      <c r="T223" s="71" t="e">
        <f t="shared" si="39"/>
        <v>#DIV/0!</v>
      </c>
      <c r="U223" s="72" t="e">
        <f>(O224-O223)/O224</f>
        <v>#DIV/0!</v>
      </c>
      <c r="V223" s="48"/>
      <c r="W223" s="73"/>
      <c r="X223" s="48"/>
      <c r="Y223" s="73"/>
      <c r="Z223" s="48"/>
      <c r="AA223" s="74"/>
      <c r="AB223" s="48"/>
      <c r="AC223" s="7"/>
      <c r="AD223" s="7"/>
      <c r="AE223" s="8"/>
      <c r="AF223" s="8"/>
    </row>
    <row r="224" spans="1:32" x14ac:dyDescent="0.2">
      <c r="A224" s="11">
        <v>45976</v>
      </c>
      <c r="B224" s="15"/>
      <c r="C224" s="62"/>
      <c r="D224" s="62"/>
      <c r="E224" s="62"/>
      <c r="F224" s="48"/>
      <c r="G224" s="49"/>
      <c r="H224" s="50"/>
      <c r="I224" s="50"/>
      <c r="J224" s="17">
        <f t="shared" si="35"/>
        <v>0</v>
      </c>
      <c r="K224" s="17" t="e">
        <f t="shared" si="33"/>
        <v>#DIV/0!</v>
      </c>
      <c r="L224" s="71" t="e">
        <f t="shared" si="34"/>
        <v>#DIV/0!</v>
      </c>
      <c r="M224" s="72" t="e">
        <f t="shared" si="36"/>
        <v>#DIV/0!</v>
      </c>
      <c r="N224" s="48"/>
      <c r="O224" s="50">
        <f t="shared" si="32"/>
        <v>0</v>
      </c>
      <c r="P224" s="50"/>
      <c r="Q224" s="50"/>
      <c r="R224" s="17">
        <f>N224-P224</f>
        <v>0</v>
      </c>
      <c r="S224" s="17" t="e">
        <f>Q224/O224</f>
        <v>#DIV/0!</v>
      </c>
      <c r="T224" s="71" t="e">
        <f t="shared" si="39"/>
        <v>#DIV/0!</v>
      </c>
      <c r="U224" s="72" t="e">
        <f>(O225-O224)/O225</f>
        <v>#DIV/0!</v>
      </c>
      <c r="V224" s="48"/>
      <c r="W224" s="73"/>
      <c r="X224" s="48"/>
      <c r="Y224" s="73"/>
      <c r="Z224" s="48"/>
      <c r="AA224" s="74"/>
      <c r="AB224" s="48"/>
      <c r="AC224" s="7"/>
      <c r="AD224" s="7"/>
      <c r="AE224" s="8"/>
      <c r="AF224" s="8"/>
    </row>
  </sheetData>
  <phoneticPr fontId="11" type="noConversion"/>
  <conditionalFormatting sqref="J1:J224 R60:R224 I225:I1048576">
    <cfRule type="cellIs" dxfId="1" priority="4" operator="greaterThan">
      <formula>"2.3"</formula>
    </cfRule>
  </conditionalFormatting>
  <conditionalFormatting sqref="J60:J224">
    <cfRule type="cellIs" dxfId="0" priority="1" operator="greaterThan">
      <formula>2.3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C89EC-2823-4022-84A8-E133FDD3C64F}">
  <dimension ref="A1:P13"/>
  <sheetViews>
    <sheetView workbookViewId="0">
      <selection activeCell="E22" sqref="E22"/>
    </sheetView>
  </sheetViews>
  <sheetFormatPr baseColWidth="10" defaultRowHeight="12.75" x14ac:dyDescent="0.2"/>
  <cols>
    <col min="1" max="1" width="15.140625" customWidth="1"/>
    <col min="2" max="2" width="27.28515625" customWidth="1"/>
    <col min="15" max="15" width="14" customWidth="1"/>
  </cols>
  <sheetData>
    <row r="1" spans="1:16" ht="23.25" customHeight="1" thickBot="1" x14ac:dyDescent="0.25">
      <c r="A1" s="40" t="s">
        <v>41</v>
      </c>
      <c r="B1" s="40" t="s">
        <v>23</v>
      </c>
      <c r="C1" s="33" t="s">
        <v>24</v>
      </c>
      <c r="D1" s="34" t="s">
        <v>25</v>
      </c>
      <c r="E1" s="34" t="s">
        <v>26</v>
      </c>
      <c r="F1" s="34" t="s">
        <v>27</v>
      </c>
      <c r="G1" s="34" t="s">
        <v>28</v>
      </c>
      <c r="H1" s="34" t="s">
        <v>29</v>
      </c>
      <c r="I1" s="34" t="s">
        <v>30</v>
      </c>
      <c r="J1" s="35" t="s">
        <v>31</v>
      </c>
      <c r="K1" s="36" t="s">
        <v>32</v>
      </c>
      <c r="L1" s="37" t="s">
        <v>33</v>
      </c>
      <c r="M1" s="37" t="s">
        <v>34</v>
      </c>
      <c r="N1" s="38" t="s">
        <v>35</v>
      </c>
      <c r="O1" s="39" t="s">
        <v>36</v>
      </c>
    </row>
    <row r="2" spans="1:16" x14ac:dyDescent="0.2">
      <c r="A2" s="41" t="s">
        <v>42</v>
      </c>
      <c r="B2" s="41" t="s">
        <v>37</v>
      </c>
      <c r="C2" s="28">
        <v>30.4</v>
      </c>
      <c r="D2" s="29">
        <v>30.2</v>
      </c>
      <c r="E2" s="29">
        <v>30.6</v>
      </c>
      <c r="F2" s="29">
        <v>30.8</v>
      </c>
      <c r="G2" s="29">
        <v>30.8</v>
      </c>
      <c r="H2" s="29">
        <v>31.2</v>
      </c>
      <c r="I2" s="29">
        <v>31.1</v>
      </c>
      <c r="J2" s="30">
        <v>31.3</v>
      </c>
      <c r="K2" s="31">
        <v>30.6</v>
      </c>
      <c r="L2" s="29">
        <v>30.7</v>
      </c>
      <c r="M2" s="29">
        <v>30.7</v>
      </c>
      <c r="N2" s="30">
        <v>30.6</v>
      </c>
      <c r="O2" s="32">
        <v>33.200000000000003</v>
      </c>
    </row>
    <row r="3" spans="1:16" x14ac:dyDescent="0.2">
      <c r="A3" s="42" t="s">
        <v>42</v>
      </c>
      <c r="B3" s="42" t="s">
        <v>38</v>
      </c>
      <c r="C3" s="19">
        <v>15</v>
      </c>
      <c r="D3" s="18">
        <v>43</v>
      </c>
      <c r="E3" s="18">
        <v>21</v>
      </c>
      <c r="F3" s="18">
        <v>8</v>
      </c>
      <c r="G3" s="18">
        <v>7</v>
      </c>
      <c r="H3" s="18">
        <v>21</v>
      </c>
      <c r="I3" s="18">
        <v>38</v>
      </c>
      <c r="J3" s="21">
        <v>23</v>
      </c>
      <c r="K3" s="20">
        <v>341</v>
      </c>
      <c r="L3" s="18">
        <v>374</v>
      </c>
      <c r="M3" s="18">
        <v>63</v>
      </c>
      <c r="N3" s="21">
        <v>29</v>
      </c>
      <c r="O3" s="25">
        <v>84</v>
      </c>
    </row>
    <row r="4" spans="1:16" x14ac:dyDescent="0.2">
      <c r="A4" s="42" t="s">
        <v>42</v>
      </c>
      <c r="B4" s="42" t="s">
        <v>39</v>
      </c>
      <c r="C4" s="19">
        <v>272</v>
      </c>
      <c r="D4" s="18">
        <v>523</v>
      </c>
      <c r="E4" s="18">
        <v>250</v>
      </c>
      <c r="F4" s="18">
        <v>245</v>
      </c>
      <c r="G4" s="18">
        <v>216.9</v>
      </c>
      <c r="H4" s="18">
        <v>368</v>
      </c>
      <c r="I4" s="18">
        <v>471</v>
      </c>
      <c r="J4" s="21">
        <v>285</v>
      </c>
      <c r="K4" s="20">
        <v>486</v>
      </c>
      <c r="L4" s="18">
        <v>374</v>
      </c>
      <c r="M4" s="18">
        <v>26</v>
      </c>
      <c r="N4" s="21">
        <v>332</v>
      </c>
      <c r="O4" s="25">
        <v>969</v>
      </c>
      <c r="P4">
        <v>10400</v>
      </c>
    </row>
    <row r="5" spans="1:16" hidden="1" x14ac:dyDescent="0.2">
      <c r="A5" s="42" t="s">
        <v>42</v>
      </c>
      <c r="B5" s="42" t="s">
        <v>40</v>
      </c>
      <c r="C5" s="19">
        <v>7.13</v>
      </c>
      <c r="D5" s="18">
        <v>6.83</v>
      </c>
      <c r="E5" s="18">
        <v>7.06</v>
      </c>
      <c r="F5" s="18">
        <v>7.14</v>
      </c>
      <c r="G5" s="18">
        <v>6.98</v>
      </c>
      <c r="H5" s="18">
        <v>6.83</v>
      </c>
      <c r="I5" s="18">
        <v>6.78</v>
      </c>
      <c r="J5" s="21">
        <v>6.88</v>
      </c>
      <c r="K5" s="20">
        <v>7.14</v>
      </c>
      <c r="L5" s="18">
        <v>7.22</v>
      </c>
      <c r="M5" s="18">
        <v>7.2</v>
      </c>
      <c r="N5" s="21">
        <v>7.2</v>
      </c>
      <c r="O5" s="25">
        <v>7.19</v>
      </c>
    </row>
    <row r="6" spans="1:16" x14ac:dyDescent="0.2">
      <c r="A6" s="43" t="s">
        <v>43</v>
      </c>
      <c r="B6" s="43" t="s">
        <v>37</v>
      </c>
      <c r="C6" s="19"/>
      <c r="D6" s="18"/>
      <c r="E6" s="18"/>
      <c r="F6" s="18"/>
      <c r="G6" s="18"/>
      <c r="H6" s="18"/>
      <c r="I6" s="18"/>
      <c r="J6" s="21"/>
      <c r="O6" s="25"/>
    </row>
    <row r="7" spans="1:16" x14ac:dyDescent="0.2">
      <c r="A7" s="44" t="s">
        <v>43</v>
      </c>
      <c r="B7" s="44" t="s">
        <v>38</v>
      </c>
      <c r="C7" s="19"/>
      <c r="D7" s="18"/>
      <c r="E7" s="18"/>
      <c r="F7" s="18"/>
      <c r="G7" s="18"/>
      <c r="H7" s="18"/>
      <c r="I7" s="18"/>
      <c r="J7" s="21"/>
      <c r="K7" s="20">
        <v>291</v>
      </c>
      <c r="L7" s="18">
        <v>296</v>
      </c>
      <c r="M7" s="18">
        <v>933</v>
      </c>
      <c r="N7" s="21">
        <v>635</v>
      </c>
      <c r="O7" s="25">
        <v>183</v>
      </c>
    </row>
    <row r="8" spans="1:16" x14ac:dyDescent="0.2">
      <c r="A8" s="44" t="s">
        <v>43</v>
      </c>
      <c r="B8" s="44" t="s">
        <v>39</v>
      </c>
      <c r="C8" s="19"/>
      <c r="D8" s="18"/>
      <c r="E8" s="18"/>
      <c r="F8" s="18"/>
      <c r="G8" s="18"/>
      <c r="H8" s="18"/>
      <c r="I8" s="18"/>
      <c r="J8" s="21"/>
      <c r="K8" s="20">
        <v>294</v>
      </c>
      <c r="L8" s="18">
        <v>284</v>
      </c>
      <c r="M8" s="18">
        <v>294</v>
      </c>
      <c r="N8" s="21">
        <v>694</v>
      </c>
      <c r="O8" s="25"/>
    </row>
    <row r="9" spans="1:16" x14ac:dyDescent="0.2">
      <c r="A9" s="44" t="s">
        <v>43</v>
      </c>
      <c r="B9" s="44" t="s">
        <v>40</v>
      </c>
      <c r="C9" s="19"/>
      <c r="D9" s="18"/>
      <c r="E9" s="18"/>
      <c r="F9" s="18"/>
      <c r="G9" s="18"/>
      <c r="H9" s="18"/>
      <c r="I9" s="18"/>
      <c r="J9" s="21"/>
      <c r="K9" s="20"/>
      <c r="L9" s="18"/>
      <c r="M9" s="18"/>
      <c r="N9" s="21"/>
      <c r="O9" s="25"/>
    </row>
    <row r="10" spans="1:16" x14ac:dyDescent="0.2">
      <c r="A10" s="45" t="s">
        <v>44</v>
      </c>
      <c r="B10" s="45" t="s">
        <v>37</v>
      </c>
      <c r="C10" s="19"/>
      <c r="D10" s="18"/>
      <c r="E10" s="18"/>
      <c r="F10" s="18"/>
      <c r="G10" s="18"/>
      <c r="H10" s="18"/>
      <c r="I10" s="18"/>
      <c r="J10" s="21"/>
      <c r="K10" s="20"/>
      <c r="L10" s="18"/>
      <c r="M10" s="18"/>
      <c r="N10" s="21"/>
      <c r="O10" s="25"/>
    </row>
    <row r="11" spans="1:16" x14ac:dyDescent="0.2">
      <c r="A11" s="46" t="s">
        <v>44</v>
      </c>
      <c r="B11" s="46" t="s">
        <v>38</v>
      </c>
      <c r="C11" s="19"/>
      <c r="D11" s="18"/>
      <c r="E11" s="18"/>
      <c r="F11" s="18"/>
      <c r="G11" s="18"/>
      <c r="H11" s="18"/>
      <c r="I11" s="18"/>
      <c r="J11" s="21"/>
      <c r="K11" s="20"/>
      <c r="L11" s="18"/>
      <c r="M11" s="18"/>
      <c r="N11" s="21"/>
      <c r="O11" s="25"/>
    </row>
    <row r="12" spans="1:16" x14ac:dyDescent="0.2">
      <c r="A12" s="46" t="s">
        <v>44</v>
      </c>
      <c r="B12" s="46" t="s">
        <v>39</v>
      </c>
      <c r="C12" s="19"/>
      <c r="D12" s="18"/>
      <c r="E12" s="18"/>
      <c r="F12" s="18"/>
      <c r="G12" s="18"/>
      <c r="H12" s="18"/>
      <c r="I12" s="18"/>
      <c r="J12" s="21"/>
      <c r="K12" s="20"/>
      <c r="L12" s="18"/>
      <c r="M12" s="18"/>
      <c r="N12" s="21"/>
      <c r="O12" s="25"/>
    </row>
    <row r="13" spans="1:16" ht="13.5" thickBot="1" x14ac:dyDescent="0.25">
      <c r="A13" s="46" t="s">
        <v>44</v>
      </c>
      <c r="B13" s="46" t="s">
        <v>40</v>
      </c>
      <c r="C13" s="27"/>
      <c r="D13" s="23"/>
      <c r="E13" s="23"/>
      <c r="F13" s="23"/>
      <c r="G13" s="23"/>
      <c r="H13" s="23"/>
      <c r="I13" s="23"/>
      <c r="J13" s="24"/>
      <c r="K13" s="22"/>
      <c r="L13" s="23"/>
      <c r="M13" s="23"/>
      <c r="N13" s="24"/>
      <c r="O13" s="26"/>
    </row>
  </sheetData>
  <phoneticPr fontId="1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152F6-AD0E-4865-84D1-85B976331EE2}">
  <dimension ref="A1:F8"/>
  <sheetViews>
    <sheetView workbookViewId="0">
      <selection sqref="A1:C5"/>
    </sheetView>
  </sheetViews>
  <sheetFormatPr baseColWidth="10" defaultRowHeight="12.75" x14ac:dyDescent="0.2"/>
  <cols>
    <col min="1" max="1" width="13.140625" customWidth="1"/>
    <col min="2" max="2" width="16.140625" customWidth="1"/>
  </cols>
  <sheetData>
    <row r="1" spans="1:6" ht="13.5" thickBot="1" x14ac:dyDescent="0.25">
      <c r="A1" s="40" t="s">
        <v>41</v>
      </c>
      <c r="B1" s="40" t="s">
        <v>23</v>
      </c>
      <c r="C1" s="36" t="s">
        <v>32</v>
      </c>
      <c r="D1" s="37" t="s">
        <v>33</v>
      </c>
      <c r="E1" s="37" t="s">
        <v>34</v>
      </c>
      <c r="F1" s="38" t="s">
        <v>35</v>
      </c>
    </row>
    <row r="2" spans="1:6" x14ac:dyDescent="0.2">
      <c r="A2" s="42" t="s">
        <v>45</v>
      </c>
      <c r="B2" s="42" t="s">
        <v>38</v>
      </c>
      <c r="C2" s="20">
        <v>341</v>
      </c>
      <c r="D2" s="18">
        <v>374</v>
      </c>
      <c r="E2" s="18">
        <v>63</v>
      </c>
      <c r="F2" s="21">
        <v>29</v>
      </c>
    </row>
    <row r="3" spans="1:6" x14ac:dyDescent="0.2">
      <c r="A3" s="44" t="s">
        <v>46</v>
      </c>
      <c r="B3" s="44" t="s">
        <v>38</v>
      </c>
      <c r="C3" s="20">
        <v>489</v>
      </c>
      <c r="D3" s="18">
        <v>386</v>
      </c>
      <c r="E3" s="18">
        <v>26</v>
      </c>
      <c r="F3" s="21">
        <v>34</v>
      </c>
    </row>
    <row r="4" spans="1:6" x14ac:dyDescent="0.2">
      <c r="A4" s="42" t="s">
        <v>45</v>
      </c>
      <c r="B4" s="42" t="s">
        <v>39</v>
      </c>
      <c r="C4" s="20">
        <v>291</v>
      </c>
      <c r="D4" s="18">
        <v>296</v>
      </c>
      <c r="E4" s="18">
        <v>533</v>
      </c>
      <c r="F4" s="21">
        <v>635</v>
      </c>
    </row>
    <row r="5" spans="1:6" x14ac:dyDescent="0.2">
      <c r="A5" s="44" t="s">
        <v>46</v>
      </c>
      <c r="B5" s="44" t="s">
        <v>39</v>
      </c>
      <c r="C5" s="20">
        <v>294</v>
      </c>
      <c r="D5" s="18">
        <v>284</v>
      </c>
      <c r="E5" s="18">
        <v>294</v>
      </c>
      <c r="F5" s="21">
        <v>694</v>
      </c>
    </row>
    <row r="8" spans="1:6" x14ac:dyDescent="0.2">
      <c r="E8" s="47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Gráficos</vt:lpstr>
      </vt:variant>
      <vt:variant>
        <vt:i4>1</vt:i4>
      </vt:variant>
    </vt:vector>
  </HeadingPairs>
  <TitlesOfParts>
    <vt:vector size="7" baseType="lpstr">
      <vt:lpstr>DB OPERACIONAL</vt:lpstr>
      <vt:lpstr>CALCULADORA</vt:lpstr>
      <vt:lpstr>OPERACIÓN RO1</vt:lpstr>
      <vt:lpstr>OPERACIÓN RO2</vt:lpstr>
      <vt:lpstr>Hoja1</vt:lpstr>
      <vt:lpstr>Hoja2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Erbin Dario Galvis Rodriguez</dc:creator>
  <cp:lastModifiedBy>Luna Sofia Osorio Parra</cp:lastModifiedBy>
  <dcterms:created xsi:type="dcterms:W3CDTF">2024-10-03T19:18:38Z</dcterms:created>
  <dcterms:modified xsi:type="dcterms:W3CDTF">2026-03-31T19:41:28Z</dcterms:modified>
</cp:coreProperties>
</file>