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T:\2026\BALANCES 2026\BALANCE CALIDAD DE AGUA Vs COSTOS\DASHBOARD COSTOS\"/>
    </mc:Choice>
  </mc:AlternateContent>
  <xr:revisionPtr revIDLastSave="0" documentId="13_ncr:1_{61C6CDC7-8C5E-4FE4-B4AC-AE076DA40F54}" xr6:coauthVersionLast="47" xr6:coauthVersionMax="47" xr10:uidLastSave="{00000000-0000-0000-0000-000000000000}"/>
  <bookViews>
    <workbookView xWindow="-108" yWindow="-108" windowWidth="19416" windowHeight="10296" tabRatio="766" activeTab="2" xr2:uid="{E6F4B368-D079-49CA-BD04-88FCAF32A55F}"/>
  </bookViews>
  <sheets>
    <sheet name="INVENTARIO Y CONSUMO GEM  " sheetId="13" r:id="rId1"/>
    <sheet name="DB QUIMICA" sheetId="14" r:id="rId2"/>
    <sheet name="GRAFICAS" sheetId="27" r:id="rId3"/>
    <sheet name="CONSUMO QUÍMICA-CAUDALES GEM  " sheetId="16" state="hidden" r:id="rId4"/>
    <sheet name="INVENTARIO INSUMOS QUÍMICOS GEM" sheetId="6" state="hidden" r:id="rId5"/>
    <sheet name="REGISTRO RO" sheetId="20" state="hidden" r:id="rId6"/>
    <sheet name="CONSUMO QUÍMICA - CAUDALES RO" sheetId="24" state="hidden" r:id="rId7"/>
    <sheet name="INVENTARIO INSUMOS QUÍMICOS RO" sheetId="9" state="hidden" r:id="rId8"/>
    <sheet name="Consumos" sheetId="25" state="hidden" r:id="rId9"/>
  </sheets>
  <externalReferences>
    <externalReference r:id="rId10"/>
  </externalReferences>
  <definedNames>
    <definedName name="SegmentaciónDeDatos_DIA">#N/A</definedName>
    <definedName name="SegmentaciónDeDatos_FECHA1">#N/A</definedName>
    <definedName name="SegmentaciónDeDatos_FECHA2">#N/A</definedName>
  </definedNames>
  <calcPr calcId="191029"/>
  <pivotCaches>
    <pivotCache cacheId="37" r:id="rId11"/>
    <pivotCache cacheId="42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94" i="13" l="1"/>
  <c r="AU94" i="13" s="1"/>
  <c r="X94" i="13"/>
  <c r="AR94" i="13" s="1"/>
  <c r="W94" i="13"/>
  <c r="AB94" i="13" s="1"/>
  <c r="S94" i="13"/>
  <c r="R94" i="13"/>
  <c r="Q94" i="13"/>
  <c r="V94" i="13" s="1"/>
  <c r="P94" i="13"/>
  <c r="U94" i="13" s="1"/>
  <c r="O94" i="13"/>
  <c r="T94" i="13" s="1"/>
  <c r="N94" i="13"/>
  <c r="AS93" i="13"/>
  <c r="AU93" i="13" s="1"/>
  <c r="AP93" i="13"/>
  <c r="X93" i="13"/>
  <c r="AR93" i="13" s="1"/>
  <c r="W93" i="13"/>
  <c r="U93" i="13"/>
  <c r="Z93" i="13" s="1"/>
  <c r="S93" i="13"/>
  <c r="R93" i="13"/>
  <c r="Q93" i="13"/>
  <c r="V93" i="13" s="1"/>
  <c r="AA93" i="13" s="1"/>
  <c r="P93" i="13"/>
  <c r="O93" i="13"/>
  <c r="T93" i="13" s="1"/>
  <c r="N93" i="13"/>
  <c r="AU92" i="13"/>
  <c r="AS92" i="13"/>
  <c r="AB92" i="13"/>
  <c r="X92" i="13"/>
  <c r="AR92" i="13" s="1"/>
  <c r="W92" i="13"/>
  <c r="AQ92" i="13" s="1"/>
  <c r="V92" i="13"/>
  <c r="T92" i="13"/>
  <c r="Y92" i="13" s="1"/>
  <c r="S92" i="13"/>
  <c r="R92" i="13"/>
  <c r="Q92" i="13"/>
  <c r="P92" i="13"/>
  <c r="U92" i="13" s="1"/>
  <c r="O92" i="13"/>
  <c r="N92" i="13"/>
  <c r="AS91" i="13"/>
  <c r="AU91" i="13" s="1"/>
  <c r="AC91" i="13"/>
  <c r="AA91" i="13"/>
  <c r="X91" i="13"/>
  <c r="AR91" i="13" s="1"/>
  <c r="W91" i="13"/>
  <c r="AQ91" i="13" s="1"/>
  <c r="V91" i="13"/>
  <c r="AP91" i="13" s="1"/>
  <c r="U91" i="13"/>
  <c r="S91" i="13"/>
  <c r="R91" i="13"/>
  <c r="Q91" i="13"/>
  <c r="P91" i="13"/>
  <c r="O91" i="13"/>
  <c r="T91" i="13" s="1"/>
  <c r="Y91" i="13" s="1"/>
  <c r="N91" i="13"/>
  <c r="AU90" i="13"/>
  <c r="AS90" i="13"/>
  <c r="AR90" i="13"/>
  <c r="AC90" i="13"/>
  <c r="AB90" i="13"/>
  <c r="Z90" i="13"/>
  <c r="X90" i="13"/>
  <c r="W90" i="13"/>
  <c r="AQ90" i="13" s="1"/>
  <c r="V90" i="13"/>
  <c r="AP90" i="13" s="1"/>
  <c r="U90" i="13"/>
  <c r="AO90" i="13" s="1"/>
  <c r="T90" i="13"/>
  <c r="S90" i="13"/>
  <c r="R90" i="13"/>
  <c r="Q90" i="13"/>
  <c r="P90" i="13"/>
  <c r="O90" i="13"/>
  <c r="N90" i="13"/>
  <c r="AS89" i="13"/>
  <c r="AU89" i="13" s="1"/>
  <c r="AR89" i="13"/>
  <c r="AQ89" i="13"/>
  <c r="AC89" i="13"/>
  <c r="AB89" i="13"/>
  <c r="X89" i="13"/>
  <c r="W89" i="13"/>
  <c r="U89" i="13"/>
  <c r="AO89" i="13" s="1"/>
  <c r="T89" i="13"/>
  <c r="AN89" i="13" s="1"/>
  <c r="S89" i="13"/>
  <c r="R89" i="13"/>
  <c r="Q89" i="13"/>
  <c r="V89" i="13" s="1"/>
  <c r="P89" i="13"/>
  <c r="O89" i="13"/>
  <c r="N89" i="13"/>
  <c r="AS88" i="13"/>
  <c r="AU88" i="13" s="1"/>
  <c r="AQ88" i="13"/>
  <c r="AB88" i="13"/>
  <c r="Z88" i="13"/>
  <c r="X88" i="13"/>
  <c r="AC88" i="13" s="1"/>
  <c r="W88" i="13"/>
  <c r="T88" i="13"/>
  <c r="AN88" i="13" s="1"/>
  <c r="S88" i="13"/>
  <c r="R88" i="13"/>
  <c r="Q88" i="13"/>
  <c r="V88" i="13" s="1"/>
  <c r="P88" i="13"/>
  <c r="U88" i="13" s="1"/>
  <c r="AO88" i="13" s="1"/>
  <c r="O88" i="13"/>
  <c r="N88" i="13"/>
  <c r="AU87" i="13"/>
  <c r="AS87" i="13"/>
  <c r="AR87" i="13"/>
  <c r="AQ87" i="13"/>
  <c r="AO87" i="13"/>
  <c r="AC87" i="13"/>
  <c r="Z87" i="13"/>
  <c r="X87" i="13"/>
  <c r="W87" i="13"/>
  <c r="AB87" i="13" s="1"/>
  <c r="U87" i="13"/>
  <c r="S87" i="13"/>
  <c r="R87" i="13"/>
  <c r="Q87" i="13"/>
  <c r="V87" i="13" s="1"/>
  <c r="P87" i="13"/>
  <c r="O87" i="13"/>
  <c r="T87" i="13" s="1"/>
  <c r="AN87" i="13" s="1"/>
  <c r="N87" i="13"/>
  <c r="AS86" i="13"/>
  <c r="AU86" i="13" s="1"/>
  <c r="AQ86" i="13"/>
  <c r="AN86" i="13"/>
  <c r="AB86" i="13"/>
  <c r="Y86" i="13"/>
  <c r="X86" i="13"/>
  <c r="AR86" i="13" s="1"/>
  <c r="W86" i="13"/>
  <c r="V86" i="13"/>
  <c r="T86" i="13"/>
  <c r="S86" i="13"/>
  <c r="R86" i="13"/>
  <c r="Q86" i="13"/>
  <c r="P86" i="13"/>
  <c r="U86" i="13" s="1"/>
  <c r="O86" i="13"/>
  <c r="N86" i="13"/>
  <c r="AU85" i="13"/>
  <c r="AS85" i="13"/>
  <c r="AC85" i="13"/>
  <c r="X85" i="13"/>
  <c r="AR85" i="13" s="1"/>
  <c r="W85" i="13"/>
  <c r="T85" i="13"/>
  <c r="S85" i="13"/>
  <c r="R85" i="13"/>
  <c r="Q85" i="13"/>
  <c r="V85" i="13" s="1"/>
  <c r="AA85" i="13" s="1"/>
  <c r="P85" i="13"/>
  <c r="U85" i="13" s="1"/>
  <c r="O85" i="13"/>
  <c r="N85" i="13"/>
  <c r="AS84" i="13"/>
  <c r="AU84" i="13" s="1"/>
  <c r="AR84" i="13"/>
  <c r="AO84" i="13"/>
  <c r="X84" i="13"/>
  <c r="AC84" i="13" s="1"/>
  <c r="W84" i="13"/>
  <c r="AQ84" i="13" s="1"/>
  <c r="V84" i="13"/>
  <c r="S84" i="13"/>
  <c r="R84" i="13"/>
  <c r="Q84" i="13"/>
  <c r="P84" i="13"/>
  <c r="U84" i="13" s="1"/>
  <c r="Z84" i="13" s="1"/>
  <c r="O84" i="13"/>
  <c r="T84" i="13" s="1"/>
  <c r="N84" i="13"/>
  <c r="AS83" i="13"/>
  <c r="AU83" i="13" s="1"/>
  <c r="AR83" i="13"/>
  <c r="AQ83" i="13"/>
  <c r="AC83" i="13"/>
  <c r="AA83" i="13"/>
  <c r="Z83" i="13"/>
  <c r="X83" i="13"/>
  <c r="W83" i="13"/>
  <c r="AB83" i="13" s="1"/>
  <c r="V83" i="13"/>
  <c r="AP83" i="13" s="1"/>
  <c r="U83" i="13"/>
  <c r="AO83" i="13" s="1"/>
  <c r="S83" i="13"/>
  <c r="R83" i="13"/>
  <c r="Q83" i="13"/>
  <c r="P83" i="13"/>
  <c r="O83" i="13"/>
  <c r="T83" i="13" s="1"/>
  <c r="Y83" i="13" s="1"/>
  <c r="N83" i="13"/>
  <c r="AU82" i="13"/>
  <c r="AS82" i="13"/>
  <c r="AR82" i="13"/>
  <c r="AQ82" i="13"/>
  <c r="AC82" i="13"/>
  <c r="AB82" i="13"/>
  <c r="Z82" i="13"/>
  <c r="Y82" i="13"/>
  <c r="X82" i="13"/>
  <c r="W82" i="13"/>
  <c r="U82" i="13"/>
  <c r="AO82" i="13" s="1"/>
  <c r="T82" i="13"/>
  <c r="AN82" i="13" s="1"/>
  <c r="S82" i="13"/>
  <c r="R82" i="13"/>
  <c r="Q82" i="13"/>
  <c r="V82" i="13" s="1"/>
  <c r="P82" i="13"/>
  <c r="O82" i="13"/>
  <c r="N82" i="13"/>
  <c r="AS81" i="13"/>
  <c r="AU81" i="13" s="1"/>
  <c r="AQ81" i="13"/>
  <c r="AP81" i="13"/>
  <c r="AB81" i="13"/>
  <c r="AA81" i="13"/>
  <c r="X81" i="13"/>
  <c r="W81" i="13"/>
  <c r="T81" i="13"/>
  <c r="AN81" i="13" s="1"/>
  <c r="S81" i="13"/>
  <c r="R81" i="13"/>
  <c r="Q81" i="13"/>
  <c r="V81" i="13" s="1"/>
  <c r="P81" i="13"/>
  <c r="U81" i="13" s="1"/>
  <c r="O81" i="13"/>
  <c r="N81" i="13"/>
  <c r="AS80" i="13"/>
  <c r="AU80" i="13" s="1"/>
  <c r="AR80" i="13"/>
  <c r="AP80" i="13"/>
  <c r="AO80" i="13"/>
  <c r="AA80" i="13"/>
  <c r="Z80" i="13"/>
  <c r="X80" i="13"/>
  <c r="AC80" i="13" s="1"/>
  <c r="W80" i="13"/>
  <c r="V80" i="13"/>
  <c r="S80" i="13"/>
  <c r="R80" i="13"/>
  <c r="Q80" i="13"/>
  <c r="P80" i="13"/>
  <c r="U80" i="13" s="1"/>
  <c r="O80" i="13"/>
  <c r="T80" i="13" s="1"/>
  <c r="N80" i="13"/>
  <c r="AU79" i="13"/>
  <c r="AS79" i="13"/>
  <c r="AR79" i="13"/>
  <c r="AO79" i="13"/>
  <c r="AN79" i="13"/>
  <c r="AC79" i="13"/>
  <c r="Z79" i="13"/>
  <c r="X79" i="13"/>
  <c r="W79" i="13"/>
  <c r="AB79" i="13" s="1"/>
  <c r="U79" i="13"/>
  <c r="S79" i="13"/>
  <c r="R79" i="13"/>
  <c r="Q79" i="13"/>
  <c r="V79" i="13" s="1"/>
  <c r="P79" i="13"/>
  <c r="O79" i="13"/>
  <c r="T79" i="13" s="1"/>
  <c r="Y79" i="13" s="1"/>
  <c r="N79" i="13"/>
  <c r="AS78" i="13"/>
  <c r="AU78" i="13" s="1"/>
  <c r="AQ78" i="13"/>
  <c r="AN78" i="13"/>
  <c r="AB78" i="13"/>
  <c r="Y78" i="13"/>
  <c r="X78" i="13"/>
  <c r="AR78" i="13" s="1"/>
  <c r="W78" i="13"/>
  <c r="V78" i="13"/>
  <c r="U78" i="13"/>
  <c r="T78" i="13"/>
  <c r="S78" i="13"/>
  <c r="R78" i="13"/>
  <c r="Q78" i="13"/>
  <c r="P78" i="13"/>
  <c r="O78" i="13"/>
  <c r="N78" i="13"/>
  <c r="AU77" i="13"/>
  <c r="AS77" i="13"/>
  <c r="AC77" i="13"/>
  <c r="X77" i="13"/>
  <c r="AR77" i="13" s="1"/>
  <c r="W77" i="13"/>
  <c r="U77" i="13"/>
  <c r="Z77" i="13" s="1"/>
  <c r="T77" i="13"/>
  <c r="S77" i="13"/>
  <c r="R77" i="13"/>
  <c r="Q77" i="13"/>
  <c r="V77" i="13" s="1"/>
  <c r="AA77" i="13" s="1"/>
  <c r="P77" i="13"/>
  <c r="O77" i="13"/>
  <c r="N77" i="13"/>
  <c r="AS76" i="13"/>
  <c r="AU76" i="13" s="1"/>
  <c r="AR76" i="13"/>
  <c r="X76" i="13"/>
  <c r="AC76" i="13" s="1"/>
  <c r="W76" i="13"/>
  <c r="AQ76" i="13" s="1"/>
  <c r="V76" i="13"/>
  <c r="S76" i="13"/>
  <c r="R76" i="13"/>
  <c r="Q76" i="13"/>
  <c r="P76" i="13"/>
  <c r="U76" i="13" s="1"/>
  <c r="Z76" i="13" s="1"/>
  <c r="O76" i="13"/>
  <c r="T76" i="13" s="1"/>
  <c r="N76" i="13"/>
  <c r="AS75" i="13"/>
  <c r="AU75" i="13" s="1"/>
  <c r="AQ75" i="13"/>
  <c r="AP75" i="13"/>
  <c r="AC75" i="13"/>
  <c r="AA75" i="13"/>
  <c r="X75" i="13"/>
  <c r="AR75" i="13" s="1"/>
  <c r="W75" i="13"/>
  <c r="AB75" i="13" s="1"/>
  <c r="V75" i="13"/>
  <c r="S75" i="13"/>
  <c r="R75" i="13"/>
  <c r="Q75" i="13"/>
  <c r="P75" i="13"/>
  <c r="U75" i="13" s="1"/>
  <c r="O75" i="13"/>
  <c r="T75" i="13" s="1"/>
  <c r="N75" i="13"/>
  <c r="AU74" i="13"/>
  <c r="AS74" i="13"/>
  <c r="AR74" i="13"/>
  <c r="AQ74" i="13"/>
  <c r="AC74" i="13"/>
  <c r="AB74" i="13"/>
  <c r="Y74" i="13"/>
  <c r="X74" i="13"/>
  <c r="W74" i="13"/>
  <c r="U74" i="13"/>
  <c r="T74" i="13"/>
  <c r="AN74" i="13" s="1"/>
  <c r="S74" i="13"/>
  <c r="R74" i="13"/>
  <c r="Q74" i="13"/>
  <c r="V74" i="13" s="1"/>
  <c r="P74" i="13"/>
  <c r="O74" i="13"/>
  <c r="N74" i="13"/>
  <c r="AU73" i="13"/>
  <c r="AS73" i="13"/>
  <c r="AQ73" i="13"/>
  <c r="AP73" i="13"/>
  <c r="AN73" i="13"/>
  <c r="AB73" i="13"/>
  <c r="X73" i="13"/>
  <c r="W73" i="13"/>
  <c r="V73" i="13"/>
  <c r="AA73" i="13" s="1"/>
  <c r="T73" i="13"/>
  <c r="Y73" i="13" s="1"/>
  <c r="S73" i="13"/>
  <c r="R73" i="13"/>
  <c r="Q73" i="13"/>
  <c r="P73" i="13"/>
  <c r="U73" i="13" s="1"/>
  <c r="O73" i="13"/>
  <c r="N73" i="13"/>
  <c r="AS72" i="13"/>
  <c r="AU72" i="13" s="1"/>
  <c r="AP72" i="13"/>
  <c r="AA72" i="13"/>
  <c r="X72" i="13"/>
  <c r="AC72" i="13" s="1"/>
  <c r="W72" i="13"/>
  <c r="V72" i="13"/>
  <c r="S72" i="13"/>
  <c r="R72" i="13"/>
  <c r="Q72" i="13"/>
  <c r="P72" i="13"/>
  <c r="U72" i="13" s="1"/>
  <c r="Z72" i="13" s="1"/>
  <c r="O72" i="13"/>
  <c r="T72" i="13" s="1"/>
  <c r="N72" i="13"/>
  <c r="AU71" i="13"/>
  <c r="AS71" i="13"/>
  <c r="AR71" i="13"/>
  <c r="AO71" i="13"/>
  <c r="AC71" i="13"/>
  <c r="AB71" i="13"/>
  <c r="Z71" i="13"/>
  <c r="Y71" i="13"/>
  <c r="X71" i="13"/>
  <c r="W71" i="13"/>
  <c r="AQ71" i="13" s="1"/>
  <c r="U71" i="13"/>
  <c r="T71" i="13"/>
  <c r="AN71" i="13" s="1"/>
  <c r="S71" i="13"/>
  <c r="R71" i="13"/>
  <c r="Q71" i="13"/>
  <c r="V71" i="13" s="1"/>
  <c r="P71" i="13"/>
  <c r="O71" i="13"/>
  <c r="N71" i="13"/>
  <c r="AS70" i="13"/>
  <c r="AU70" i="13" s="1"/>
  <c r="AQ70" i="13"/>
  <c r="AP70" i="13"/>
  <c r="AN70" i="13"/>
  <c r="AB70" i="13"/>
  <c r="Y70" i="13"/>
  <c r="X70" i="13"/>
  <c r="AR70" i="13" s="1"/>
  <c r="W70" i="13"/>
  <c r="V70" i="13"/>
  <c r="AA70" i="13" s="1"/>
  <c r="U70" i="13"/>
  <c r="T70" i="13"/>
  <c r="S70" i="13"/>
  <c r="R70" i="13"/>
  <c r="Q70" i="13"/>
  <c r="P70" i="13"/>
  <c r="O70" i="13"/>
  <c r="N70" i="13"/>
  <c r="AU69" i="13"/>
  <c r="AS69" i="13"/>
  <c r="AP69" i="13"/>
  <c r="AA69" i="13"/>
  <c r="X69" i="13"/>
  <c r="AR69" i="13" s="1"/>
  <c r="W69" i="13"/>
  <c r="AQ69" i="13" s="1"/>
  <c r="V69" i="13"/>
  <c r="T69" i="13"/>
  <c r="S69" i="13"/>
  <c r="R69" i="13"/>
  <c r="Q69" i="13"/>
  <c r="P69" i="13"/>
  <c r="U69" i="13" s="1"/>
  <c r="AO69" i="13" s="1"/>
  <c r="O69" i="13"/>
  <c r="N69" i="13"/>
  <c r="AS68" i="13"/>
  <c r="AU68" i="13" s="1"/>
  <c r="AR68" i="13"/>
  <c r="AO68" i="13"/>
  <c r="X68" i="13"/>
  <c r="AC68" i="13" s="1"/>
  <c r="W68" i="13"/>
  <c r="AB68" i="13" s="1"/>
  <c r="V68" i="13"/>
  <c r="T68" i="13"/>
  <c r="Y68" i="13" s="1"/>
  <c r="S68" i="13"/>
  <c r="R68" i="13"/>
  <c r="Q68" i="13"/>
  <c r="P68" i="13"/>
  <c r="U68" i="13" s="1"/>
  <c r="Z68" i="13" s="1"/>
  <c r="O68" i="13"/>
  <c r="N68" i="13"/>
  <c r="AS67" i="13"/>
  <c r="AU67" i="13" s="1"/>
  <c r="AR67" i="13"/>
  <c r="AQ67" i="13"/>
  <c r="AP67" i="13"/>
  <c r="AA67" i="13"/>
  <c r="X67" i="13"/>
  <c r="AC67" i="13" s="1"/>
  <c r="W67" i="13"/>
  <c r="AB67" i="13" s="1"/>
  <c r="V67" i="13"/>
  <c r="U67" i="13"/>
  <c r="S67" i="13"/>
  <c r="R67" i="13"/>
  <c r="Q67" i="13"/>
  <c r="P67" i="13"/>
  <c r="O67" i="13"/>
  <c r="T67" i="13" s="1"/>
  <c r="N67" i="13"/>
  <c r="AU66" i="13"/>
  <c r="AS66" i="13"/>
  <c r="AR66" i="13"/>
  <c r="AQ66" i="13"/>
  <c r="AO66" i="13"/>
  <c r="AC66" i="13"/>
  <c r="AB66" i="13"/>
  <c r="Z66" i="13"/>
  <c r="X66" i="13"/>
  <c r="W66" i="13"/>
  <c r="U66" i="13"/>
  <c r="T66" i="13"/>
  <c r="S66" i="13"/>
  <c r="R66" i="13"/>
  <c r="Q66" i="13"/>
  <c r="V66" i="13" s="1"/>
  <c r="P66" i="13"/>
  <c r="O66" i="13"/>
  <c r="N66" i="13"/>
  <c r="AS65" i="13"/>
  <c r="AU65" i="13" s="1"/>
  <c r="AQ65" i="13"/>
  <c r="AB65" i="13"/>
  <c r="X65" i="13"/>
  <c r="W65" i="13"/>
  <c r="T65" i="13"/>
  <c r="S65" i="13"/>
  <c r="R65" i="13"/>
  <c r="Q65" i="13"/>
  <c r="V65" i="13" s="1"/>
  <c r="P65" i="13"/>
  <c r="U65" i="13" s="1"/>
  <c r="O65" i="13"/>
  <c r="N65" i="13"/>
  <c r="AS64" i="13"/>
  <c r="AU64" i="13" s="1"/>
  <c r="AR64" i="13"/>
  <c r="X64" i="13"/>
  <c r="AC64" i="13" s="1"/>
  <c r="W64" i="13"/>
  <c r="V64" i="13"/>
  <c r="AA64" i="13" s="1"/>
  <c r="U64" i="13"/>
  <c r="S64" i="13"/>
  <c r="R64" i="13"/>
  <c r="Q64" i="13"/>
  <c r="P64" i="13"/>
  <c r="O64" i="13"/>
  <c r="T64" i="13" s="1"/>
  <c r="N64" i="13"/>
  <c r="AU63" i="13"/>
  <c r="AS63" i="13"/>
  <c r="AR63" i="13"/>
  <c r="AC63" i="13"/>
  <c r="AB63" i="13"/>
  <c r="Z63" i="13"/>
  <c r="X63" i="13"/>
  <c r="W63" i="13"/>
  <c r="AQ63" i="13" s="1"/>
  <c r="U63" i="13"/>
  <c r="AO63" i="13" s="1"/>
  <c r="T63" i="13"/>
  <c r="AN63" i="13" s="1"/>
  <c r="S63" i="13"/>
  <c r="R63" i="13"/>
  <c r="Q63" i="13"/>
  <c r="V63" i="13" s="1"/>
  <c r="P63" i="13"/>
  <c r="O63" i="13"/>
  <c r="N63" i="13"/>
  <c r="AS62" i="13"/>
  <c r="AU62" i="13" s="1"/>
  <c r="AQ62" i="13"/>
  <c r="AN62" i="13"/>
  <c r="AC62" i="13"/>
  <c r="AB62" i="13"/>
  <c r="X62" i="13"/>
  <c r="AR62" i="13" s="1"/>
  <c r="W62" i="13"/>
  <c r="T62" i="13"/>
  <c r="Y62" i="13" s="1"/>
  <c r="S62" i="13"/>
  <c r="R62" i="13"/>
  <c r="Q62" i="13"/>
  <c r="V62" i="13" s="1"/>
  <c r="P62" i="13"/>
  <c r="U62" i="13" s="1"/>
  <c r="O62" i="13"/>
  <c r="N62" i="13"/>
  <c r="AS61" i="13"/>
  <c r="AU61" i="13" s="1"/>
  <c r="AB61" i="13"/>
  <c r="Z61" i="13"/>
  <c r="X61" i="13"/>
  <c r="AR61" i="13" s="1"/>
  <c r="W61" i="13"/>
  <c r="AQ61" i="13" s="1"/>
  <c r="T61" i="13"/>
  <c r="S61" i="13"/>
  <c r="R61" i="13"/>
  <c r="Q61" i="13"/>
  <c r="V61" i="13" s="1"/>
  <c r="P61" i="13"/>
  <c r="U61" i="13" s="1"/>
  <c r="AO61" i="13" s="1"/>
  <c r="O61" i="13"/>
  <c r="N61" i="13"/>
  <c r="AS60" i="13"/>
  <c r="AU60" i="13" s="1"/>
  <c r="AR60" i="13"/>
  <c r="X60" i="13"/>
  <c r="AC60" i="13" s="1"/>
  <c r="W60" i="13"/>
  <c r="AB60" i="13" s="1"/>
  <c r="V60" i="13"/>
  <c r="S60" i="13"/>
  <c r="R60" i="13"/>
  <c r="Q60" i="13"/>
  <c r="P60" i="13"/>
  <c r="U60" i="13" s="1"/>
  <c r="Z60" i="13" s="1"/>
  <c r="O60" i="13"/>
  <c r="T60" i="13" s="1"/>
  <c r="Y60" i="13" s="1"/>
  <c r="N60" i="13"/>
  <c r="AS59" i="13"/>
  <c r="AU59" i="13" s="1"/>
  <c r="AQ59" i="13"/>
  <c r="AC59" i="13"/>
  <c r="Z59" i="13"/>
  <c r="Y59" i="13"/>
  <c r="X59" i="13"/>
  <c r="AR59" i="13" s="1"/>
  <c r="W59" i="13"/>
  <c r="AB59" i="13" s="1"/>
  <c r="S59" i="13"/>
  <c r="R59" i="13"/>
  <c r="Q59" i="13"/>
  <c r="V59" i="13" s="1"/>
  <c r="P59" i="13"/>
  <c r="U59" i="13" s="1"/>
  <c r="AO59" i="13" s="1"/>
  <c r="O59" i="13"/>
  <c r="T59" i="13" s="1"/>
  <c r="AN59" i="13" s="1"/>
  <c r="N59" i="13"/>
  <c r="AU58" i="13"/>
  <c r="AS58" i="13"/>
  <c r="AP58" i="13"/>
  <c r="AC58" i="13"/>
  <c r="X58" i="13"/>
  <c r="AR58" i="13" s="1"/>
  <c r="W58" i="13"/>
  <c r="U58" i="13"/>
  <c r="Z58" i="13" s="1"/>
  <c r="S58" i="13"/>
  <c r="R58" i="13"/>
  <c r="Q58" i="13"/>
  <c r="V58" i="13" s="1"/>
  <c r="AA58" i="13" s="1"/>
  <c r="P58" i="13"/>
  <c r="O58" i="13"/>
  <c r="T58" i="13" s="1"/>
  <c r="N58" i="13"/>
  <c r="AS57" i="13"/>
  <c r="AU57" i="13" s="1"/>
  <c r="AQ57" i="13"/>
  <c r="AB57" i="13"/>
  <c r="X57" i="13"/>
  <c r="W57" i="13"/>
  <c r="S57" i="13"/>
  <c r="R57" i="13"/>
  <c r="Q57" i="13"/>
  <c r="V57" i="13" s="1"/>
  <c r="P57" i="13"/>
  <c r="U57" i="13" s="1"/>
  <c r="O57" i="13"/>
  <c r="T57" i="13" s="1"/>
  <c r="AN57" i="13" s="1"/>
  <c r="N57" i="13"/>
  <c r="AS56" i="13"/>
  <c r="AU56" i="13" s="1"/>
  <c r="AN56" i="13"/>
  <c r="AA56" i="13"/>
  <c r="X56" i="13"/>
  <c r="AR56" i="13" s="1"/>
  <c r="W56" i="13"/>
  <c r="V56" i="13"/>
  <c r="AP56" i="13" s="1"/>
  <c r="S56" i="13"/>
  <c r="R56" i="13"/>
  <c r="Q56" i="13"/>
  <c r="P56" i="13"/>
  <c r="U56" i="13" s="1"/>
  <c r="O56" i="13"/>
  <c r="T56" i="13" s="1"/>
  <c r="Y56" i="13" s="1"/>
  <c r="N56" i="13"/>
  <c r="AU55" i="13"/>
  <c r="AS55" i="13"/>
  <c r="AR55" i="13"/>
  <c r="AO55" i="13"/>
  <c r="AN55" i="13"/>
  <c r="AC55" i="13"/>
  <c r="Y55" i="13"/>
  <c r="X55" i="13"/>
  <c r="W55" i="13"/>
  <c r="AB55" i="13" s="1"/>
  <c r="V55" i="13"/>
  <c r="U55" i="13"/>
  <c r="Z55" i="13" s="1"/>
  <c r="T55" i="13"/>
  <c r="S55" i="13"/>
  <c r="R55" i="13"/>
  <c r="Q55" i="13"/>
  <c r="P55" i="13"/>
  <c r="O55" i="13"/>
  <c r="N55" i="13"/>
  <c r="AS54" i="13"/>
  <c r="AU54" i="13" s="1"/>
  <c r="AQ54" i="13"/>
  <c r="AC54" i="13"/>
  <c r="AB54" i="13"/>
  <c r="Y54" i="13"/>
  <c r="X54" i="13"/>
  <c r="AR54" i="13" s="1"/>
  <c r="W54" i="13"/>
  <c r="T54" i="13"/>
  <c r="AN54" i="13" s="1"/>
  <c r="S54" i="13"/>
  <c r="R54" i="13"/>
  <c r="Q54" i="13"/>
  <c r="V54" i="13" s="1"/>
  <c r="AP54" i="13" s="1"/>
  <c r="P54" i="13"/>
  <c r="U54" i="13" s="1"/>
  <c r="O54" i="13"/>
  <c r="N54" i="13"/>
  <c r="AU53" i="13"/>
  <c r="AS53" i="13"/>
  <c r="AR53" i="13"/>
  <c r="AP53" i="13"/>
  <c r="AO53" i="13"/>
  <c r="AC53" i="13"/>
  <c r="X53" i="13"/>
  <c r="W53" i="13"/>
  <c r="U53" i="13"/>
  <c r="Z53" i="13" s="1"/>
  <c r="T53" i="13"/>
  <c r="S53" i="13"/>
  <c r="R53" i="13"/>
  <c r="Q53" i="13"/>
  <c r="V53" i="13" s="1"/>
  <c r="AA53" i="13" s="1"/>
  <c r="P53" i="13"/>
  <c r="O53" i="13"/>
  <c r="N53" i="13"/>
  <c r="AS52" i="13"/>
  <c r="AU52" i="13" s="1"/>
  <c r="AR52" i="13"/>
  <c r="AB52" i="13"/>
  <c r="X52" i="13"/>
  <c r="AC52" i="13" s="1"/>
  <c r="W52" i="13"/>
  <c r="AQ52" i="13" s="1"/>
  <c r="S52" i="13"/>
  <c r="R52" i="13"/>
  <c r="Q52" i="13"/>
  <c r="V52" i="13" s="1"/>
  <c r="AP52" i="13" s="1"/>
  <c r="P52" i="13"/>
  <c r="U52" i="13" s="1"/>
  <c r="AO52" i="13" s="1"/>
  <c r="O52" i="13"/>
  <c r="T52" i="13" s="1"/>
  <c r="N52" i="13"/>
  <c r="AS51" i="13"/>
  <c r="AU51" i="13" s="1"/>
  <c r="AQ51" i="13"/>
  <c r="AP51" i="13"/>
  <c r="AC51" i="13"/>
  <c r="AA51" i="13"/>
  <c r="X51" i="13"/>
  <c r="AR51" i="13" s="1"/>
  <c r="W51" i="13"/>
  <c r="AB51" i="13" s="1"/>
  <c r="V51" i="13"/>
  <c r="U51" i="13"/>
  <c r="S51" i="13"/>
  <c r="R51" i="13"/>
  <c r="Q51" i="13"/>
  <c r="P51" i="13"/>
  <c r="O51" i="13"/>
  <c r="T51" i="13" s="1"/>
  <c r="Y51" i="13" s="1"/>
  <c r="N51" i="13"/>
  <c r="AU50" i="13"/>
  <c r="AS50" i="13"/>
  <c r="AR50" i="13"/>
  <c r="AC50" i="13"/>
  <c r="AB50" i="13"/>
  <c r="Y50" i="13"/>
  <c r="X50" i="13"/>
  <c r="W50" i="13"/>
  <c r="AQ50" i="13" s="1"/>
  <c r="S50" i="13"/>
  <c r="R50" i="13"/>
  <c r="Q50" i="13"/>
  <c r="V50" i="13" s="1"/>
  <c r="P50" i="13"/>
  <c r="U50" i="13" s="1"/>
  <c r="AO50" i="13" s="1"/>
  <c r="O50" i="13"/>
  <c r="T50" i="13" s="1"/>
  <c r="AN50" i="13" s="1"/>
  <c r="N50" i="13"/>
  <c r="AS49" i="13"/>
  <c r="AU49" i="13" s="1"/>
  <c r="AO49" i="13"/>
  <c r="AB49" i="13"/>
  <c r="X49" i="13"/>
  <c r="W49" i="13"/>
  <c r="AQ49" i="13" s="1"/>
  <c r="T49" i="13"/>
  <c r="S49" i="13"/>
  <c r="R49" i="13"/>
  <c r="Q49" i="13"/>
  <c r="V49" i="13" s="1"/>
  <c r="AA49" i="13" s="1"/>
  <c r="P49" i="13"/>
  <c r="U49" i="13" s="1"/>
  <c r="Z49" i="13" s="1"/>
  <c r="O49" i="13"/>
  <c r="N49" i="13"/>
  <c r="AS48" i="13"/>
  <c r="AU48" i="13" s="1"/>
  <c r="X48" i="13"/>
  <c r="AC48" i="13" s="1"/>
  <c r="W48" i="13"/>
  <c r="V48" i="13"/>
  <c r="AA48" i="13" s="1"/>
  <c r="U48" i="13"/>
  <c r="S48" i="13"/>
  <c r="R48" i="13"/>
  <c r="Q48" i="13"/>
  <c r="P48" i="13"/>
  <c r="O48" i="13"/>
  <c r="T48" i="13" s="1"/>
  <c r="N48" i="13"/>
  <c r="AU47" i="13"/>
  <c r="AS47" i="13"/>
  <c r="AR47" i="13"/>
  <c r="AC47" i="13"/>
  <c r="AB47" i="13"/>
  <c r="Z47" i="13"/>
  <c r="X47" i="13"/>
  <c r="W47" i="13"/>
  <c r="AQ47" i="13" s="1"/>
  <c r="U47" i="13"/>
  <c r="AO47" i="13" s="1"/>
  <c r="T47" i="13"/>
  <c r="AN47" i="13" s="1"/>
  <c r="S47" i="13"/>
  <c r="R47" i="13"/>
  <c r="Q47" i="13"/>
  <c r="V47" i="13" s="1"/>
  <c r="P47" i="13"/>
  <c r="O47" i="13"/>
  <c r="N47" i="13"/>
  <c r="AS46" i="13"/>
  <c r="AU46" i="13" s="1"/>
  <c r="AQ46" i="13"/>
  <c r="AC46" i="13"/>
  <c r="AB46" i="13"/>
  <c r="X46" i="13"/>
  <c r="AR46" i="13" s="1"/>
  <c r="W46" i="13"/>
  <c r="U46" i="13"/>
  <c r="T46" i="13"/>
  <c r="AN46" i="13" s="1"/>
  <c r="S46" i="13"/>
  <c r="R46" i="13"/>
  <c r="Q46" i="13"/>
  <c r="V46" i="13" s="1"/>
  <c r="P46" i="13"/>
  <c r="O46" i="13"/>
  <c r="N46" i="13"/>
  <c r="AS45" i="13"/>
  <c r="AU45" i="13" s="1"/>
  <c r="AO45" i="13"/>
  <c r="AB45" i="13"/>
  <c r="Z45" i="13"/>
  <c r="X45" i="13"/>
  <c r="AR45" i="13" s="1"/>
  <c r="W45" i="13"/>
  <c r="AQ45" i="13" s="1"/>
  <c r="T45" i="13"/>
  <c r="S45" i="13"/>
  <c r="R45" i="13"/>
  <c r="Q45" i="13"/>
  <c r="V45" i="13" s="1"/>
  <c r="P45" i="13"/>
  <c r="U45" i="13" s="1"/>
  <c r="O45" i="13"/>
  <c r="N45" i="13"/>
  <c r="AS44" i="13"/>
  <c r="AU44" i="13" s="1"/>
  <c r="AR44" i="13"/>
  <c r="X44" i="13"/>
  <c r="AC44" i="13" s="1"/>
  <c r="W44" i="13"/>
  <c r="AB44" i="13" s="1"/>
  <c r="V44" i="13"/>
  <c r="U44" i="13"/>
  <c r="Z44" i="13" s="1"/>
  <c r="S44" i="13"/>
  <c r="R44" i="13"/>
  <c r="Q44" i="13"/>
  <c r="P44" i="13"/>
  <c r="O44" i="13"/>
  <c r="T44" i="13" s="1"/>
  <c r="Y44" i="13" s="1"/>
  <c r="N44" i="13"/>
  <c r="AS43" i="13"/>
  <c r="AU43" i="13" s="1"/>
  <c r="AC43" i="13"/>
  <c r="X43" i="13"/>
  <c r="AR43" i="13" s="1"/>
  <c r="W43" i="13"/>
  <c r="AQ43" i="13" s="1"/>
  <c r="V43" i="13"/>
  <c r="AP43" i="13" s="1"/>
  <c r="T43" i="13"/>
  <c r="Y43" i="13" s="1"/>
  <c r="S43" i="13"/>
  <c r="R43" i="13"/>
  <c r="Q43" i="13"/>
  <c r="P43" i="13"/>
  <c r="U43" i="13" s="1"/>
  <c r="O43" i="13"/>
  <c r="N43" i="13"/>
  <c r="AS42" i="13"/>
  <c r="AU42" i="13" s="1"/>
  <c r="AR42" i="13"/>
  <c r="AC42" i="13"/>
  <c r="AA42" i="13"/>
  <c r="X42" i="13"/>
  <c r="W42" i="13"/>
  <c r="AQ42" i="13" s="1"/>
  <c r="V42" i="13"/>
  <c r="AP42" i="13" s="1"/>
  <c r="U42" i="13"/>
  <c r="S42" i="13"/>
  <c r="R42" i="13"/>
  <c r="Q42" i="13"/>
  <c r="P42" i="13"/>
  <c r="O42" i="13"/>
  <c r="T42" i="13" s="1"/>
  <c r="Y42" i="13" s="1"/>
  <c r="N42" i="13"/>
  <c r="AU41" i="13"/>
  <c r="AS41" i="13"/>
  <c r="AR41" i="13"/>
  <c r="AQ41" i="13"/>
  <c r="AC41" i="13"/>
  <c r="AB41" i="13"/>
  <c r="Z41" i="13"/>
  <c r="X41" i="13"/>
  <c r="W41" i="13"/>
  <c r="U41" i="13"/>
  <c r="AO41" i="13" s="1"/>
  <c r="T41" i="13"/>
  <c r="AN41" i="13" s="1"/>
  <c r="S41" i="13"/>
  <c r="R41" i="13"/>
  <c r="Q41" i="13"/>
  <c r="V41" i="13" s="1"/>
  <c r="P41" i="13"/>
  <c r="O41" i="13"/>
  <c r="N41" i="13"/>
  <c r="AS40" i="13"/>
  <c r="AU40" i="13" s="1"/>
  <c r="AQ40" i="13"/>
  <c r="AB40" i="13"/>
  <c r="Y40" i="13"/>
  <c r="X40" i="13"/>
  <c r="AR40" i="13" s="1"/>
  <c r="W40" i="13"/>
  <c r="T40" i="13"/>
  <c r="AN40" i="13" s="1"/>
  <c r="S40" i="13"/>
  <c r="R40" i="13"/>
  <c r="Q40" i="13"/>
  <c r="V40" i="13" s="1"/>
  <c r="AA40" i="13" s="1"/>
  <c r="P40" i="13"/>
  <c r="U40" i="13" s="1"/>
  <c r="O40" i="13"/>
  <c r="N40" i="13"/>
  <c r="AU39" i="13"/>
  <c r="AS39" i="13"/>
  <c r="AR39" i="13"/>
  <c r="AO39" i="13"/>
  <c r="AB39" i="13"/>
  <c r="X39" i="13"/>
  <c r="AC39" i="13" s="1"/>
  <c r="W39" i="13"/>
  <c r="AQ39" i="13" s="1"/>
  <c r="T39" i="13"/>
  <c r="AN39" i="13" s="1"/>
  <c r="S39" i="13"/>
  <c r="R39" i="13"/>
  <c r="Q39" i="13"/>
  <c r="V39" i="13" s="1"/>
  <c r="AP39" i="13" s="1"/>
  <c r="P39" i="13"/>
  <c r="U39" i="13" s="1"/>
  <c r="Z39" i="13" s="1"/>
  <c r="O39" i="13"/>
  <c r="N39" i="13"/>
  <c r="AS38" i="13"/>
  <c r="AU38" i="13" s="1"/>
  <c r="AN38" i="13"/>
  <c r="Z38" i="13"/>
  <c r="X38" i="13"/>
  <c r="AC38" i="13" s="1"/>
  <c r="W38" i="13"/>
  <c r="AB38" i="13" s="1"/>
  <c r="S38" i="13"/>
  <c r="R38" i="13"/>
  <c r="Q38" i="13"/>
  <c r="V38" i="13" s="1"/>
  <c r="P38" i="13"/>
  <c r="U38" i="13" s="1"/>
  <c r="AO38" i="13" s="1"/>
  <c r="O38" i="13"/>
  <c r="T38" i="13" s="1"/>
  <c r="Y38" i="13" s="1"/>
  <c r="N38" i="13"/>
  <c r="AS37" i="13"/>
  <c r="AU37" i="13" s="1"/>
  <c r="AN37" i="13"/>
  <c r="Y37" i="13"/>
  <c r="X37" i="13"/>
  <c r="AC37" i="13" s="1"/>
  <c r="W37" i="13"/>
  <c r="AB37" i="13" s="1"/>
  <c r="S37" i="13"/>
  <c r="R37" i="13"/>
  <c r="Q37" i="13"/>
  <c r="V37" i="13" s="1"/>
  <c r="P37" i="13"/>
  <c r="U37" i="13" s="1"/>
  <c r="O37" i="13"/>
  <c r="T37" i="13" s="1"/>
  <c r="N37" i="13"/>
  <c r="AU36" i="13"/>
  <c r="AS36" i="13"/>
  <c r="AQ36" i="13"/>
  <c r="AB36" i="13"/>
  <c r="X36" i="13"/>
  <c r="AR36" i="13" s="1"/>
  <c r="W36" i="13"/>
  <c r="U36" i="13"/>
  <c r="Z36" i="13" s="1"/>
  <c r="S36" i="13"/>
  <c r="R36" i="13"/>
  <c r="Q36" i="13"/>
  <c r="V36" i="13" s="1"/>
  <c r="P36" i="13"/>
  <c r="O36" i="13"/>
  <c r="T36" i="13" s="1"/>
  <c r="N36" i="13"/>
  <c r="AS35" i="13"/>
  <c r="AU35" i="13" s="1"/>
  <c r="X35" i="13"/>
  <c r="AR35" i="13" s="1"/>
  <c r="W35" i="13"/>
  <c r="AQ35" i="13" s="1"/>
  <c r="V35" i="13"/>
  <c r="AA35" i="13" s="1"/>
  <c r="U35" i="13"/>
  <c r="Z35" i="13" s="1"/>
  <c r="S35" i="13"/>
  <c r="R35" i="13"/>
  <c r="Q35" i="13"/>
  <c r="P35" i="13"/>
  <c r="O35" i="13"/>
  <c r="T35" i="13" s="1"/>
  <c r="N35" i="13"/>
  <c r="AU34" i="13"/>
  <c r="AS34" i="13"/>
  <c r="AR34" i="13"/>
  <c r="AO34" i="13"/>
  <c r="AC34" i="13"/>
  <c r="AB34" i="13"/>
  <c r="Z34" i="13"/>
  <c r="X34" i="13"/>
  <c r="W34" i="13"/>
  <c r="AQ34" i="13" s="1"/>
  <c r="V34" i="13"/>
  <c r="U34" i="13"/>
  <c r="T34" i="13"/>
  <c r="Y34" i="13" s="1"/>
  <c r="S34" i="13"/>
  <c r="R34" i="13"/>
  <c r="Q34" i="13"/>
  <c r="P34" i="13"/>
  <c r="O34" i="13"/>
  <c r="N34" i="13"/>
  <c r="AS33" i="13"/>
  <c r="AU33" i="13" s="1"/>
  <c r="AR33" i="13"/>
  <c r="AQ33" i="13"/>
  <c r="AN33" i="13"/>
  <c r="AC33" i="13"/>
  <c r="AB33" i="13"/>
  <c r="AA33" i="13"/>
  <c r="Y33" i="13"/>
  <c r="X33" i="13"/>
  <c r="W33" i="13"/>
  <c r="V33" i="13"/>
  <c r="AP33" i="13" s="1"/>
  <c r="U33" i="13"/>
  <c r="AO33" i="13" s="1"/>
  <c r="T33" i="13"/>
  <c r="S33" i="13"/>
  <c r="R33" i="13"/>
  <c r="Q33" i="13"/>
  <c r="P33" i="13"/>
  <c r="O33" i="13"/>
  <c r="N33" i="13"/>
  <c r="AS32" i="13"/>
  <c r="AU32" i="13" s="1"/>
  <c r="AR32" i="13"/>
  <c r="AQ32" i="13"/>
  <c r="AP32" i="13"/>
  <c r="AB32" i="13"/>
  <c r="AA32" i="13"/>
  <c r="X32" i="13"/>
  <c r="AC32" i="13" s="1"/>
  <c r="W32" i="13"/>
  <c r="U32" i="13"/>
  <c r="AO32" i="13" s="1"/>
  <c r="T32" i="13"/>
  <c r="S32" i="13"/>
  <c r="R32" i="13"/>
  <c r="Q32" i="13"/>
  <c r="V32" i="13" s="1"/>
  <c r="P32" i="13"/>
  <c r="O32" i="13"/>
  <c r="N32" i="13"/>
  <c r="AS31" i="13"/>
  <c r="AU31" i="13" s="1"/>
  <c r="AQ31" i="13"/>
  <c r="AP31" i="13"/>
  <c r="X31" i="13"/>
  <c r="AC31" i="13" s="1"/>
  <c r="W31" i="13"/>
  <c r="AB31" i="13" s="1"/>
  <c r="S31" i="13"/>
  <c r="R31" i="13"/>
  <c r="Q31" i="13"/>
  <c r="V31" i="13" s="1"/>
  <c r="AA31" i="13" s="1"/>
  <c r="P31" i="13"/>
  <c r="U31" i="13" s="1"/>
  <c r="Z31" i="13" s="1"/>
  <c r="O31" i="13"/>
  <c r="T31" i="13" s="1"/>
  <c r="AN31" i="13" s="1"/>
  <c r="N31" i="13"/>
  <c r="AS30" i="13"/>
  <c r="AU30" i="13" s="1"/>
  <c r="X30" i="13"/>
  <c r="AC30" i="13" s="1"/>
  <c r="W30" i="13"/>
  <c r="AB30" i="13" s="1"/>
  <c r="S30" i="13"/>
  <c r="R30" i="13"/>
  <c r="Q30" i="13"/>
  <c r="V30" i="13" s="1"/>
  <c r="P30" i="13"/>
  <c r="U30" i="13" s="1"/>
  <c r="AO30" i="13" s="1"/>
  <c r="O30" i="13"/>
  <c r="T30" i="13" s="1"/>
  <c r="AN30" i="13" s="1"/>
  <c r="N30" i="13"/>
  <c r="AS29" i="13"/>
  <c r="AU29" i="13" s="1"/>
  <c r="AC29" i="13"/>
  <c r="X29" i="13"/>
  <c r="AR29" i="13" s="1"/>
  <c r="W29" i="13"/>
  <c r="AB29" i="13" s="1"/>
  <c r="V29" i="13"/>
  <c r="AA29" i="13" s="1"/>
  <c r="U29" i="13"/>
  <c r="Z29" i="13" s="1"/>
  <c r="S29" i="13"/>
  <c r="R29" i="13"/>
  <c r="Q29" i="13"/>
  <c r="P29" i="13"/>
  <c r="O29" i="13"/>
  <c r="T29" i="13" s="1"/>
  <c r="N29" i="13"/>
  <c r="AU28" i="13"/>
  <c r="AS28" i="13"/>
  <c r="AP28" i="13"/>
  <c r="AC28" i="13"/>
  <c r="X28" i="13"/>
  <c r="AR28" i="13" s="1"/>
  <c r="W28" i="13"/>
  <c r="AB28" i="13" s="1"/>
  <c r="V28" i="13"/>
  <c r="AA28" i="13" s="1"/>
  <c r="S28" i="13"/>
  <c r="R28" i="13"/>
  <c r="Q28" i="13"/>
  <c r="P28" i="13"/>
  <c r="U28" i="13" s="1"/>
  <c r="O28" i="13"/>
  <c r="T28" i="13" s="1"/>
  <c r="N28" i="13"/>
  <c r="H28" i="13"/>
  <c r="G28" i="13"/>
  <c r="F28" i="13"/>
  <c r="AS27" i="13"/>
  <c r="AU27" i="13" s="1"/>
  <c r="AQ27" i="13"/>
  <c r="AO27" i="13"/>
  <c r="AN27" i="13"/>
  <c r="X27" i="13"/>
  <c r="AC27" i="13" s="1"/>
  <c r="W27" i="13"/>
  <c r="AB27" i="13" s="1"/>
  <c r="V27" i="13"/>
  <c r="AP27" i="13" s="1"/>
  <c r="S27" i="13"/>
  <c r="R27" i="13"/>
  <c r="Q27" i="13"/>
  <c r="P27" i="13"/>
  <c r="U27" i="13" s="1"/>
  <c r="Z27" i="13" s="1"/>
  <c r="O27" i="13"/>
  <c r="T27" i="13" s="1"/>
  <c r="Y27" i="13" s="1"/>
  <c r="N27" i="13"/>
  <c r="AS26" i="13"/>
  <c r="AU26" i="13" s="1"/>
  <c r="AQ26" i="13"/>
  <c r="AN26" i="13"/>
  <c r="Y26" i="13"/>
  <c r="X26" i="13"/>
  <c r="AC26" i="13" s="1"/>
  <c r="W26" i="13"/>
  <c r="AB26" i="13" s="1"/>
  <c r="S26" i="13"/>
  <c r="R26" i="13"/>
  <c r="Q26" i="13"/>
  <c r="V26" i="13" s="1"/>
  <c r="P26" i="13"/>
  <c r="U26" i="13" s="1"/>
  <c r="O26" i="13"/>
  <c r="T26" i="13" s="1"/>
  <c r="N26" i="13"/>
  <c r="AU25" i="13"/>
  <c r="AS25" i="13"/>
  <c r="AC25" i="13"/>
  <c r="X25" i="13"/>
  <c r="AR25" i="13" s="1"/>
  <c r="W25" i="13"/>
  <c r="AQ25" i="13" s="1"/>
  <c r="U25" i="13"/>
  <c r="Z25" i="13" s="1"/>
  <c r="S25" i="13"/>
  <c r="R25" i="13"/>
  <c r="Q25" i="13"/>
  <c r="V25" i="13" s="1"/>
  <c r="P25" i="13"/>
  <c r="O25" i="13"/>
  <c r="T25" i="13" s="1"/>
  <c r="N25" i="13"/>
  <c r="AS24" i="13"/>
  <c r="AU24" i="13" s="1"/>
  <c r="X24" i="13"/>
  <c r="AR24" i="13" s="1"/>
  <c r="W24" i="13"/>
  <c r="AQ24" i="13" s="1"/>
  <c r="V24" i="13"/>
  <c r="AA24" i="13" s="1"/>
  <c r="U24" i="13"/>
  <c r="Z24" i="13" s="1"/>
  <c r="S24" i="13"/>
  <c r="R24" i="13"/>
  <c r="Q24" i="13"/>
  <c r="P24" i="13"/>
  <c r="O24" i="13"/>
  <c r="T24" i="13" s="1"/>
  <c r="N24" i="13"/>
  <c r="AU23" i="13"/>
  <c r="AS23" i="13"/>
  <c r="AR23" i="13"/>
  <c r="AO23" i="13"/>
  <c r="AC23" i="13"/>
  <c r="AB23" i="13"/>
  <c r="Z23" i="13"/>
  <c r="X23" i="13"/>
  <c r="W23" i="13"/>
  <c r="AQ23" i="13" s="1"/>
  <c r="V23" i="13"/>
  <c r="U23" i="13"/>
  <c r="S23" i="13"/>
  <c r="R23" i="13"/>
  <c r="Q23" i="13"/>
  <c r="P23" i="13"/>
  <c r="O23" i="13"/>
  <c r="T23" i="13" s="1"/>
  <c r="N23" i="13"/>
  <c r="AS22" i="13"/>
  <c r="AU22" i="13" s="1"/>
  <c r="AR22" i="13"/>
  <c r="AQ22" i="13"/>
  <c r="AN22" i="13"/>
  <c r="AC22" i="13"/>
  <c r="AB22" i="13"/>
  <c r="X22" i="13"/>
  <c r="W22" i="13"/>
  <c r="V22" i="13"/>
  <c r="AP22" i="13" s="1"/>
  <c r="U22" i="13"/>
  <c r="AO22" i="13" s="1"/>
  <c r="T22" i="13"/>
  <c r="Y22" i="13" s="1"/>
  <c r="S22" i="13"/>
  <c r="R22" i="13"/>
  <c r="Q22" i="13"/>
  <c r="P22" i="13"/>
  <c r="O22" i="13"/>
  <c r="N22" i="13"/>
  <c r="AS21" i="13"/>
  <c r="AU21" i="13" s="1"/>
  <c r="AQ21" i="13"/>
  <c r="AP21" i="13"/>
  <c r="AB21" i="13"/>
  <c r="AA21" i="13"/>
  <c r="X21" i="13"/>
  <c r="AR21" i="13" s="1"/>
  <c r="W21" i="13"/>
  <c r="T21" i="13"/>
  <c r="S21" i="13"/>
  <c r="R21" i="13"/>
  <c r="Q21" i="13"/>
  <c r="V21" i="13" s="1"/>
  <c r="P21" i="13"/>
  <c r="U21" i="13" s="1"/>
  <c r="O21" i="13"/>
  <c r="N21" i="13"/>
  <c r="AS20" i="13"/>
  <c r="AU20" i="13" s="1"/>
  <c r="AP20" i="13"/>
  <c r="AO20" i="13"/>
  <c r="Y20" i="13"/>
  <c r="X20" i="13"/>
  <c r="AC20" i="13" s="1"/>
  <c r="W20" i="13"/>
  <c r="AQ20" i="13" s="1"/>
  <c r="S20" i="13"/>
  <c r="R20" i="13"/>
  <c r="Q20" i="13"/>
  <c r="V20" i="13" s="1"/>
  <c r="AA20" i="13" s="1"/>
  <c r="P20" i="13"/>
  <c r="U20" i="13" s="1"/>
  <c r="Z20" i="13" s="1"/>
  <c r="O20" i="13"/>
  <c r="T20" i="13" s="1"/>
  <c r="AN20" i="13" s="1"/>
  <c r="N20" i="13"/>
  <c r="AU19" i="13"/>
  <c r="AS19" i="13"/>
  <c r="AQ19" i="13"/>
  <c r="AB19" i="13"/>
  <c r="AA19" i="13"/>
  <c r="X19" i="13"/>
  <c r="W19" i="13"/>
  <c r="V19" i="13"/>
  <c r="AP19" i="13" s="1"/>
  <c r="T19" i="13"/>
  <c r="Y19" i="13" s="1"/>
  <c r="S19" i="13"/>
  <c r="R19" i="13"/>
  <c r="Q19" i="13"/>
  <c r="P19" i="13"/>
  <c r="U19" i="13" s="1"/>
  <c r="AO19" i="13" s="1"/>
  <c r="O19" i="13"/>
  <c r="N19" i="13"/>
  <c r="AS18" i="13"/>
  <c r="AU18" i="13" s="1"/>
  <c r="AR18" i="13"/>
  <c r="AP18" i="13"/>
  <c r="AN18" i="13"/>
  <c r="AC18" i="13"/>
  <c r="Y18" i="13"/>
  <c r="X18" i="13"/>
  <c r="W18" i="13"/>
  <c r="U18" i="13"/>
  <c r="S18" i="13"/>
  <c r="R18" i="13"/>
  <c r="Q18" i="13"/>
  <c r="V18" i="13" s="1"/>
  <c r="AA18" i="13" s="1"/>
  <c r="P18" i="13"/>
  <c r="O18" i="13"/>
  <c r="T18" i="13" s="1"/>
  <c r="N18" i="13"/>
  <c r="AU17" i="13"/>
  <c r="AS17" i="13"/>
  <c r="AR17" i="13"/>
  <c r="AO17" i="13"/>
  <c r="AC17" i="13"/>
  <c r="Z17" i="13"/>
  <c r="X17" i="13"/>
  <c r="W17" i="13"/>
  <c r="AQ17" i="13" s="1"/>
  <c r="U17" i="13"/>
  <c r="T17" i="13"/>
  <c r="AN17" i="13" s="1"/>
  <c r="S17" i="13"/>
  <c r="R17" i="13"/>
  <c r="Q17" i="13"/>
  <c r="V17" i="13" s="1"/>
  <c r="P17" i="13"/>
  <c r="O17" i="13"/>
  <c r="N17" i="13"/>
  <c r="AS16" i="13"/>
  <c r="AU16" i="13" s="1"/>
  <c r="AP16" i="13"/>
  <c r="AC16" i="13"/>
  <c r="X16" i="13"/>
  <c r="AR16" i="13" s="1"/>
  <c r="W16" i="13"/>
  <c r="AQ16" i="13" s="1"/>
  <c r="V16" i="13"/>
  <c r="AA16" i="13" s="1"/>
  <c r="S16" i="13"/>
  <c r="R16" i="13"/>
  <c r="Q16" i="13"/>
  <c r="P16" i="13"/>
  <c r="U16" i="13" s="1"/>
  <c r="Z16" i="13" s="1"/>
  <c r="O16" i="13"/>
  <c r="T16" i="13" s="1"/>
  <c r="AN16" i="13" s="1"/>
  <c r="N16" i="13"/>
  <c r="AS15" i="13"/>
  <c r="AU15" i="13" s="1"/>
  <c r="AR15" i="13"/>
  <c r="AO15" i="13"/>
  <c r="AB15" i="13"/>
  <c r="X15" i="13"/>
  <c r="AC15" i="13" s="1"/>
  <c r="W15" i="13"/>
  <c r="AQ15" i="13" s="1"/>
  <c r="V15" i="13"/>
  <c r="T15" i="13"/>
  <c r="S15" i="13"/>
  <c r="R15" i="13"/>
  <c r="Q15" i="13"/>
  <c r="P15" i="13"/>
  <c r="U15" i="13" s="1"/>
  <c r="Z15" i="13" s="1"/>
  <c r="O15" i="13"/>
  <c r="N15" i="13"/>
  <c r="AS14" i="13"/>
  <c r="AU14" i="13" s="1"/>
  <c r="AR14" i="13"/>
  <c r="AC14" i="13"/>
  <c r="AB14" i="13"/>
  <c r="X14" i="13"/>
  <c r="W14" i="13"/>
  <c r="AQ14" i="13" s="1"/>
  <c r="V14" i="13"/>
  <c r="T14" i="13"/>
  <c r="Y14" i="13" s="1"/>
  <c r="Q14" i="13"/>
  <c r="P14" i="13"/>
  <c r="U14" i="13" s="1"/>
  <c r="AO14" i="13" s="1"/>
  <c r="O14" i="13"/>
  <c r="N14" i="13"/>
  <c r="AS13" i="13"/>
  <c r="AU13" i="13" s="1"/>
  <c r="AQ13" i="13"/>
  <c r="AO13" i="13"/>
  <c r="Z13" i="13"/>
  <c r="X13" i="13"/>
  <c r="W13" i="13"/>
  <c r="AB13" i="13" s="1"/>
  <c r="V13" i="13"/>
  <c r="Q13" i="13"/>
  <c r="P13" i="13"/>
  <c r="U13" i="13" s="1"/>
  <c r="O13" i="13"/>
  <c r="T13" i="13" s="1"/>
  <c r="N13" i="13"/>
  <c r="AU12" i="13"/>
  <c r="AS12" i="13"/>
  <c r="X12" i="13"/>
  <c r="AR12" i="13" s="1"/>
  <c r="W12" i="13"/>
  <c r="AB12" i="13" s="1"/>
  <c r="U12" i="13"/>
  <c r="T12" i="13"/>
  <c r="Q12" i="13"/>
  <c r="V12" i="13" s="1"/>
  <c r="AP12" i="13" s="1"/>
  <c r="P12" i="13"/>
  <c r="O12" i="13"/>
  <c r="N12" i="13"/>
  <c r="AU11" i="13"/>
  <c r="AS11" i="13"/>
  <c r="AQ11" i="13"/>
  <c r="AB11" i="13"/>
  <c r="X11" i="13"/>
  <c r="AC11" i="13" s="1"/>
  <c r="W11" i="13"/>
  <c r="U11" i="13"/>
  <c r="AO11" i="13" s="1"/>
  <c r="Q11" i="13"/>
  <c r="V11" i="13" s="1"/>
  <c r="P11" i="13"/>
  <c r="O11" i="13"/>
  <c r="T11" i="13" s="1"/>
  <c r="N11" i="13"/>
  <c r="AS10" i="13"/>
  <c r="AU10" i="13" s="1"/>
  <c r="AR10" i="13"/>
  <c r="AC10" i="13"/>
  <c r="AA10" i="13"/>
  <c r="Y10" i="13"/>
  <c r="X10" i="13"/>
  <c r="W10" i="13"/>
  <c r="V10" i="13"/>
  <c r="AP10" i="13" s="1"/>
  <c r="Q10" i="13"/>
  <c r="P10" i="13"/>
  <c r="U10" i="13" s="1"/>
  <c r="Z10" i="13" s="1"/>
  <c r="O10" i="13"/>
  <c r="T10" i="13" s="1"/>
  <c r="AN10" i="13" s="1"/>
  <c r="N10" i="13"/>
  <c r="AS9" i="13"/>
  <c r="AU9" i="13" s="1"/>
  <c r="AR9" i="13"/>
  <c r="AB9" i="13"/>
  <c r="X9" i="13"/>
  <c r="AC9" i="13" s="1"/>
  <c r="W9" i="13"/>
  <c r="AQ9" i="13" s="1"/>
  <c r="V9" i="13"/>
  <c r="S9" i="13"/>
  <c r="R9" i="13"/>
  <c r="O9" i="13"/>
  <c r="T9" i="13" s="1"/>
  <c r="Y9" i="13" s="1"/>
  <c r="N9" i="13"/>
  <c r="H9" i="13"/>
  <c r="Q9" i="13" s="1"/>
  <c r="G9" i="13"/>
  <c r="P9" i="13" s="1"/>
  <c r="U9" i="13" s="1"/>
  <c r="F9" i="13"/>
  <c r="O8" i="13" s="1"/>
  <c r="T8" i="13" s="1"/>
  <c r="Y8" i="13" s="1"/>
  <c r="AU8" i="13"/>
  <c r="AS8" i="13"/>
  <c r="AQ8" i="13"/>
  <c r="AB8" i="13"/>
  <c r="X8" i="13"/>
  <c r="AC8" i="13" s="1"/>
  <c r="W8" i="13"/>
  <c r="S8" i="13"/>
  <c r="R8" i="13"/>
  <c r="Q8" i="13"/>
  <c r="V8" i="13" s="1"/>
  <c r="P8" i="13"/>
  <c r="U8" i="13" s="1"/>
  <c r="N8" i="13"/>
  <c r="AU7" i="13"/>
  <c r="AS7" i="13"/>
  <c r="AQ7" i="13"/>
  <c r="AB7" i="13"/>
  <c r="AA7" i="13"/>
  <c r="X7" i="13"/>
  <c r="W7" i="13"/>
  <c r="V7" i="13"/>
  <c r="AP7" i="13" s="1"/>
  <c r="S7" i="13"/>
  <c r="R7" i="13"/>
  <c r="Q7" i="13"/>
  <c r="P7" i="13"/>
  <c r="U7" i="13" s="1"/>
  <c r="O7" i="13"/>
  <c r="T7" i="13" s="1"/>
  <c r="Y7" i="13" s="1"/>
  <c r="N7" i="13"/>
  <c r="AU6" i="13"/>
  <c r="AS6" i="13"/>
  <c r="AR6" i="13"/>
  <c r="AP6" i="13"/>
  <c r="AN6" i="13"/>
  <c r="AB6" i="13"/>
  <c r="AA6" i="13"/>
  <c r="X6" i="13"/>
  <c r="AC6" i="13" s="1"/>
  <c r="W6" i="13"/>
  <c r="AQ6" i="13" s="1"/>
  <c r="V6" i="13"/>
  <c r="S6" i="13"/>
  <c r="R6" i="13"/>
  <c r="Q6" i="13"/>
  <c r="P6" i="13"/>
  <c r="U6" i="13" s="1"/>
  <c r="O6" i="13"/>
  <c r="T6" i="13" s="1"/>
  <c r="Y6" i="13" s="1"/>
  <c r="N6" i="13"/>
  <c r="AU5" i="13"/>
  <c r="AS5" i="13"/>
  <c r="AR5" i="13"/>
  <c r="AQ5" i="13"/>
  <c r="AN5" i="13"/>
  <c r="AC5" i="13"/>
  <c r="AB5" i="13"/>
  <c r="Y5" i="13"/>
  <c r="X5" i="13"/>
  <c r="W5" i="13"/>
  <c r="V5" i="13"/>
  <c r="AP5" i="13" s="1"/>
  <c r="U5" i="13"/>
  <c r="T5" i="13"/>
  <c r="S5" i="13"/>
  <c r="R5" i="13"/>
  <c r="Q5" i="13"/>
  <c r="P5" i="13"/>
  <c r="O5" i="13"/>
  <c r="N5" i="13"/>
  <c r="AU4" i="13"/>
  <c r="AS4" i="13"/>
  <c r="AR4" i="13"/>
  <c r="AQ4" i="13"/>
  <c r="AP4" i="13"/>
  <c r="AB4" i="13"/>
  <c r="AA4" i="13"/>
  <c r="Y4" i="13"/>
  <c r="X4" i="13"/>
  <c r="AC4" i="13" s="1"/>
  <c r="W4" i="13"/>
  <c r="V4" i="13"/>
  <c r="T4" i="13"/>
  <c r="AN4" i="13" s="1"/>
  <c r="R4" i="13"/>
  <c r="Q4" i="13"/>
  <c r="P4" i="13"/>
  <c r="U4" i="13" s="1"/>
  <c r="O4" i="13"/>
  <c r="N4" i="13"/>
  <c r="AU3" i="13"/>
  <c r="AS3" i="13"/>
  <c r="AR3" i="13"/>
  <c r="AQ3" i="13"/>
  <c r="AO3" i="13"/>
  <c r="AB3" i="13"/>
  <c r="Y3" i="13"/>
  <c r="X3" i="13"/>
  <c r="AC3" i="13" s="1"/>
  <c r="W3" i="13"/>
  <c r="R3" i="13"/>
  <c r="Q3" i="13"/>
  <c r="V3" i="13" s="1"/>
  <c r="P3" i="13"/>
  <c r="U3" i="13" s="1"/>
  <c r="Z3" i="13" s="1"/>
  <c r="O3" i="13"/>
  <c r="T3" i="13" s="1"/>
  <c r="AN3" i="13" s="1"/>
  <c r="N3" i="13"/>
  <c r="AU2" i="13"/>
  <c r="AS2" i="13"/>
  <c r="AQ2" i="13"/>
  <c r="Z2" i="13"/>
  <c r="X2" i="13"/>
  <c r="AR2" i="13" s="1"/>
  <c r="W2" i="13"/>
  <c r="AB2" i="13" s="1"/>
  <c r="U2" i="13"/>
  <c r="AO2" i="13" s="1"/>
  <c r="R2" i="13"/>
  <c r="Q2" i="13"/>
  <c r="V2" i="13" s="1"/>
  <c r="AA2" i="13" s="1"/>
  <c r="P2" i="13"/>
  <c r="O2" i="13"/>
  <c r="T2" i="13" s="1"/>
  <c r="N2" i="13"/>
  <c r="Z9" i="13" l="1"/>
  <c r="AO9" i="13"/>
  <c r="Z7" i="13"/>
  <c r="AO7" i="13"/>
  <c r="AN11" i="13"/>
  <c r="Y11" i="13"/>
  <c r="Y25" i="13"/>
  <c r="AN25" i="13"/>
  <c r="Y36" i="13"/>
  <c r="AN36" i="13"/>
  <c r="Z8" i="13"/>
  <c r="AO8" i="13"/>
  <c r="AA17" i="13"/>
  <c r="AP17" i="13"/>
  <c r="AP11" i="13"/>
  <c r="AA11" i="13"/>
  <c r="AA8" i="13"/>
  <c r="AP8" i="13"/>
  <c r="Y13" i="13"/>
  <c r="AN13" i="13"/>
  <c r="Z6" i="13"/>
  <c r="AO6" i="13"/>
  <c r="Y2" i="13"/>
  <c r="AN2" i="13"/>
  <c r="AP3" i="13"/>
  <c r="AA3" i="13"/>
  <c r="AP30" i="13"/>
  <c r="AA30" i="13"/>
  <c r="AA37" i="13"/>
  <c r="AP37" i="13"/>
  <c r="AO64" i="13"/>
  <c r="Z64" i="13"/>
  <c r="AN66" i="13"/>
  <c r="Y66" i="13"/>
  <c r="Z92" i="13"/>
  <c r="AO92" i="13"/>
  <c r="AC2" i="13"/>
  <c r="AP9" i="13"/>
  <c r="AA9" i="13"/>
  <c r="AA12" i="13"/>
  <c r="AP14" i="13"/>
  <c r="AA14" i="13"/>
  <c r="Y15" i="13"/>
  <c r="AN15" i="13"/>
  <c r="Z18" i="13"/>
  <c r="AO18" i="13"/>
  <c r="AP23" i="13"/>
  <c r="AA23" i="13"/>
  <c r="Y30" i="13"/>
  <c r="Y35" i="13"/>
  <c r="AN35" i="13"/>
  <c r="AN44" i="13"/>
  <c r="AP57" i="13"/>
  <c r="AA57" i="13"/>
  <c r="AP59" i="13"/>
  <c r="AA59" i="13"/>
  <c r="AP60" i="13"/>
  <c r="AA60" i="13"/>
  <c r="AP65" i="13"/>
  <c r="AA65" i="13"/>
  <c r="Y75" i="13"/>
  <c r="AN75" i="13"/>
  <c r="AQ77" i="13"/>
  <c r="AB77" i="13"/>
  <c r="AA79" i="13"/>
  <c r="AP79" i="13"/>
  <c r="AP49" i="13"/>
  <c r="AA55" i="13"/>
  <c r="AP55" i="13"/>
  <c r="AN7" i="13"/>
  <c r="AN8" i="13"/>
  <c r="AC12" i="13"/>
  <c r="AA15" i="13"/>
  <c r="AP15" i="13"/>
  <c r="AB18" i="13"/>
  <c r="AQ18" i="13"/>
  <c r="AO21" i="13"/>
  <c r="Z21" i="13"/>
  <c r="AB25" i="13"/>
  <c r="Z26" i="13"/>
  <c r="AO26" i="13"/>
  <c r="AB35" i="13"/>
  <c r="Y45" i="13"/>
  <c r="AN45" i="13"/>
  <c r="Y48" i="13"/>
  <c r="AN48" i="13"/>
  <c r="AN58" i="13"/>
  <c r="Y58" i="13"/>
  <c r="AP61" i="13"/>
  <c r="AA61" i="13"/>
  <c r="AO67" i="13"/>
  <c r="Z67" i="13"/>
  <c r="AB10" i="13"/>
  <c r="AQ10" i="13"/>
  <c r="Z28" i="13"/>
  <c r="AO28" i="13"/>
  <c r="AP45" i="13"/>
  <c r="AA45" i="13"/>
  <c r="AO48" i="13"/>
  <c r="Z48" i="13"/>
  <c r="Y53" i="13"/>
  <c r="AN53" i="13"/>
  <c r="AP2" i="13"/>
  <c r="Y16" i="13"/>
  <c r="AC19" i="13"/>
  <c r="AR19" i="13"/>
  <c r="AB20" i="13"/>
  <c r="AC21" i="13"/>
  <c r="AA22" i="13"/>
  <c r="Y23" i="13"/>
  <c r="AN23" i="13"/>
  <c r="AA25" i="13"/>
  <c r="AP25" i="13"/>
  <c r="AA26" i="13"/>
  <c r="AP26" i="13"/>
  <c r="AN29" i="13"/>
  <c r="Y29" i="13"/>
  <c r="AO35" i="13"/>
  <c r="AP38" i="13"/>
  <c r="AA38" i="13"/>
  <c r="AQ38" i="13"/>
  <c r="Z43" i="13"/>
  <c r="AO43" i="13"/>
  <c r="AA43" i="13"/>
  <c r="Y46" i="13"/>
  <c r="AR48" i="13"/>
  <c r="Y49" i="13"/>
  <c r="AN49" i="13"/>
  <c r="Y64" i="13"/>
  <c r="AN64" i="13"/>
  <c r="AN14" i="13"/>
  <c r="AN32" i="13"/>
  <c r="Y32" i="13"/>
  <c r="Y52" i="13"/>
  <c r="AN52" i="13"/>
  <c r="AB58" i="13"/>
  <c r="AQ58" i="13"/>
  <c r="AO10" i="13"/>
  <c r="AQ12" i="13"/>
  <c r="AA13" i="13"/>
  <c r="AP13" i="13"/>
  <c r="AB16" i="13"/>
  <c r="Y17" i="13"/>
  <c r="Y24" i="13"/>
  <c r="AN24" i="13"/>
  <c r="AP41" i="13"/>
  <c r="AA41" i="13"/>
  <c r="AA46" i="13"/>
  <c r="AP46" i="13"/>
  <c r="AA47" i="13"/>
  <c r="AP47" i="13"/>
  <c r="Z54" i="13"/>
  <c r="AO54" i="13"/>
  <c r="Z56" i="13"/>
  <c r="AO56" i="13"/>
  <c r="AN60" i="13"/>
  <c r="Y65" i="13"/>
  <c r="AN65" i="13"/>
  <c r="AO72" i="13"/>
  <c r="AP76" i="13"/>
  <c r="AA76" i="13"/>
  <c r="AA86" i="13"/>
  <c r="AP86" i="13"/>
  <c r="AP89" i="13"/>
  <c r="AA89" i="13"/>
  <c r="AO4" i="13"/>
  <c r="Z4" i="13"/>
  <c r="AA5" i="13"/>
  <c r="AR8" i="13"/>
  <c r="AN12" i="13"/>
  <c r="Y12" i="13"/>
  <c r="Z14" i="13"/>
  <c r="AB24" i="13"/>
  <c r="AO29" i="13"/>
  <c r="Y31" i="13"/>
  <c r="AC57" i="13"/>
  <c r="AR57" i="13"/>
  <c r="Y61" i="13"/>
  <c r="AN61" i="13"/>
  <c r="Z62" i="13"/>
  <c r="AO62" i="13"/>
  <c r="AA63" i="13"/>
  <c r="AP63" i="13"/>
  <c r="AN68" i="13"/>
  <c r="AR7" i="13"/>
  <c r="AC7" i="13"/>
  <c r="Y69" i="13"/>
  <c r="AN69" i="13"/>
  <c r="AO5" i="13"/>
  <c r="Z5" i="13"/>
  <c r="AA36" i="13"/>
  <c r="AP36" i="13"/>
  <c r="Z42" i="13"/>
  <c r="AO42" i="13"/>
  <c r="AN9" i="13"/>
  <c r="AR11" i="13"/>
  <c r="Z12" i="13"/>
  <c r="AO12" i="13"/>
  <c r="AC13" i="13"/>
  <c r="AR13" i="13"/>
  <c r="AO16" i="13"/>
  <c r="AN19" i="13"/>
  <c r="AN21" i="13"/>
  <c r="Y21" i="13"/>
  <c r="AO24" i="13"/>
  <c r="Y28" i="13"/>
  <c r="AN28" i="13"/>
  <c r="AP34" i="13"/>
  <c r="AA34" i="13"/>
  <c r="Z37" i="13"/>
  <c r="AO37" i="13"/>
  <c r="AQ37" i="13"/>
  <c r="AA39" i="13"/>
  <c r="AO40" i="13"/>
  <c r="Z40" i="13"/>
  <c r="AN42" i="13"/>
  <c r="AP44" i="13"/>
  <c r="AA44" i="13"/>
  <c r="AA62" i="13"/>
  <c r="AP62" i="13"/>
  <c r="Z74" i="13"/>
  <c r="AO74" i="13"/>
  <c r="AC24" i="13"/>
  <c r="AA27" i="13"/>
  <c r="AQ30" i="13"/>
  <c r="AO31" i="13"/>
  <c r="AC35" i="13"/>
  <c r="Y39" i="13"/>
  <c r="AC40" i="13"/>
  <c r="AB42" i="13"/>
  <c r="AO44" i="13"/>
  <c r="AC45" i="13"/>
  <c r="AO51" i="13"/>
  <c r="Z51" i="13"/>
  <c r="AA54" i="13"/>
  <c r="AO60" i="13"/>
  <c r="AC61" i="13"/>
  <c r="AB69" i="13"/>
  <c r="AO75" i="13"/>
  <c r="Z75" i="13"/>
  <c r="AB17" i="13"/>
  <c r="Z19" i="13"/>
  <c r="AR30" i="13"/>
  <c r="Z32" i="13"/>
  <c r="AP40" i="13"/>
  <c r="Y41" i="13"/>
  <c r="AQ44" i="13"/>
  <c r="Y47" i="13"/>
  <c r="AB48" i="13"/>
  <c r="AQ48" i="13"/>
  <c r="AQ60" i="13"/>
  <c r="Y63" i="13"/>
  <c r="AB64" i="13"/>
  <c r="AQ64" i="13"/>
  <c r="AQ68" i="13"/>
  <c r="AC69" i="13"/>
  <c r="AR72" i="13"/>
  <c r="AP84" i="13"/>
  <c r="AA84" i="13"/>
  <c r="Z85" i="13"/>
  <c r="AO85" i="13"/>
  <c r="AR20" i="13"/>
  <c r="AP24" i="13"/>
  <c r="AR26" i="13"/>
  <c r="AQ28" i="13"/>
  <c r="Z30" i="13"/>
  <c r="AR31" i="13"/>
  <c r="AP35" i="13"/>
  <c r="AC36" i="13"/>
  <c r="AR37" i="13"/>
  <c r="AB43" i="13"/>
  <c r="Z46" i="13"/>
  <c r="AO46" i="13"/>
  <c r="Z50" i="13"/>
  <c r="Y57" i="13"/>
  <c r="AP68" i="13"/>
  <c r="AA68" i="13"/>
  <c r="AC70" i="13"/>
  <c r="AA71" i="13"/>
  <c r="AP71" i="13"/>
  <c r="AB72" i="13"/>
  <c r="AQ72" i="13"/>
  <c r="AQ53" i="13"/>
  <c r="AB53" i="13"/>
  <c r="Z57" i="13"/>
  <c r="AO57" i="13"/>
  <c r="AP66" i="13"/>
  <c r="AA66" i="13"/>
  <c r="AN72" i="13"/>
  <c r="Y72" i="13"/>
  <c r="AC73" i="13"/>
  <c r="AR73" i="13"/>
  <c r="AA78" i="13"/>
  <c r="AP78" i="13"/>
  <c r="Y84" i="13"/>
  <c r="AN84" i="13"/>
  <c r="AO25" i="13"/>
  <c r="AR27" i="13"/>
  <c r="AP29" i="13"/>
  <c r="AO36" i="13"/>
  <c r="AR38" i="13"/>
  <c r="AN43" i="13"/>
  <c r="AA50" i="13"/>
  <c r="AP50" i="13"/>
  <c r="Z52" i="13"/>
  <c r="Y67" i="13"/>
  <c r="AN67" i="13"/>
  <c r="Z70" i="13"/>
  <c r="AO70" i="13"/>
  <c r="Y76" i="13"/>
  <c r="AN76" i="13"/>
  <c r="Y77" i="13"/>
  <c r="AN77" i="13"/>
  <c r="AN80" i="13"/>
  <c r="Y80" i="13"/>
  <c r="AO81" i="13"/>
  <c r="Z81" i="13"/>
  <c r="Y85" i="13"/>
  <c r="AN85" i="13"/>
  <c r="Z86" i="13"/>
  <c r="AO86" i="13"/>
  <c r="AP88" i="13"/>
  <c r="AA88" i="13"/>
  <c r="Z11" i="13"/>
  <c r="Z22" i="13"/>
  <c r="AQ29" i="13"/>
  <c r="Z33" i="13"/>
  <c r="AN34" i="13"/>
  <c r="AP48" i="13"/>
  <c r="AN51" i="13"/>
  <c r="AA52" i="13"/>
  <c r="AQ55" i="13"/>
  <c r="AC56" i="13"/>
  <c r="AO58" i="13"/>
  <c r="AP64" i="13"/>
  <c r="Z69" i="13"/>
  <c r="AP74" i="13"/>
  <c r="AA74" i="13"/>
  <c r="AQ85" i="13"/>
  <c r="AB85" i="13"/>
  <c r="AQ79" i="13"/>
  <c r="AR88" i="13"/>
  <c r="Y94" i="13"/>
  <c r="AN94" i="13"/>
  <c r="AC65" i="13"/>
  <c r="AR65" i="13"/>
  <c r="AO73" i="13"/>
  <c r="Z73" i="13"/>
  <c r="AB76" i="13"/>
  <c r="AB84" i="13"/>
  <c r="AN91" i="13"/>
  <c r="AQ93" i="13"/>
  <c r="AB93" i="13"/>
  <c r="Z94" i="13"/>
  <c r="AO94" i="13"/>
  <c r="AC49" i="13"/>
  <c r="AR49" i="13"/>
  <c r="AB56" i="13"/>
  <c r="AQ56" i="13"/>
  <c r="AO65" i="13"/>
  <c r="Z65" i="13"/>
  <c r="AN83" i="13"/>
  <c r="Y87" i="13"/>
  <c r="AN90" i="13"/>
  <c r="Y90" i="13"/>
  <c r="AP92" i="13"/>
  <c r="AA92" i="13"/>
  <c r="AA94" i="13"/>
  <c r="AP94" i="13"/>
  <c r="AO76" i="13"/>
  <c r="AO77" i="13"/>
  <c r="AB80" i="13"/>
  <c r="AQ80" i="13"/>
  <c r="AC81" i="13"/>
  <c r="AR81" i="13"/>
  <c r="AO91" i="13"/>
  <c r="Z91" i="13"/>
  <c r="Y93" i="13"/>
  <c r="AN93" i="13"/>
  <c r="AC93" i="13"/>
  <c r="AP77" i="13"/>
  <c r="AC78" i="13"/>
  <c r="Y81" i="13"/>
  <c r="AP85" i="13"/>
  <c r="AC86" i="13"/>
  <c r="AA87" i="13"/>
  <c r="AP87" i="13"/>
  <c r="Y89" i="13"/>
  <c r="AO93" i="13"/>
  <c r="Z78" i="13"/>
  <c r="AO78" i="13"/>
  <c r="AP82" i="13"/>
  <c r="AA82" i="13"/>
  <c r="AN92" i="13"/>
  <c r="AC94" i="13"/>
  <c r="Y88" i="13"/>
  <c r="Z89" i="13"/>
  <c r="AA90" i="13"/>
  <c r="AB91" i="13"/>
  <c r="AC92" i="13"/>
  <c r="AQ94" i="13"/>
  <c r="C82" i="27" l="1"/>
  <c r="B82" i="27"/>
  <c r="E105" i="27"/>
  <c r="AK3" i="20"/>
  <c r="AL3" i="20"/>
  <c r="AM3" i="20"/>
  <c r="AN3" i="20"/>
  <c r="AO3" i="20"/>
  <c r="AK4" i="20"/>
  <c r="AL4" i="20"/>
  <c r="AM4" i="20"/>
  <c r="AN4" i="20"/>
  <c r="AO4" i="20"/>
  <c r="AK5" i="20"/>
  <c r="AL5" i="20"/>
  <c r="AM5" i="20"/>
  <c r="AN5" i="20"/>
  <c r="AO5" i="20"/>
  <c r="AK6" i="20"/>
  <c r="AL6" i="20"/>
  <c r="AM6" i="20"/>
  <c r="AN6" i="20"/>
  <c r="AO6" i="20"/>
  <c r="AK7" i="20"/>
  <c r="AL7" i="20"/>
  <c r="AM7" i="20"/>
  <c r="AN7" i="20"/>
  <c r="AO7" i="20"/>
  <c r="AK8" i="20"/>
  <c r="AL8" i="20"/>
  <c r="AM8" i="20"/>
  <c r="AN8" i="20"/>
  <c r="AO8" i="20"/>
  <c r="AK9" i="20"/>
  <c r="AL9" i="20"/>
  <c r="AM9" i="20"/>
  <c r="AN9" i="20"/>
  <c r="AO9" i="20"/>
  <c r="AK10" i="20"/>
  <c r="AL10" i="20"/>
  <c r="AM10" i="20"/>
  <c r="AN10" i="20"/>
  <c r="AO10" i="20"/>
  <c r="AK11" i="20"/>
  <c r="AL11" i="20"/>
  <c r="AM11" i="20"/>
  <c r="AN11" i="20"/>
  <c r="AO11" i="20"/>
  <c r="AK12" i="20"/>
  <c r="AL12" i="20"/>
  <c r="AM12" i="20"/>
  <c r="AN12" i="20"/>
  <c r="AO12" i="20"/>
  <c r="AK13" i="20"/>
  <c r="AL13" i="20"/>
  <c r="AM13" i="20"/>
  <c r="AN13" i="20"/>
  <c r="AO13" i="20"/>
  <c r="AK14" i="20"/>
  <c r="AL14" i="20"/>
  <c r="AM14" i="20"/>
  <c r="AN14" i="20"/>
  <c r="AO14" i="20"/>
  <c r="AK15" i="20"/>
  <c r="AL15" i="20"/>
  <c r="AM15" i="20"/>
  <c r="AN15" i="20"/>
  <c r="AO15" i="20"/>
  <c r="AK16" i="20"/>
  <c r="AL16" i="20"/>
  <c r="AM16" i="20"/>
  <c r="AN16" i="20"/>
  <c r="AO16" i="20"/>
  <c r="AK17" i="20"/>
  <c r="AL17" i="20"/>
  <c r="AM17" i="20"/>
  <c r="AN17" i="20"/>
  <c r="AO17" i="20"/>
  <c r="AK18" i="20"/>
  <c r="AL18" i="20"/>
  <c r="AM18" i="20"/>
  <c r="AN18" i="20"/>
  <c r="AO18" i="20"/>
  <c r="AK19" i="20"/>
  <c r="AL19" i="20"/>
  <c r="AM19" i="20"/>
  <c r="AN19" i="20"/>
  <c r="AO19" i="20"/>
  <c r="AK20" i="20"/>
  <c r="AL20" i="20"/>
  <c r="AM20" i="20"/>
  <c r="AN20" i="20"/>
  <c r="AO20" i="20"/>
  <c r="AK21" i="20"/>
  <c r="AL21" i="20"/>
  <c r="AM21" i="20"/>
  <c r="AN21" i="20"/>
  <c r="AO21" i="20"/>
  <c r="AK22" i="20"/>
  <c r="AL22" i="20"/>
  <c r="AM22" i="20"/>
  <c r="AN22" i="20"/>
  <c r="AO22" i="20"/>
  <c r="AK23" i="20"/>
  <c r="AL23" i="20"/>
  <c r="AM23" i="20"/>
  <c r="AN23" i="20"/>
  <c r="AO23" i="20"/>
  <c r="AK24" i="20"/>
  <c r="AL24" i="20"/>
  <c r="AM24" i="20"/>
  <c r="AN24" i="20"/>
  <c r="AO24" i="20"/>
  <c r="AK25" i="20"/>
  <c r="AL25" i="20"/>
  <c r="AM25" i="20"/>
  <c r="AN25" i="20"/>
  <c r="AO25" i="20"/>
  <c r="AK26" i="20"/>
  <c r="AL26" i="20"/>
  <c r="AM26" i="20"/>
  <c r="AN26" i="20"/>
  <c r="AO26" i="20"/>
  <c r="AK27" i="20"/>
  <c r="AL27" i="20"/>
  <c r="AM27" i="20"/>
  <c r="AN27" i="20"/>
  <c r="AO27" i="20"/>
  <c r="AK28" i="20"/>
  <c r="AL28" i="20"/>
  <c r="AM28" i="20"/>
  <c r="AN28" i="20"/>
  <c r="AO28" i="20"/>
  <c r="AK29" i="20"/>
  <c r="AL29" i="20"/>
  <c r="AM29" i="20"/>
  <c r="AN29" i="20"/>
  <c r="AO29" i="20"/>
  <c r="AK30" i="20"/>
  <c r="AL30" i="20"/>
  <c r="AM30" i="20"/>
  <c r="AN30" i="20"/>
  <c r="AO30" i="20"/>
  <c r="AK31" i="20"/>
  <c r="AL31" i="20"/>
  <c r="AM31" i="20"/>
  <c r="AN31" i="20"/>
  <c r="AO31" i="20"/>
  <c r="AK32" i="20"/>
  <c r="AL32" i="20"/>
  <c r="AM32" i="20"/>
  <c r="AN32" i="20"/>
  <c r="AO32" i="20"/>
  <c r="AK33" i="20"/>
  <c r="AL33" i="20"/>
  <c r="AM33" i="20"/>
  <c r="AN33" i="20"/>
  <c r="AO33" i="20"/>
  <c r="AK34" i="20"/>
  <c r="AL34" i="20"/>
  <c r="AM34" i="20"/>
  <c r="AN34" i="20"/>
  <c r="AO34" i="20"/>
  <c r="AK35" i="20"/>
  <c r="AL35" i="20"/>
  <c r="AM35" i="20"/>
  <c r="AN35" i="20"/>
  <c r="AO35" i="20"/>
  <c r="AK36" i="20"/>
  <c r="AL36" i="20"/>
  <c r="AM36" i="20"/>
  <c r="AN36" i="20"/>
  <c r="AO36" i="20"/>
  <c r="AK37" i="20"/>
  <c r="AL37" i="20"/>
  <c r="AM37" i="20"/>
  <c r="AN37" i="20"/>
  <c r="AO37" i="20"/>
  <c r="AK38" i="20"/>
  <c r="AL38" i="20"/>
  <c r="AM38" i="20"/>
  <c r="AN38" i="20"/>
  <c r="AO38" i="20"/>
  <c r="AK39" i="20"/>
  <c r="AL39" i="20"/>
  <c r="AM39" i="20"/>
  <c r="AN39" i="20"/>
  <c r="AO39" i="20"/>
  <c r="AK40" i="20"/>
  <c r="AL40" i="20"/>
  <c r="AM40" i="20"/>
  <c r="AN40" i="20"/>
  <c r="AO40" i="20"/>
  <c r="AK41" i="20"/>
  <c r="AL41" i="20"/>
  <c r="AM41" i="20"/>
  <c r="AN41" i="20"/>
  <c r="AO41" i="20"/>
  <c r="AK42" i="20"/>
  <c r="AL42" i="20"/>
  <c r="AM42" i="20"/>
  <c r="AN42" i="20"/>
  <c r="AO42" i="20"/>
  <c r="AK43" i="20"/>
  <c r="AL43" i="20"/>
  <c r="AM43" i="20"/>
  <c r="AN43" i="20"/>
  <c r="AO43" i="20"/>
  <c r="AK44" i="20"/>
  <c r="AL44" i="20"/>
  <c r="AM44" i="20"/>
  <c r="AN44" i="20"/>
  <c r="AO44" i="20"/>
  <c r="AK45" i="20"/>
  <c r="AL45" i="20"/>
  <c r="AM45" i="20"/>
  <c r="AN45" i="20"/>
  <c r="AO45" i="20"/>
  <c r="AK46" i="20"/>
  <c r="AL46" i="20"/>
  <c r="AM46" i="20"/>
  <c r="AN46" i="20"/>
  <c r="AO46" i="20"/>
  <c r="AK47" i="20"/>
  <c r="AL47" i="20"/>
  <c r="AM47" i="20"/>
  <c r="AN47" i="20"/>
  <c r="AO47" i="20"/>
  <c r="AK48" i="20"/>
  <c r="AL48" i="20"/>
  <c r="AM48" i="20"/>
  <c r="AN48" i="20"/>
  <c r="AO48" i="20"/>
  <c r="AK49" i="20"/>
  <c r="AL49" i="20"/>
  <c r="AM49" i="20"/>
  <c r="AN49" i="20"/>
  <c r="AO49" i="20"/>
  <c r="AK50" i="20"/>
  <c r="AL50" i="20"/>
  <c r="AM50" i="20"/>
  <c r="AN50" i="20"/>
  <c r="AO50" i="20"/>
  <c r="AK51" i="20"/>
  <c r="AL51" i="20"/>
  <c r="AM51" i="20"/>
  <c r="AN51" i="20"/>
  <c r="AO51" i="20"/>
  <c r="AK52" i="20"/>
  <c r="AL52" i="20"/>
  <c r="AM52" i="20"/>
  <c r="AN52" i="20"/>
  <c r="AO52" i="20"/>
  <c r="AK53" i="20"/>
  <c r="AL53" i="20"/>
  <c r="AM53" i="20"/>
  <c r="AN53" i="20"/>
  <c r="AO53" i="20"/>
  <c r="AK54" i="20"/>
  <c r="AL54" i="20"/>
  <c r="AM54" i="20"/>
  <c r="AN54" i="20"/>
  <c r="AO54" i="20"/>
  <c r="AK55" i="20"/>
  <c r="AL55" i="20"/>
  <c r="AM55" i="20"/>
  <c r="AN55" i="20"/>
  <c r="AO55" i="20"/>
  <c r="AK56" i="20"/>
  <c r="AL56" i="20"/>
  <c r="AM56" i="20"/>
  <c r="AN56" i="20"/>
  <c r="AO56" i="20"/>
  <c r="AK57" i="20"/>
  <c r="AL57" i="20"/>
  <c r="AM57" i="20"/>
  <c r="AN57" i="20"/>
  <c r="AO57" i="20"/>
  <c r="AK58" i="20"/>
  <c r="AL58" i="20"/>
  <c r="AM58" i="20"/>
  <c r="AN58" i="20"/>
  <c r="AO58" i="20"/>
  <c r="AK59" i="20"/>
  <c r="AL59" i="20"/>
  <c r="AM59" i="20"/>
  <c r="AN59" i="20"/>
  <c r="AO59" i="20"/>
  <c r="AK60" i="20"/>
  <c r="AL60" i="20"/>
  <c r="AM60" i="20"/>
  <c r="AN60" i="20"/>
  <c r="AO60" i="20"/>
  <c r="AK61" i="20"/>
  <c r="AL61" i="20"/>
  <c r="AM61" i="20"/>
  <c r="AN61" i="20"/>
  <c r="AO61" i="20"/>
  <c r="AK62" i="20"/>
  <c r="AL62" i="20"/>
  <c r="AM62" i="20"/>
  <c r="AN62" i="20"/>
  <c r="AO62" i="20"/>
  <c r="AK63" i="20"/>
  <c r="AL63" i="20"/>
  <c r="AM63" i="20"/>
  <c r="AN63" i="20"/>
  <c r="AO63" i="20"/>
  <c r="AK64" i="20"/>
  <c r="AL64" i="20"/>
  <c r="AM64" i="20"/>
  <c r="AN64" i="20"/>
  <c r="AO64" i="20"/>
  <c r="AK65" i="20"/>
  <c r="AL65" i="20"/>
  <c r="AM65" i="20"/>
  <c r="AN65" i="20"/>
  <c r="AO65" i="20"/>
  <c r="AK66" i="20"/>
  <c r="AL66" i="20"/>
  <c r="AM66" i="20"/>
  <c r="AN66" i="20"/>
  <c r="AO66" i="20"/>
  <c r="AK67" i="20"/>
  <c r="AL67" i="20"/>
  <c r="AM67" i="20"/>
  <c r="AN67" i="20"/>
  <c r="AO67" i="20"/>
  <c r="AK68" i="20"/>
  <c r="AL68" i="20"/>
  <c r="AM68" i="20"/>
  <c r="AN68" i="20"/>
  <c r="AO68" i="20"/>
  <c r="AK69" i="20"/>
  <c r="AL69" i="20"/>
  <c r="AM69" i="20"/>
  <c r="AN69" i="20"/>
  <c r="AO69" i="20"/>
  <c r="AK70" i="20"/>
  <c r="AL70" i="20"/>
  <c r="AM70" i="20"/>
  <c r="AN70" i="20"/>
  <c r="AO70" i="20"/>
  <c r="AK71" i="20"/>
  <c r="AL71" i="20"/>
  <c r="AM71" i="20"/>
  <c r="AN71" i="20"/>
  <c r="AO71" i="20"/>
  <c r="AK72" i="20"/>
  <c r="AL72" i="20"/>
  <c r="AM72" i="20"/>
  <c r="AN72" i="20"/>
  <c r="AO72" i="20"/>
  <c r="AK73" i="20"/>
  <c r="AL73" i="20"/>
  <c r="AM73" i="20"/>
  <c r="AN73" i="20"/>
  <c r="AO73" i="20"/>
  <c r="AK74" i="20"/>
  <c r="AL74" i="20"/>
  <c r="AM74" i="20"/>
  <c r="AN74" i="20"/>
  <c r="AO74" i="20"/>
  <c r="AK75" i="20"/>
  <c r="AL75" i="20"/>
  <c r="AM75" i="20"/>
  <c r="AN75" i="20"/>
  <c r="AO75" i="20"/>
  <c r="AK76" i="20"/>
  <c r="AL76" i="20"/>
  <c r="AM76" i="20"/>
  <c r="AN76" i="20"/>
  <c r="AO76" i="20"/>
  <c r="AK77" i="20"/>
  <c r="AL77" i="20"/>
  <c r="AM77" i="20"/>
  <c r="AN77" i="20"/>
  <c r="AO77" i="20"/>
  <c r="AK78" i="20"/>
  <c r="AL78" i="20"/>
  <c r="AM78" i="20"/>
  <c r="AN78" i="20"/>
  <c r="AO78" i="20"/>
  <c r="AK79" i="20"/>
  <c r="AL79" i="20"/>
  <c r="AM79" i="20"/>
  <c r="AN79" i="20"/>
  <c r="AO79" i="20"/>
  <c r="AK80" i="20"/>
  <c r="AL80" i="20"/>
  <c r="AM80" i="20"/>
  <c r="AN80" i="20"/>
  <c r="AO80" i="20"/>
  <c r="AK81" i="20"/>
  <c r="AL81" i="20"/>
  <c r="AM81" i="20"/>
  <c r="AN81" i="20"/>
  <c r="AO81" i="20"/>
  <c r="AK82" i="20"/>
  <c r="AL82" i="20"/>
  <c r="AM82" i="20"/>
  <c r="AN82" i="20"/>
  <c r="AO82" i="20"/>
  <c r="AK83" i="20"/>
  <c r="AL83" i="20"/>
  <c r="AM83" i="20"/>
  <c r="AN83" i="20"/>
  <c r="AO83" i="20"/>
  <c r="AK84" i="20"/>
  <c r="AL84" i="20"/>
  <c r="AM84" i="20"/>
  <c r="AN84" i="20"/>
  <c r="AO84" i="20"/>
  <c r="AK85" i="20"/>
  <c r="AL85" i="20"/>
  <c r="AM85" i="20"/>
  <c r="AN85" i="20"/>
  <c r="AO85" i="20"/>
  <c r="AK86" i="20"/>
  <c r="AL86" i="20"/>
  <c r="AM86" i="20"/>
  <c r="AN86" i="20"/>
  <c r="AO86" i="20"/>
  <c r="AK87" i="20"/>
  <c r="AL87" i="20"/>
  <c r="AM87" i="20"/>
  <c r="AN87" i="20"/>
  <c r="AO87" i="20"/>
  <c r="AK88" i="20"/>
  <c r="AL88" i="20"/>
  <c r="AM88" i="20"/>
  <c r="AN88" i="20"/>
  <c r="AO88" i="20"/>
  <c r="AK89" i="20"/>
  <c r="AL89" i="20"/>
  <c r="AM89" i="20"/>
  <c r="AN89" i="20"/>
  <c r="AO89" i="20"/>
  <c r="AK90" i="20"/>
  <c r="AL90" i="20"/>
  <c r="AM90" i="20"/>
  <c r="AN90" i="20"/>
  <c r="AO90" i="20"/>
  <c r="AK91" i="20"/>
  <c r="AL91" i="20"/>
  <c r="AM91" i="20"/>
  <c r="AN91" i="20"/>
  <c r="AO91" i="20"/>
  <c r="AK92" i="20"/>
  <c r="AL92" i="20"/>
  <c r="AM92" i="20"/>
  <c r="AN92" i="20"/>
  <c r="AO92" i="20"/>
  <c r="AK93" i="20"/>
  <c r="AL93" i="20"/>
  <c r="AM93" i="20"/>
  <c r="AN93" i="20"/>
  <c r="AO93" i="20"/>
  <c r="AK94" i="20"/>
  <c r="AL94" i="20"/>
  <c r="AM94" i="20"/>
  <c r="AN94" i="20"/>
  <c r="AO94" i="20"/>
  <c r="AK95" i="20"/>
  <c r="AL95" i="20"/>
  <c r="AM95" i="20"/>
  <c r="AN95" i="20"/>
  <c r="AO95" i="20"/>
  <c r="S36" i="27"/>
  <c r="R36" i="27"/>
  <c r="Q36" i="27"/>
  <c r="S35" i="27"/>
  <c r="R35" i="27"/>
  <c r="Q35" i="27"/>
  <c r="S34" i="27"/>
  <c r="R34" i="27"/>
  <c r="Q34" i="27"/>
  <c r="S29" i="27"/>
  <c r="R29" i="27"/>
  <c r="Q29" i="27"/>
  <c r="S28" i="27"/>
  <c r="R28" i="27"/>
  <c r="Q28" i="27"/>
  <c r="S27" i="27"/>
  <c r="R27" i="27"/>
  <c r="Q27" i="27"/>
  <c r="T22" i="27"/>
  <c r="S22" i="27"/>
  <c r="R22" i="27"/>
  <c r="Q22" i="27"/>
  <c r="T21" i="27"/>
  <c r="S21" i="27"/>
  <c r="R21" i="27"/>
  <c r="Q21" i="27"/>
  <c r="T20" i="27"/>
  <c r="S20" i="27"/>
  <c r="R20" i="27"/>
  <c r="Q20" i="27"/>
  <c r="T15" i="27"/>
  <c r="S15" i="27"/>
  <c r="R15" i="27"/>
  <c r="Q15" i="27"/>
  <c r="T14" i="27"/>
  <c r="S14" i="27"/>
  <c r="R14" i="27"/>
  <c r="Q14" i="27"/>
  <c r="T13" i="27"/>
  <c r="S13" i="27"/>
  <c r="R13" i="27"/>
  <c r="Q13" i="27"/>
  <c r="T8" i="27"/>
  <c r="S8" i="27"/>
  <c r="R8" i="27"/>
  <c r="Q8" i="27"/>
  <c r="T7" i="27"/>
  <c r="S7" i="27"/>
  <c r="R7" i="27"/>
  <c r="Q7" i="27"/>
  <c r="T6" i="27"/>
  <c r="S6" i="27"/>
  <c r="R6" i="27"/>
  <c r="R23" i="27"/>
  <c r="AD25" i="14"/>
  <c r="Z8" i="14"/>
  <c r="S23" i="27"/>
  <c r="R37" i="27"/>
  <c r="R9" i="27"/>
  <c r="R16" i="27"/>
  <c r="S9" i="27"/>
  <c r="R30" i="27"/>
  <c r="S16" i="27"/>
  <c r="R24" i="27" l="1"/>
  <c r="Q31" i="27"/>
  <c r="R10" i="27"/>
  <c r="Q38" i="27"/>
  <c r="R17" i="27"/>
  <c r="S37" i="27"/>
  <c r="S30" i="27"/>
  <c r="T16" i="27"/>
  <c r="T23" i="27"/>
  <c r="T9" i="27"/>
  <c r="AR4" i="20"/>
  <c r="AQ4" i="20"/>
  <c r="AP4" i="20"/>
  <c r="AU4" i="20" s="1"/>
  <c r="AV3" i="20"/>
  <c r="AT3" i="20"/>
  <c r="AS3" i="20"/>
  <c r="AR3" i="20"/>
  <c r="AW3" i="20" s="1"/>
  <c r="AQ3" i="20"/>
  <c r="AP3" i="20"/>
  <c r="AU3" i="20" s="1"/>
  <c r="AY2" i="20"/>
  <c r="AX2" i="20"/>
  <c r="AW2" i="20"/>
  <c r="AV2" i="20"/>
  <c r="AU2" i="20"/>
  <c r="AH95" i="20"/>
  <c r="AG95" i="20"/>
  <c r="AF95" i="20"/>
  <c r="AE95" i="20"/>
  <c r="AD95" i="20"/>
  <c r="AD8" i="14"/>
  <c r="AB25" i="14"/>
  <c r="AC25" i="14" l="1"/>
  <c r="AA8" i="14"/>
  <c r="H82" i="27"/>
  <c r="G86" i="27" s="1"/>
  <c r="H86" i="27" s="1"/>
  <c r="AV4" i="20"/>
  <c r="AQ5" i="20"/>
  <c r="AW4" i="20"/>
  <c r="AR5" i="20"/>
  <c r="AY3" i="20"/>
  <c r="AT4" i="20"/>
  <c r="AX3" i="20"/>
  <c r="AS4" i="20"/>
  <c r="AP5" i="20"/>
  <c r="AS5" i="20" l="1"/>
  <c r="AX4" i="20"/>
  <c r="AT5" i="20"/>
  <c r="AY4" i="20"/>
  <c r="AR6" i="20"/>
  <c r="AW5" i="20"/>
  <c r="AU5" i="20"/>
  <c r="AP6" i="20"/>
  <c r="AQ6" i="20"/>
  <c r="AV5" i="20"/>
  <c r="AP7" i="20" l="1"/>
  <c r="AU6" i="20"/>
  <c r="AY5" i="20"/>
  <c r="AT6" i="20"/>
  <c r="AW6" i="20"/>
  <c r="AR7" i="20"/>
  <c r="AQ7" i="20"/>
  <c r="AV6" i="20"/>
  <c r="AS6" i="20"/>
  <c r="AX5" i="20"/>
  <c r="AV7" i="20" l="1"/>
  <c r="AQ8" i="20"/>
  <c r="AW7" i="20"/>
  <c r="AR8" i="20"/>
  <c r="AY6" i="20"/>
  <c r="AT7" i="20"/>
  <c r="AX6" i="20"/>
  <c r="AS7" i="20"/>
  <c r="AU7" i="20"/>
  <c r="AP8" i="20"/>
  <c r="AY7" i="20" l="1"/>
  <c r="AT8" i="20"/>
  <c r="AW8" i="20"/>
  <c r="AR9" i="20"/>
  <c r="AU8" i="20"/>
  <c r="AP9" i="20"/>
  <c r="AV8" i="20"/>
  <c r="AQ9" i="20"/>
  <c r="AX7" i="20"/>
  <c r="AS8" i="20"/>
  <c r="AQ10" i="20" l="1"/>
  <c r="AV9" i="20"/>
  <c r="AU9" i="20"/>
  <c r="AP10" i="20"/>
  <c r="AR10" i="20"/>
  <c r="AW9" i="20"/>
  <c r="AS9" i="20"/>
  <c r="AX8" i="20"/>
  <c r="AT9" i="20"/>
  <c r="AY8" i="20"/>
  <c r="AW10" i="20" l="1"/>
  <c r="AR11" i="20"/>
  <c r="AP11" i="20"/>
  <c r="AU10" i="20"/>
  <c r="AS10" i="20"/>
  <c r="AX9" i="20"/>
  <c r="AY9" i="20"/>
  <c r="AT10" i="20"/>
  <c r="AQ11" i="20"/>
  <c r="AV10" i="20"/>
  <c r="AY10" i="20" l="1"/>
  <c r="AT11" i="20"/>
  <c r="AX10" i="20"/>
  <c r="AS11" i="20"/>
  <c r="AU11" i="20"/>
  <c r="AP12" i="20"/>
  <c r="AW11" i="20"/>
  <c r="AR12" i="20"/>
  <c r="AV11" i="20"/>
  <c r="AQ12" i="20"/>
  <c r="AW12" i="20" l="1"/>
  <c r="AR13" i="20"/>
  <c r="AU12" i="20"/>
  <c r="AP13" i="20"/>
  <c r="AX11" i="20"/>
  <c r="AS12" i="20"/>
  <c r="AV12" i="20"/>
  <c r="AQ13" i="20"/>
  <c r="AY11" i="20"/>
  <c r="AT12" i="20"/>
  <c r="AQ14" i="20" l="1"/>
  <c r="AV13" i="20"/>
  <c r="AS13" i="20"/>
  <c r="AX12" i="20"/>
  <c r="AU13" i="20"/>
  <c r="AP14" i="20"/>
  <c r="AT13" i="20"/>
  <c r="AY12" i="20"/>
  <c r="AR14" i="20"/>
  <c r="AW13" i="20"/>
  <c r="AP15" i="20" l="1"/>
  <c r="AU14" i="20"/>
  <c r="AY13" i="20"/>
  <c r="AT14" i="20"/>
  <c r="AS14" i="20"/>
  <c r="AX13" i="20"/>
  <c r="AW14" i="20"/>
  <c r="AR15" i="20"/>
  <c r="AQ15" i="20"/>
  <c r="AV14" i="20"/>
  <c r="AW15" i="20" l="1"/>
  <c r="AR16" i="20"/>
  <c r="AY14" i="20"/>
  <c r="AT15" i="20"/>
  <c r="AX14" i="20"/>
  <c r="AS15" i="20"/>
  <c r="AV15" i="20"/>
  <c r="AQ16" i="20"/>
  <c r="AU15" i="20"/>
  <c r="AP16" i="20"/>
  <c r="AV16" i="20" l="1"/>
  <c r="AQ17" i="20"/>
  <c r="AY15" i="20"/>
  <c r="AT16" i="20"/>
  <c r="AX15" i="20"/>
  <c r="AS16" i="20"/>
  <c r="AU16" i="20"/>
  <c r="AP17" i="20"/>
  <c r="AW16" i="20"/>
  <c r="AR17" i="20"/>
  <c r="AU17" i="20" l="1"/>
  <c r="AP18" i="20"/>
  <c r="AR18" i="20"/>
  <c r="AW17" i="20"/>
  <c r="AS17" i="20"/>
  <c r="AX16" i="20"/>
  <c r="AT17" i="20"/>
  <c r="AY16" i="20"/>
  <c r="AQ18" i="20"/>
  <c r="AV17" i="20"/>
  <c r="AQ19" i="20" l="1"/>
  <c r="AV18" i="20"/>
  <c r="AY17" i="20"/>
  <c r="AT18" i="20"/>
  <c r="AS18" i="20"/>
  <c r="AX17" i="20"/>
  <c r="AW18" i="20"/>
  <c r="AR19" i="20"/>
  <c r="AP19" i="20"/>
  <c r="AU18" i="20"/>
  <c r="AW19" i="20" l="1"/>
  <c r="AR20" i="20"/>
  <c r="AX18" i="20"/>
  <c r="AS19" i="20"/>
  <c r="AY18" i="20"/>
  <c r="AT19" i="20"/>
  <c r="AU19" i="20"/>
  <c r="AP20" i="20"/>
  <c r="AV19" i="20"/>
  <c r="AQ20" i="20"/>
  <c r="AU20" i="20" l="1"/>
  <c r="AP21" i="20"/>
  <c r="AY19" i="20"/>
  <c r="AT20" i="20"/>
  <c r="AX19" i="20"/>
  <c r="AS20" i="20"/>
  <c r="AV20" i="20"/>
  <c r="AQ21" i="20"/>
  <c r="AW20" i="20"/>
  <c r="AR21" i="20"/>
  <c r="AR22" i="20" l="1"/>
  <c r="AW21" i="20"/>
  <c r="AQ22" i="20"/>
  <c r="AV21" i="20"/>
  <c r="AS21" i="20"/>
  <c r="AX20" i="20"/>
  <c r="AT21" i="20"/>
  <c r="AY20" i="20"/>
  <c r="AU21" i="20"/>
  <c r="AP22" i="20"/>
  <c r="AW22" i="20" l="1"/>
  <c r="AR23" i="20"/>
  <c r="AY21" i="20"/>
  <c r="AT22" i="20"/>
  <c r="AS22" i="20"/>
  <c r="AX21" i="20"/>
  <c r="AQ23" i="20"/>
  <c r="AV22" i="20"/>
  <c r="AP23" i="20"/>
  <c r="AU22" i="20"/>
  <c r="AW23" i="20" l="1"/>
  <c r="AR24" i="20"/>
  <c r="AU23" i="20"/>
  <c r="AP24" i="20"/>
  <c r="AV23" i="20"/>
  <c r="AQ24" i="20"/>
  <c r="AX22" i="20"/>
  <c r="AS23" i="20"/>
  <c r="AY22" i="20"/>
  <c r="AT23" i="20"/>
  <c r="AU24" i="20" l="1"/>
  <c r="AP25" i="20"/>
  <c r="AV24" i="20"/>
  <c r="AQ25" i="20"/>
  <c r="AY23" i="20"/>
  <c r="AT24" i="20"/>
  <c r="AW24" i="20"/>
  <c r="AR25" i="20"/>
  <c r="AX23" i="20"/>
  <c r="AS24" i="20"/>
  <c r="AS25" i="20" l="1"/>
  <c r="AX24" i="20"/>
  <c r="AR26" i="20"/>
  <c r="AW25" i="20"/>
  <c r="AT25" i="20"/>
  <c r="AY24" i="20"/>
  <c r="AU25" i="20"/>
  <c r="AP26" i="20"/>
  <c r="AQ26" i="20"/>
  <c r="AV25" i="20"/>
  <c r="AP27" i="20" l="1"/>
  <c r="AU26" i="20"/>
  <c r="AY25" i="20"/>
  <c r="AT26" i="20"/>
  <c r="AW26" i="20"/>
  <c r="AR27" i="20"/>
  <c r="AQ27" i="20"/>
  <c r="AV26" i="20"/>
  <c r="AS26" i="20"/>
  <c r="AX25" i="20"/>
  <c r="AW27" i="20" l="1"/>
  <c r="AR28" i="20"/>
  <c r="AQ28" i="20"/>
  <c r="AV27" i="20"/>
  <c r="AY26" i="20"/>
  <c r="AT27" i="20"/>
  <c r="AX26" i="20"/>
  <c r="AS27" i="20"/>
  <c r="AU27" i="20"/>
  <c r="AP28" i="20"/>
  <c r="AX27" i="20" l="1"/>
  <c r="AS28" i="20"/>
  <c r="AY27" i="20"/>
  <c r="AT28" i="20"/>
  <c r="AV28" i="20"/>
  <c r="AQ29" i="20"/>
  <c r="AU28" i="20"/>
  <c r="AP29" i="20"/>
  <c r="AW28" i="20"/>
  <c r="AR29" i="20"/>
  <c r="AP30" i="20" l="1"/>
  <c r="AU29" i="20"/>
  <c r="AQ30" i="20"/>
  <c r="AV29" i="20"/>
  <c r="AT29" i="20"/>
  <c r="AY28" i="20"/>
  <c r="AR30" i="20"/>
  <c r="AW29" i="20"/>
  <c r="AS29" i="20"/>
  <c r="AX28" i="20"/>
  <c r="AR31" i="20" l="1"/>
  <c r="AW30" i="20"/>
  <c r="AT30" i="20"/>
  <c r="AY29" i="20"/>
  <c r="AQ31" i="20"/>
  <c r="AV30" i="20"/>
  <c r="AS30" i="20"/>
  <c r="AX29" i="20"/>
  <c r="AP31" i="20"/>
  <c r="AU30" i="20"/>
  <c r="AQ32" i="20" l="1"/>
  <c r="AV31" i="20"/>
  <c r="AY30" i="20"/>
  <c r="AT31" i="20"/>
  <c r="AS31" i="20"/>
  <c r="AX30" i="20"/>
  <c r="AU31" i="20"/>
  <c r="AP32" i="20"/>
  <c r="AW31" i="20"/>
  <c r="AR32" i="20"/>
  <c r="AW32" i="20" l="1"/>
  <c r="AR33" i="20"/>
  <c r="AV32" i="20"/>
  <c r="AQ33" i="20"/>
  <c r="AU32" i="20"/>
  <c r="AP33" i="20"/>
  <c r="AX31" i="20"/>
  <c r="AS32" i="20"/>
  <c r="AT32" i="20"/>
  <c r="AY31" i="20"/>
  <c r="AS33" i="20" l="1"/>
  <c r="AX32" i="20"/>
  <c r="AP34" i="20"/>
  <c r="AU33" i="20"/>
  <c r="AQ34" i="20"/>
  <c r="AV33" i="20"/>
  <c r="AR34" i="20"/>
  <c r="AW33" i="20"/>
  <c r="AT33" i="20"/>
  <c r="AY32" i="20"/>
  <c r="AR35" i="20" l="1"/>
  <c r="AW34" i="20"/>
  <c r="AQ35" i="20"/>
  <c r="AV34" i="20"/>
  <c r="AP35" i="20"/>
  <c r="AU34" i="20"/>
  <c r="AY33" i="20"/>
  <c r="AT34" i="20"/>
  <c r="AS34" i="20"/>
  <c r="AX33" i="20"/>
  <c r="AS35" i="20" l="1"/>
  <c r="AX34" i="20"/>
  <c r="AW35" i="20"/>
  <c r="AR36" i="20"/>
  <c r="AY34" i="20"/>
  <c r="AT35" i="20"/>
  <c r="AU35" i="20"/>
  <c r="AP36" i="20"/>
  <c r="AQ36" i="20"/>
  <c r="AV35" i="20"/>
  <c r="AU36" i="20" l="1"/>
  <c r="AP37" i="20"/>
  <c r="AT36" i="20"/>
  <c r="AY35" i="20"/>
  <c r="AW36" i="20"/>
  <c r="AR37" i="20"/>
  <c r="AV36" i="20"/>
  <c r="AQ37" i="20"/>
  <c r="AX35" i="20"/>
  <c r="AS36" i="20"/>
  <c r="AQ38" i="20" l="1"/>
  <c r="AV37" i="20"/>
  <c r="AR38" i="20"/>
  <c r="AW37" i="20"/>
  <c r="AT37" i="20"/>
  <c r="AY36" i="20"/>
  <c r="AS37" i="20"/>
  <c r="AX36" i="20"/>
  <c r="AP38" i="20"/>
  <c r="AU37" i="20"/>
  <c r="AP39" i="20" l="1"/>
  <c r="AU38" i="20"/>
  <c r="AX37" i="20"/>
  <c r="AS38" i="20"/>
  <c r="AY37" i="20"/>
  <c r="AT38" i="20"/>
  <c r="AR39" i="20"/>
  <c r="AW38" i="20"/>
  <c r="AQ39" i="20"/>
  <c r="AV38" i="20"/>
  <c r="AW39" i="20" l="1"/>
  <c r="AR40" i="20"/>
  <c r="AY38" i="20"/>
  <c r="AT39" i="20"/>
  <c r="AS39" i="20"/>
  <c r="AX38" i="20"/>
  <c r="AQ40" i="20"/>
  <c r="AV39" i="20"/>
  <c r="AP40" i="20"/>
  <c r="AU39" i="20"/>
  <c r="AV40" i="20" l="1"/>
  <c r="AQ41" i="20"/>
  <c r="AX39" i="20"/>
  <c r="AS40" i="20"/>
  <c r="AT40" i="20"/>
  <c r="AY39" i="20"/>
  <c r="AW40" i="20"/>
  <c r="AR41" i="20"/>
  <c r="AU40" i="20"/>
  <c r="AP41" i="20"/>
  <c r="AR42" i="20" l="1"/>
  <c r="AW41" i="20"/>
  <c r="AT41" i="20"/>
  <c r="AY40" i="20"/>
  <c r="AS41" i="20"/>
  <c r="AX40" i="20"/>
  <c r="AU41" i="20"/>
  <c r="AP42" i="20"/>
  <c r="AQ42" i="20"/>
  <c r="AV41" i="20"/>
  <c r="AX41" i="20" l="1"/>
  <c r="AS42" i="20"/>
  <c r="AY41" i="20"/>
  <c r="AT42" i="20"/>
  <c r="AP43" i="20"/>
  <c r="AU42" i="20"/>
  <c r="AQ43" i="20"/>
  <c r="AV42" i="20"/>
  <c r="AR43" i="20"/>
  <c r="AW42" i="20"/>
  <c r="AY42" i="20" l="1"/>
  <c r="AT43" i="20"/>
  <c r="AQ44" i="20"/>
  <c r="AV43" i="20"/>
  <c r="AP44" i="20"/>
  <c r="AU43" i="20"/>
  <c r="AS43" i="20"/>
  <c r="AX42" i="20"/>
  <c r="AW43" i="20"/>
  <c r="AR44" i="20"/>
  <c r="AX43" i="20" l="1"/>
  <c r="AS44" i="20"/>
  <c r="AU44" i="20"/>
  <c r="AP45" i="20"/>
  <c r="AV44" i="20"/>
  <c r="AQ45" i="20"/>
  <c r="AR45" i="20"/>
  <c r="AW44" i="20"/>
  <c r="AT44" i="20"/>
  <c r="AY43" i="20"/>
  <c r="AR46" i="20" l="1"/>
  <c r="AW45" i="20"/>
  <c r="AQ46" i="20"/>
  <c r="AV45" i="20"/>
  <c r="AU45" i="20"/>
  <c r="AP46" i="20"/>
  <c r="AS45" i="20"/>
  <c r="AX44" i="20"/>
  <c r="AT45" i="20"/>
  <c r="AY44" i="20"/>
  <c r="AX45" i="20" l="1"/>
  <c r="AS46" i="20"/>
  <c r="AQ47" i="20"/>
  <c r="AV46" i="20"/>
  <c r="AP47" i="20"/>
  <c r="AU46" i="20"/>
  <c r="AT46" i="20"/>
  <c r="AY45" i="20"/>
  <c r="AW46" i="20"/>
  <c r="AR47" i="20"/>
  <c r="AY46" i="20" l="1"/>
  <c r="AT47" i="20"/>
  <c r="AU47" i="20"/>
  <c r="AP48" i="20"/>
  <c r="AQ48" i="20"/>
  <c r="AV47" i="20"/>
  <c r="AW47" i="20"/>
  <c r="AR48" i="20"/>
  <c r="AS47" i="20"/>
  <c r="AX46" i="20"/>
  <c r="AR49" i="20" l="1"/>
  <c r="AW48" i="20"/>
  <c r="AU48" i="20"/>
  <c r="AP49" i="20"/>
  <c r="AY47" i="20"/>
  <c r="AT48" i="20"/>
  <c r="AV48" i="20"/>
  <c r="AQ49" i="20"/>
  <c r="AX47" i="20"/>
  <c r="AS48" i="20"/>
  <c r="AS49" i="20" l="1"/>
  <c r="AX48" i="20"/>
  <c r="AR50" i="20"/>
  <c r="AW49" i="20"/>
  <c r="AQ50" i="20"/>
  <c r="AV49" i="20"/>
  <c r="AT49" i="20"/>
  <c r="AY48" i="20"/>
  <c r="AU49" i="20"/>
  <c r="AP50" i="20"/>
  <c r="AT50" i="20" l="1"/>
  <c r="AY49" i="20"/>
  <c r="AV50" i="20"/>
  <c r="AQ51" i="20"/>
  <c r="AR51" i="20"/>
  <c r="AW50" i="20"/>
  <c r="AP51" i="20"/>
  <c r="AU50" i="20"/>
  <c r="AX49" i="20"/>
  <c r="AS50" i="20"/>
  <c r="AP52" i="20" l="1"/>
  <c r="AU51" i="20"/>
  <c r="AW51" i="20"/>
  <c r="AR52" i="20"/>
  <c r="AQ52" i="20"/>
  <c r="AV51" i="20"/>
  <c r="AS51" i="20"/>
  <c r="AX50" i="20"/>
  <c r="AY50" i="20"/>
  <c r="AT51" i="20"/>
  <c r="AX51" i="20" l="1"/>
  <c r="AS52" i="20"/>
  <c r="AU52" i="20"/>
  <c r="AP53" i="20"/>
  <c r="AV52" i="20"/>
  <c r="AQ53" i="20"/>
  <c r="AW52" i="20"/>
  <c r="AR53" i="20"/>
  <c r="AT52" i="20"/>
  <c r="AY51" i="20"/>
  <c r="AT53" i="20" l="1"/>
  <c r="AY52" i="20"/>
  <c r="AR54" i="20"/>
  <c r="AW53" i="20"/>
  <c r="AQ54" i="20"/>
  <c r="AV53" i="20"/>
  <c r="AP54" i="20"/>
  <c r="AU53" i="20"/>
  <c r="AS53" i="20"/>
  <c r="AX52" i="20"/>
  <c r="AX53" i="20" l="1"/>
  <c r="AS54" i="20"/>
  <c r="AT54" i="20"/>
  <c r="AY53" i="20"/>
  <c r="AP55" i="20"/>
  <c r="AU54" i="20"/>
  <c r="AV54" i="20"/>
  <c r="AQ55" i="20"/>
  <c r="AR55" i="20"/>
  <c r="AW54" i="20"/>
  <c r="AQ56" i="20" l="1"/>
  <c r="AV55" i="20"/>
  <c r="AP56" i="20"/>
  <c r="AU55" i="20"/>
  <c r="AY54" i="20"/>
  <c r="AT55" i="20"/>
  <c r="AS55" i="20"/>
  <c r="AX54" i="20"/>
  <c r="AW55" i="20"/>
  <c r="AR56" i="20"/>
  <c r="AX55" i="20" l="1"/>
  <c r="AS56" i="20"/>
  <c r="AY55" i="20"/>
  <c r="AT56" i="20"/>
  <c r="AU56" i="20"/>
  <c r="AP57" i="20"/>
  <c r="AR57" i="20"/>
  <c r="AW56" i="20"/>
  <c r="AV56" i="20"/>
  <c r="AQ57" i="20"/>
  <c r="AR58" i="20" l="1"/>
  <c r="AW57" i="20"/>
  <c r="AU57" i="20"/>
  <c r="AP58" i="20"/>
  <c r="AT57" i="20"/>
  <c r="AY56" i="20"/>
  <c r="AQ58" i="20"/>
  <c r="AV57" i="20"/>
  <c r="AS57" i="20"/>
  <c r="AX56" i="20"/>
  <c r="AV58" i="20" l="1"/>
  <c r="AQ59" i="20"/>
  <c r="AP59" i="20"/>
  <c r="AU58" i="20"/>
  <c r="AT58" i="20"/>
  <c r="AY57" i="20"/>
  <c r="AX57" i="20"/>
  <c r="AS58" i="20"/>
  <c r="AW58" i="20"/>
  <c r="AR59" i="20"/>
  <c r="AU59" i="20" l="1"/>
  <c r="AP60" i="20"/>
  <c r="AS59" i="20"/>
  <c r="AX58" i="20"/>
  <c r="AY58" i="20"/>
  <c r="AT59" i="20"/>
  <c r="AW59" i="20"/>
  <c r="AR60" i="20"/>
  <c r="AQ60" i="20"/>
  <c r="AV59" i="20"/>
  <c r="AV60" i="20" l="1"/>
  <c r="AQ61" i="20"/>
  <c r="AR61" i="20"/>
  <c r="AW60" i="20"/>
  <c r="AT60" i="20"/>
  <c r="AY59" i="20"/>
  <c r="AX59" i="20"/>
  <c r="AS60" i="20"/>
  <c r="AU60" i="20"/>
  <c r="AP61" i="20"/>
  <c r="AS61" i="20" l="1"/>
  <c r="AX60" i="20"/>
  <c r="AT61" i="20"/>
  <c r="AY60" i="20"/>
  <c r="AR62" i="20"/>
  <c r="AW61" i="20"/>
  <c r="AU61" i="20"/>
  <c r="AP62" i="20"/>
  <c r="AQ62" i="20"/>
  <c r="AV61" i="20"/>
  <c r="AV62" i="20" l="1"/>
  <c r="AQ63" i="20"/>
  <c r="AX61" i="20"/>
  <c r="AS62" i="20"/>
  <c r="AP63" i="20"/>
  <c r="AU62" i="20"/>
  <c r="AW62" i="20"/>
  <c r="AR63" i="20"/>
  <c r="AY61" i="20"/>
  <c r="AT62" i="20"/>
  <c r="AU63" i="20" l="1"/>
  <c r="AP64" i="20"/>
  <c r="AS63" i="20"/>
  <c r="AX62" i="20"/>
  <c r="AY62" i="20"/>
  <c r="AT63" i="20"/>
  <c r="AQ64" i="20"/>
  <c r="AV63" i="20"/>
  <c r="AW63" i="20"/>
  <c r="AR64" i="20"/>
  <c r="AV64" i="20" l="1"/>
  <c r="AQ65" i="20"/>
  <c r="AY63" i="20"/>
  <c r="AT64" i="20"/>
  <c r="AX63" i="20"/>
  <c r="AS64" i="20"/>
  <c r="AW64" i="20"/>
  <c r="AR65" i="20"/>
  <c r="AU64" i="20"/>
  <c r="AP65" i="20"/>
  <c r="AT65" i="20" l="1"/>
  <c r="AY64" i="20"/>
  <c r="AP66" i="20"/>
  <c r="AU65" i="20"/>
  <c r="AQ66" i="20"/>
  <c r="AV65" i="20"/>
  <c r="AR66" i="20"/>
  <c r="AW65" i="20"/>
  <c r="AS65" i="20"/>
  <c r="AX64" i="20"/>
  <c r="AV66" i="20" l="1"/>
  <c r="AQ67" i="20"/>
  <c r="AW66" i="20"/>
  <c r="AR67" i="20"/>
  <c r="AP67" i="20"/>
  <c r="AU66" i="20"/>
  <c r="AX65" i="20"/>
  <c r="AS66" i="20"/>
  <c r="AY65" i="20"/>
  <c r="AT66" i="20"/>
  <c r="AW67" i="20" l="1"/>
  <c r="AR68" i="20"/>
  <c r="AS67" i="20"/>
  <c r="AX66" i="20"/>
  <c r="AU67" i="20"/>
  <c r="AP68" i="20"/>
  <c r="AY66" i="20"/>
  <c r="AT67" i="20"/>
  <c r="AQ68" i="20"/>
  <c r="AV67" i="20"/>
  <c r="AX67" i="20" l="1"/>
  <c r="AS68" i="20"/>
  <c r="AV68" i="20"/>
  <c r="AQ69" i="20"/>
  <c r="AY67" i="20"/>
  <c r="AT68" i="20"/>
  <c r="AU68" i="20"/>
  <c r="AP69" i="20"/>
  <c r="AR69" i="20"/>
  <c r="AW68" i="20"/>
  <c r="AP70" i="20" l="1"/>
  <c r="AU69" i="20"/>
  <c r="AT69" i="20"/>
  <c r="AY68" i="20"/>
  <c r="AQ70" i="20"/>
  <c r="AV69" i="20"/>
  <c r="AS69" i="20"/>
  <c r="AX68" i="20"/>
  <c r="AR70" i="20"/>
  <c r="AW69" i="20"/>
  <c r="AX69" i="20" l="1"/>
  <c r="AS70" i="20"/>
  <c r="AV70" i="20"/>
  <c r="AQ71" i="20"/>
  <c r="AY69" i="20"/>
  <c r="AT70" i="20"/>
  <c r="AW70" i="20"/>
  <c r="AR71" i="20"/>
  <c r="AP71" i="20"/>
  <c r="AU70" i="20"/>
  <c r="AW71" i="20" l="1"/>
  <c r="AR72" i="20"/>
  <c r="AS71" i="20"/>
  <c r="AX70" i="20"/>
  <c r="AY70" i="20"/>
  <c r="AT71" i="20"/>
  <c r="AQ72" i="20"/>
  <c r="AV71" i="20"/>
  <c r="AU71" i="20"/>
  <c r="AP72" i="20"/>
  <c r="AX71" i="20" l="1"/>
  <c r="AS72" i="20"/>
  <c r="AV72" i="20"/>
  <c r="AQ73" i="20"/>
  <c r="AU72" i="20"/>
  <c r="AP73" i="20"/>
  <c r="AR73" i="20"/>
  <c r="AW72" i="20"/>
  <c r="AT72" i="20"/>
  <c r="AY71" i="20"/>
  <c r="AR74" i="20" l="1"/>
  <c r="AW73" i="20"/>
  <c r="AP74" i="20"/>
  <c r="AU73" i="20"/>
  <c r="AQ74" i="20"/>
  <c r="AV73" i="20"/>
  <c r="AS73" i="20"/>
  <c r="AX72" i="20"/>
  <c r="AT73" i="20"/>
  <c r="AY72" i="20"/>
  <c r="AX73" i="20" l="1"/>
  <c r="AS74" i="20"/>
  <c r="AV74" i="20"/>
  <c r="AQ75" i="20"/>
  <c r="AP75" i="20"/>
  <c r="AU74" i="20"/>
  <c r="AY73" i="20"/>
  <c r="AT74" i="20"/>
  <c r="AW74" i="20"/>
  <c r="AR75" i="20"/>
  <c r="AY74" i="20" l="1"/>
  <c r="AT75" i="20"/>
  <c r="AU75" i="20"/>
  <c r="AP76" i="20"/>
  <c r="AQ76" i="20"/>
  <c r="AV75" i="20"/>
  <c r="AW75" i="20"/>
  <c r="AR76" i="20"/>
  <c r="AS75" i="20"/>
  <c r="AX74" i="20"/>
  <c r="AW76" i="20" l="1"/>
  <c r="AR77" i="20"/>
  <c r="AV76" i="20"/>
  <c r="AQ77" i="20"/>
  <c r="AT76" i="20"/>
  <c r="AY75" i="20"/>
  <c r="AU76" i="20"/>
  <c r="AP77" i="20"/>
  <c r="AX75" i="20"/>
  <c r="AS76" i="20"/>
  <c r="AP78" i="20" l="1"/>
  <c r="AU77" i="20"/>
  <c r="AT77" i="20"/>
  <c r="AY76" i="20"/>
  <c r="AQ78" i="20"/>
  <c r="AV77" i="20"/>
  <c r="AS77" i="20"/>
  <c r="AX76" i="20"/>
  <c r="AR78" i="20"/>
  <c r="AW77" i="20"/>
  <c r="AV78" i="20" l="1"/>
  <c r="AQ79" i="20"/>
  <c r="AY77" i="20"/>
  <c r="AT78" i="20"/>
  <c r="AX77" i="20"/>
  <c r="AS78" i="20"/>
  <c r="AW78" i="20"/>
  <c r="AR79" i="20"/>
  <c r="AP79" i="20"/>
  <c r="AU78" i="20"/>
  <c r="AW79" i="20" l="1"/>
  <c r="AR80" i="20"/>
  <c r="AS79" i="20"/>
  <c r="AX78" i="20"/>
  <c r="AY78" i="20"/>
  <c r="AT79" i="20"/>
  <c r="AQ80" i="20"/>
  <c r="AV79" i="20"/>
  <c r="AU79" i="20"/>
  <c r="AP80" i="20"/>
  <c r="AV80" i="20" l="1"/>
  <c r="AQ81" i="20"/>
  <c r="AT80" i="20"/>
  <c r="AY79" i="20"/>
  <c r="AX79" i="20"/>
  <c r="AS80" i="20"/>
  <c r="AU80" i="20"/>
  <c r="AP81" i="20"/>
  <c r="AW80" i="20"/>
  <c r="AR81" i="20"/>
  <c r="AP82" i="20" l="1"/>
  <c r="AU81" i="20"/>
  <c r="AS81" i="20"/>
  <c r="AX80" i="20"/>
  <c r="AT81" i="20"/>
  <c r="AY80" i="20"/>
  <c r="AR82" i="20"/>
  <c r="AW81" i="20"/>
  <c r="AQ82" i="20"/>
  <c r="AV81" i="20"/>
  <c r="AW82" i="20" l="1"/>
  <c r="AR83" i="20"/>
  <c r="AX81" i="20"/>
  <c r="AS82" i="20"/>
  <c r="AY81" i="20"/>
  <c r="AT82" i="20"/>
  <c r="AV82" i="20"/>
  <c r="AQ83" i="20"/>
  <c r="AP83" i="20"/>
  <c r="AU82" i="20"/>
  <c r="AY82" i="20" l="1"/>
  <c r="AT83" i="20"/>
  <c r="AQ84" i="20"/>
  <c r="AV83" i="20"/>
  <c r="AS83" i="20"/>
  <c r="AX82" i="20"/>
  <c r="AW83" i="20"/>
  <c r="AR84" i="20"/>
  <c r="AU83" i="20"/>
  <c r="AP84" i="20"/>
  <c r="AR85" i="20" l="1"/>
  <c r="AW84" i="20"/>
  <c r="AX83" i="20"/>
  <c r="AS84" i="20"/>
  <c r="AV84" i="20"/>
  <c r="AQ85" i="20"/>
  <c r="AU84" i="20"/>
  <c r="AP85" i="20"/>
  <c r="AT84" i="20"/>
  <c r="AY83" i="20"/>
  <c r="AP86" i="20" l="1"/>
  <c r="AU85" i="20"/>
  <c r="AQ86" i="20"/>
  <c r="AV85" i="20"/>
  <c r="AS85" i="20"/>
  <c r="AX84" i="20"/>
  <c r="AT85" i="20"/>
  <c r="AY84" i="20"/>
  <c r="AR86" i="20"/>
  <c r="AW85" i="20"/>
  <c r="AY85" i="20" l="1"/>
  <c r="AT86" i="20"/>
  <c r="AX85" i="20"/>
  <c r="AS86" i="20"/>
  <c r="AV86" i="20"/>
  <c r="AQ87" i="20"/>
  <c r="AW86" i="20"/>
  <c r="AR87" i="20"/>
  <c r="AP87" i="20"/>
  <c r="AU86" i="20"/>
  <c r="AW87" i="20" l="1"/>
  <c r="AR88" i="20"/>
  <c r="AQ88" i="20"/>
  <c r="AV87" i="20"/>
  <c r="AS87" i="20"/>
  <c r="AX86" i="20"/>
  <c r="AY86" i="20"/>
  <c r="AT87" i="20"/>
  <c r="AU87" i="20"/>
  <c r="AP88" i="20"/>
  <c r="AT88" i="20" l="1"/>
  <c r="AY87" i="20"/>
  <c r="AX87" i="20"/>
  <c r="AS88" i="20"/>
  <c r="AV88" i="20"/>
  <c r="AQ89" i="20"/>
  <c r="AU88" i="20"/>
  <c r="AP89" i="20"/>
  <c r="AR89" i="20"/>
  <c r="AW88" i="20"/>
  <c r="AU89" i="20" l="1"/>
  <c r="AP90" i="20"/>
  <c r="AQ90" i="20"/>
  <c r="AV89" i="20"/>
  <c r="AS89" i="20"/>
  <c r="AX88" i="20"/>
  <c r="AR90" i="20"/>
  <c r="AW89" i="20"/>
  <c r="AT89" i="20"/>
  <c r="AY88" i="20"/>
  <c r="AW90" i="20" l="1"/>
  <c r="AR91" i="20"/>
  <c r="AX89" i="20"/>
  <c r="AS90" i="20"/>
  <c r="AV90" i="20"/>
  <c r="AQ91" i="20"/>
  <c r="AP91" i="20"/>
  <c r="AU90" i="20"/>
  <c r="AY89" i="20"/>
  <c r="AT90" i="20"/>
  <c r="AS91" i="20" l="1"/>
  <c r="AX90" i="20"/>
  <c r="AY90" i="20"/>
  <c r="AT91" i="20"/>
  <c r="AW91" i="20"/>
  <c r="AR92" i="20"/>
  <c r="AU91" i="20"/>
  <c r="AP92" i="20"/>
  <c r="AQ92" i="20"/>
  <c r="AV91" i="20"/>
  <c r="AU92" i="20" l="1"/>
  <c r="AP93" i="20"/>
  <c r="AR93" i="20"/>
  <c r="AW92" i="20"/>
  <c r="AT92" i="20"/>
  <c r="AY91" i="20"/>
  <c r="AV92" i="20"/>
  <c r="AQ93" i="20"/>
  <c r="AX91" i="20"/>
  <c r="AS92" i="20"/>
  <c r="AQ94" i="20" l="1"/>
  <c r="AV93" i="20"/>
  <c r="AT93" i="20"/>
  <c r="AY92" i="20"/>
  <c r="AR94" i="20"/>
  <c r="AW93" i="20"/>
  <c r="AS93" i="20"/>
  <c r="AX92" i="20"/>
  <c r="AU93" i="20"/>
  <c r="AP94" i="20"/>
  <c r="AX93" i="20" l="1"/>
  <c r="AS94" i="20"/>
  <c r="AY93" i="20"/>
  <c r="AT94" i="20"/>
  <c r="AW94" i="20"/>
  <c r="AR95" i="20"/>
  <c r="AW95" i="20" s="1"/>
  <c r="AP95" i="20"/>
  <c r="AU95" i="20" s="1"/>
  <c r="AU94" i="20"/>
  <c r="AV94" i="20"/>
  <c r="AQ95" i="20"/>
  <c r="AV95" i="20" s="1"/>
  <c r="AS95" i="20" l="1"/>
  <c r="AX95" i="20" s="1"/>
  <c r="AX94" i="20"/>
  <c r="AY94" i="20"/>
  <c r="AT95" i="20"/>
  <c r="AY95" i="20" s="1"/>
  <c r="I2" i="20" l="1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D82" i="27"/>
  <c r="E82" i="27" s="1"/>
  <c r="AB8" i="14" l="1"/>
  <c r="F82" i="27"/>
  <c r="E86" i="27" s="1"/>
  <c r="Q6" i="27"/>
  <c r="G82" i="27" l="1"/>
  <c r="E100" i="27" s="1"/>
  <c r="AI97" i="20"/>
  <c r="I82" i="27" l="1"/>
  <c r="B19" i="25"/>
  <c r="B18" i="25"/>
  <c r="B15" i="25"/>
  <c r="E14" i="25"/>
  <c r="D14" i="25"/>
  <c r="C14" i="25"/>
  <c r="E13" i="25"/>
  <c r="D13" i="25"/>
  <c r="C13" i="25"/>
  <c r="E12" i="25"/>
  <c r="D12" i="25"/>
  <c r="C12" i="25"/>
  <c r="B12" i="25"/>
  <c r="S18" i="9"/>
  <c r="Q18" i="9"/>
  <c r="O18" i="9"/>
  <c r="I18" i="9"/>
  <c r="B18" i="9"/>
  <c r="S17" i="9"/>
  <c r="Q17" i="9"/>
  <c r="O17" i="9"/>
  <c r="I17" i="9"/>
  <c r="B17" i="9"/>
  <c r="S16" i="9"/>
  <c r="Q16" i="9"/>
  <c r="O16" i="9"/>
  <c r="I16" i="9"/>
  <c r="B16" i="9"/>
  <c r="S15" i="9"/>
  <c r="Q15" i="9"/>
  <c r="O15" i="9"/>
  <c r="I15" i="9"/>
  <c r="B15" i="9"/>
  <c r="S14" i="9"/>
  <c r="Q14" i="9"/>
  <c r="O14" i="9"/>
  <c r="I14" i="9"/>
  <c r="B14" i="9"/>
  <c r="O8" i="9"/>
  <c r="N8" i="9"/>
  <c r="L8" i="9"/>
  <c r="G8" i="9"/>
  <c r="F8" i="9"/>
  <c r="E8" i="9"/>
  <c r="O7" i="9"/>
  <c r="N7" i="9"/>
  <c r="L7" i="9"/>
  <c r="G7" i="9"/>
  <c r="F7" i="9"/>
  <c r="E7" i="9"/>
  <c r="O6" i="9"/>
  <c r="N6" i="9"/>
  <c r="L6" i="9"/>
  <c r="G6" i="9"/>
  <c r="F6" i="9"/>
  <c r="E6" i="9"/>
  <c r="O5" i="9"/>
  <c r="N5" i="9"/>
  <c r="L5" i="9"/>
  <c r="G5" i="9"/>
  <c r="F5" i="9"/>
  <c r="E5" i="9"/>
  <c r="O4" i="9"/>
  <c r="N4" i="9"/>
  <c r="L4" i="9"/>
  <c r="G4" i="9"/>
  <c r="F4" i="9"/>
  <c r="E4" i="9"/>
  <c r="AE35" i="24"/>
  <c r="AD35" i="24"/>
  <c r="AC35" i="24"/>
  <c r="AB35" i="24"/>
  <c r="AA35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S96" i="20"/>
  <c r="R96" i="20"/>
  <c r="Q96" i="20"/>
  <c r="P96" i="20"/>
  <c r="O96" i="20"/>
  <c r="X95" i="20"/>
  <c r="W95" i="20"/>
  <c r="S95" i="20"/>
  <c r="R95" i="20"/>
  <c r="Q95" i="20"/>
  <c r="P95" i="20"/>
  <c r="U95" i="20" s="1"/>
  <c r="O95" i="20"/>
  <c r="T95" i="20" s="1"/>
  <c r="B95" i="20"/>
  <c r="A3" i="20"/>
  <c r="A4" i="20" s="1"/>
  <c r="B2" i="20"/>
  <c r="AF29" i="6"/>
  <c r="AC29" i="6"/>
  <c r="Z29" i="6"/>
  <c r="W29" i="6"/>
  <c r="T29" i="6"/>
  <c r="Q29" i="6"/>
  <c r="N29" i="6"/>
  <c r="K29" i="6"/>
  <c r="H29" i="6"/>
  <c r="E29" i="6"/>
  <c r="AF28" i="6"/>
  <c r="AC28" i="6"/>
  <c r="Z28" i="6"/>
  <c r="W28" i="6"/>
  <c r="T28" i="6"/>
  <c r="Q28" i="6"/>
  <c r="N28" i="6"/>
  <c r="K28" i="6"/>
  <c r="H28" i="6"/>
  <c r="E28" i="6"/>
  <c r="AF27" i="6"/>
  <c r="AC27" i="6"/>
  <c r="Z27" i="6"/>
  <c r="W27" i="6"/>
  <c r="T27" i="6"/>
  <c r="Q27" i="6"/>
  <c r="N27" i="6"/>
  <c r="K27" i="6"/>
  <c r="H27" i="6"/>
  <c r="E27" i="6"/>
  <c r="AF26" i="6"/>
  <c r="AC26" i="6"/>
  <c r="Z26" i="6"/>
  <c r="W26" i="6"/>
  <c r="T26" i="6"/>
  <c r="Q26" i="6"/>
  <c r="N26" i="6"/>
  <c r="K26" i="6"/>
  <c r="H26" i="6"/>
  <c r="E26" i="6"/>
  <c r="AF25" i="6"/>
  <c r="AC25" i="6"/>
  <c r="Z25" i="6"/>
  <c r="W25" i="6"/>
  <c r="T25" i="6"/>
  <c r="Q25" i="6"/>
  <c r="N25" i="6"/>
  <c r="K25" i="6"/>
  <c r="H25" i="6"/>
  <c r="E25" i="6"/>
  <c r="J19" i="6"/>
  <c r="H19" i="6"/>
  <c r="F19" i="6"/>
  <c r="D19" i="6"/>
  <c r="J18" i="6"/>
  <c r="H18" i="6"/>
  <c r="F18" i="6"/>
  <c r="D18" i="6"/>
  <c r="J17" i="6"/>
  <c r="H17" i="6"/>
  <c r="F17" i="6"/>
  <c r="D17" i="6"/>
  <c r="J16" i="6"/>
  <c r="H16" i="6"/>
  <c r="F16" i="6"/>
  <c r="D16" i="6"/>
  <c r="J15" i="6"/>
  <c r="H15" i="6"/>
  <c r="F15" i="6"/>
  <c r="D15" i="6"/>
  <c r="O8" i="6"/>
  <c r="N8" i="6"/>
  <c r="M8" i="6"/>
  <c r="K8" i="6"/>
  <c r="J8" i="6"/>
  <c r="I8" i="6"/>
  <c r="H8" i="6"/>
  <c r="E8" i="6"/>
  <c r="M7" i="6"/>
  <c r="I7" i="6"/>
  <c r="H7" i="6"/>
  <c r="E7" i="6"/>
  <c r="M6" i="6"/>
  <c r="L6" i="6"/>
  <c r="I6" i="6"/>
  <c r="H6" i="6"/>
  <c r="E6" i="6"/>
  <c r="M5" i="6"/>
  <c r="I5" i="6"/>
  <c r="H5" i="6"/>
  <c r="E5" i="6"/>
  <c r="M4" i="6"/>
  <c r="L4" i="6"/>
  <c r="I4" i="6"/>
  <c r="H4" i="6"/>
  <c r="E4" i="6"/>
  <c r="P105" i="13"/>
  <c r="M5" i="9"/>
  <c r="G5" i="6"/>
  <c r="Z25" i="14"/>
  <c r="F4" i="6"/>
  <c r="G4" i="6"/>
  <c r="F6" i="6"/>
  <c r="G6" i="6"/>
  <c r="G7" i="6"/>
  <c r="M8" i="9"/>
  <c r="M6" i="9"/>
  <c r="M4" i="9"/>
  <c r="M7" i="9"/>
  <c r="G8" i="6"/>
  <c r="F5" i="6"/>
  <c r="F7" i="6"/>
  <c r="AA25" i="14" l="1"/>
  <c r="AO2" i="20"/>
  <c r="V95" i="20"/>
  <c r="AM2" i="20"/>
  <c r="A5" i="20"/>
  <c r="B4" i="20"/>
  <c r="B3" i="20"/>
  <c r="AL2" i="20"/>
  <c r="AZ3" i="20"/>
  <c r="L96" i="13"/>
  <c r="L97" i="13"/>
  <c r="L101" i="13" s="1"/>
  <c r="L103" i="13" s="1"/>
  <c r="J4" i="6"/>
  <c r="Q4" i="9"/>
  <c r="R4" i="9" s="1"/>
  <c r="Q5" i="9"/>
  <c r="R5" i="9" s="1"/>
  <c r="J7" i="6"/>
  <c r="Q6" i="9"/>
  <c r="R6" i="9" s="1"/>
  <c r="Q7" i="9"/>
  <c r="R7" i="9" s="1"/>
  <c r="Q8" i="9"/>
  <c r="R8" i="9" s="1"/>
  <c r="J5" i="6"/>
  <c r="J6" i="6"/>
  <c r="R96" i="13"/>
  <c r="AK2" i="20" l="1"/>
  <c r="AN2" i="20"/>
  <c r="A6" i="20"/>
  <c r="B5" i="20"/>
  <c r="BD3" i="20"/>
  <c r="BB3" i="20"/>
  <c r="BC3" i="20"/>
  <c r="V96" i="13"/>
  <c r="B6" i="25" s="1"/>
  <c r="C6" i="25" s="1"/>
  <c r="Q96" i="13"/>
  <c r="V99" i="13"/>
  <c r="N5" i="6"/>
  <c r="O5" i="6" s="1"/>
  <c r="K5" i="6"/>
  <c r="K7" i="6"/>
  <c r="N7" i="6"/>
  <c r="O7" i="6" s="1"/>
  <c r="N6" i="6"/>
  <c r="O6" i="6" s="1"/>
  <c r="K6" i="6"/>
  <c r="K4" i="6"/>
  <c r="N4" i="6"/>
  <c r="O4" i="6" s="1"/>
  <c r="W99" i="13"/>
  <c r="W96" i="13"/>
  <c r="B7" i="25" s="1"/>
  <c r="C7" i="25" s="1"/>
  <c r="AZ2" i="20" l="1"/>
  <c r="BC2" i="20" s="1"/>
  <c r="AZ4" i="20"/>
  <c r="BB4" i="20" s="1"/>
  <c r="AZ5" i="20"/>
  <c r="BB5" i="20" s="1"/>
  <c r="AR96" i="13"/>
  <c r="D7" i="25" s="1"/>
  <c r="F7" i="25" s="1"/>
  <c r="P97" i="13"/>
  <c r="P96" i="13"/>
  <c r="P98" i="13" s="1"/>
  <c r="A7" i="20"/>
  <c r="B6" i="20"/>
  <c r="AQ96" i="13"/>
  <c r="D6" i="25" s="1"/>
  <c r="F6" i="25" s="1"/>
  <c r="BB2" i="20" l="1"/>
  <c r="BD2" i="20"/>
  <c r="AC8" i="14"/>
  <c r="AZ6" i="20"/>
  <c r="E7" i="25"/>
  <c r="AP96" i="13"/>
  <c r="D5" i="25" s="1"/>
  <c r="E5" i="25" s="1"/>
  <c r="U99" i="13"/>
  <c r="O96" i="13"/>
  <c r="O98" i="13" s="1"/>
  <c r="U96" i="13"/>
  <c r="B5" i="25" s="1"/>
  <c r="C5" i="25" s="1"/>
  <c r="A8" i="20"/>
  <c r="B7" i="20"/>
  <c r="E6" i="25"/>
  <c r="BB6" i="20" l="1"/>
  <c r="AZ7" i="20"/>
  <c r="BB7" i="20" s="1"/>
  <c r="T96" i="13"/>
  <c r="B4" i="25" s="1"/>
  <c r="C4" i="25" s="1"/>
  <c r="AO96" i="13"/>
  <c r="D4" i="25" s="1"/>
  <c r="F4" i="25" s="1"/>
  <c r="T99" i="13"/>
  <c r="T102" i="13" s="1"/>
  <c r="F5" i="25"/>
  <c r="B8" i="20"/>
  <c r="A9" i="20"/>
  <c r="AZ8" i="20" l="1"/>
  <c r="BB8" i="20" s="1"/>
  <c r="E4" i="25"/>
  <c r="A10" i="20"/>
  <c r="B9" i="20"/>
  <c r="N96" i="13"/>
  <c r="N98" i="13" s="1"/>
  <c r="AZ9" i="20" l="1"/>
  <c r="AS97" i="13"/>
  <c r="A11" i="20"/>
  <c r="B10" i="20"/>
  <c r="BB9" i="20" l="1"/>
  <c r="AZ10" i="20"/>
  <c r="BB10" i="20" s="1"/>
  <c r="S96" i="13"/>
  <c r="B3" i="25" s="1"/>
  <c r="C3" i="25" s="1"/>
  <c r="S99" i="13"/>
  <c r="B11" i="20"/>
  <c r="A12" i="20"/>
  <c r="AS95" i="13"/>
  <c r="AN96" i="13"/>
  <c r="D3" i="25" s="1"/>
  <c r="AZ11" i="20" l="1"/>
  <c r="BB11" i="20" s="1"/>
  <c r="A13" i="20"/>
  <c r="B12" i="20"/>
  <c r="B8" i="25"/>
  <c r="E3" i="25"/>
  <c r="F3" i="25"/>
  <c r="F8" i="25" s="1"/>
  <c r="AZ12" i="20" l="1"/>
  <c r="B13" i="20"/>
  <c r="A14" i="20"/>
  <c r="B21" i="25"/>
  <c r="B20" i="25"/>
  <c r="AZ13" i="20" l="1"/>
  <c r="BB13" i="20" s="1"/>
  <c r="BB12" i="20"/>
  <c r="A15" i="20"/>
  <c r="B14" i="20"/>
  <c r="AZ14" i="20" l="1"/>
  <c r="BB14" i="20" s="1"/>
  <c r="A16" i="20"/>
  <c r="B15" i="20"/>
  <c r="AZ15" i="20" l="1"/>
  <c r="BB15" i="20" s="1"/>
  <c r="B16" i="20"/>
  <c r="A17" i="20"/>
  <c r="AZ16" i="20" l="1"/>
  <c r="BB16" i="20" s="1"/>
  <c r="B17" i="20"/>
  <c r="A18" i="20"/>
  <c r="AZ17" i="20" l="1"/>
  <c r="BB17" i="20" s="1"/>
  <c r="A19" i="20"/>
  <c r="B18" i="20"/>
  <c r="AZ18" i="20" l="1"/>
  <c r="BB18" i="20" s="1"/>
  <c r="B19" i="20"/>
  <c r="A20" i="20"/>
  <c r="AZ19" i="20" l="1"/>
  <c r="BB19" i="20" s="1"/>
  <c r="A21" i="20"/>
  <c r="B20" i="20"/>
  <c r="AZ20" i="20" l="1"/>
  <c r="BB20" i="20" s="1"/>
  <c r="A22" i="20"/>
  <c r="B21" i="20"/>
  <c r="AZ21" i="20" l="1"/>
  <c r="BB21" i="20" s="1"/>
  <c r="B22" i="20"/>
  <c r="A23" i="20"/>
  <c r="AZ22" i="20" l="1"/>
  <c r="BB22" i="20" s="1"/>
  <c r="B23" i="20"/>
  <c r="A24" i="20"/>
  <c r="AZ23" i="20" l="1"/>
  <c r="BB23" i="20" s="1"/>
  <c r="A25" i="20"/>
  <c r="B24" i="20"/>
  <c r="AZ24" i="20" l="1"/>
  <c r="BB24" i="20" s="1"/>
  <c r="A26" i="20"/>
  <c r="B25" i="20"/>
  <c r="AZ25" i="20" l="1"/>
  <c r="BB25" i="20" s="1"/>
  <c r="B26" i="20"/>
  <c r="A27" i="20"/>
  <c r="AZ26" i="20" l="1"/>
  <c r="BB26" i="20" s="1"/>
  <c r="A28" i="20"/>
  <c r="B27" i="20"/>
  <c r="AZ27" i="20" l="1"/>
  <c r="BB27" i="20" s="1"/>
  <c r="A29" i="20"/>
  <c r="B28" i="20"/>
  <c r="AZ28" i="20" l="1"/>
  <c r="BB28" i="20" s="1"/>
  <c r="B29" i="20"/>
  <c r="A30" i="20"/>
  <c r="AZ29" i="20" l="1"/>
  <c r="BB29" i="20" s="1"/>
  <c r="A31" i="20"/>
  <c r="B30" i="20"/>
  <c r="AZ30" i="20" l="1"/>
  <c r="BB30" i="20" s="1"/>
  <c r="B31" i="20"/>
  <c r="A32" i="20"/>
  <c r="AZ31" i="20" l="1"/>
  <c r="BB31" i="20" s="1"/>
  <c r="B32" i="20"/>
  <c r="A33" i="20"/>
  <c r="AZ32" i="20" l="1"/>
  <c r="BB32" i="20" s="1"/>
  <c r="A34" i="20"/>
  <c r="B33" i="20"/>
  <c r="AZ33" i="20" l="1"/>
  <c r="BB33" i="20" s="1"/>
  <c r="B34" i="20"/>
  <c r="A35" i="20"/>
  <c r="AZ34" i="20" l="1"/>
  <c r="BB34" i="20" s="1"/>
  <c r="B35" i="20"/>
  <c r="A36" i="20"/>
  <c r="AZ35" i="20" l="1"/>
  <c r="BB35" i="20" s="1"/>
  <c r="A37" i="20"/>
  <c r="B36" i="20"/>
  <c r="AZ36" i="20" l="1"/>
  <c r="BB36" i="20" s="1"/>
  <c r="A38" i="20"/>
  <c r="B37" i="20"/>
  <c r="AZ37" i="20" l="1"/>
  <c r="BB37" i="20" s="1"/>
  <c r="A39" i="20"/>
  <c r="B38" i="20"/>
  <c r="AZ38" i="20" l="1"/>
  <c r="BB38" i="20" s="1"/>
  <c r="B39" i="20"/>
  <c r="A40" i="20"/>
  <c r="AZ39" i="20" l="1"/>
  <c r="BB39" i="20" s="1"/>
  <c r="A41" i="20"/>
  <c r="B40" i="20"/>
  <c r="AZ40" i="20" l="1"/>
  <c r="BB40" i="20" s="1"/>
  <c r="A42" i="20"/>
  <c r="B41" i="20"/>
  <c r="AZ41" i="20" l="1"/>
  <c r="BB41" i="20" s="1"/>
  <c r="B42" i="20"/>
  <c r="A43" i="20"/>
  <c r="AZ42" i="20" l="1"/>
  <c r="BB42" i="20" s="1"/>
  <c r="B43" i="20"/>
  <c r="A44" i="20"/>
  <c r="AZ43" i="20" l="1"/>
  <c r="BB43" i="20" s="1"/>
  <c r="A45" i="20"/>
  <c r="B44" i="20"/>
  <c r="AZ44" i="20" l="1"/>
  <c r="BB44" i="20" s="1"/>
  <c r="A46" i="20"/>
  <c r="B45" i="20"/>
  <c r="AZ45" i="20" l="1"/>
  <c r="BB45" i="20" s="1"/>
  <c r="A47" i="20"/>
  <c r="B46" i="20"/>
  <c r="AZ46" i="20" l="1"/>
  <c r="BB46" i="20" s="1"/>
  <c r="B47" i="20"/>
  <c r="A48" i="20"/>
  <c r="AZ47" i="20" l="1"/>
  <c r="BB47" i="20" s="1"/>
  <c r="A49" i="20"/>
  <c r="B48" i="20"/>
  <c r="AZ48" i="20" l="1"/>
  <c r="BB48" i="20" s="1"/>
  <c r="A50" i="20"/>
  <c r="B49" i="20"/>
  <c r="AZ49" i="20" l="1"/>
  <c r="BB49" i="20" s="1"/>
  <c r="B50" i="20"/>
  <c r="A51" i="20"/>
  <c r="AZ50" i="20" l="1"/>
  <c r="BB50" i="20" s="1"/>
  <c r="B51" i="20"/>
  <c r="A52" i="20"/>
  <c r="AZ51" i="20" l="1"/>
  <c r="BB51" i="20" s="1"/>
  <c r="A53" i="20"/>
  <c r="B52" i="20"/>
  <c r="AZ52" i="20" l="1"/>
  <c r="BB52" i="20" s="1"/>
  <c r="A54" i="20"/>
  <c r="B53" i="20"/>
  <c r="AZ53" i="20" l="1"/>
  <c r="BB53" i="20" s="1"/>
  <c r="A55" i="20"/>
  <c r="B54" i="20"/>
  <c r="AZ54" i="20" l="1"/>
  <c r="BB54" i="20" s="1"/>
  <c r="B55" i="20"/>
  <c r="A56" i="20"/>
  <c r="AZ55" i="20" l="1"/>
  <c r="BB55" i="20" s="1"/>
  <c r="A57" i="20"/>
  <c r="B56" i="20"/>
  <c r="AZ56" i="20" l="1"/>
  <c r="BB56" i="20" s="1"/>
  <c r="A58" i="20"/>
  <c r="B57" i="20"/>
  <c r="AZ57" i="20" l="1"/>
  <c r="BB57" i="20" s="1"/>
  <c r="B58" i="20"/>
  <c r="A59" i="20"/>
  <c r="AZ58" i="20" l="1"/>
  <c r="BB58" i="20" s="1"/>
  <c r="A60" i="20"/>
  <c r="B59" i="20"/>
  <c r="AZ59" i="20" l="1"/>
  <c r="BB59" i="20" s="1"/>
  <c r="A61" i="20"/>
  <c r="B60" i="20"/>
  <c r="AZ60" i="20" l="1"/>
  <c r="BB60" i="20" s="1"/>
  <c r="A62" i="20"/>
  <c r="B61" i="20"/>
  <c r="AZ61" i="20" l="1"/>
  <c r="BB61" i="20" s="1"/>
  <c r="A63" i="20"/>
  <c r="B62" i="20"/>
  <c r="AZ62" i="20" l="1"/>
  <c r="BB62" i="20" s="1"/>
  <c r="B63" i="20"/>
  <c r="A64" i="20"/>
  <c r="AZ63" i="20" l="1"/>
  <c r="BB63" i="20" s="1"/>
  <c r="A65" i="20"/>
  <c r="B64" i="20"/>
  <c r="AZ64" i="20" l="1"/>
  <c r="BB64" i="20" s="1"/>
  <c r="A66" i="20"/>
  <c r="B65" i="20"/>
  <c r="AZ65" i="20" l="1"/>
  <c r="BB65" i="20" s="1"/>
  <c r="B66" i="20"/>
  <c r="A67" i="20"/>
  <c r="AZ66" i="20" l="1"/>
  <c r="BB66" i="20" s="1"/>
  <c r="A68" i="20"/>
  <c r="B67" i="20"/>
  <c r="AZ67" i="20" l="1"/>
  <c r="BB67" i="20" s="1"/>
  <c r="A69" i="20"/>
  <c r="B68" i="20"/>
  <c r="AZ68" i="20" l="1"/>
  <c r="BB68" i="20" s="1"/>
  <c r="A70" i="20"/>
  <c r="B69" i="20"/>
  <c r="AZ69" i="20" l="1"/>
  <c r="BB69" i="20" s="1"/>
  <c r="A71" i="20"/>
  <c r="B70" i="20"/>
  <c r="AZ70" i="20" l="1"/>
  <c r="BB70" i="20" s="1"/>
  <c r="B71" i="20"/>
  <c r="A72" i="20"/>
  <c r="AZ71" i="20" l="1"/>
  <c r="BB71" i="20" s="1"/>
  <c r="A73" i="20"/>
  <c r="B72" i="20"/>
  <c r="AZ72" i="20" l="1"/>
  <c r="BB72" i="20" s="1"/>
  <c r="A74" i="20"/>
  <c r="B73" i="20"/>
  <c r="AZ73" i="20" l="1"/>
  <c r="BB73" i="20" s="1"/>
  <c r="B74" i="20"/>
  <c r="A75" i="20"/>
  <c r="AZ74" i="20" l="1"/>
  <c r="BB74" i="20" s="1"/>
  <c r="A76" i="20"/>
  <c r="B75" i="20"/>
  <c r="AZ75" i="20" l="1"/>
  <c r="BB75" i="20" s="1"/>
  <c r="A77" i="20"/>
  <c r="B76" i="20"/>
  <c r="AZ76" i="20" l="1"/>
  <c r="BB76" i="20" s="1"/>
  <c r="A78" i="20"/>
  <c r="B77" i="20"/>
  <c r="AZ77" i="20" l="1"/>
  <c r="BB77" i="20" s="1"/>
  <c r="A79" i="20"/>
  <c r="B78" i="20"/>
  <c r="AZ78" i="20" l="1"/>
  <c r="BB78" i="20" s="1"/>
  <c r="B79" i="20"/>
  <c r="A80" i="20"/>
  <c r="AZ79" i="20" l="1"/>
  <c r="BB79" i="20" s="1"/>
  <c r="A81" i="20"/>
  <c r="B80" i="20"/>
  <c r="AZ80" i="20" l="1"/>
  <c r="BB80" i="20" s="1"/>
  <c r="A82" i="20"/>
  <c r="B81" i="20"/>
  <c r="AZ81" i="20" l="1"/>
  <c r="BB81" i="20" s="1"/>
  <c r="B82" i="20"/>
  <c r="A83" i="20"/>
  <c r="AZ82" i="20" l="1"/>
  <c r="BB82" i="20" s="1"/>
  <c r="A84" i="20"/>
  <c r="B83" i="20"/>
  <c r="AZ83" i="20" l="1"/>
  <c r="BB83" i="20" s="1"/>
  <c r="A85" i="20"/>
  <c r="B84" i="20"/>
  <c r="AZ84" i="20" l="1"/>
  <c r="BB84" i="20" s="1"/>
  <c r="A86" i="20"/>
  <c r="B85" i="20"/>
  <c r="AZ85" i="20" l="1"/>
  <c r="BB85" i="20" s="1"/>
  <c r="A87" i="20"/>
  <c r="B86" i="20"/>
  <c r="AZ86" i="20" l="1"/>
  <c r="BB86" i="20" s="1"/>
  <c r="B87" i="20"/>
  <c r="A88" i="20"/>
  <c r="AZ87" i="20" l="1"/>
  <c r="BB87" i="20" s="1"/>
  <c r="A89" i="20"/>
  <c r="B88" i="20"/>
  <c r="AZ88" i="20" l="1"/>
  <c r="BB88" i="20" s="1"/>
  <c r="A90" i="20"/>
  <c r="B89" i="20"/>
  <c r="AZ89" i="20" l="1"/>
  <c r="BB89" i="20" s="1"/>
  <c r="B90" i="20"/>
  <c r="A91" i="20"/>
  <c r="AZ90" i="20" l="1"/>
  <c r="BB90" i="20" s="1"/>
  <c r="A92" i="20"/>
  <c r="B91" i="20"/>
  <c r="AZ91" i="20" l="1"/>
  <c r="BB91" i="20" s="1"/>
  <c r="A93" i="20"/>
  <c r="B92" i="20"/>
  <c r="AZ92" i="20" l="1"/>
  <c r="BB92" i="20" s="1"/>
  <c r="A94" i="20"/>
  <c r="B94" i="20" s="1"/>
  <c r="B93" i="20"/>
  <c r="AZ93" i="20" l="1"/>
  <c r="BB93" i="20" s="1"/>
  <c r="AZ95" i="20" l="1"/>
  <c r="BB95" i="20" s="1"/>
  <c r="AZ94" i="20"/>
  <c r="BB94" i="20" l="1"/>
  <c r="AZ96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tc={A27F0D81-09DF-40D5-AFEC-ED3B60CF163C}</author>
    <author>tc={B6C8C97C-D3B4-46F6-BAB4-829EB185A586}</author>
  </authors>
  <commentList>
    <comment ref="Y9" authorId="0" shapeId="0" xr:uid="{A27F0D81-09DF-40D5-AFEC-ED3B60CF16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alimento a reactores y se requirió bajar ph</t>
      </text>
    </comment>
    <comment ref="AA9" authorId="1" shapeId="0" xr:uid="{B6C8C97C-D3B4-46F6-BAB4-829EB185A5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 alimentacion a reactores, ara reducir color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  <author>Erbin Dario Galvis Rodriguez</author>
  </authors>
  <commentList>
    <comment ref="C11" authorId="0" shapeId="0" xr:uid="{300C997F-32A2-45BD-BD03-B4A418DD3F72}">
      <text>
        <r>
          <rPr>
            <b/>
            <sz val="9"/>
            <color indexed="81"/>
            <rFont val="Tahoma"/>
            <family val="2"/>
          </rPr>
          <t xml:space="preserve">CIERRE DE PEDIDO DE 26/12/2024
</t>
        </r>
      </text>
    </comment>
    <comment ref="E11" authorId="0" shapeId="0" xr:uid="{DF38ED3E-3963-4D3A-AE44-510ED8D129B7}">
      <text>
        <r>
          <rPr>
            <b/>
            <sz val="9"/>
            <color indexed="81"/>
            <rFont val="Tahoma"/>
            <family val="2"/>
          </rPr>
          <t>PEDIDO REALIZADO 30 DICIEMBRE</t>
        </r>
      </text>
    </comment>
    <comment ref="C22" authorId="1" shapeId="0" xr:uid="{138C0AA0-7F47-4889-BF8F-305EEE13CCE5}">
      <text>
        <r>
          <rPr>
            <sz val="9"/>
            <color indexed="81"/>
            <rFont val="Tahoma"/>
            <family val="2"/>
          </rPr>
          <t xml:space="preserve">Registro, medición densidades a quimíco de ingreso.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</authors>
  <commentList>
    <comment ref="Y2" authorId="0" shapeId="0" xr:uid="{5745F61D-9157-4D0A-AF7A-3623E5F261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" authorId="0" shapeId="0" xr:uid="{6A6D92C6-1FBB-4AA8-BBF2-2AE3E1EA847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" authorId="0" shapeId="0" xr:uid="{B5C9040B-3EFA-4277-8B72-05AF1738A9C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" authorId="0" shapeId="0" xr:uid="{F19C1327-1FC1-4734-A4F4-71AE16DBFB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" authorId="0" shapeId="0" xr:uid="{4C7046CD-4D80-4887-87E5-42DECC19253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" authorId="0" shapeId="0" xr:uid="{83A1755D-D4F3-4FB3-B4C2-BDB44B55661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" authorId="0" shapeId="0" xr:uid="{E4800331-2976-422C-B0A0-DA6E79781FF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" authorId="0" shapeId="0" xr:uid="{402057BF-9F7E-443D-81FB-CF2D0919BD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" authorId="0" shapeId="0" xr:uid="{27887F89-D278-4CC1-B112-DEB924F1C90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" authorId="0" shapeId="0" xr:uid="{6D0B93F0-4174-47DF-93B4-B0A73CA356C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" authorId="0" shapeId="0" xr:uid="{5FE3742C-882A-4263-86A8-5DCC83E3A3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" authorId="0" shapeId="0" xr:uid="{1C03D4BB-97D7-435F-B856-0532BA54AA2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" authorId="0" shapeId="0" xr:uid="{040FA8D7-9AF7-49FA-A47C-A7303EC56AB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" authorId="0" shapeId="0" xr:uid="{74F75A15-B375-4B6E-97C2-B412CD0FAF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" authorId="0" shapeId="0" xr:uid="{BDF51D9F-4ED1-4451-B047-B8C106E0472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" authorId="0" shapeId="0" xr:uid="{9CF22717-F228-4D4F-B7D3-7F93D7D2ACC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" authorId="0" shapeId="0" xr:uid="{5E679BB1-A88C-4B5D-97D2-E462A181980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" authorId="0" shapeId="0" xr:uid="{7BAD67D7-3967-4C68-9100-05B07A14249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" authorId="0" shapeId="0" xr:uid="{C9545E08-1820-473B-893A-9F09BB932B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" authorId="0" shapeId="0" xr:uid="{5B9BE9A6-1763-48AA-B453-699D81C908B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" authorId="0" shapeId="0" xr:uid="{FF408862-A27D-49D0-BBEF-5B52C54AF4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" authorId="0" shapeId="0" xr:uid="{44E54071-7F11-4706-8234-1545F08D50C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" authorId="0" shapeId="0" xr:uid="{0B2D7428-CCA0-4FB3-87E7-F21AC6CB640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" authorId="0" shapeId="0" xr:uid="{1C72C492-4EC8-4E0C-8B63-9047C4F973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0" authorId="0" shapeId="0" xr:uid="{C3C7A6BB-9C2B-47E6-B4AB-C7200392A79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0" authorId="0" shapeId="0" xr:uid="{52F41C36-ECDB-4CE0-BC1B-70708763281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0" authorId="0" shapeId="0" xr:uid="{DF104924-1A19-45DB-AAE4-B8FA3CC5F35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1" authorId="0" shapeId="0" xr:uid="{3B161590-C920-4E52-A541-3CD77006C9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1" authorId="0" shapeId="0" xr:uid="{B9452D4F-279F-425E-AEFA-A67D6D3D67E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1" authorId="0" shapeId="0" xr:uid="{AE928FB4-FF20-48E9-AC84-21841FAD7C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2" authorId="0" shapeId="0" xr:uid="{1E2DAF17-9561-469E-9C5B-77BFD93EAA2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2" authorId="0" shapeId="0" xr:uid="{39BE2690-6FEC-4035-A0F0-7DBF75A7077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2" authorId="0" shapeId="0" xr:uid="{2673CC9A-5BF6-4FB2-B605-5D3C9204D83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3" authorId="0" shapeId="0" xr:uid="{22AEFAA8-09FA-4A01-958C-7E718487D29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3" authorId="0" shapeId="0" xr:uid="{3C5C1903-3ADD-4B2B-8BF6-3F3859E67C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3" authorId="0" shapeId="0" xr:uid="{A6B21C22-BF47-4AA9-989D-3DC83A4E4C9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4" authorId="0" shapeId="0" xr:uid="{3BCB83EC-F0ED-4AAC-A514-8AB5D983145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4" authorId="0" shapeId="0" xr:uid="{7048737B-AAAD-4BDE-B3C8-2AB9934583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4" authorId="0" shapeId="0" xr:uid="{AC700DF7-6E75-46E3-AC61-4C1B6D544BB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5" authorId="0" shapeId="0" xr:uid="{83E5E2DC-7519-480F-B89B-18598F35797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5" authorId="0" shapeId="0" xr:uid="{56BF6611-D624-4CB1-B367-8BA63AC8D4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5" authorId="0" shapeId="0" xr:uid="{D213C058-D973-41AC-9F7F-5B8953A5726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6" authorId="0" shapeId="0" xr:uid="{FF84167D-A380-447F-B7FD-B9653BD06BD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6" authorId="0" shapeId="0" xr:uid="{548DD68E-3DD7-4697-ACA4-D96348699E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6" authorId="0" shapeId="0" xr:uid="{B41A3A14-3311-4961-B73B-0748BB31D64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7" authorId="0" shapeId="0" xr:uid="{8B97D731-3D09-41B4-A6FC-9C5BA130379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7" authorId="0" shapeId="0" xr:uid="{592CF5F0-EA9F-40F0-B263-1559CFA5591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7" authorId="0" shapeId="0" xr:uid="{745116AF-EA90-492B-99D1-93DCFA294F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8" authorId="0" shapeId="0" xr:uid="{A5B1E4D8-B0F4-40F5-B39E-3431E1F7AD7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8" authorId="0" shapeId="0" xr:uid="{A6781DBE-6F03-47DF-AA71-E8DF08F2C00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8" authorId="0" shapeId="0" xr:uid="{E95B76C0-A46F-4C09-9DE4-61CB7A0EF40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9" authorId="0" shapeId="0" xr:uid="{438F9F48-8F0E-412F-AB08-9AF8C1E0C01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9" authorId="0" shapeId="0" xr:uid="{88DC45D1-D75E-49E6-9367-4368B1A8789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9" authorId="0" shapeId="0" xr:uid="{A4965342-CA8D-4499-BC1D-3433A36565E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0" authorId="0" shapeId="0" xr:uid="{17A956BE-CC65-4E3F-A833-83FE02FE711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0" authorId="0" shapeId="0" xr:uid="{A55FE2AD-F5A0-4234-A02A-DDA4CF548AC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0" authorId="0" shapeId="0" xr:uid="{0F256974-CF9A-437C-B771-8404A17BA0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1" authorId="0" shapeId="0" xr:uid="{844F127D-C0EF-4099-AE1A-83159D43EF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1" authorId="0" shapeId="0" xr:uid="{9986306B-097F-4A99-AA84-2B4C42DB6A8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1" authorId="0" shapeId="0" xr:uid="{12ADCDD7-E537-45F7-822D-E422E56EE77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2" authorId="0" shapeId="0" xr:uid="{69C00943-A543-4B8B-BFA4-6081D586995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2" authorId="0" shapeId="0" xr:uid="{54BC50A2-4C96-42E1-BA82-856A8EE6F9C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2" authorId="0" shapeId="0" xr:uid="{6C865583-84A3-447C-B6B6-3AEB3C0467D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3" authorId="0" shapeId="0" xr:uid="{98C76C02-599F-4402-8C55-612DC23A91D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3" authorId="0" shapeId="0" xr:uid="{2F13347B-B0D4-4F0B-B538-68EA7132D76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3" authorId="0" shapeId="0" xr:uid="{C3EB5E67-917D-43F0-9C1A-20E751DC7D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4" authorId="0" shapeId="0" xr:uid="{A0ABEA48-7951-4111-89B7-BAB774716AE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4" authorId="0" shapeId="0" xr:uid="{4FC9FC63-A2AC-4778-9C43-99067C03074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4" authorId="0" shapeId="0" xr:uid="{C7F95773-601B-43AE-931A-28E6427AFDD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5" authorId="0" shapeId="0" xr:uid="{F931BFD7-B45B-49CE-8807-2BFB24FC16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5" authorId="0" shapeId="0" xr:uid="{EFA79955-3019-4E7B-A103-23ADD97F677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5" authorId="0" shapeId="0" xr:uid="{126AB9CA-CA52-476A-9DD8-D611E6D9844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6" authorId="0" shapeId="0" xr:uid="{97F25431-DB95-42C5-991B-7CF7DB1AA15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6" authorId="0" shapeId="0" xr:uid="{04FCDCA8-8D23-4513-A4C9-8DCEFB8483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6" authorId="0" shapeId="0" xr:uid="{41F7956D-933C-45B7-8C52-F26B34ED50B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7" authorId="0" shapeId="0" xr:uid="{2858363A-9755-4DAE-B4A2-07660F95153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7" authorId="0" shapeId="0" xr:uid="{9FF3D8FD-11E7-425E-9DC2-1116803CDF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7" authorId="0" shapeId="0" xr:uid="{AE95EC15-0F83-4174-8BC5-19B341160B1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8" authorId="0" shapeId="0" xr:uid="{7E21FF43-4B6F-43C0-AEA5-F96EC50522D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8" authorId="0" shapeId="0" xr:uid="{BB59311A-75F8-42B0-9E35-7D07A9011CA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8" authorId="0" shapeId="0" xr:uid="{55B8FF8D-9B78-48AE-A780-B1DC1657794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9" authorId="0" shapeId="0" xr:uid="{E31CA8F9-CB77-4B94-B103-7F45CA0832B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9" authorId="0" shapeId="0" xr:uid="{49ACCCEB-8808-40B2-B4DD-4302C63540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9" authorId="0" shapeId="0" xr:uid="{5FB9B487-401A-46A5-9270-A86EAF718A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0" authorId="0" shapeId="0" xr:uid="{301D8358-8CA5-4D83-8594-4A176BF7396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0" authorId="0" shapeId="0" xr:uid="{273C88C5-D55D-44DC-95F0-FDB3ABACA1F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0" authorId="0" shapeId="0" xr:uid="{0945BF68-489C-4777-9669-1C4511DABD3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1" authorId="0" shapeId="0" xr:uid="{BB09F8B5-5CAC-4830-B88D-251214405C0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1" authorId="0" shapeId="0" xr:uid="{0D1395FB-9E59-4493-93A1-BF760728EB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1" authorId="0" shapeId="0" xr:uid="{59100E90-E7D8-4610-A475-520CAF05834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2" authorId="0" shapeId="0" xr:uid="{C9D86C9E-9A53-41FB-9BD6-9711EC95F5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2" authorId="0" shapeId="0" xr:uid="{D8BEA0C3-7B90-4475-82A4-15238F7191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2" authorId="0" shapeId="0" xr:uid="{834857C6-93AF-4AFE-AB78-918F6689610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3" authorId="0" shapeId="0" xr:uid="{198653F0-1AD9-4524-80F6-B8B80F16077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3" authorId="0" shapeId="0" xr:uid="{C525F95C-1620-43FF-8FDC-2D0A2D0A885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3" authorId="0" shapeId="0" xr:uid="{F8E1E36D-510C-4F21-BA23-B7A89B1FB3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4" authorId="0" shapeId="0" xr:uid="{ACA20645-C2B9-48E9-84DB-CC5CF65858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4" authorId="0" shapeId="0" xr:uid="{F03E73B8-B641-4472-BA03-0C24EE39998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4" authorId="0" shapeId="0" xr:uid="{BAC73110-DFAA-4EAD-A783-351F9B5E1E8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5" authorId="0" shapeId="0" xr:uid="{01DA75C6-B1AC-40A3-8608-537CB3EDF1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5" authorId="0" shapeId="0" xr:uid="{4739D261-71D4-485E-9C4C-F43CE9358E5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5" authorId="0" shapeId="0" xr:uid="{11F5D795-84A0-4184-B9DD-7B78CD7DBEC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6" authorId="0" shapeId="0" xr:uid="{2B1B83CF-E74A-4EF5-81B1-71B03E0C8D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6" authorId="0" shapeId="0" xr:uid="{727052B1-B32D-4FB5-8E82-973486005A9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6" authorId="0" shapeId="0" xr:uid="{3EEB3F73-220C-42F2-83D6-817E92C1C8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7" authorId="0" shapeId="0" xr:uid="{62AFE1A3-E005-4E9B-AB72-5AE7B7DFE7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7" authorId="0" shapeId="0" xr:uid="{B9FF640A-62D8-45EB-AF39-6F542A3F438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7" authorId="0" shapeId="0" xr:uid="{14B25B35-2EB9-4B34-ABBD-DE5411271F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8" authorId="0" shapeId="0" xr:uid="{9FB39EF8-99C2-454A-AC14-78B1D157290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8" authorId="0" shapeId="0" xr:uid="{4004383E-4811-414A-BBA4-21191825AE4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8" authorId="0" shapeId="0" xr:uid="{CEC78ED9-E811-4B8E-AE8D-A5C948ED272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9" authorId="0" shapeId="0" xr:uid="{D6B3ECBC-F4FD-4949-B461-35F4BEBC34E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9" authorId="0" shapeId="0" xr:uid="{9500E07D-2080-4E52-A9A3-4E943A09C4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9" authorId="0" shapeId="0" xr:uid="{B8AA146E-CED7-4B6D-8644-009E9A1A10D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0" authorId="0" shapeId="0" xr:uid="{DB272057-E9B3-42F2-B688-9ABFFDCDA86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0" authorId="0" shapeId="0" xr:uid="{C713207F-1E9B-453D-B911-6E86F6F5197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0" authorId="0" shapeId="0" xr:uid="{2910397C-ED89-49E3-9411-2D07E0DA191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1" authorId="0" shapeId="0" xr:uid="{3C137F60-EB0A-4962-969B-C3A8B1728D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1" authorId="0" shapeId="0" xr:uid="{1923250F-7260-4EAF-B8FB-82C4FA82E7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1" authorId="0" shapeId="0" xr:uid="{D6A63C20-00C8-4E30-B28B-4DAC9FD0AAC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2" authorId="0" shapeId="0" xr:uid="{C12D7DAD-D9D7-44A3-8EE2-50A605D8D57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2" authorId="0" shapeId="0" xr:uid="{2DEBB152-BA72-40FB-AA84-3624408B5D3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2" authorId="0" shapeId="0" xr:uid="{CD8F52CA-A147-4F6D-B2AA-11483179FB5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3" authorId="0" shapeId="0" xr:uid="{FDD7FE60-0797-4D4B-8BDE-255D5C8AA9D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3" authorId="0" shapeId="0" xr:uid="{F628B432-E05A-4445-92EA-58569CCCAC3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3" authorId="0" shapeId="0" xr:uid="{B707A084-B1E2-47CE-8C3A-E30F4D030B8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4" authorId="0" shapeId="0" xr:uid="{B6979AC0-4381-49B4-8DCC-0365ABDEAEA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4" authorId="0" shapeId="0" xr:uid="{C2EC16FC-9B55-439C-ADE7-E41EE2640F2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4" authorId="0" shapeId="0" xr:uid="{9CD76C3F-8C2A-4A10-9491-F4D2C364321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5" authorId="0" shapeId="0" xr:uid="{4F5E89FF-FA3A-46BC-A66B-50D273FB3CC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5" authorId="0" shapeId="0" xr:uid="{886E7DEB-455E-4CEA-B964-C5A18A55B88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5" authorId="0" shapeId="0" xr:uid="{31E002B6-0B0B-4081-A9C1-4EC488723F7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6" authorId="0" shapeId="0" xr:uid="{6F822A49-8E4B-489C-ACFD-CA5654E2736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6" authorId="0" shapeId="0" xr:uid="{BE95C0D3-0AB0-4966-82C1-0C861619155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6" authorId="0" shapeId="0" xr:uid="{F388F29A-7E7E-4286-AD59-6722057B172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7" authorId="0" shapeId="0" xr:uid="{8909804C-F2C5-4AF0-9DA7-6731ECF7F44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7" authorId="0" shapeId="0" xr:uid="{04F631A7-FABC-47A8-B9AE-B364025CA3B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7" authorId="0" shapeId="0" xr:uid="{6DE943E7-E663-4FF9-ACE4-CB25CAC852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8" authorId="0" shapeId="0" xr:uid="{F33C1507-DA23-416F-833E-A3AD1A9380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8" authorId="0" shapeId="0" xr:uid="{4D87F958-D0CB-4881-BF8D-8B0713E8C87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8" authorId="0" shapeId="0" xr:uid="{81986899-05A2-4336-803C-DD8440BBB23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9" authorId="0" shapeId="0" xr:uid="{24622150-0176-476A-BB77-122543F927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9" authorId="0" shapeId="0" xr:uid="{84CB6A14-21AE-4E38-BD13-B55AE6F8C01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9" authorId="0" shapeId="0" xr:uid="{B5345997-40D2-42AD-921C-99954936DE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0" authorId="0" shapeId="0" xr:uid="{A491A38C-45D1-4B7B-9E62-71F7D3A6FF6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0" authorId="0" shapeId="0" xr:uid="{4D912E3E-9758-42AC-9AAC-635B71B65D2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0" authorId="0" shapeId="0" xr:uid="{A4450B5B-1B87-4EE6-9FA1-A01563615C8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1" authorId="0" shapeId="0" xr:uid="{039A8778-1C05-4CE4-A286-5D984D7DE5C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1" authorId="0" shapeId="0" xr:uid="{FF682283-D714-458F-8D98-22ACEB15E9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1" authorId="0" shapeId="0" xr:uid="{C75AC591-4D96-409D-80B5-FE58AF335E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2" authorId="0" shapeId="0" xr:uid="{8110B13F-8F13-4EBB-8201-2CFBFBB184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2" authorId="0" shapeId="0" xr:uid="{8BF76CD0-CA3E-429A-85A6-12D5D4E78CB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2" authorId="0" shapeId="0" xr:uid="{F54E875B-D33F-4F14-AD86-C037916B0D5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3" authorId="0" shapeId="0" xr:uid="{895430F1-242A-425E-9814-16F241CFE1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3" authorId="0" shapeId="0" xr:uid="{3B811520-3444-409C-8B6C-BAE978C9587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3" authorId="0" shapeId="0" xr:uid="{FB6E8DFB-A18E-4B71-9CB5-1A1C8B31AE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4" authorId="0" shapeId="0" xr:uid="{0C2DD236-4FE3-45E5-8E8E-E75E85FEDC9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4" authorId="0" shapeId="0" xr:uid="{A5B08863-7856-4F34-9B18-63654B3C219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4" authorId="0" shapeId="0" xr:uid="{788B6955-D5DD-4897-BB16-77A06D78AC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5" authorId="0" shapeId="0" xr:uid="{8175551B-C210-4791-9504-5D55BF9C39F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5" authorId="0" shapeId="0" xr:uid="{22BFC7D0-9953-4190-B4FB-D98B8F64D96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5" authorId="0" shapeId="0" xr:uid="{FF107D99-FEB6-4BAE-9D39-E7BBDDD1CF6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6" authorId="0" shapeId="0" xr:uid="{ACFA00B9-F143-4387-87FB-69566493CFA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6" authorId="0" shapeId="0" xr:uid="{0554B3FD-1B72-4411-AB9D-164E7C9D6C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6" authorId="0" shapeId="0" xr:uid="{EC87AEF6-9BB7-4D42-BCE3-2203762CFF6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7" authorId="0" shapeId="0" xr:uid="{699DF8DF-0DAD-4CBD-94E5-94ACC60F3F3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7" authorId="0" shapeId="0" xr:uid="{DE10FF8E-C285-4A08-BD11-B3589DFB9BC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7" authorId="0" shapeId="0" xr:uid="{8F9C7895-C91A-46BD-96D3-A1C05A61730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8" authorId="0" shapeId="0" xr:uid="{8B3E05B6-4422-4FA9-A932-42CA5F09DD0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8" authorId="0" shapeId="0" xr:uid="{C325E6CD-A340-4AE4-A968-CD5F5F07353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8" authorId="0" shapeId="0" xr:uid="{46E00AAB-CDE0-44E6-85E0-20170F0AD5B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9" authorId="0" shapeId="0" xr:uid="{B559E148-85E1-4113-93E7-466007920FD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9" authorId="0" shapeId="0" xr:uid="{E3721E9F-61B7-4E68-A611-69228AB7BF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9" authorId="0" shapeId="0" xr:uid="{868572DF-4927-4D27-8053-CF278BC3AE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0" authorId="0" shapeId="0" xr:uid="{B0C1A171-135C-4A60-AF2B-C6A5DF1C4C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0" authorId="0" shapeId="0" xr:uid="{3ADB2058-041A-4817-B291-5D9B93F992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0" authorId="0" shapeId="0" xr:uid="{1E2D6C99-1B0F-454F-B96B-6162BF55804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1" authorId="0" shapeId="0" xr:uid="{FB3CFEF5-837A-432A-AD3B-5F0644976C4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1" authorId="0" shapeId="0" xr:uid="{F353D394-901D-4FF3-8739-D77E202881D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1" authorId="0" shapeId="0" xr:uid="{43A3B9CE-C6D8-4F51-8CB7-E9BF5B71E4A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2" authorId="0" shapeId="0" xr:uid="{D06B92EE-3BA7-410F-8EAF-79128F56D44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2" authorId="0" shapeId="0" xr:uid="{A9FCD060-40C3-42D4-90A7-77A0BDBEB7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2" authorId="0" shapeId="0" xr:uid="{FFFBDB7F-FEE2-4078-ADF7-6A546F3F765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3" authorId="0" shapeId="0" xr:uid="{7662BC56-880F-473F-9CDE-0B913FE12DE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3" authorId="0" shapeId="0" xr:uid="{D8C61E47-99E5-423C-873E-DD8FCE053AE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3" authorId="0" shapeId="0" xr:uid="{920EEA9F-D37C-4F3A-96B9-42FFA02498F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4" authorId="0" shapeId="0" xr:uid="{E5B87C68-7E80-4E31-A763-09C37DC20D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4" authorId="0" shapeId="0" xr:uid="{74D718A0-F13B-42EC-AB63-285E3FAA977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4" authorId="0" shapeId="0" xr:uid="{5168F70D-2BCB-4FAA-B14D-D61122F69D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5" authorId="0" shapeId="0" xr:uid="{FBF85BF2-1F3C-4D44-86AB-F1CA49215EC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5" authorId="0" shapeId="0" xr:uid="{009F29CB-32BB-4303-8672-B7657AA0115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5" authorId="0" shapeId="0" xr:uid="{CDDD5117-7D88-4C7A-A989-8532E0B92D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6" authorId="0" shapeId="0" xr:uid="{6DF94E17-A60F-44A7-A91D-90AAF4E27D2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6" authorId="0" shapeId="0" xr:uid="{ADE74FFB-591D-4223-8FB6-8E419FDDEFE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6" authorId="0" shapeId="0" xr:uid="{4130A682-AF8C-4FD3-B4B8-FEB54E1ECAB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7" authorId="0" shapeId="0" xr:uid="{1019C0AE-8DE5-494D-8783-28228D5B3B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7" authorId="0" shapeId="0" xr:uid="{8ACDF136-0F85-4C24-B016-9879A68DF8B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7" authorId="0" shapeId="0" xr:uid="{A2A4BC49-5509-435C-A7CE-9B45F0310DC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8" authorId="0" shapeId="0" xr:uid="{F253E209-75D1-4768-9D20-09B5C982A2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8" authorId="0" shapeId="0" xr:uid="{F80F3B27-10AF-4CCB-8948-E7531CBF832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8" authorId="0" shapeId="0" xr:uid="{E68BC020-61BE-47F2-89B7-D9BEDB6839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9" authorId="0" shapeId="0" xr:uid="{F22A81BC-144D-4814-A9D5-A83FC4B9FA2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9" authorId="0" shapeId="0" xr:uid="{CE3F9DFF-A8E3-46D0-AAC9-CECC1C93A20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9" authorId="0" shapeId="0" xr:uid="{593E183B-92B9-4EA7-BD07-0BCF900564D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0" authorId="0" shapeId="0" xr:uid="{1B347FD8-8613-4D0D-BD78-6E25F5E43E0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0" authorId="0" shapeId="0" xr:uid="{62E5A3F0-FB2E-4116-AFF1-7DD0621D8F0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0" authorId="0" shapeId="0" xr:uid="{89C5663F-0963-47CE-BA0D-13FA9A4138F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1" authorId="0" shapeId="0" xr:uid="{C0929CC1-2D62-43C5-A262-75382DD56FE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1" authorId="0" shapeId="0" xr:uid="{03560F6E-3863-4D23-ABBF-C4B6F58D4B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1" authorId="0" shapeId="0" xr:uid="{DBE6CF70-4156-4C8D-AF61-1AD1064825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2" authorId="0" shapeId="0" xr:uid="{04087F74-9019-470D-B5EC-712A90DF90A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2" authorId="0" shapeId="0" xr:uid="{10B10DD6-121E-449B-B10C-1BA917DEEC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2" authorId="0" shapeId="0" xr:uid="{C7F76646-D953-467E-81A1-B5BEFDCE4C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3" authorId="0" shapeId="0" xr:uid="{D777413B-F9F6-4967-9A34-98D878F9F8E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3" authorId="0" shapeId="0" xr:uid="{4CD60294-4010-4771-8A11-5FC92EA321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3" authorId="0" shapeId="0" xr:uid="{31CA731D-1E02-4E4A-B5F6-CC1740ED708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4" authorId="0" shapeId="0" xr:uid="{0C15D075-5870-4428-B16A-CCF057E4A0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4" authorId="0" shapeId="0" xr:uid="{9FF42D5A-80AA-4253-85EF-93F25BB419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4" authorId="0" shapeId="0" xr:uid="{4833E624-9B48-4623-A6A5-7485BB4D62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5" authorId="0" shapeId="0" xr:uid="{FADE618E-E750-42DC-A1EA-CC6FBEE1A6C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5" authorId="0" shapeId="0" xr:uid="{989F67CC-1B76-47D1-93C2-E93F9DBABE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5" authorId="0" shapeId="0" xr:uid="{DDE9097C-C5D8-4F4B-AAEF-20B31DD9E8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6" authorId="0" shapeId="0" xr:uid="{FBB2B116-DF9D-4680-B3C2-C43DB696D4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6" authorId="0" shapeId="0" xr:uid="{E2A5A6E6-F9E6-4518-BF35-52D5554C34A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6" authorId="0" shapeId="0" xr:uid="{EFB9B785-12E7-439F-B27A-DBC993C3480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7" authorId="0" shapeId="0" xr:uid="{3D368654-92C8-4476-81AB-311B8C73DE6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7" authorId="0" shapeId="0" xr:uid="{1200C88A-1D7E-4C71-9BCD-10BAF255491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7" authorId="0" shapeId="0" xr:uid="{6876B77F-A4EA-416A-9537-31AF5771C24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8" authorId="0" shapeId="0" xr:uid="{2ED0A2B8-B594-4A86-9307-32E6C6E8614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8" authorId="0" shapeId="0" xr:uid="{1A18B4A7-0CA3-4A00-9896-9AF5AD38576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8" authorId="0" shapeId="0" xr:uid="{68011846-07C3-46F2-8ACC-48813D9923B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9" authorId="0" shapeId="0" xr:uid="{046D50F4-FBAD-41DF-AEFA-CEA05C547BA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9" authorId="0" shapeId="0" xr:uid="{4FE640A4-F604-4A95-A5F4-F7874BD2A7D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9" authorId="0" shapeId="0" xr:uid="{630D45D1-5DE0-4E50-9E62-C2B957332FE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0" authorId="0" shapeId="0" xr:uid="{9B9F458A-8635-468F-B1AE-3425218D7E1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0" authorId="0" shapeId="0" xr:uid="{5016318D-92AB-4E2E-A894-9468ED7CE7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0" authorId="0" shapeId="0" xr:uid="{0D183104-B617-4698-BA14-70987AE0373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1" authorId="0" shapeId="0" xr:uid="{A00B8F7B-4558-4102-8788-DD1D5AA2DC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1" authorId="0" shapeId="0" xr:uid="{92B23CF1-B988-42F3-B69C-1CFC7F38804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1" authorId="0" shapeId="0" xr:uid="{21F6F805-037F-4AE1-9FB1-A1DCDC775BD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2" authorId="0" shapeId="0" xr:uid="{0D39299E-C2BB-41B6-8D44-EA8829B3836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2" authorId="0" shapeId="0" xr:uid="{217AABB0-1E43-46B2-B30D-A901D89B9F0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2" authorId="0" shapeId="0" xr:uid="{09BB47B4-BE88-4B34-B164-178D707AAE7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3" authorId="0" shapeId="0" xr:uid="{0512917A-509B-445E-8D47-5D8336E6321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3" authorId="0" shapeId="0" xr:uid="{B1717C30-58E9-45CE-8382-73EC5510EB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3" authorId="0" shapeId="0" xr:uid="{D0F42967-B7B8-4E2C-8D12-2BB4FEDB8E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4" authorId="0" shapeId="0" xr:uid="{7379AAA2-8234-44FE-AF65-9E9A259EB40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4" authorId="0" shapeId="0" xr:uid="{B0CDE470-2637-4CE8-919B-8AE574D5A4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4" authorId="0" shapeId="0" xr:uid="{656C9507-9F0A-4201-84F2-E0A9D275419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5" authorId="0" shapeId="0" xr:uid="{B7790F36-42DA-4B8E-BDCD-778C8147242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5" authorId="0" shapeId="0" xr:uid="{93C37717-6EFB-4B84-ADA8-5431970BEEE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5" authorId="0" shapeId="0" xr:uid="{47671095-D223-4F48-8584-93F88500E5A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6" authorId="0" shapeId="0" xr:uid="{979B7267-7C59-4DAD-AD5F-37B15FEE977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6" authorId="0" shapeId="0" xr:uid="{14FD17D6-BF67-47CC-9B69-BD097C3620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6" authorId="0" shapeId="0" xr:uid="{11550606-859A-4244-B85B-96A2DA6E07E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7" authorId="0" shapeId="0" xr:uid="{376F5398-9BB6-464B-B158-A00E2239280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7" authorId="0" shapeId="0" xr:uid="{B0EEEB01-2DBA-45F7-BF1F-DE8453119B4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7" authorId="0" shapeId="0" xr:uid="{10937CDD-C202-4178-94B1-36BCAB07F9D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8" authorId="0" shapeId="0" xr:uid="{1959EABD-ADCE-4DF5-9F97-22F1FA0300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8" authorId="0" shapeId="0" xr:uid="{A10DDE53-AD84-4EA8-9D5D-483399A5A4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8" authorId="0" shapeId="0" xr:uid="{8CE4F67B-49B1-4CF1-942B-952CCAB8E35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9" authorId="0" shapeId="0" xr:uid="{F582BB03-D9DA-40AE-8BB9-506710764E8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9" authorId="0" shapeId="0" xr:uid="{B4B1280F-BA85-4B11-A149-08244D9C62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9" authorId="0" shapeId="0" xr:uid="{DEF1C49F-1902-46A5-B546-75604AF4DC8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0" authorId="0" shapeId="0" xr:uid="{045103BB-42D2-41D1-95DF-375D75D7FE1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0" authorId="0" shapeId="0" xr:uid="{9E273F2D-13C8-4ECA-9B24-990DB97B53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0" authorId="0" shapeId="0" xr:uid="{2B7CE47D-582B-47F3-8E8C-E73B23B28C3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1" authorId="0" shapeId="0" xr:uid="{CCFD77BC-D994-414B-AE58-7944730375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1" authorId="0" shapeId="0" xr:uid="{34F5E5DC-8445-445B-B0A1-D7E7927037A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1" authorId="0" shapeId="0" xr:uid="{98C88B6E-92C7-4E49-AEAA-6542FEC4E69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2" authorId="0" shapeId="0" xr:uid="{FDF64AF8-DF57-4BF7-B4AD-88FA20ECA3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2" authorId="0" shapeId="0" xr:uid="{530B8310-9DA3-48D5-B715-74366665ABA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2" authorId="0" shapeId="0" xr:uid="{FC4AD4CE-D0C4-49D4-8A7B-74FF6C3D3B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3" authorId="0" shapeId="0" xr:uid="{A164513D-EDCD-4F1D-ABAF-4EDF70CB372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3" authorId="0" shapeId="0" xr:uid="{59D2E1B1-CF27-4FA2-9EE3-54978F718FD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3" authorId="0" shapeId="0" xr:uid="{28E5D3AC-5A98-4D5C-AE9D-1D5403461D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4" authorId="0" shapeId="0" xr:uid="{97FF59A4-6649-4111-BF54-14DFC9C9E6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4" authorId="0" shapeId="0" xr:uid="{202B02C3-63C8-4798-920A-1464575546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4" authorId="0" shapeId="0" xr:uid="{73D492A3-6A2E-434C-8DFD-6E46FBCD20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Erbin Dario Galvis Rodriguez</author>
  </authors>
  <commentList>
    <comment ref="J11" authorId="0" shapeId="0" xr:uid="{F3EF5394-72B9-4FED-918D-97B957919BCD}">
      <text>
        <r>
          <rPr>
            <b/>
            <sz val="9"/>
            <color indexed="81"/>
            <rFont val="Tahoma"/>
            <family val="2"/>
          </rPr>
          <t xml:space="preserve">Ingreso / Registro de lo que se prepara
</t>
        </r>
      </text>
    </comment>
  </commentList>
</comments>
</file>

<file path=xl/sharedStrings.xml><?xml version="1.0" encoding="utf-8"?>
<sst xmlns="http://schemas.openxmlformats.org/spreadsheetml/2006/main" count="826" uniqueCount="363">
  <si>
    <t>Decolorante COF255</t>
  </si>
  <si>
    <t>Ácido COF280</t>
  </si>
  <si>
    <t>Coagulante COF235</t>
  </si>
  <si>
    <t>Polimero COF440 (Aniónico)</t>
  </si>
  <si>
    <t>CONSOLIDADO CONSUMO DIARIO QUÍMICA (Kg)</t>
  </si>
  <si>
    <t>CONSOLIDADO CONSUMO DIARIO QUÍMICA (Litros)</t>
  </si>
  <si>
    <t>Densidad (g/ml)</t>
  </si>
  <si>
    <t xml:space="preserve">PRODUCTOS QUÍMICOS </t>
  </si>
  <si>
    <t>Polimero COF494 (Cátionico)</t>
  </si>
  <si>
    <t>CONSOLIDADO CONSUMO QUÍMICA MENSUAL</t>
  </si>
  <si>
    <t>Litros</t>
  </si>
  <si>
    <t xml:space="preserve">Kg </t>
  </si>
  <si>
    <t>Densidad 
(g/ml)</t>
  </si>
  <si>
    <t xml:space="preserve">INVENTARIO ACTUALIZADO </t>
  </si>
  <si>
    <t xml:space="preserve">INVENTARIO INICIO DE MES </t>
  </si>
  <si>
    <t xml:space="preserve">CAUDAL TOTAL TRATADO GEM </t>
  </si>
  <si>
    <t>CONSOLIDADO DOSIFICACIÓN QUÍMICA PPM (mg/L)</t>
  </si>
  <si>
    <t>ENTREGAS DE INSUMOS QUÍMICOS PROVEEEDOR COFAI (FECHA)</t>
  </si>
  <si>
    <t>TOTAL SUMINISTRO QUÍMICOS (PROVEEDOR)</t>
  </si>
  <si>
    <t xml:space="preserve">Bisulfito de sodio </t>
  </si>
  <si>
    <t>Hidróxido de Sodio (NaOH)</t>
  </si>
  <si>
    <t>VITEC 7000 (Antiincrustante)</t>
  </si>
  <si>
    <t>KURIVERTER IK-220 (Biocida)</t>
  </si>
  <si>
    <t>HCL (10%)</t>
  </si>
  <si>
    <t>ENTREGAS DE INSUMOS QUÍMICOS PROVEEEDOR (FECHA)</t>
  </si>
  <si>
    <t>REGISTRO DENSIDADES DE INSUMOS QUÍMICOS PROVEEEDOR COFAI (FECHA)</t>
  </si>
  <si>
    <t>TURNO</t>
  </si>
  <si>
    <t>FECHA</t>
  </si>
  <si>
    <t>1 (NOCHE)</t>
  </si>
  <si>
    <t>2 (MAÑANA)</t>
  </si>
  <si>
    <t>3(TARDE)</t>
  </si>
  <si>
    <t>CONSOLIDADO TIEMPO</t>
  </si>
  <si>
    <t xml:space="preserve">PRODUCTOS QUÍMICOS SOLUCIÓN </t>
  </si>
  <si>
    <t>PRODUCTOS QUÍMICOS STOCK - PUROS</t>
  </si>
  <si>
    <t>CONSOLIDADO CONSUMO QUÍMICA PREPARADA MENSUAL</t>
  </si>
  <si>
    <t>CONSOLIDADO PREPARADO QUÍMICA STOCK MENSUAL</t>
  </si>
  <si>
    <t>TOTAL SUMINISTRO QUÍMICOS (PREPARADO diluido)</t>
  </si>
  <si>
    <t>TOTAL EXTRA PROVEDOR</t>
  </si>
  <si>
    <t>INVENTARIO ACTUALIZADO REAL</t>
  </si>
  <si>
    <t>REM No</t>
  </si>
  <si>
    <t>O T</t>
  </si>
  <si>
    <t>CONSUMO LITROS ACIDO (L)</t>
  </si>
  <si>
    <t>CONSUMO LITROS COAGULANTE (L)</t>
  </si>
  <si>
    <t>CONSUMO LITROS DECOLORANTE (L)</t>
  </si>
  <si>
    <t>CONSUMO POL ANIONICO (KG)</t>
  </si>
  <si>
    <t>CONSUMO POL CATIONICO (KG)</t>
  </si>
  <si>
    <t>DENSIDAD COAGULANTE</t>
  </si>
  <si>
    <t>DENSIDAD DECOLORANTE</t>
  </si>
  <si>
    <t>DENSIDAD ANIONICO</t>
  </si>
  <si>
    <t>DENSIDAD CATIONICO</t>
  </si>
  <si>
    <t>DENSIDAD ACIDO</t>
  </si>
  <si>
    <t xml:space="preserve">PPM ACIDO </t>
  </si>
  <si>
    <t xml:space="preserve">PPM COAGULANTE </t>
  </si>
  <si>
    <t>KG ACIDO</t>
  </si>
  <si>
    <t xml:space="preserve">KG DECOLORANTE </t>
  </si>
  <si>
    <t xml:space="preserve">KG POL ANIONICO </t>
  </si>
  <si>
    <t xml:space="preserve">KG POL CATIONICO </t>
  </si>
  <si>
    <t>KG COAGULANTE</t>
  </si>
  <si>
    <t xml:space="preserve">PPM DECOLORANTE </t>
  </si>
  <si>
    <t xml:space="preserve">PPM POL ANIONICO </t>
  </si>
  <si>
    <t>PPM POL CATIONICO</t>
  </si>
  <si>
    <t>PRECIO (KG) ACIDO</t>
  </si>
  <si>
    <t>PRECIO (KG) COAGULANTE</t>
  </si>
  <si>
    <t>PRECIO (KG) DECOLORANTE</t>
  </si>
  <si>
    <t>PRECIO (KG) ANIONICO</t>
  </si>
  <si>
    <t>PRECIO (KG) CATIONICO</t>
  </si>
  <si>
    <t>COSTO OPERATIVO ACIDO</t>
  </si>
  <si>
    <t>COSTO OPERATIVO COAGULANTE</t>
  </si>
  <si>
    <t>COSTO OPERATIVO DECOLORANTE</t>
  </si>
  <si>
    <t>COSTO OPERATIVO ANIONICO</t>
  </si>
  <si>
    <t>COSTO OPERATIVO CATIONICO</t>
  </si>
  <si>
    <t>$ m3</t>
  </si>
  <si>
    <t>Total general</t>
  </si>
  <si>
    <t xml:space="preserve">COSTO QUIMICA </t>
  </si>
  <si>
    <t>LIMITE INDICADOR M3</t>
  </si>
  <si>
    <t>FINAL TURNO 3</t>
  </si>
  <si>
    <t>FINAL TURNO 2</t>
  </si>
  <si>
    <t>FINAL TURNO 1</t>
  </si>
  <si>
    <t xml:space="preserve"> CAUDAL TOTAL TRATADO GEM </t>
  </si>
  <si>
    <t>DIA</t>
  </si>
  <si>
    <t>DIAS</t>
  </si>
  <si>
    <t>PRODUCTOS QUÍMICOS</t>
  </si>
  <si>
    <t>COF 280 ACIDO (L)</t>
  </si>
  <si>
    <t>COF 235 COAGULANTE (L)</t>
  </si>
  <si>
    <t>COF 255  DECOLORANTE (L)</t>
  </si>
  <si>
    <t>COF 440 POL ANIONICO (KG)</t>
  </si>
  <si>
    <t>COF 494 POL CATIONICO (KG)</t>
  </si>
  <si>
    <t>COF 280 - KG ACIDO</t>
  </si>
  <si>
    <t>COF 235 - KG COAGULANTE</t>
  </si>
  <si>
    <t xml:space="preserve">COF 255 - KG DECOLORANTE </t>
  </si>
  <si>
    <t xml:space="preserve">COF 440 - KG POL ANIONICO </t>
  </si>
  <si>
    <t xml:space="preserve">COF 494 - KG POL CATIONICO </t>
  </si>
  <si>
    <t xml:space="preserve">COF 280 - PPM ACIDO  </t>
  </si>
  <si>
    <t xml:space="preserve">COF 235 - PPM COAGULANTE  </t>
  </si>
  <si>
    <t xml:space="preserve">COF 255 - PPM DECOLORANTE  </t>
  </si>
  <si>
    <t xml:space="preserve">COF 440 - PPM POL ANIONICO </t>
  </si>
  <si>
    <t xml:space="preserve">COF 494 - PPM POL CATIONICO </t>
  </si>
  <si>
    <t>DENSIDAD HCL (10%)</t>
  </si>
  <si>
    <t>DENSIDAD KURIVERTER IK-220 (Biocida)</t>
  </si>
  <si>
    <t>DENSIDAD VITEC 7000 (Antiincrustante)</t>
  </si>
  <si>
    <t>DENSIDAD Hidróxido de Sodio (NaOH)</t>
  </si>
  <si>
    <t xml:space="preserve">DENSIDAD Bisulfito de sodio </t>
  </si>
  <si>
    <t>VOLUMEN ENVIADO A RO (m3)</t>
  </si>
  <si>
    <t>PPM HCL (10%)</t>
  </si>
  <si>
    <t>PPM  KURIVERTER IK-220 (Biocida)</t>
  </si>
  <si>
    <t>PPM  VITEC 7000 (Antiincrustante)</t>
  </si>
  <si>
    <t>PPM  Hidróxido de Sodio (NaOH)</t>
  </si>
  <si>
    <t xml:space="preserve">PPM Bisulfito de sodio </t>
  </si>
  <si>
    <t>COSTO OPERATIVO HCL (10%)</t>
  </si>
  <si>
    <t>COSTO OPERATIVO KURIVERTER IK-220 (Biocida)</t>
  </si>
  <si>
    <t>COSTO OPERATIVO VITEC 7000 (Antiincrustante)</t>
  </si>
  <si>
    <t>COSTO OPERATIVO Hidróxido de Sodio (NaOH)</t>
  </si>
  <si>
    <t xml:space="preserve">COSTO OPERATIVO Bisulfito de sodio </t>
  </si>
  <si>
    <t>$m3 RECHAZO (m3)</t>
  </si>
  <si>
    <t>$m3 PERMEADO RO (m3)</t>
  </si>
  <si>
    <t>$m3 ENVIADO A RO (m3)</t>
  </si>
  <si>
    <t>CONSUMO DE QUIMICO</t>
  </si>
  <si>
    <t xml:space="preserve">  CAUDAL TOTAL TRATADO GEM </t>
  </si>
  <si>
    <t xml:space="preserve">  INDICADOR $m3</t>
  </si>
  <si>
    <t>COSTO TTO - CAUDAL TRATADP GEM Vs $M3</t>
  </si>
  <si>
    <t>CONSOLIDADO COSTO TTO - CAUDAL TRATADP GEM Vs $M3</t>
  </si>
  <si>
    <t>$m3</t>
  </si>
  <si>
    <t># TURNO</t>
  </si>
  <si>
    <t>GEM</t>
  </si>
  <si>
    <t xml:space="preserve">PRECIO Bisulfito de sodio </t>
  </si>
  <si>
    <t>PRECIO Hidróxido de Sodio (NaOH)</t>
  </si>
  <si>
    <t>PRECIO VITEC 7000 (Antiincrustante)</t>
  </si>
  <si>
    <t>PRECIO KURIVERTER IK-220 (Biocida)</t>
  </si>
  <si>
    <t>PRECIO HCL (10%)</t>
  </si>
  <si>
    <r>
      <rPr>
        <b/>
        <sz val="12"/>
        <rFont val="Calibri"/>
        <family val="2"/>
        <scheme val="minor"/>
      </rPr>
      <t xml:space="preserve">cm </t>
    </r>
    <r>
      <rPr>
        <b/>
        <sz val="11"/>
        <rFont val="Calibri"/>
        <family val="2"/>
        <scheme val="minor"/>
      </rPr>
      <t>HCL (10%)</t>
    </r>
  </si>
  <si>
    <r>
      <rPr>
        <b/>
        <sz val="12"/>
        <rFont val="Calibri"/>
        <family val="2"/>
        <scheme val="minor"/>
      </rPr>
      <t>cm</t>
    </r>
    <r>
      <rPr>
        <b/>
        <sz val="11"/>
        <rFont val="Calibri"/>
        <family val="2"/>
        <scheme val="minor"/>
      </rPr>
      <t xml:space="preserve"> IK-220 (Biocida)</t>
    </r>
  </si>
  <si>
    <t>cm          Vitec 7000</t>
  </si>
  <si>
    <t>cm NaOH</t>
  </si>
  <si>
    <t>cm Bisulfito de sodio</t>
  </si>
  <si>
    <t>(INV- L) - HCL (10%)</t>
  </si>
  <si>
    <t>(INV -L) - KURIVERTER IK-220 (Biocida)</t>
  </si>
  <si>
    <t>(INV -L) - VITEC 7000 (Antiincrustante)</t>
  </si>
  <si>
    <t>(INV -L) - Hidróxido de Sodio (NaOH)</t>
  </si>
  <si>
    <t xml:space="preserve">(INV -L) Bisulfito de sodio </t>
  </si>
  <si>
    <t>CONSUMO (L) Bisulfito de sodio</t>
  </si>
  <si>
    <t>CONSUMO (L) HCL (10%)2</t>
  </si>
  <si>
    <t>CONSUMO (L) KURIVERTER IK-220 (Biocida)</t>
  </si>
  <si>
    <t>CONSUMO (L) VITEC 7000 (Antiincrustante)</t>
  </si>
  <si>
    <t>CONSUMO (L) Hidróxido de Sodio (NaOH)</t>
  </si>
  <si>
    <t>CONSUMO (Kg) HCL (10%)22</t>
  </si>
  <si>
    <t>CONSUMO (Kg) Bisulfito de sodio6</t>
  </si>
  <si>
    <t>CONSUMO (Kg) Hidróxido de Sodio (NaOH)</t>
  </si>
  <si>
    <t>CONSUMO (Kg) VITEC 7000 (Antiincrustante)</t>
  </si>
  <si>
    <t>CONSUMO (Kg) KURIVERTER IK-220 (Biocida)</t>
  </si>
  <si>
    <t xml:space="preserve"> CONSUMO (L) HCL (10%)</t>
  </si>
  <si>
    <t xml:space="preserve"> CONSUMO (L) KURIVERTER IK-220 (Biocida)</t>
  </si>
  <si>
    <t xml:space="preserve">CONSUMO (L) VITEC 7000 (Antiincrustante) </t>
  </si>
  <si>
    <t xml:space="preserve">CONSUMO (L) Hidróxido de Sodio (NaOH) </t>
  </si>
  <si>
    <t xml:space="preserve">CONSUMO (L) Bisulfito de sodio </t>
  </si>
  <si>
    <t>PRODUCTO QUÍMICO</t>
  </si>
  <si>
    <t xml:space="preserve"> CONSUMO (Kg) HCL (10%)22</t>
  </si>
  <si>
    <t xml:space="preserve"> CONSUMO (Kg) KURIVERTER IK-220 (Biocida)</t>
  </si>
  <si>
    <t xml:space="preserve"> CONSUMO (Kg) VITEC 7000 (Antiincrustante)</t>
  </si>
  <si>
    <t xml:space="preserve"> CONSUMO (Kg) Hidróxido de Sodio (NaOH)</t>
  </si>
  <si>
    <t xml:space="preserve"> CONSUMO (Kg) Bisulfito de sodio6</t>
  </si>
  <si>
    <t>CONSUMO QUIMICO DE PRODUCTO EN SOLUCIÓN</t>
  </si>
  <si>
    <t>A LA FECHA SE PREPARAN LOS SIGUIENTES PRODUCTOS QUÍMICOS</t>
  </si>
  <si>
    <t>INVENTARIO COMPORTAMIENTO QUÍMICO PREPARADO</t>
  </si>
  <si>
    <t>ANALISIS TURNO</t>
  </si>
  <si>
    <t>DILIGENCIAR BITACORA</t>
  </si>
  <si>
    <t>Lectura Horometro INICIAL (06:00)</t>
  </si>
  <si>
    <t>TIEMPO DE OPERACIÓN (minutos)</t>
  </si>
  <si>
    <t>OBSERVACIÓN:</t>
  </si>
  <si>
    <t>Kg</t>
  </si>
  <si>
    <t>PREPARACIÓN - GASTO DE QUIMICO EN STOCK cip</t>
  </si>
  <si>
    <t xml:space="preserve">PRODUCTOS QUÍMICOS RECIBIDO </t>
  </si>
  <si>
    <t>PRODUCTOS QUÍMICOS PREPARADO</t>
  </si>
  <si>
    <t xml:space="preserve"> VOLUMEN ENVIADO A RO (m3)</t>
  </si>
  <si>
    <t xml:space="preserve"> LIMITE INDICADOR M3</t>
  </si>
  <si>
    <t xml:space="preserve"> INDICADOR $m3 RO</t>
  </si>
  <si>
    <t>DÍA</t>
  </si>
  <si>
    <t>TABLA GRAFICA 2. COSTO CONSUMO QUIMICO VS $M3</t>
  </si>
  <si>
    <t>TABLA GRAFICA 3. RO COSTO CONSUMO QUIMICO VS $M3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</si>
  <si>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</si>
  <si>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OSMOSIS INVERSA</t>
  </si>
  <si>
    <t>CONSOLIDADO COSTO TTO - CAUDAL TRATADP RO Vs $M3</t>
  </si>
  <si>
    <t>TOTAL CAUDAL TRATADO RO</t>
  </si>
  <si>
    <t>CONSOLIDADO CONSUMO DIARIO QUÍMICA (PPM)</t>
  </si>
  <si>
    <t>Suma de PPM HCL</t>
  </si>
  <si>
    <t xml:space="preserve"> TIEMPO DE OPERACIÓN (minutos)</t>
  </si>
  <si>
    <t>Suma de PPM KURIVERTER</t>
  </si>
  <si>
    <t>Suma de PPM VITEC</t>
  </si>
  <si>
    <t>Suma de PPM NaOH</t>
  </si>
  <si>
    <t>Suma de PPM BISULFITO</t>
  </si>
  <si>
    <t>TIEMPO DE OPERACIÓN (horas)</t>
  </si>
  <si>
    <t>FINAL ACIDO (L)</t>
  </si>
  <si>
    <t>FINAL COAGULANTE (L)</t>
  </si>
  <si>
    <t>FINAL DECOLORANTE (L)</t>
  </si>
  <si>
    <t>FINAL POL ANIONICO (KG)</t>
  </si>
  <si>
    <t>FINAL POL CATIONICO (KG)</t>
  </si>
  <si>
    <t>1.500</t>
  </si>
  <si>
    <t>420</t>
  </si>
  <si>
    <t>140</t>
  </si>
  <si>
    <t>155</t>
  </si>
  <si>
    <t>3/01/2025 - 4/01/2025</t>
  </si>
  <si>
    <t>Caudal:</t>
  </si>
  <si>
    <t>COAGULANTE</t>
  </si>
  <si>
    <t>DECOLORANTE</t>
  </si>
  <si>
    <t>ÁCIDO</t>
  </si>
  <si>
    <t>KG CONSUMIDOS MES</t>
  </si>
  <si>
    <t>COSTO MES</t>
  </si>
  <si>
    <t>POLÍMERO ANIÓNICO</t>
  </si>
  <si>
    <t>POLÍMERO CATIÓNICO</t>
  </si>
  <si>
    <t>KG PROMEDIO DIÁRIO</t>
  </si>
  <si>
    <t>$ PROMEDIO DIÁRIO</t>
  </si>
  <si>
    <t>ÁCIDO CLORHÍDRICO</t>
  </si>
  <si>
    <t>SODA</t>
  </si>
  <si>
    <t>CARTUCHOS 5 MICRAS</t>
  </si>
  <si>
    <t>CONSUMO GEM</t>
  </si>
  <si>
    <t>CONSUMO ÓSMOSIS INVERSA</t>
  </si>
  <si>
    <t>TOTAL</t>
  </si>
  <si>
    <t>VOLUMEN TRATADO m3</t>
  </si>
  <si>
    <t>VOLUMEN ENVIADO A RECIRCULACIÓN m3</t>
  </si>
  <si>
    <t>INDICADOR AGUA TRATADA $/m3</t>
  </si>
  <si>
    <t>INDICADOR AGUA RECIRCULADA $/m3</t>
  </si>
  <si>
    <t>INDICADOR TOTAL PTAR TRATADO</t>
  </si>
  <si>
    <t xml:space="preserve">INDICADOR TOTAL RECIRCULADO </t>
  </si>
  <si>
    <t>INDICADOR POR PRODUCTO QUÍMICO</t>
  </si>
  <si>
    <t>CAUDAL DE TRATAMIENTO</t>
  </si>
  <si>
    <t xml:space="preserve">CAUDAL TOTAL TRATADO GEM  </t>
  </si>
  <si>
    <t xml:space="preserve">INDICADOR $m3 </t>
  </si>
  <si>
    <t xml:space="preserve">COF 440 - PPM POL ANIONICO  </t>
  </si>
  <si>
    <t>(Todas)</t>
  </si>
  <si>
    <t xml:space="preserve">COF 280 - PPM ACIDO </t>
  </si>
  <si>
    <t xml:space="preserve">COF 255 - PPM DECOLORANTE </t>
  </si>
  <si>
    <t xml:space="preserve"> INDICADOR $m3 </t>
  </si>
  <si>
    <t xml:space="preserve">CONSUMO LITROS ACIDO (L) </t>
  </si>
  <si>
    <t xml:space="preserve">CONSUMO LITROS COAGULANTE (L) </t>
  </si>
  <si>
    <t xml:space="preserve">CONSUMO LITROS DECOLORANTE (L) </t>
  </si>
  <si>
    <t xml:space="preserve">CONSUMO POL ANIONICO (KG) </t>
  </si>
  <si>
    <t xml:space="preserve">CONSUMO POL CATIONICO (KG) </t>
  </si>
  <si>
    <t xml:space="preserve">KG POL ANIONICO  </t>
  </si>
  <si>
    <t xml:space="preserve">KG POL CATIONICO  </t>
  </si>
  <si>
    <t xml:space="preserve">KG ACIDO </t>
  </si>
  <si>
    <t xml:space="preserve">KG COAGULANTE </t>
  </si>
  <si>
    <t xml:space="preserve">KG DECOLORANTE  </t>
  </si>
  <si>
    <t>MINIMO</t>
  </si>
  <si>
    <t>MAXIMO</t>
  </si>
  <si>
    <t>PROMEDIO</t>
  </si>
  <si>
    <t>PPM</t>
  </si>
  <si>
    <t>L</t>
  </si>
  <si>
    <t>KG</t>
  </si>
  <si>
    <t>COF 255 - DECOLORANTE</t>
  </si>
  <si>
    <t>COF 235 - COAGULANTE</t>
  </si>
  <si>
    <t>COF 280 - ACIDIFICANTE</t>
  </si>
  <si>
    <t>COF 440 - POLIMERO ANIONICO</t>
  </si>
  <si>
    <t>COF 494 - POLIMERO CATIONICO</t>
  </si>
  <si>
    <t>2 (NOCHE)</t>
  </si>
  <si>
    <t>3 (MAÑANA)</t>
  </si>
  <si>
    <t>3 (NOCHE)</t>
  </si>
  <si>
    <t>4 (MAÑANA)</t>
  </si>
  <si>
    <t>4 (NOCHE)</t>
  </si>
  <si>
    <t>5 (MAÑANA)</t>
  </si>
  <si>
    <t>5 (NOCHE)</t>
  </si>
  <si>
    <t>6 (MAÑANA)</t>
  </si>
  <si>
    <t>6 (NOCHE)</t>
  </si>
  <si>
    <t>7 (MAÑANA)</t>
  </si>
  <si>
    <t>7 (NOCHE)</t>
  </si>
  <si>
    <t>8 (MAÑANA)</t>
  </si>
  <si>
    <t>8 (NOCHE)</t>
  </si>
  <si>
    <t>9 (MAÑANA)</t>
  </si>
  <si>
    <t>9 (NOCHE)</t>
  </si>
  <si>
    <t>10 (MAÑANA)</t>
  </si>
  <si>
    <t>10 (NOCHE)</t>
  </si>
  <si>
    <t>11 (MAÑANA)</t>
  </si>
  <si>
    <t>11 (NOCHE)</t>
  </si>
  <si>
    <t>12 (MAÑANA)</t>
  </si>
  <si>
    <t>12 (NOCHE)</t>
  </si>
  <si>
    <t>13 (MAÑANA)</t>
  </si>
  <si>
    <t>13 (NOCHE)</t>
  </si>
  <si>
    <t>14 (MAÑANA)</t>
  </si>
  <si>
    <t>14 (NOCHE)</t>
  </si>
  <si>
    <t>15 (MAÑANA)</t>
  </si>
  <si>
    <t>15 (NOCHE)</t>
  </si>
  <si>
    <t>16 (MAÑANA)</t>
  </si>
  <si>
    <t>16 (NOCHE)</t>
  </si>
  <si>
    <t>17 (MAÑANA)</t>
  </si>
  <si>
    <t>17 (NOCHE)</t>
  </si>
  <si>
    <t>18 (MAÑANA)</t>
  </si>
  <si>
    <t>18 (NOCHE)</t>
  </si>
  <si>
    <t>19 (MAÑANA)</t>
  </si>
  <si>
    <t>19 (NOCHE)</t>
  </si>
  <si>
    <t>20 (MAÑANA)</t>
  </si>
  <si>
    <t>20 (NOCHE)</t>
  </si>
  <si>
    <t>21 (MAÑANA)</t>
  </si>
  <si>
    <t>21 (NOCHE)</t>
  </si>
  <si>
    <t>22 (MAÑANA)</t>
  </si>
  <si>
    <t>22 (NOCHE)</t>
  </si>
  <si>
    <t>23 (MAÑANA)</t>
  </si>
  <si>
    <t>23 (NOCHE)</t>
  </si>
  <si>
    <t>24 (MAÑANA)</t>
  </si>
  <si>
    <t>24 (NOCHE)</t>
  </si>
  <si>
    <t>25 (MAÑANA)</t>
  </si>
  <si>
    <t>25 (NOCHE)</t>
  </si>
  <si>
    <t>26 (MAÑANA)</t>
  </si>
  <si>
    <t>26 (NOCHE)</t>
  </si>
  <si>
    <t>27 (MAÑANA)</t>
  </si>
  <si>
    <t>27 (NOCHE)</t>
  </si>
  <si>
    <t>28 (MAÑANA)</t>
  </si>
  <si>
    <t>28 (NOCHE)</t>
  </si>
  <si>
    <t>29 (MAÑANA)</t>
  </si>
  <si>
    <t>29 (NOCHE)</t>
  </si>
  <si>
    <t>30 (MAÑANA)</t>
  </si>
  <si>
    <t>30 (NOCHE)</t>
  </si>
  <si>
    <t>31 (MAÑANA)</t>
  </si>
  <si>
    <t>31 (NOCHE)</t>
  </si>
  <si>
    <t>32 (MAÑANA)</t>
  </si>
  <si>
    <t>$ CONSOLIDADO</t>
  </si>
  <si>
    <t>REMOCIÓN DQO mg/L</t>
  </si>
  <si>
    <t>DQO INICIAL (mg/L)</t>
  </si>
  <si>
    <t>DQO SALIDA (mg/L)</t>
  </si>
  <si>
    <t>DQO REMOMOVIDA (mg/L)</t>
  </si>
  <si>
    <t>KG REMOVIDOS DQO / M3</t>
  </si>
  <si>
    <t>M3 TRATADOS</t>
  </si>
  <si>
    <t>TOTAL KG DQO REMOVIDOS</t>
  </si>
  <si>
    <t>$TRATAMIENTO</t>
  </si>
  <si>
    <t>$ REMOVER KG DQO</t>
  </si>
  <si>
    <t>VOLUMEN TRATADO GEM  (m3)</t>
  </si>
  <si>
    <t xml:space="preserve">HORAS </t>
  </si>
  <si>
    <t>VOLUMEN TRATADO GEM (m3)</t>
  </si>
  <si>
    <t>PANORAMA OPERATIVO GEM</t>
  </si>
  <si>
    <t>PANORAMA OPERATIVO RO</t>
  </si>
  <si>
    <t xml:space="preserve">VOLUMEN ENVIADO A RO (m3) </t>
  </si>
  <si>
    <t>TIEMPO DE OPERACIÓN</t>
  </si>
  <si>
    <t>Etiquetas de fila</t>
  </si>
  <si>
    <t>Q DE OPERACIÓN (m3/h)</t>
  </si>
  <si>
    <t>$ HORA DE TRATAMIENTO RO</t>
  </si>
  <si>
    <t>$ HORA DE TRATAMIENTO GEM</t>
  </si>
  <si>
    <t xml:space="preserve">COSTO QUIMICA  </t>
  </si>
  <si>
    <t>COSTO QUIMICA  GEM</t>
  </si>
  <si>
    <t>KPIs</t>
  </si>
  <si>
    <t>PERCENTIL 90</t>
  </si>
  <si>
    <t xml:space="preserve">CARGA REMOVIDA KG/DIA DQO </t>
  </si>
  <si>
    <t>CARGA REMOVIDA KG/DIA SST</t>
  </si>
  <si>
    <t>ENTRADA GEM</t>
  </si>
  <si>
    <t>SALIDA GEM</t>
  </si>
  <si>
    <t>INDICE DE ESTABILIDAD DEL AFLUENTE - EFLUENTE (CV%)</t>
  </si>
  <si>
    <t>COLOR</t>
  </si>
  <si>
    <t>DQO</t>
  </si>
  <si>
    <t>SST</t>
  </si>
  <si>
    <t>REMOCIÓN SST mg/L</t>
  </si>
  <si>
    <t>KG REMOVIDOS SST / M3</t>
  </si>
  <si>
    <t>TOTAL KG SST REMOVIDOS</t>
  </si>
  <si>
    <t>$ REMOVER KG SST</t>
  </si>
  <si>
    <t>TOTAL CONSUMIDO</t>
  </si>
  <si>
    <t xml:space="preserve">INDICADOR $ACIDO/M3 </t>
  </si>
  <si>
    <t xml:space="preserve"> INDICADOR $COAGULANTE/M3 </t>
  </si>
  <si>
    <t xml:space="preserve">INDICADOR $DECOLORANTE/M3 </t>
  </si>
  <si>
    <t xml:space="preserve">INDICADOR $POL ANIONICO/ M3 </t>
  </si>
  <si>
    <t xml:space="preserve"> INDICADOR $POL CATIONICO / M3 </t>
  </si>
  <si>
    <t>$</t>
  </si>
  <si>
    <t xml:space="preserve">  2025 $m3 GEM </t>
  </si>
  <si>
    <t>CAUDAL 2</t>
  </si>
  <si>
    <t>4.360</t>
  </si>
  <si>
    <t>6.480</t>
  </si>
  <si>
    <t>1.510</t>
  </si>
  <si>
    <t>165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</si>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</sst>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[$$-240A]\ #,##0"/>
    <numFmt numFmtId="166" formatCode="&quot;$&quot;\ #,##0"/>
    <numFmt numFmtId="167" formatCode="_-&quot;$&quot;\ * #,##0_-;\-&quot;$&quot;\ * #,##0_-;_-&quot;$&quot;\ * &quot;-&quot;??_-;_-@_-"/>
    <numFmt numFmtId="168" formatCode="[$$-240A]\ #,##0.00"/>
    <numFmt numFmtId="169" formatCode="#,##0.000"/>
    <numFmt numFmtId="170" formatCode="_-* #,##0_-;\-* #,##0_-;_-* &quot;-&quot;??_-;_-@_-"/>
    <numFmt numFmtId="171" formatCode="_-* #,##0.000_-;\-* #,##0.000_-;_-* &quot;-&quot;??_-;_-@_-"/>
    <numFmt numFmtId="172" formatCode="_-* #,##0.0000_-;\-* #,##0.0000_-;_-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8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0"/>
      <color theme="2" tint="-0.89999084444715716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7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Arial"/>
      <family val="2"/>
    </font>
    <font>
      <sz val="16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theme="8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double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9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1" fillId="0" borderId="0"/>
    <xf numFmtId="0" fontId="21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 vertical="center"/>
    </xf>
    <xf numFmtId="0" fontId="6" fillId="0" borderId="55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left" vertical="top"/>
    </xf>
    <xf numFmtId="3" fontId="3" fillId="0" borderId="55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top"/>
    </xf>
    <xf numFmtId="3" fontId="3" fillId="0" borderId="18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3" fontId="3" fillId="0" borderId="19" xfId="0" applyNumberFormat="1" applyFont="1" applyBorder="1" applyAlignment="1">
      <alignment horizontal="center" vertical="center" wrapText="1"/>
    </xf>
    <xf numFmtId="0" fontId="3" fillId="0" borderId="0" xfId="0" applyFont="1"/>
    <xf numFmtId="0" fontId="2" fillId="13" borderId="15" xfId="0" applyFont="1" applyFill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left" vertical="top"/>
    </xf>
    <xf numFmtId="3" fontId="3" fillId="0" borderId="38" xfId="0" applyNumberFormat="1" applyFont="1" applyBorder="1" applyAlignment="1">
      <alignment horizontal="center" vertical="center" wrapText="1"/>
    </xf>
    <xf numFmtId="3" fontId="3" fillId="0" borderId="39" xfId="0" applyNumberFormat="1" applyFont="1" applyBorder="1" applyAlignment="1">
      <alignment horizontal="center" vertical="center" wrapText="1"/>
    </xf>
    <xf numFmtId="0" fontId="2" fillId="0" borderId="40" xfId="0" applyFont="1" applyBorder="1" applyAlignment="1">
      <alignment horizontal="left" vertical="top"/>
    </xf>
    <xf numFmtId="3" fontId="3" fillId="0" borderId="40" xfId="0" applyNumberFormat="1" applyFont="1" applyBorder="1" applyAlignment="1">
      <alignment horizontal="center" vertical="center" wrapText="1"/>
    </xf>
    <xf numFmtId="0" fontId="2" fillId="0" borderId="42" xfId="0" applyFont="1" applyBorder="1" applyAlignment="1">
      <alignment horizontal="left" vertical="top"/>
    </xf>
    <xf numFmtId="3" fontId="3" fillId="0" borderId="42" xfId="0" applyNumberFormat="1" applyFont="1" applyBorder="1" applyAlignment="1">
      <alignment horizontal="center" vertical="center" wrapText="1"/>
    </xf>
    <xf numFmtId="3" fontId="3" fillId="0" borderId="56" xfId="0" applyNumberFormat="1" applyFont="1" applyBorder="1" applyAlignment="1">
      <alignment horizontal="center" vertical="center" wrapText="1"/>
    </xf>
    <xf numFmtId="3" fontId="3" fillId="0" borderId="50" xfId="0" applyNumberFormat="1" applyFont="1" applyBorder="1" applyAlignment="1">
      <alignment horizontal="center" vertical="center" wrapText="1"/>
    </xf>
    <xf numFmtId="3" fontId="3" fillId="0" borderId="60" xfId="0" applyNumberFormat="1" applyFont="1" applyBorder="1" applyAlignment="1">
      <alignment horizontal="center" vertical="center" wrapText="1"/>
    </xf>
    <xf numFmtId="3" fontId="3" fillId="0" borderId="25" xfId="0" applyNumberFormat="1" applyFont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19" borderId="14" xfId="0" applyFont="1" applyFill="1" applyBorder="1" applyAlignment="1">
      <alignment horizontal="center" vertical="center" wrapText="1"/>
    </xf>
    <xf numFmtId="0" fontId="2" fillId="19" borderId="19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0" fillId="0" borderId="8" xfId="0" applyBorder="1"/>
    <xf numFmtId="0" fontId="2" fillId="0" borderId="80" xfId="0" applyFont="1" applyBorder="1" applyAlignment="1">
      <alignment horizontal="left" vertical="top"/>
    </xf>
    <xf numFmtId="0" fontId="2" fillId="0" borderId="81" xfId="0" applyFont="1" applyBorder="1" applyAlignment="1">
      <alignment horizontal="left" vertical="top"/>
    </xf>
    <xf numFmtId="0" fontId="2" fillId="0" borderId="79" xfId="0" applyFont="1" applyBorder="1" applyAlignment="1">
      <alignment horizontal="left" vertical="top"/>
    </xf>
    <xf numFmtId="0" fontId="2" fillId="21" borderId="60" xfId="0" applyFont="1" applyFill="1" applyBorder="1" applyAlignment="1">
      <alignment horizontal="center" vertical="center" wrapText="1"/>
    </xf>
    <xf numFmtId="0" fontId="2" fillId="21" borderId="77" xfId="0" applyFont="1" applyFill="1" applyBorder="1" applyAlignment="1">
      <alignment horizontal="center" vertical="center" wrapText="1"/>
    </xf>
    <xf numFmtId="0" fontId="2" fillId="21" borderId="2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left"/>
    </xf>
    <xf numFmtId="0" fontId="2" fillId="17" borderId="14" xfId="0" applyFont="1" applyFill="1" applyBorder="1" applyAlignment="1">
      <alignment horizontal="center" vertical="center" wrapText="1"/>
    </xf>
    <xf numFmtId="0" fontId="2" fillId="17" borderId="19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top"/>
    </xf>
    <xf numFmtId="0" fontId="2" fillId="0" borderId="27" xfId="0" applyFont="1" applyBorder="1" applyAlignment="1">
      <alignment horizontal="left" vertical="top"/>
    </xf>
    <xf numFmtId="0" fontId="2" fillId="0" borderId="28" xfId="0" applyFont="1" applyBorder="1" applyAlignment="1">
      <alignment horizontal="left" vertical="top"/>
    </xf>
    <xf numFmtId="0" fontId="2" fillId="17" borderId="21" xfId="0" applyFont="1" applyFill="1" applyBorder="1" applyAlignment="1">
      <alignment horizontal="center" vertical="center" wrapText="1"/>
    </xf>
    <xf numFmtId="3" fontId="3" fillId="0" borderId="62" xfId="0" applyNumberFormat="1" applyFont="1" applyBorder="1" applyAlignment="1">
      <alignment horizontal="center" vertical="center" wrapText="1"/>
    </xf>
    <xf numFmtId="3" fontId="3" fillId="0" borderId="59" xfId="0" applyNumberFormat="1" applyFont="1" applyBorder="1" applyAlignment="1">
      <alignment horizontal="center" vertical="center" wrapText="1"/>
    </xf>
    <xf numFmtId="0" fontId="2" fillId="19" borderId="85" xfId="0" applyFont="1" applyFill="1" applyBorder="1" applyAlignment="1">
      <alignment horizontal="center" vertical="center" wrapText="1"/>
    </xf>
    <xf numFmtId="0" fontId="2" fillId="12" borderId="85" xfId="0" applyFont="1" applyFill="1" applyBorder="1" applyAlignment="1">
      <alignment horizontal="center" vertical="center" wrapText="1"/>
    </xf>
    <xf numFmtId="3" fontId="3" fillId="0" borderId="11" xfId="0" applyNumberFormat="1" applyFont="1" applyBorder="1" applyAlignment="1">
      <alignment horizontal="center" vertical="center" wrapText="1"/>
    </xf>
    <xf numFmtId="3" fontId="3" fillId="0" borderId="17" xfId="0" applyNumberFormat="1" applyFont="1" applyBorder="1" applyAlignment="1">
      <alignment horizontal="center" vertical="center" wrapText="1"/>
    </xf>
    <xf numFmtId="4" fontId="3" fillId="0" borderId="40" xfId="0" applyNumberFormat="1" applyFont="1" applyBorder="1" applyAlignment="1">
      <alignment horizontal="center" vertical="center" wrapText="1"/>
    </xf>
    <xf numFmtId="4" fontId="3" fillId="0" borderId="38" xfId="0" applyNumberFormat="1" applyFont="1" applyBorder="1" applyAlignment="1">
      <alignment horizontal="center" vertical="center" wrapText="1"/>
    </xf>
    <xf numFmtId="4" fontId="3" fillId="0" borderId="42" xfId="0" applyNumberFormat="1" applyFont="1" applyBorder="1" applyAlignment="1">
      <alignment horizontal="center" vertical="center" wrapText="1"/>
    </xf>
    <xf numFmtId="0" fontId="2" fillId="17" borderId="57" xfId="0" applyFont="1" applyFill="1" applyBorder="1" applyAlignment="1">
      <alignment horizontal="center" vertical="center" wrapText="1"/>
    </xf>
    <xf numFmtId="0" fontId="2" fillId="17" borderId="58" xfId="0" applyFont="1" applyFill="1" applyBorder="1" applyAlignment="1">
      <alignment horizontal="center" vertical="center" wrapText="1"/>
    </xf>
    <xf numFmtId="3" fontId="3" fillId="0" borderId="36" xfId="0" applyNumberFormat="1" applyFont="1" applyBorder="1" applyAlignment="1">
      <alignment horizontal="center" vertical="center" wrapText="1"/>
    </xf>
    <xf numFmtId="3" fontId="3" fillId="0" borderId="37" xfId="0" applyNumberFormat="1" applyFont="1" applyBorder="1" applyAlignment="1">
      <alignment horizontal="center" vertical="center" wrapText="1"/>
    </xf>
    <xf numFmtId="0" fontId="2" fillId="12" borderId="71" xfId="0" applyFont="1" applyFill="1" applyBorder="1" applyAlignment="1">
      <alignment horizontal="center" vertical="center" wrapText="1"/>
    </xf>
    <xf numFmtId="0" fontId="2" fillId="12" borderId="76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17" borderId="42" xfId="0" applyFont="1" applyFill="1" applyBorder="1" applyAlignment="1">
      <alignment horizontal="center" vertical="center" wrapText="1"/>
    </xf>
    <xf numFmtId="0" fontId="2" fillId="17" borderId="43" xfId="0" applyFont="1" applyFill="1" applyBorder="1" applyAlignment="1">
      <alignment horizontal="center" vertical="center" wrapText="1"/>
    </xf>
    <xf numFmtId="0" fontId="2" fillId="11" borderId="57" xfId="0" applyFont="1" applyFill="1" applyBorder="1" applyAlignment="1">
      <alignment horizontal="center" vertical="center" wrapText="1"/>
    </xf>
    <xf numFmtId="0" fontId="2" fillId="11" borderId="58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8" borderId="91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21" borderId="0" xfId="0" applyFill="1"/>
    <xf numFmtId="165" fontId="0" fillId="21" borderId="0" xfId="0" applyNumberFormat="1" applyFill="1"/>
    <xf numFmtId="166" fontId="0" fillId="0" borderId="0" xfId="0" applyNumberFormat="1"/>
    <xf numFmtId="0" fontId="0" fillId="8" borderId="0" xfId="0" applyFill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90" xfId="0" applyFont="1" applyBorder="1" applyAlignment="1">
      <alignment horizontal="center" vertical="center" wrapText="1"/>
    </xf>
    <xf numFmtId="49" fontId="12" fillId="5" borderId="74" xfId="0" applyNumberFormat="1" applyFont="1" applyFill="1" applyBorder="1" applyAlignment="1">
      <alignment horizontal="center" vertical="center" wrapText="1"/>
    </xf>
    <xf numFmtId="49" fontId="12" fillId="5" borderId="84" xfId="0" applyNumberFormat="1" applyFont="1" applyFill="1" applyBorder="1" applyAlignment="1">
      <alignment horizontal="center" vertical="center" wrapText="1"/>
    </xf>
    <xf numFmtId="49" fontId="12" fillId="25" borderId="84" xfId="0" applyNumberFormat="1" applyFont="1" applyFill="1" applyBorder="1" applyAlignment="1">
      <alignment horizontal="center" vertical="center" wrapText="1"/>
    </xf>
    <xf numFmtId="0" fontId="12" fillId="21" borderId="91" xfId="0" applyFont="1" applyFill="1" applyBorder="1" applyAlignment="1">
      <alignment horizontal="center" vertical="center" wrapText="1"/>
    </xf>
    <xf numFmtId="0" fontId="12" fillId="21" borderId="0" xfId="0" applyFont="1" applyFill="1" applyAlignment="1">
      <alignment horizontal="center" vertical="center" wrapText="1"/>
    </xf>
    <xf numFmtId="0" fontId="12" fillId="4" borderId="83" xfId="0" applyFont="1" applyFill="1" applyBorder="1" applyAlignment="1">
      <alignment horizontal="center" vertical="center" wrapText="1"/>
    </xf>
    <xf numFmtId="166" fontId="12" fillId="4" borderId="85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1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52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48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8" borderId="0" xfId="0" applyNumberFormat="1" applyFill="1" applyAlignment="1">
      <alignment horizontal="center"/>
    </xf>
    <xf numFmtId="3" fontId="0" fillId="8" borderId="0" xfId="0" applyNumberFormat="1" applyFill="1"/>
    <xf numFmtId="3" fontId="0" fillId="0" borderId="12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1" fillId="7" borderId="3" xfId="0" applyNumberFormat="1" applyFont="1" applyFill="1" applyBorder="1" applyAlignment="1">
      <alignment horizontal="center" vertical="center" wrapText="1"/>
    </xf>
    <xf numFmtId="3" fontId="0" fillId="0" borderId="18" xfId="0" applyNumberFormat="1" applyBorder="1" applyAlignment="1">
      <alignment horizontal="center"/>
    </xf>
    <xf numFmtId="3" fontId="0" fillId="21" borderId="14" xfId="0" applyNumberFormat="1" applyFill="1" applyBorder="1" applyAlignment="1">
      <alignment horizontal="center"/>
    </xf>
    <xf numFmtId="3" fontId="0" fillId="21" borderId="15" xfId="0" applyNumberFormat="1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64" xfId="0" applyNumberFormat="1" applyBorder="1" applyAlignment="1">
      <alignment horizontal="center"/>
    </xf>
    <xf numFmtId="0" fontId="1" fillId="8" borderId="22" xfId="0" applyFont="1" applyFill="1" applyBorder="1" applyAlignment="1">
      <alignment vertical="top" wrapText="1"/>
    </xf>
    <xf numFmtId="0" fontId="1" fillId="8" borderId="23" xfId="0" applyFont="1" applyFill="1" applyBorder="1" applyAlignment="1">
      <alignment vertical="center" wrapText="1"/>
    </xf>
    <xf numFmtId="0" fontId="1" fillId="8" borderId="24" xfId="0" applyFont="1" applyFill="1" applyBorder="1" applyAlignment="1">
      <alignment vertical="center" wrapText="1"/>
    </xf>
    <xf numFmtId="3" fontId="1" fillId="26" borderId="90" xfId="0" applyNumberFormat="1" applyFont="1" applyFill="1" applyBorder="1" applyAlignment="1">
      <alignment horizontal="center" vertical="center" wrapText="1"/>
    </xf>
    <xf numFmtId="3" fontId="0" fillId="21" borderId="6" xfId="0" applyNumberFormat="1" applyFill="1" applyBorder="1" applyAlignment="1">
      <alignment horizontal="center"/>
    </xf>
    <xf numFmtId="3" fontId="0" fillId="21" borderId="1" xfId="0" applyNumberFormat="1" applyFill="1" applyBorder="1" applyAlignment="1">
      <alignment horizontal="center"/>
    </xf>
    <xf numFmtId="3" fontId="0" fillId="21" borderId="7" xfId="0" applyNumberFormat="1" applyFill="1" applyBorder="1" applyAlignment="1">
      <alignment horizontal="center"/>
    </xf>
    <xf numFmtId="3" fontId="0" fillId="21" borderId="19" xfId="0" applyNumberFormat="1" applyFill="1" applyBorder="1" applyAlignment="1">
      <alignment horizontal="center"/>
    </xf>
    <xf numFmtId="1" fontId="0" fillId="21" borderId="24" xfId="0" applyNumberFormat="1" applyFill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0" fontId="0" fillId="18" borderId="90" xfId="0" applyFill="1" applyBorder="1"/>
    <xf numFmtId="0" fontId="0" fillId="18" borderId="6" xfId="0" applyFill="1" applyBorder="1"/>
    <xf numFmtId="0" fontId="0" fillId="18" borderId="1" xfId="0" applyFill="1" applyBorder="1"/>
    <xf numFmtId="0" fontId="0" fillId="18" borderId="7" xfId="0" applyFill="1" applyBorder="1"/>
    <xf numFmtId="1" fontId="0" fillId="18" borderId="6" xfId="0" applyNumberFormat="1" applyFill="1" applyBorder="1" applyAlignment="1">
      <alignment horizontal="center"/>
    </xf>
    <xf numFmtId="1" fontId="0" fillId="18" borderId="1" xfId="0" applyNumberFormat="1" applyFill="1" applyBorder="1" applyAlignment="1">
      <alignment horizontal="center"/>
    </xf>
    <xf numFmtId="1" fontId="0" fillId="18" borderId="7" xfId="0" applyNumberFormat="1" applyFill="1" applyBorder="1" applyAlignment="1">
      <alignment horizontal="center"/>
    </xf>
    <xf numFmtId="1" fontId="0" fillId="18" borderId="90" xfId="0" applyNumberForma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7" xfId="0" applyFont="1" applyBorder="1" applyAlignment="1">
      <alignment horizontal="left"/>
    </xf>
    <xf numFmtId="0" fontId="0" fillId="18" borderId="90" xfId="0" applyFill="1" applyBorder="1" applyAlignment="1">
      <alignment horizontal="center"/>
    </xf>
    <xf numFmtId="0" fontId="0" fillId="21" borderId="90" xfId="0" applyFill="1" applyBorder="1" applyAlignment="1">
      <alignment horizontal="center" vertical="top"/>
    </xf>
    <xf numFmtId="3" fontId="0" fillId="15" borderId="4" xfId="0" applyNumberFormat="1" applyFill="1" applyBorder="1" applyAlignment="1">
      <alignment horizontal="center"/>
    </xf>
    <xf numFmtId="3" fontId="0" fillId="15" borderId="48" xfId="0" applyNumberFormat="1" applyFill="1" applyBorder="1" applyAlignment="1">
      <alignment horizontal="center"/>
    </xf>
    <xf numFmtId="0" fontId="1" fillId="0" borderId="22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3" fontId="1" fillId="15" borderId="3" xfId="0" applyNumberFormat="1" applyFont="1" applyFill="1" applyBorder="1" applyAlignment="1">
      <alignment horizontal="center" vertical="center" wrapText="1"/>
    </xf>
    <xf numFmtId="3" fontId="0" fillId="15" borderId="52" xfId="0" applyNumberFormat="1" applyFill="1" applyBorder="1" applyAlignment="1">
      <alignment horizontal="center"/>
    </xf>
    <xf numFmtId="3" fontId="0" fillId="15" borderId="11" xfId="0" applyNumberFormat="1" applyFill="1" applyBorder="1" applyAlignment="1">
      <alignment horizontal="center"/>
    </xf>
    <xf numFmtId="3" fontId="0" fillId="15" borderId="12" xfId="0" applyNumberFormat="1" applyFill="1" applyBorder="1" applyAlignment="1">
      <alignment horizontal="center"/>
    </xf>
    <xf numFmtId="3" fontId="0" fillId="15" borderId="17" xfId="0" applyNumberFormat="1" applyFill="1" applyBorder="1" applyAlignment="1">
      <alignment horizontal="center"/>
    </xf>
    <xf numFmtId="0" fontId="0" fillId="15" borderId="22" xfId="0" applyFill="1" applyBorder="1" applyAlignment="1">
      <alignment horizontal="center"/>
    </xf>
    <xf numFmtId="3" fontId="0" fillId="7" borderId="52" xfId="0" applyNumberFormat="1" applyFill="1" applyBorder="1"/>
    <xf numFmtId="3" fontId="0" fillId="7" borderId="4" xfId="0" applyNumberFormat="1" applyFill="1" applyBorder="1"/>
    <xf numFmtId="3" fontId="0" fillId="7" borderId="48" xfId="0" applyNumberFormat="1" applyFill="1" applyBorder="1"/>
    <xf numFmtId="3" fontId="0" fillId="7" borderId="11" xfId="0" applyNumberFormat="1" applyFill="1" applyBorder="1" applyAlignment="1">
      <alignment horizontal="center"/>
    </xf>
    <xf numFmtId="3" fontId="0" fillId="7" borderId="12" xfId="0" applyNumberFormat="1" applyFill="1" applyBorder="1" applyAlignment="1">
      <alignment horizontal="center"/>
    </xf>
    <xf numFmtId="3" fontId="0" fillId="7" borderId="17" xfId="0" applyNumberFormat="1" applyFill="1" applyBorder="1" applyAlignment="1">
      <alignment horizontal="center"/>
    </xf>
    <xf numFmtId="1" fontId="0" fillId="7" borderId="22" xfId="0" applyNumberFormat="1" applyFill="1" applyBorder="1" applyAlignment="1">
      <alignment horizontal="center"/>
    </xf>
    <xf numFmtId="0" fontId="0" fillId="21" borderId="1" xfId="0" applyFill="1" applyBorder="1"/>
    <xf numFmtId="1" fontId="0" fillId="0" borderId="29" xfId="0" applyNumberFormat="1" applyBorder="1" applyAlignment="1">
      <alignment horizontal="left"/>
    </xf>
    <xf numFmtId="165" fontId="0" fillId="0" borderId="0" xfId="0" applyNumberFormat="1"/>
    <xf numFmtId="0" fontId="0" fillId="21" borderId="90" xfId="0" applyFill="1" applyBorder="1"/>
    <xf numFmtId="44" fontId="0" fillId="0" borderId="5" xfId="2" applyFont="1" applyBorder="1"/>
    <xf numFmtId="44" fontId="0" fillId="0" borderId="0" xfId="2" applyFont="1" applyBorder="1"/>
    <xf numFmtId="44" fontId="0" fillId="0" borderId="64" xfId="2" applyFont="1" applyBorder="1"/>
    <xf numFmtId="44" fontId="0" fillId="0" borderId="16" xfId="2" applyFont="1" applyBorder="1"/>
    <xf numFmtId="0" fontId="0" fillId="0" borderId="0" xfId="2" applyNumberFormat="1" applyFont="1" applyBorder="1"/>
    <xf numFmtId="0" fontId="0" fillId="0" borderId="64" xfId="2" applyNumberFormat="1" applyFont="1" applyBorder="1"/>
    <xf numFmtId="42" fontId="0" fillId="0" borderId="8" xfId="2" applyNumberFormat="1" applyFont="1" applyBorder="1"/>
    <xf numFmtId="42" fontId="0" fillId="0" borderId="0" xfId="2" applyNumberFormat="1" applyFont="1" applyBorder="1"/>
    <xf numFmtId="42" fontId="0" fillId="0" borderId="64" xfId="2" applyNumberFormat="1" applyFont="1" applyBorder="1"/>
    <xf numFmtId="42" fontId="0" fillId="0" borderId="9" xfId="2" applyNumberFormat="1" applyFont="1" applyBorder="1"/>
    <xf numFmtId="42" fontId="0" fillId="0" borderId="5" xfId="2" applyNumberFormat="1" applyFont="1" applyBorder="1"/>
    <xf numFmtId="42" fontId="0" fillId="0" borderId="16" xfId="2" applyNumberFormat="1" applyFont="1" applyBorder="1"/>
    <xf numFmtId="0" fontId="0" fillId="6" borderId="0" xfId="0" applyFill="1"/>
    <xf numFmtId="0" fontId="0" fillId="22" borderId="0" xfId="0" applyFill="1"/>
    <xf numFmtId="0" fontId="0" fillId="22" borderId="0" xfId="0" applyFill="1" applyAlignment="1">
      <alignment horizontal="center"/>
    </xf>
    <xf numFmtId="44" fontId="0" fillId="22" borderId="0" xfId="2" applyFont="1" applyFill="1" applyAlignment="1">
      <alignment horizontal="center"/>
    </xf>
    <xf numFmtId="0" fontId="0" fillId="11" borderId="10" xfId="0" applyFill="1" applyBorder="1" applyAlignment="1">
      <alignment horizontal="center"/>
    </xf>
    <xf numFmtId="0" fontId="8" fillId="6" borderId="0" xfId="0" applyFont="1" applyFill="1" applyAlignment="1">
      <alignment vertical="center"/>
    </xf>
    <xf numFmtId="14" fontId="0" fillId="8" borderId="70" xfId="0" applyNumberFormat="1" applyFill="1" applyBorder="1" applyAlignment="1">
      <alignment horizontal="left"/>
    </xf>
    <xf numFmtId="3" fontId="11" fillId="8" borderId="61" xfId="0" applyNumberFormat="1" applyFont="1" applyFill="1" applyBorder="1"/>
    <xf numFmtId="3" fontId="11" fillId="8" borderId="65" xfId="0" applyNumberFormat="1" applyFont="1" applyFill="1" applyBorder="1"/>
    <xf numFmtId="3" fontId="11" fillId="8" borderId="93" xfId="0" applyNumberFormat="1" applyFont="1" applyFill="1" applyBorder="1"/>
    <xf numFmtId="3" fontId="4" fillId="21" borderId="58" xfId="0" applyNumberFormat="1" applyFont="1" applyFill="1" applyBorder="1" applyAlignment="1">
      <alignment horizontal="center" vertical="center" wrapText="1"/>
    </xf>
    <xf numFmtId="165" fontId="11" fillId="8" borderId="93" xfId="0" applyNumberFormat="1" applyFont="1" applyFill="1" applyBorder="1"/>
    <xf numFmtId="3" fontId="0" fillId="8" borderId="5" xfId="0" applyNumberFormat="1" applyFill="1" applyBorder="1" applyAlignment="1">
      <alignment horizontal="center"/>
    </xf>
    <xf numFmtId="3" fontId="19" fillId="8" borderId="10" xfId="0" applyNumberFormat="1" applyFont="1" applyFill="1" applyBorder="1" applyAlignment="1">
      <alignment horizontal="center"/>
    </xf>
    <xf numFmtId="165" fontId="19" fillId="8" borderId="10" xfId="0" applyNumberFormat="1" applyFont="1" applyFill="1" applyBorder="1" applyAlignment="1">
      <alignment horizontal="right"/>
    </xf>
    <xf numFmtId="14" fontId="0" fillId="0" borderId="62" xfId="0" applyNumberFormat="1" applyBorder="1" applyAlignment="1">
      <alignment horizontal="left"/>
    </xf>
    <xf numFmtId="0" fontId="0" fillId="18" borderId="29" xfId="0" applyFill="1" applyBorder="1"/>
    <xf numFmtId="0" fontId="0" fillId="0" borderId="29" xfId="0" applyBorder="1"/>
    <xf numFmtId="0" fontId="0" fillId="0" borderId="62" xfId="0" applyBorder="1"/>
    <xf numFmtId="0" fontId="0" fillId="0" borderId="51" xfId="0" applyBorder="1"/>
    <xf numFmtId="1" fontId="0" fillId="0" borderId="8" xfId="0" applyNumberFormat="1" applyBorder="1"/>
    <xf numFmtId="1" fontId="0" fillId="0" borderId="0" xfId="0" applyNumberFormat="1"/>
    <xf numFmtId="1" fontId="0" fillId="0" borderId="64" xfId="0" applyNumberFormat="1" applyBorder="1"/>
    <xf numFmtId="14" fontId="0" fillId="0" borderId="26" xfId="0" applyNumberFormat="1" applyBorder="1" applyAlignment="1">
      <alignment horizontal="left"/>
    </xf>
    <xf numFmtId="0" fontId="0" fillId="21" borderId="27" xfId="0" applyFill="1" applyBorder="1"/>
    <xf numFmtId="0" fontId="0" fillId="0" borderId="27" xfId="0" applyBorder="1"/>
    <xf numFmtId="0" fontId="0" fillId="0" borderId="26" xfId="0" applyBorder="1"/>
    <xf numFmtId="0" fontId="0" fillId="0" borderId="10" xfId="0" applyBorder="1"/>
    <xf numFmtId="14" fontId="0" fillId="0" borderId="54" xfId="0" applyNumberFormat="1" applyBorder="1" applyAlignment="1">
      <alignment horizontal="left"/>
    </xf>
    <xf numFmtId="0" fontId="0" fillId="7" borderId="28" xfId="0" applyFill="1" applyBorder="1"/>
    <xf numFmtId="0" fontId="0" fillId="0" borderId="28" xfId="0" applyBorder="1"/>
    <xf numFmtId="0" fontId="0" fillId="0" borderId="54" xfId="0" applyBorder="1"/>
    <xf numFmtId="0" fontId="0" fillId="0" borderId="15" xfId="0" applyBorder="1"/>
    <xf numFmtId="0" fontId="0" fillId="0" borderId="21" xfId="0" applyBorder="1"/>
    <xf numFmtId="0" fontId="0" fillId="0" borderId="35" xfId="0" applyBorder="1"/>
    <xf numFmtId="14" fontId="0" fillId="0" borderId="22" xfId="0" applyNumberFormat="1" applyBorder="1" applyAlignment="1">
      <alignment horizontal="left"/>
    </xf>
    <xf numFmtId="0" fontId="0" fillId="0" borderId="49" xfId="0" applyBorder="1"/>
    <xf numFmtId="0" fontId="0" fillId="0" borderId="75" xfId="0" applyBorder="1"/>
    <xf numFmtId="0" fontId="0" fillId="0" borderId="12" xfId="0" applyBorder="1"/>
    <xf numFmtId="14" fontId="0" fillId="0" borderId="23" xfId="0" applyNumberFormat="1" applyBorder="1" applyAlignment="1">
      <alignment horizontal="left"/>
    </xf>
    <xf numFmtId="14" fontId="0" fillId="0" borderId="24" xfId="0" applyNumberFormat="1" applyBorder="1" applyAlignment="1">
      <alignment horizontal="left"/>
    </xf>
    <xf numFmtId="0" fontId="0" fillId="0" borderId="9" xfId="0" applyBorder="1"/>
    <xf numFmtId="0" fontId="0" fillId="0" borderId="59" xfId="0" applyBorder="1"/>
    <xf numFmtId="0" fontId="0" fillId="0" borderId="77" xfId="0" applyBorder="1"/>
    <xf numFmtId="0" fontId="0" fillId="18" borderId="49" xfId="0" applyFill="1" applyBorder="1"/>
    <xf numFmtId="49" fontId="18" fillId="25" borderId="60" xfId="0" applyNumberFormat="1" applyFont="1" applyFill="1" applyBorder="1" applyAlignment="1">
      <alignment horizontal="center" vertical="center" wrapText="1"/>
    </xf>
    <xf numFmtId="49" fontId="18" fillId="25" borderId="77" xfId="0" applyNumberFormat="1" applyFont="1" applyFill="1" applyBorder="1" applyAlignment="1">
      <alignment horizontal="center" vertical="center" wrapText="1"/>
    </xf>
    <xf numFmtId="49" fontId="18" fillId="25" borderId="25" xfId="0" applyNumberFormat="1" applyFont="1" applyFill="1" applyBorder="1" applyAlignment="1">
      <alignment horizontal="center" vertical="center" wrapText="1"/>
    </xf>
    <xf numFmtId="0" fontId="18" fillId="4" borderId="83" xfId="0" applyFont="1" applyFill="1" applyBorder="1" applyAlignment="1">
      <alignment horizontal="center" vertical="center" wrapText="1"/>
    </xf>
    <xf numFmtId="0" fontId="18" fillId="4" borderId="90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/>
    </xf>
    <xf numFmtId="0" fontId="18" fillId="0" borderId="90" xfId="0" applyFont="1" applyBorder="1" applyAlignment="1">
      <alignment horizontal="center" vertical="center"/>
    </xf>
    <xf numFmtId="0" fontId="18" fillId="23" borderId="9" xfId="0" applyFont="1" applyFill="1" applyBorder="1" applyAlignment="1">
      <alignment horizontal="center" vertical="center" wrapText="1"/>
    </xf>
    <xf numFmtId="0" fontId="18" fillId="23" borderId="59" xfId="0" applyFont="1" applyFill="1" applyBorder="1" applyAlignment="1">
      <alignment horizontal="center" vertical="center" wrapText="1"/>
    </xf>
    <xf numFmtId="0" fontId="18" fillId="23" borderId="77" xfId="0" applyFont="1" applyFill="1" applyBorder="1" applyAlignment="1">
      <alignment horizontal="center" vertical="center" wrapText="1"/>
    </xf>
    <xf numFmtId="0" fontId="18" fillId="24" borderId="84" xfId="0" applyFont="1" applyFill="1" applyBorder="1" applyAlignment="1">
      <alignment horizontal="center" vertical="center" wrapText="1"/>
    </xf>
    <xf numFmtId="0" fontId="18" fillId="24" borderId="85" xfId="0" applyFont="1" applyFill="1" applyBorder="1" applyAlignment="1">
      <alignment horizontal="center" vertical="center" wrapText="1"/>
    </xf>
    <xf numFmtId="0" fontId="18" fillId="20" borderId="87" xfId="0" applyFont="1" applyFill="1" applyBorder="1" applyAlignment="1">
      <alignment horizontal="center" vertical="center" wrapText="1"/>
    </xf>
    <xf numFmtId="0" fontId="18" fillId="20" borderId="77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8" fillId="7" borderId="59" xfId="0" applyFont="1" applyFill="1" applyBorder="1" applyAlignment="1">
      <alignment horizontal="center" vertical="center" wrapText="1"/>
    </xf>
    <xf numFmtId="0" fontId="18" fillId="7" borderId="77" xfId="0" applyFont="1" applyFill="1" applyBorder="1" applyAlignment="1">
      <alignment horizontal="center" vertical="center" wrapText="1"/>
    </xf>
    <xf numFmtId="0" fontId="18" fillId="7" borderId="25" xfId="0" applyFont="1" applyFill="1" applyBorder="1" applyAlignment="1">
      <alignment horizontal="center" vertical="center" wrapText="1"/>
    </xf>
    <xf numFmtId="0" fontId="18" fillId="21" borderId="5" xfId="0" applyFont="1" applyFill="1" applyBorder="1" applyAlignment="1">
      <alignment horizontal="center" vertical="center" wrapText="1"/>
    </xf>
    <xf numFmtId="0" fontId="18" fillId="21" borderId="59" xfId="0" applyFont="1" applyFill="1" applyBorder="1" applyAlignment="1">
      <alignment horizontal="center" vertical="center" wrapText="1"/>
    </xf>
    <xf numFmtId="0" fontId="18" fillId="21" borderId="77" xfId="0" applyFont="1" applyFill="1" applyBorder="1" applyAlignment="1">
      <alignment horizontal="center" vertical="center" wrapText="1"/>
    </xf>
    <xf numFmtId="0" fontId="18" fillId="21" borderId="25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18" fillId="5" borderId="59" xfId="0" applyFont="1" applyFill="1" applyBorder="1" applyAlignment="1">
      <alignment horizontal="center" vertical="center" wrapText="1"/>
    </xf>
    <xf numFmtId="0" fontId="18" fillId="5" borderId="77" xfId="0" applyFont="1" applyFill="1" applyBorder="1" applyAlignment="1">
      <alignment horizontal="center" vertical="center" wrapText="1"/>
    </xf>
    <xf numFmtId="0" fontId="18" fillId="5" borderId="25" xfId="0" applyFont="1" applyFill="1" applyBorder="1" applyAlignment="1">
      <alignment horizontal="center" vertical="center" wrapText="1"/>
    </xf>
    <xf numFmtId="0" fontId="18" fillId="21" borderId="9" xfId="0" applyFont="1" applyFill="1" applyBorder="1" applyAlignment="1">
      <alignment horizontal="center" vertical="center" wrapText="1"/>
    </xf>
    <xf numFmtId="0" fontId="18" fillId="0" borderId="0" xfId="0" applyFont="1"/>
    <xf numFmtId="1" fontId="0" fillId="0" borderId="63" xfId="0" applyNumberFormat="1" applyBorder="1" applyAlignment="1">
      <alignment horizontal="center"/>
    </xf>
    <xf numFmtId="1" fontId="0" fillId="0" borderId="51" xfId="0" applyNumberFormat="1" applyBorder="1" applyAlignment="1">
      <alignment horizontal="center"/>
    </xf>
    <xf numFmtId="1" fontId="0" fillId="0" borderId="62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64" xfId="0" applyNumberFormat="1" applyBorder="1" applyAlignment="1">
      <alignment horizontal="center"/>
    </xf>
    <xf numFmtId="0" fontId="0" fillId="21" borderId="5" xfId="0" applyFill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0" fillId="21" borderId="1" xfId="0" applyFill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54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53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52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8" xfId="0" applyNumberFormat="1" applyBorder="1" applyAlignment="1">
      <alignment horizontal="center"/>
    </xf>
    <xf numFmtId="1" fontId="0" fillId="0" borderId="34" xfId="0" applyNumberFormat="1" applyBorder="1" applyAlignment="1">
      <alignment horizontal="left"/>
    </xf>
    <xf numFmtId="1" fontId="0" fillId="0" borderId="31" xfId="0" applyNumberFormat="1" applyBorder="1" applyAlignment="1">
      <alignment horizontal="left"/>
    </xf>
    <xf numFmtId="1" fontId="0" fillId="0" borderId="35" xfId="0" applyNumberFormat="1" applyBorder="1" applyAlignment="1">
      <alignment horizontal="left"/>
    </xf>
    <xf numFmtId="1" fontId="0" fillId="0" borderId="27" xfId="0" applyNumberFormat="1" applyBorder="1" applyAlignment="1">
      <alignment horizontal="left"/>
    </xf>
    <xf numFmtId="1" fontId="0" fillId="0" borderId="28" xfId="0" applyNumberFormat="1" applyBorder="1" applyAlignment="1">
      <alignment horizontal="left"/>
    </xf>
    <xf numFmtId="1" fontId="0" fillId="0" borderId="49" xfId="0" applyNumberFormat="1" applyBorder="1" applyAlignment="1">
      <alignment horizontal="left"/>
    </xf>
    <xf numFmtId="0" fontId="0" fillId="18" borderId="52" xfId="0" applyFill="1" applyBorder="1"/>
    <xf numFmtId="0" fontId="0" fillId="18" borderId="4" xfId="0" applyFill="1" applyBorder="1"/>
    <xf numFmtId="0" fontId="0" fillId="18" borderId="48" xfId="0" applyFill="1" applyBorder="1"/>
    <xf numFmtId="3" fontId="0" fillId="8" borderId="17" xfId="0" applyNumberFormat="1" applyFill="1" applyBorder="1" applyAlignment="1">
      <alignment horizontal="center"/>
    </xf>
    <xf numFmtId="3" fontId="0" fillId="8" borderId="18" xfId="0" applyNumberFormat="1" applyFill="1" applyBorder="1" applyAlignment="1">
      <alignment horizontal="center"/>
    </xf>
    <xf numFmtId="0" fontId="0" fillId="18" borderId="3" xfId="0" applyFill="1" applyBorder="1"/>
    <xf numFmtId="3" fontId="0" fillId="8" borderId="4" xfId="0" applyNumberFormat="1" applyFill="1" applyBorder="1" applyAlignment="1">
      <alignment horizontal="center"/>
    </xf>
    <xf numFmtId="3" fontId="0" fillId="8" borderId="48" xfId="0" applyNumberFormat="1" applyFill="1" applyBorder="1" applyAlignment="1">
      <alignment horizontal="center"/>
    </xf>
    <xf numFmtId="3" fontId="0" fillId="8" borderId="64" xfId="0" applyNumberFormat="1" applyFill="1" applyBorder="1" applyAlignment="1">
      <alignment horizontal="center"/>
    </xf>
    <xf numFmtId="3" fontId="0" fillId="8" borderId="16" xfId="0" applyNumberFormat="1" applyFill="1" applyBorder="1" applyAlignment="1">
      <alignment horizontal="center"/>
    </xf>
    <xf numFmtId="0" fontId="0" fillId="21" borderId="6" xfId="0" applyFill="1" applyBorder="1"/>
    <xf numFmtId="0" fontId="0" fillId="21" borderId="7" xfId="0" applyFill="1" applyBorder="1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7" xfId="0" applyBorder="1" applyAlignment="1">
      <alignment horizontal="left"/>
    </xf>
    <xf numFmtId="1" fontId="0" fillId="21" borderId="10" xfId="0" applyNumberFormat="1" applyFill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1" fontId="0" fillId="18" borderId="11" xfId="0" applyNumberFormat="1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" fontId="0" fillId="18" borderId="17" xfId="0" applyNumberFormat="1" applyFill="1" applyBorder="1" applyAlignment="1">
      <alignment horizontal="center"/>
    </xf>
    <xf numFmtId="1" fontId="0" fillId="18" borderId="22" xfId="0" applyNumberFormat="1" applyFill="1" applyBorder="1" applyAlignment="1">
      <alignment horizontal="center"/>
    </xf>
    <xf numFmtId="0" fontId="0" fillId="0" borderId="67" xfId="0" applyBorder="1"/>
    <xf numFmtId="0" fontId="0" fillId="0" borderId="90" xfId="0" pivotButton="1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1" fontId="0" fillId="0" borderId="90" xfId="0" applyNumberFormat="1" applyBorder="1"/>
    <xf numFmtId="1" fontId="0" fillId="0" borderId="6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3" fontId="0" fillId="0" borderId="75" xfId="0" applyNumberForma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3" fontId="0" fillId="0" borderId="54" xfId="0" applyNumberFormat="1" applyBorder="1" applyAlignment="1">
      <alignment horizontal="center"/>
    </xf>
    <xf numFmtId="0" fontId="1" fillId="7" borderId="83" xfId="0" applyFont="1" applyFill="1" applyBorder="1" applyAlignment="1">
      <alignment horizontal="center" vertical="center" wrapText="1"/>
    </xf>
    <xf numFmtId="0" fontId="1" fillId="7" borderId="73" xfId="0" applyFont="1" applyFill="1" applyBorder="1" applyAlignment="1">
      <alignment horizontal="center" vertical="center" wrapText="1"/>
    </xf>
    <xf numFmtId="0" fontId="1" fillId="13" borderId="83" xfId="0" applyFont="1" applyFill="1" applyBorder="1" applyAlignment="1">
      <alignment horizontal="center" vertical="center" wrapText="1"/>
    </xf>
    <xf numFmtId="0" fontId="1" fillId="13" borderId="85" xfId="0" applyFont="1" applyFill="1" applyBorder="1" applyAlignment="1">
      <alignment horizontal="center" vertical="center" wrapText="1"/>
    </xf>
    <xf numFmtId="0" fontId="1" fillId="19" borderId="68" xfId="0" applyFont="1" applyFill="1" applyBorder="1" applyAlignment="1">
      <alignment horizontal="center" vertical="center" wrapText="1"/>
    </xf>
    <xf numFmtId="0" fontId="1" fillId="19" borderId="66" xfId="0" applyFont="1" applyFill="1" applyBorder="1" applyAlignment="1">
      <alignment horizontal="center" vertical="center" wrapText="1"/>
    </xf>
    <xf numFmtId="0" fontId="1" fillId="12" borderId="83" xfId="0" applyFont="1" applyFill="1" applyBorder="1" applyAlignment="1">
      <alignment horizontal="center" vertical="center" wrapText="1"/>
    </xf>
    <xf numFmtId="0" fontId="1" fillId="12" borderId="85" xfId="0" applyFont="1" applyFill="1" applyBorder="1" applyAlignment="1">
      <alignment horizontal="center" vertical="center" wrapText="1"/>
    </xf>
    <xf numFmtId="165" fontId="0" fillId="6" borderId="0" xfId="0" applyNumberFormat="1" applyFill="1"/>
    <xf numFmtId="0" fontId="2" fillId="12" borderId="52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13" borderId="61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8" fillId="24" borderId="74" xfId="0" applyFont="1" applyFill="1" applyBorder="1" applyAlignment="1">
      <alignment horizontal="center" vertical="center" wrapText="1"/>
    </xf>
    <xf numFmtId="0" fontId="18" fillId="2" borderId="9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3" borderId="14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vertical="center" wrapText="1"/>
    </xf>
    <xf numFmtId="14" fontId="2" fillId="3" borderId="11" xfId="0" applyNumberFormat="1" applyFont="1" applyFill="1" applyBorder="1" applyAlignment="1">
      <alignment horizontal="center" vertical="center" wrapText="1"/>
    </xf>
    <xf numFmtId="14" fontId="2" fillId="3" borderId="11" xfId="0" applyNumberFormat="1" applyFont="1" applyFill="1" applyBorder="1" applyAlignment="1">
      <alignment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13" borderId="90" xfId="0" applyFont="1" applyFill="1" applyBorder="1" applyAlignment="1">
      <alignment horizontal="center" vertical="center" wrapText="1"/>
    </xf>
    <xf numFmtId="3" fontId="3" fillId="0" borderId="69" xfId="0" applyNumberFormat="1" applyFont="1" applyBorder="1" applyAlignment="1">
      <alignment horizontal="center" vertical="center" wrapText="1"/>
    </xf>
    <xf numFmtId="3" fontId="3" fillId="0" borderId="67" xfId="0" applyNumberFormat="1" applyFont="1" applyBorder="1" applyAlignment="1">
      <alignment horizontal="center" vertical="center" wrapText="1"/>
    </xf>
    <xf numFmtId="3" fontId="3" fillId="0" borderId="22" xfId="0" applyNumberFormat="1" applyFont="1" applyBorder="1" applyAlignment="1">
      <alignment horizontal="center" vertical="center" wrapText="1"/>
    </xf>
    <xf numFmtId="14" fontId="2" fillId="17" borderId="78" xfId="0" applyNumberFormat="1" applyFont="1" applyFill="1" applyBorder="1" applyAlignment="1">
      <alignment vertical="center" wrapText="1"/>
    </xf>
    <xf numFmtId="0" fontId="2" fillId="17" borderId="24" xfId="0" applyFont="1" applyFill="1" applyBorder="1" applyAlignment="1">
      <alignment horizontal="center" vertical="center" wrapText="1"/>
    </xf>
    <xf numFmtId="3" fontId="3" fillId="0" borderId="88" xfId="0" applyNumberFormat="1" applyFont="1" applyBorder="1" applyAlignment="1">
      <alignment horizontal="center" vertical="center" wrapText="1"/>
    </xf>
    <xf numFmtId="3" fontId="3" fillId="0" borderId="89" xfId="0" applyNumberFormat="1" applyFont="1" applyBorder="1" applyAlignment="1">
      <alignment horizontal="center" vertical="center" wrapText="1"/>
    </xf>
    <xf numFmtId="3" fontId="3" fillId="0" borderId="30" xfId="0" applyNumberFormat="1" applyFont="1" applyBorder="1" applyAlignment="1">
      <alignment horizontal="center" vertical="center" wrapText="1"/>
    </xf>
    <xf numFmtId="14" fontId="2" fillId="3" borderId="78" xfId="0" applyNumberFormat="1" applyFont="1" applyFill="1" applyBorder="1" applyAlignment="1">
      <alignment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16" borderId="66" xfId="0" applyFont="1" applyFill="1" applyBorder="1" applyAlignment="1">
      <alignment horizontal="center" wrapText="1"/>
    </xf>
    <xf numFmtId="0" fontId="0" fillId="11" borderId="10" xfId="0" applyFill="1" applyBorder="1" applyAlignment="1">
      <alignment horizontal="center" wrapText="1"/>
    </xf>
    <xf numFmtId="44" fontId="0" fillId="0" borderId="0" xfId="2" applyFont="1" applyAlignment="1">
      <alignment horizontal="center"/>
    </xf>
    <xf numFmtId="3" fontId="0" fillId="11" borderId="10" xfId="0" applyNumberFormat="1" applyFill="1" applyBorder="1" applyAlignment="1">
      <alignment horizontal="center" vertical="center" wrapText="1"/>
    </xf>
    <xf numFmtId="0" fontId="5" fillId="11" borderId="0" xfId="0" applyFont="1" applyFill="1" applyAlignment="1">
      <alignment horizontal="center"/>
    </xf>
    <xf numFmtId="0" fontId="0" fillId="11" borderId="0" xfId="0" applyFill="1"/>
    <xf numFmtId="14" fontId="0" fillId="0" borderId="94" xfId="0" applyNumberFormat="1" applyBorder="1" applyAlignment="1">
      <alignment horizontal="left"/>
    </xf>
    <xf numFmtId="1" fontId="0" fillId="0" borderId="86" xfId="0" applyNumberFormat="1" applyBorder="1" applyAlignment="1">
      <alignment horizontal="left"/>
    </xf>
    <xf numFmtId="0" fontId="0" fillId="0" borderId="86" xfId="0" applyBorder="1"/>
    <xf numFmtId="0" fontId="0" fillId="0" borderId="95" xfId="0" applyBorder="1"/>
    <xf numFmtId="1" fontId="0" fillId="0" borderId="94" xfId="0" applyNumberFormat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5" borderId="90" xfId="0" applyFill="1" applyBorder="1"/>
    <xf numFmtId="0" fontId="0" fillId="5" borderId="6" xfId="0" applyFill="1" applyBorder="1"/>
    <xf numFmtId="0" fontId="0" fillId="5" borderId="1" xfId="0" applyFill="1" applyBorder="1"/>
    <xf numFmtId="0" fontId="0" fillId="5" borderId="7" xfId="0" applyFill="1" applyBorder="1"/>
    <xf numFmtId="1" fontId="0" fillId="5" borderId="10" xfId="0" applyNumberForma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" fontId="0" fillId="0" borderId="0" xfId="0" applyNumberFormat="1" applyAlignment="1">
      <alignment horizontal="left"/>
    </xf>
    <xf numFmtId="167" fontId="0" fillId="0" borderId="0" xfId="0" applyNumberFormat="1"/>
    <xf numFmtId="42" fontId="0" fillId="0" borderId="8" xfId="0" applyNumberFormat="1" applyBorder="1"/>
    <xf numFmtId="42" fontId="0" fillId="0" borderId="0" xfId="0" applyNumberFormat="1"/>
    <xf numFmtId="42" fontId="0" fillId="0" borderId="64" xfId="0" applyNumberFormat="1" applyBorder="1"/>
    <xf numFmtId="3" fontId="3" fillId="8" borderId="36" xfId="0" applyNumberFormat="1" applyFont="1" applyFill="1" applyBorder="1" applyAlignment="1">
      <alignment horizontal="center" vertical="center" wrapText="1"/>
    </xf>
    <xf numFmtId="3" fontId="3" fillId="8" borderId="37" xfId="0" applyNumberFormat="1" applyFont="1" applyFill="1" applyBorder="1" applyAlignment="1">
      <alignment horizontal="center" vertical="center" wrapText="1"/>
    </xf>
    <xf numFmtId="3" fontId="3" fillId="8" borderId="40" xfId="0" applyNumberFormat="1" applyFont="1" applyFill="1" applyBorder="1" applyAlignment="1">
      <alignment horizontal="center" vertical="center" wrapText="1"/>
    </xf>
    <xf numFmtId="3" fontId="3" fillId="8" borderId="39" xfId="0" applyNumberFormat="1" applyFont="1" applyFill="1" applyBorder="1" applyAlignment="1">
      <alignment horizontal="center" vertical="center" wrapText="1"/>
    </xf>
    <xf numFmtId="3" fontId="3" fillId="8" borderId="42" xfId="0" applyNumberFormat="1" applyFont="1" applyFill="1" applyBorder="1" applyAlignment="1">
      <alignment horizontal="center" vertical="center" wrapText="1"/>
    </xf>
    <xf numFmtId="3" fontId="3" fillId="8" borderId="56" xfId="0" applyNumberFormat="1" applyFont="1" applyFill="1" applyBorder="1" applyAlignment="1">
      <alignment horizontal="center" vertical="center" wrapText="1"/>
    </xf>
    <xf numFmtId="168" fontId="19" fillId="8" borderId="10" xfId="0" applyNumberFormat="1" applyFont="1" applyFill="1" applyBorder="1" applyAlignment="1">
      <alignment horizontal="right"/>
    </xf>
    <xf numFmtId="0" fontId="0" fillId="0" borderId="5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96" xfId="0" applyBorder="1" applyAlignment="1">
      <alignment horizontal="center"/>
    </xf>
    <xf numFmtId="0" fontId="0" fillId="0" borderId="71" xfId="0" applyBorder="1" applyAlignment="1">
      <alignment horizontal="center"/>
    </xf>
    <xf numFmtId="49" fontId="12" fillId="5" borderId="85" xfId="0" applyNumberFormat="1" applyFont="1" applyFill="1" applyBorder="1" applyAlignment="1">
      <alignment horizontal="center" vertical="center" wrapText="1"/>
    </xf>
    <xf numFmtId="0" fontId="0" fillId="14" borderId="13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4" borderId="18" xfId="0" applyFill="1" applyBorder="1" applyAlignment="1">
      <alignment horizontal="center"/>
    </xf>
    <xf numFmtId="42" fontId="0" fillId="0" borderId="0" xfId="2" applyNumberFormat="1" applyFont="1"/>
    <xf numFmtId="2" fontId="0" fillId="0" borderId="69" xfId="0" applyNumberFormat="1" applyBorder="1" applyAlignment="1">
      <alignment horizontal="center"/>
    </xf>
    <xf numFmtId="49" fontId="12" fillId="7" borderId="61" xfId="0" applyNumberFormat="1" applyFont="1" applyFill="1" applyBorder="1" applyAlignment="1">
      <alignment horizontal="center" vertical="center" wrapText="1"/>
    </xf>
    <xf numFmtId="49" fontId="12" fillId="7" borderId="65" xfId="0" applyNumberFormat="1" applyFont="1" applyFill="1" applyBorder="1" applyAlignment="1">
      <alignment horizontal="center" vertical="center" wrapText="1"/>
    </xf>
    <xf numFmtId="3" fontId="11" fillId="8" borderId="0" xfId="0" applyNumberFormat="1" applyFont="1" applyFill="1" applyAlignment="1">
      <alignment horizontal="right"/>
    </xf>
    <xf numFmtId="0" fontId="11" fillId="8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8" borderId="0" xfId="0" applyFill="1" applyAlignment="1">
      <alignment horizontal="center" vertical="center"/>
    </xf>
    <xf numFmtId="3" fontId="3" fillId="5" borderId="36" xfId="0" applyNumberFormat="1" applyFont="1" applyFill="1" applyBorder="1" applyAlignment="1">
      <alignment horizontal="center" vertical="center" wrapText="1"/>
    </xf>
    <xf numFmtId="3" fontId="3" fillId="5" borderId="40" xfId="0" applyNumberFormat="1" applyFont="1" applyFill="1" applyBorder="1" applyAlignment="1">
      <alignment horizontal="center" vertical="center" wrapText="1"/>
    </xf>
    <xf numFmtId="3" fontId="3" fillId="5" borderId="42" xfId="0" applyNumberFormat="1" applyFont="1" applyFill="1" applyBorder="1" applyAlignment="1">
      <alignment horizontal="center" vertical="center" wrapText="1"/>
    </xf>
    <xf numFmtId="3" fontId="3" fillId="5" borderId="38" xfId="0" applyNumberFormat="1" applyFont="1" applyFill="1" applyBorder="1" applyAlignment="1">
      <alignment horizontal="center" vertical="center" wrapText="1"/>
    </xf>
    <xf numFmtId="49" fontId="12" fillId="20" borderId="6" xfId="0" applyNumberFormat="1" applyFont="1" applyFill="1" applyBorder="1" applyAlignment="1">
      <alignment horizontal="center" vertical="center" wrapText="1"/>
    </xf>
    <xf numFmtId="49" fontId="12" fillId="20" borderId="73" xfId="0" applyNumberFormat="1" applyFont="1" applyFill="1" applyBorder="1" applyAlignment="1">
      <alignment horizontal="center" vertical="center" wrapText="1"/>
    </xf>
    <xf numFmtId="49" fontId="12" fillId="20" borderId="84" xfId="0" applyNumberFormat="1" applyFont="1" applyFill="1" applyBorder="1" applyAlignment="1">
      <alignment horizontal="center" vertical="center" wrapText="1"/>
    </xf>
    <xf numFmtId="0" fontId="18" fillId="28" borderId="83" xfId="0" applyFont="1" applyFill="1" applyBorder="1" applyAlignment="1">
      <alignment horizontal="center" vertical="center" wrapText="1"/>
    </xf>
    <xf numFmtId="166" fontId="0" fillId="8" borderId="10" xfId="0" applyNumberFormat="1" applyFill="1" applyBorder="1" applyAlignment="1">
      <alignment horizontal="center"/>
    </xf>
    <xf numFmtId="3" fontId="0" fillId="8" borderId="0" xfId="0" applyNumberFormat="1" applyFill="1" applyAlignment="1">
      <alignment horizontal="center" vertical="center"/>
    </xf>
    <xf numFmtId="0" fontId="13" fillId="4" borderId="48" xfId="0" applyFont="1" applyFill="1" applyBorder="1" applyAlignment="1">
      <alignment horizontal="center" vertical="center" wrapText="1"/>
    </xf>
    <xf numFmtId="3" fontId="0" fillId="8" borderId="0" xfId="0" applyNumberFormat="1" applyFill="1" applyAlignment="1">
      <alignment horizontal="center" vertical="center" wrapText="1"/>
    </xf>
    <xf numFmtId="14" fontId="0" fillId="8" borderId="0" xfId="0" applyNumberFormat="1" applyFill="1" applyAlignment="1">
      <alignment horizontal="center" vertical="center"/>
    </xf>
    <xf numFmtId="3" fontId="0" fillId="8" borderId="91" xfId="0" applyNumberFormat="1" applyFill="1" applyBorder="1"/>
    <xf numFmtId="0" fontId="0" fillId="0" borderId="11" xfId="0" applyBorder="1" applyAlignment="1">
      <alignment horizontal="center"/>
    </xf>
    <xf numFmtId="3" fontId="0" fillId="0" borderId="0" xfId="0" applyNumberFormat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167" fontId="0" fillId="0" borderId="10" xfId="2" applyNumberFormat="1" applyFont="1" applyBorder="1" applyAlignment="1">
      <alignment horizontal="center"/>
    </xf>
    <xf numFmtId="0" fontId="1" fillId="11" borderId="10" xfId="0" applyFont="1" applyFill="1" applyBorder="1" applyAlignment="1">
      <alignment horizontal="center" vertical="center"/>
    </xf>
    <xf numFmtId="167" fontId="1" fillId="0" borderId="10" xfId="2" applyNumberFormat="1" applyFont="1" applyBorder="1" applyAlignment="1"/>
    <xf numFmtId="0" fontId="1" fillId="11" borderId="10" xfId="0" applyFont="1" applyFill="1" applyBorder="1" applyAlignment="1">
      <alignment horizontal="center" vertical="center" wrapText="1"/>
    </xf>
    <xf numFmtId="167" fontId="0" fillId="0" borderId="10" xfId="0" applyNumberFormat="1" applyBorder="1"/>
    <xf numFmtId="167" fontId="1" fillId="0" borderId="10" xfId="0" applyNumberFormat="1" applyFont="1" applyBorder="1"/>
    <xf numFmtId="3" fontId="11" fillId="29" borderId="31" xfId="0" applyNumberFormat="1" applyFont="1" applyFill="1" applyBorder="1" applyAlignment="1">
      <alignment horizontal="center"/>
    </xf>
    <xf numFmtId="3" fontId="11" fillId="29" borderId="35" xfId="0" applyNumberFormat="1" applyFont="1" applyFill="1" applyBorder="1" applyAlignment="1">
      <alignment horizontal="center"/>
    </xf>
    <xf numFmtId="3" fontId="11" fillId="29" borderId="24" xfId="0" applyNumberFormat="1" applyFont="1" applyFill="1" applyBorder="1" applyAlignment="1">
      <alignment horizontal="center"/>
    </xf>
    <xf numFmtId="3" fontId="11" fillId="0" borderId="22" xfId="0" applyNumberFormat="1" applyFont="1" applyBorder="1" applyAlignment="1">
      <alignment horizontal="center"/>
    </xf>
    <xf numFmtId="3" fontId="11" fillId="0" borderId="72" xfId="0" applyNumberFormat="1" applyFont="1" applyBorder="1" applyAlignment="1">
      <alignment horizontal="center"/>
    </xf>
    <xf numFmtId="3" fontId="11" fillId="0" borderId="17" xfId="0" applyNumberFormat="1" applyFont="1" applyBorder="1"/>
    <xf numFmtId="3" fontId="11" fillId="0" borderId="23" xfId="0" applyNumberFormat="1" applyFont="1" applyBorder="1" applyAlignment="1">
      <alignment horizontal="center"/>
    </xf>
    <xf numFmtId="3" fontId="11" fillId="0" borderId="31" xfId="0" applyNumberFormat="1" applyFont="1" applyBorder="1" applyAlignment="1">
      <alignment horizontal="center"/>
    </xf>
    <xf numFmtId="3" fontId="11" fillId="0" borderId="18" xfId="0" applyNumberFormat="1" applyFont="1" applyBorder="1"/>
    <xf numFmtId="3" fontId="11" fillId="0" borderId="24" xfId="0" applyNumberFormat="1" applyFont="1" applyBorder="1" applyAlignment="1">
      <alignment horizontal="center"/>
    </xf>
    <xf numFmtId="3" fontId="11" fillId="0" borderId="35" xfId="0" applyNumberFormat="1" applyFont="1" applyBorder="1" applyAlignment="1">
      <alignment horizontal="center"/>
    </xf>
    <xf numFmtId="3" fontId="11" fillId="0" borderId="19" xfId="0" applyNumberFormat="1" applyFont="1" applyBorder="1"/>
    <xf numFmtId="3" fontId="0" fillId="0" borderId="29" xfId="0" applyNumberFormat="1" applyBorder="1"/>
    <xf numFmtId="3" fontId="0" fillId="0" borderId="29" xfId="0" applyNumberFormat="1" applyBorder="1" applyAlignment="1">
      <alignment horizontal="center"/>
    </xf>
    <xf numFmtId="3" fontId="11" fillId="0" borderId="11" xfId="0" applyNumberFormat="1" applyFont="1" applyBorder="1" applyAlignment="1">
      <alignment horizontal="right"/>
    </xf>
    <xf numFmtId="3" fontId="11" fillId="0" borderId="12" xfId="0" applyNumberFormat="1" applyFont="1" applyBorder="1" applyAlignment="1">
      <alignment horizontal="right"/>
    </xf>
    <xf numFmtId="3" fontId="11" fillId="0" borderId="11" xfId="0" applyNumberFormat="1" applyFont="1" applyBorder="1"/>
    <xf numFmtId="3" fontId="11" fillId="0" borderId="12" xfId="0" applyNumberFormat="1" applyFont="1" applyBorder="1"/>
    <xf numFmtId="169" fontId="4" fillId="0" borderId="41" xfId="0" applyNumberFormat="1" applyFont="1" applyBorder="1" applyAlignment="1">
      <alignment horizontal="center" vertical="center" wrapText="1"/>
    </xf>
    <xf numFmtId="3" fontId="4" fillId="0" borderId="41" xfId="0" applyNumberFormat="1" applyFont="1" applyBorder="1" applyAlignment="1">
      <alignment horizontal="center" vertical="center" wrapText="1"/>
    </xf>
    <xf numFmtId="3" fontId="4" fillId="0" borderId="43" xfId="0" applyNumberFormat="1" applyFont="1" applyBorder="1" applyAlignment="1">
      <alignment horizontal="center" vertical="center" wrapText="1"/>
    </xf>
    <xf numFmtId="165" fontId="11" fillId="0" borderId="11" xfId="0" applyNumberFormat="1" applyFont="1" applyBorder="1"/>
    <xf numFmtId="165" fontId="11" fillId="0" borderId="12" xfId="0" applyNumberFormat="1" applyFont="1" applyBorder="1"/>
    <xf numFmtId="165" fontId="11" fillId="0" borderId="17" xfId="0" applyNumberFormat="1" applyFont="1" applyBorder="1"/>
    <xf numFmtId="165" fontId="11" fillId="0" borderId="10" xfId="0" applyNumberFormat="1" applyFont="1" applyBorder="1"/>
    <xf numFmtId="14" fontId="0" fillId="0" borderId="69" xfId="0" applyNumberFormat="1" applyBorder="1" applyAlignment="1">
      <alignment horizontal="left"/>
    </xf>
    <xf numFmtId="3" fontId="0" fillId="0" borderId="27" xfId="0" applyNumberFormat="1" applyBorder="1"/>
    <xf numFmtId="3" fontId="0" fillId="0" borderId="27" xfId="0" applyNumberFormat="1" applyBorder="1" applyAlignment="1">
      <alignment horizontal="center"/>
    </xf>
    <xf numFmtId="3" fontId="11" fillId="0" borderId="13" xfId="0" applyNumberFormat="1" applyFont="1" applyBorder="1" applyAlignment="1">
      <alignment horizontal="right"/>
    </xf>
    <xf numFmtId="3" fontId="11" fillId="0" borderId="10" xfId="0" applyNumberFormat="1" applyFont="1" applyBorder="1" applyAlignment="1">
      <alignment horizontal="right"/>
    </xf>
    <xf numFmtId="3" fontId="11" fillId="0" borderId="10" xfId="0" applyNumberFormat="1" applyFont="1" applyBorder="1"/>
    <xf numFmtId="165" fontId="11" fillId="0" borderId="13" xfId="0" applyNumberFormat="1" applyFont="1" applyBorder="1"/>
    <xf numFmtId="165" fontId="11" fillId="0" borderId="18" xfId="0" applyNumberFormat="1" applyFont="1" applyBorder="1"/>
    <xf numFmtId="14" fontId="0" fillId="0" borderId="67" xfId="0" applyNumberFormat="1" applyBorder="1" applyAlignment="1">
      <alignment horizontal="left"/>
    </xf>
    <xf numFmtId="3" fontId="0" fillId="0" borderId="28" xfId="0" applyNumberFormat="1" applyBorder="1"/>
    <xf numFmtId="3" fontId="0" fillId="0" borderId="28" xfId="0" applyNumberFormat="1" applyBorder="1" applyAlignment="1">
      <alignment horizontal="center"/>
    </xf>
    <xf numFmtId="3" fontId="11" fillId="0" borderId="15" xfId="0" applyNumberFormat="1" applyFont="1" applyBorder="1"/>
    <xf numFmtId="165" fontId="11" fillId="0" borderId="15" xfId="0" applyNumberFormat="1" applyFont="1" applyBorder="1"/>
    <xf numFmtId="165" fontId="11" fillId="0" borderId="19" xfId="0" applyNumberFormat="1" applyFont="1" applyBorder="1"/>
    <xf numFmtId="0" fontId="13" fillId="4" borderId="4" xfId="0" applyFont="1" applyFill="1" applyBorder="1" applyAlignment="1">
      <alignment horizontal="center" vertical="center" wrapText="1"/>
    </xf>
    <xf numFmtId="0" fontId="13" fillId="4" borderId="61" xfId="0" applyFont="1" applyFill="1" applyBorder="1" applyAlignment="1">
      <alignment horizontal="center" vertical="center" wrapText="1"/>
    </xf>
    <xf numFmtId="3" fontId="11" fillId="18" borderId="10" xfId="0" applyNumberFormat="1" applyFont="1" applyFill="1" applyBorder="1" applyAlignment="1">
      <alignment horizontal="center" vertical="center"/>
    </xf>
    <xf numFmtId="3" fontId="11" fillId="18" borderId="89" xfId="0" applyNumberFormat="1" applyFont="1" applyFill="1" applyBorder="1" applyAlignment="1">
      <alignment horizontal="center" vertical="center"/>
    </xf>
    <xf numFmtId="3" fontId="11" fillId="18" borderId="11" xfId="0" applyNumberFormat="1" applyFont="1" applyFill="1" applyBorder="1" applyAlignment="1">
      <alignment horizontal="right"/>
    </xf>
    <xf numFmtId="3" fontId="11" fillId="18" borderId="12" xfId="0" applyNumberFormat="1" applyFont="1" applyFill="1" applyBorder="1" applyAlignment="1">
      <alignment horizontal="center" vertical="center"/>
    </xf>
    <xf numFmtId="3" fontId="11" fillId="18" borderId="78" xfId="0" applyNumberFormat="1" applyFont="1" applyFill="1" applyBorder="1" applyAlignment="1">
      <alignment horizontal="center" vertical="center"/>
    </xf>
    <xf numFmtId="3" fontId="11" fillId="18" borderId="13" xfId="0" applyNumberFormat="1" applyFont="1" applyFill="1" applyBorder="1" applyAlignment="1">
      <alignment horizontal="right"/>
    </xf>
    <xf numFmtId="3" fontId="11" fillId="18" borderId="14" xfId="0" applyNumberFormat="1" applyFont="1" applyFill="1" applyBorder="1" applyAlignment="1">
      <alignment horizontal="right"/>
    </xf>
    <xf numFmtId="3" fontId="11" fillId="18" borderId="15" xfId="0" applyNumberFormat="1" applyFont="1" applyFill="1" applyBorder="1" applyAlignment="1">
      <alignment horizontal="center" vertical="center"/>
    </xf>
    <xf numFmtId="3" fontId="11" fillId="18" borderId="30" xfId="0" applyNumberFormat="1" applyFont="1" applyFill="1" applyBorder="1" applyAlignment="1">
      <alignment horizontal="center" vertical="center"/>
    </xf>
    <xf numFmtId="1" fontId="0" fillId="6" borderId="29" xfId="0" applyNumberFormat="1" applyFill="1" applyBorder="1" applyAlignment="1">
      <alignment horizontal="left"/>
    </xf>
    <xf numFmtId="3" fontId="0" fillId="6" borderId="27" xfId="0" applyNumberFormat="1" applyFill="1" applyBorder="1"/>
    <xf numFmtId="3" fontId="0" fillId="6" borderId="27" xfId="0" applyNumberFormat="1" applyFill="1" applyBorder="1" applyAlignment="1">
      <alignment horizontal="center"/>
    </xf>
    <xf numFmtId="3" fontId="0" fillId="6" borderId="28" xfId="0" applyNumberFormat="1" applyFill="1" applyBorder="1"/>
    <xf numFmtId="3" fontId="0" fillId="6" borderId="28" xfId="0" applyNumberFormat="1" applyFill="1" applyBorder="1" applyAlignment="1">
      <alignment horizontal="center"/>
    </xf>
    <xf numFmtId="3" fontId="0" fillId="6" borderId="29" xfId="0" applyNumberFormat="1" applyFill="1" applyBorder="1"/>
    <xf numFmtId="3" fontId="0" fillId="6" borderId="29" xfId="0" applyNumberFormat="1" applyFill="1" applyBorder="1" applyAlignment="1">
      <alignment horizontal="center"/>
    </xf>
    <xf numFmtId="3" fontId="11" fillId="29" borderId="72" xfId="0" applyNumberFormat="1" applyFont="1" applyFill="1" applyBorder="1" applyAlignment="1">
      <alignment horizontal="center"/>
    </xf>
    <xf numFmtId="1" fontId="0" fillId="28" borderId="29" xfId="0" applyNumberFormat="1" applyFill="1" applyBorder="1" applyAlignment="1">
      <alignment horizontal="left"/>
    </xf>
    <xf numFmtId="3" fontId="0" fillId="28" borderId="29" xfId="0" applyNumberFormat="1" applyFill="1" applyBorder="1"/>
    <xf numFmtId="3" fontId="0" fillId="28" borderId="29" xfId="0" applyNumberFormat="1" applyFill="1" applyBorder="1" applyAlignment="1">
      <alignment horizontal="center"/>
    </xf>
    <xf numFmtId="0" fontId="0" fillId="28" borderId="0" xfId="0" applyFill="1"/>
    <xf numFmtId="3" fontId="0" fillId="28" borderId="27" xfId="0" applyNumberFormat="1" applyFill="1" applyBorder="1"/>
    <xf numFmtId="3" fontId="0" fillId="28" borderId="27" xfId="0" applyNumberFormat="1" applyFill="1" applyBorder="1" applyAlignment="1">
      <alignment horizontal="center"/>
    </xf>
    <xf numFmtId="3" fontId="0" fillId="28" borderId="28" xfId="0" applyNumberFormat="1" applyFill="1" applyBorder="1"/>
    <xf numFmtId="3" fontId="0" fillId="28" borderId="28" xfId="0" applyNumberFormat="1" applyFill="1" applyBorder="1" applyAlignment="1">
      <alignment horizontal="center"/>
    </xf>
    <xf numFmtId="3" fontId="11" fillId="14" borderId="24" xfId="0" applyNumberFormat="1" applyFont="1" applyFill="1" applyBorder="1" applyAlignment="1">
      <alignment horizontal="center"/>
    </xf>
    <xf numFmtId="3" fontId="11" fillId="14" borderId="35" xfId="0" applyNumberFormat="1" applyFont="1" applyFill="1" applyBorder="1" applyAlignment="1">
      <alignment horizontal="center"/>
    </xf>
    <xf numFmtId="3" fontId="11" fillId="14" borderId="19" xfId="0" applyNumberFormat="1" applyFont="1" applyFill="1" applyBorder="1"/>
    <xf numFmtId="14" fontId="0" fillId="30" borderId="22" xfId="0" applyNumberFormat="1" applyFill="1" applyBorder="1" applyAlignment="1">
      <alignment horizontal="left"/>
    </xf>
    <xf numFmtId="1" fontId="0" fillId="30" borderId="29" xfId="0" applyNumberFormat="1" applyFill="1" applyBorder="1" applyAlignment="1">
      <alignment horizontal="left"/>
    </xf>
    <xf numFmtId="3" fontId="0" fillId="30" borderId="29" xfId="0" applyNumberFormat="1" applyFill="1" applyBorder="1"/>
    <xf numFmtId="3" fontId="0" fillId="30" borderId="29" xfId="0" applyNumberFormat="1" applyFill="1" applyBorder="1" applyAlignment="1">
      <alignment horizontal="center"/>
    </xf>
    <xf numFmtId="0" fontId="0" fillId="30" borderId="0" xfId="0" applyFill="1"/>
    <xf numFmtId="14" fontId="0" fillId="30" borderId="69" xfId="0" applyNumberFormat="1" applyFill="1" applyBorder="1" applyAlignment="1">
      <alignment horizontal="left"/>
    </xf>
    <xf numFmtId="3" fontId="0" fillId="30" borderId="27" xfId="0" applyNumberFormat="1" applyFill="1" applyBorder="1"/>
    <xf numFmtId="3" fontId="0" fillId="30" borderId="27" xfId="0" applyNumberFormat="1" applyFill="1" applyBorder="1" applyAlignment="1">
      <alignment horizontal="center"/>
    </xf>
    <xf numFmtId="14" fontId="0" fillId="30" borderId="67" xfId="0" applyNumberFormat="1" applyFill="1" applyBorder="1" applyAlignment="1">
      <alignment horizontal="left"/>
    </xf>
    <xf numFmtId="3" fontId="0" fillId="30" borderId="28" xfId="0" applyNumberFormat="1" applyFill="1" applyBorder="1"/>
    <xf numFmtId="3" fontId="0" fillId="30" borderId="28" xfId="0" applyNumberFormat="1" applyFill="1" applyBorder="1" applyAlignment="1">
      <alignment horizontal="center"/>
    </xf>
    <xf numFmtId="0" fontId="0" fillId="0" borderId="96" xfId="0" applyBorder="1"/>
    <xf numFmtId="3" fontId="0" fillId="8" borderId="12" xfId="0" applyNumberFormat="1" applyFill="1" applyBorder="1" applyAlignment="1">
      <alignment horizontal="center"/>
    </xf>
    <xf numFmtId="1" fontId="0" fillId="8" borderId="10" xfId="0" applyNumberFormat="1" applyFill="1" applyBorder="1" applyAlignment="1">
      <alignment horizontal="center"/>
    </xf>
    <xf numFmtId="3" fontId="0" fillId="8" borderId="10" xfId="0" applyNumberFormat="1" applyFill="1" applyBorder="1" applyAlignment="1">
      <alignment horizontal="center"/>
    </xf>
    <xf numFmtId="3" fontId="0" fillId="8" borderId="15" xfId="0" applyNumberFormat="1" applyFill="1" applyBorder="1" applyAlignment="1">
      <alignment horizontal="center"/>
    </xf>
    <xf numFmtId="3" fontId="0" fillId="8" borderId="19" xfId="0" applyNumberFormat="1" applyFill="1" applyBorder="1" applyAlignment="1">
      <alignment horizontal="center"/>
    </xf>
    <xf numFmtId="0" fontId="0" fillId="0" borderId="0" xfId="0" pivotButton="1"/>
    <xf numFmtId="167" fontId="0" fillId="0" borderId="9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7" fontId="0" fillId="0" borderId="16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0" fontId="1" fillId="8" borderId="0" xfId="0" applyFont="1" applyFill="1" applyAlignment="1">
      <alignment vertical="center" wrapText="1"/>
    </xf>
    <xf numFmtId="0" fontId="0" fillId="0" borderId="0" xfId="0" applyAlignment="1">
      <alignment wrapText="1"/>
    </xf>
    <xf numFmtId="3" fontId="0" fillId="0" borderId="9" xfId="0" applyNumberFormat="1" applyBorder="1" applyAlignment="1">
      <alignment horizontal="left"/>
    </xf>
    <xf numFmtId="3" fontId="0" fillId="0" borderId="5" xfId="0" applyNumberFormat="1" applyBorder="1" applyAlignment="1">
      <alignment horizontal="left"/>
    </xf>
    <xf numFmtId="3" fontId="0" fillId="0" borderId="16" xfId="0" applyNumberFormat="1" applyBorder="1" applyAlignment="1">
      <alignment horizontal="left"/>
    </xf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left" vertical="center" wrapText="1"/>
    </xf>
    <xf numFmtId="44" fontId="0" fillId="0" borderId="14" xfId="0" applyNumberFormat="1" applyBorder="1" applyAlignment="1">
      <alignment horizontal="center"/>
    </xf>
    <xf numFmtId="44" fontId="0" fillId="0" borderId="15" xfId="0" applyNumberFormat="1" applyBorder="1" applyAlignment="1">
      <alignment horizontal="center"/>
    </xf>
    <xf numFmtId="44" fontId="0" fillId="0" borderId="19" xfId="0" applyNumberFormat="1" applyBorder="1" applyAlignment="1">
      <alignment horizontal="center"/>
    </xf>
    <xf numFmtId="170" fontId="0" fillId="21" borderId="0" xfId="7" applyNumberFormat="1" applyFont="1" applyFill="1"/>
    <xf numFmtId="0" fontId="16" fillId="8" borderId="10" xfId="0" applyFont="1" applyFill="1" applyBorder="1" applyAlignment="1">
      <alignment horizontal="center" vertical="center" wrapText="1"/>
    </xf>
    <xf numFmtId="167" fontId="22" fillId="0" borderId="10" xfId="2" applyNumberFormat="1" applyFont="1" applyBorder="1"/>
    <xf numFmtId="0" fontId="0" fillId="20" borderId="0" xfId="0" applyFill="1"/>
    <xf numFmtId="2" fontId="0" fillId="0" borderId="0" xfId="0" applyNumberFormat="1"/>
    <xf numFmtId="0" fontId="0" fillId="31" borderId="10" xfId="0" applyFill="1" applyBorder="1" applyAlignment="1">
      <alignment horizontal="center" wrapText="1"/>
    </xf>
    <xf numFmtId="1" fontId="22" fillId="8" borderId="10" xfId="0" applyNumberFormat="1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0" fillId="8" borderId="31" xfId="0" applyFill="1" applyBorder="1" applyAlignment="1">
      <alignment horizontal="left"/>
    </xf>
    <xf numFmtId="0" fontId="0" fillId="8" borderId="20" xfId="0" applyFill="1" applyBorder="1" applyAlignment="1">
      <alignment horizontal="left"/>
    </xf>
    <xf numFmtId="0" fontId="0" fillId="8" borderId="27" xfId="0" applyFill="1" applyBorder="1" applyAlignment="1">
      <alignment horizontal="left"/>
    </xf>
    <xf numFmtId="0" fontId="0" fillId="8" borderId="28" xfId="0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0" fontId="0" fillId="8" borderId="21" xfId="0" applyFill="1" applyBorder="1" applyAlignment="1">
      <alignment horizontal="left"/>
    </xf>
    <xf numFmtId="0" fontId="1" fillId="8" borderId="65" xfId="0" applyFont="1" applyFill="1" applyBorder="1" applyAlignment="1">
      <alignment horizontal="center" vertical="center"/>
    </xf>
    <xf numFmtId="0" fontId="1" fillId="8" borderId="66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/>
    </xf>
    <xf numFmtId="167" fontId="0" fillId="8" borderId="10" xfId="0" applyNumberFormat="1" applyFill="1" applyBorder="1" applyAlignment="1">
      <alignment horizontal="center"/>
    </xf>
    <xf numFmtId="0" fontId="0" fillId="8" borderId="10" xfId="0" applyFill="1" applyBorder="1" applyAlignment="1">
      <alignment horizontal="center" wrapText="1"/>
    </xf>
    <xf numFmtId="0" fontId="23" fillId="21" borderId="98" xfId="0" applyFont="1" applyFill="1" applyBorder="1" applyAlignment="1">
      <alignment horizontal="center" vertical="center" wrapText="1"/>
    </xf>
    <xf numFmtId="0" fontId="23" fillId="21" borderId="97" xfId="0" applyFont="1" applyFill="1" applyBorder="1" applyAlignment="1">
      <alignment horizontal="center" vertical="center" wrapText="1"/>
    </xf>
    <xf numFmtId="165" fontId="0" fillId="34" borderId="97" xfId="0" applyNumberFormat="1" applyFill="1" applyBorder="1"/>
    <xf numFmtId="3" fontId="11" fillId="29" borderId="22" xfId="0" applyNumberFormat="1" applyFont="1" applyFill="1" applyBorder="1" applyAlignment="1">
      <alignment horizontal="center"/>
    </xf>
    <xf numFmtId="170" fontId="0" fillId="21" borderId="0" xfId="0" applyNumberFormat="1" applyFill="1"/>
    <xf numFmtId="49" fontId="12" fillId="25" borderId="92" xfId="0" applyNumberFormat="1" applyFont="1" applyFill="1" applyBorder="1" applyAlignment="1">
      <alignment horizontal="center" vertical="center" wrapText="1"/>
    </xf>
    <xf numFmtId="49" fontId="12" fillId="25" borderId="85" xfId="0" applyNumberFormat="1" applyFont="1" applyFill="1" applyBorder="1" applyAlignment="1">
      <alignment horizontal="center" vertical="center" wrapText="1"/>
    </xf>
    <xf numFmtId="49" fontId="12" fillId="21" borderId="92" xfId="0" applyNumberFormat="1" applyFont="1" applyFill="1" applyBorder="1" applyAlignment="1">
      <alignment horizontal="center" vertical="center" wrapText="1"/>
    </xf>
    <xf numFmtId="49" fontId="12" fillId="21" borderId="84" xfId="0" applyNumberFormat="1" applyFont="1" applyFill="1" applyBorder="1" applyAlignment="1">
      <alignment horizontal="center" vertical="center" wrapText="1"/>
    </xf>
    <xf numFmtId="49" fontId="12" fillId="21" borderId="85" xfId="0" applyNumberFormat="1" applyFont="1" applyFill="1" applyBorder="1" applyAlignment="1">
      <alignment horizontal="center" vertical="center" wrapText="1"/>
    </xf>
    <xf numFmtId="3" fontId="11" fillId="0" borderId="13" xfId="0" applyNumberFormat="1" applyFont="1" applyBorder="1"/>
    <xf numFmtId="10" fontId="0" fillId="0" borderId="19" xfId="0" applyNumberForma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3" fontId="11" fillId="14" borderId="22" xfId="0" applyNumberFormat="1" applyFont="1" applyFill="1" applyBorder="1" applyAlignment="1">
      <alignment horizontal="center"/>
    </xf>
    <xf numFmtId="3" fontId="11" fillId="14" borderId="72" xfId="0" applyNumberFormat="1" applyFont="1" applyFill="1" applyBorder="1" applyAlignment="1">
      <alignment horizontal="center"/>
    </xf>
    <xf numFmtId="0" fontId="0" fillId="8" borderId="3" xfId="0" applyFill="1" applyBorder="1"/>
    <xf numFmtId="0" fontId="0" fillId="8" borderId="67" xfId="0" applyFill="1" applyBorder="1"/>
    <xf numFmtId="3" fontId="0" fillId="0" borderId="83" xfId="0" applyNumberFormat="1" applyBorder="1" applyAlignment="1">
      <alignment horizontal="center"/>
    </xf>
    <xf numFmtId="3" fontId="0" fillId="0" borderId="84" xfId="0" applyNumberFormat="1" applyBorder="1" applyAlignment="1">
      <alignment horizontal="center"/>
    </xf>
    <xf numFmtId="3" fontId="0" fillId="0" borderId="85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8" borderId="10" xfId="0" applyFill="1" applyBorder="1"/>
    <xf numFmtId="3" fontId="0" fillId="8" borderId="10" xfId="0" applyNumberFormat="1" applyFill="1" applyBorder="1"/>
    <xf numFmtId="170" fontId="0" fillId="0" borderId="0" xfId="0" applyNumberFormat="1"/>
    <xf numFmtId="167" fontId="0" fillId="8" borderId="10" xfId="2" applyNumberFormat="1" applyFont="1" applyFill="1" applyBorder="1"/>
    <xf numFmtId="164" fontId="0" fillId="8" borderId="10" xfId="0" applyNumberFormat="1" applyFill="1" applyBorder="1"/>
    <xf numFmtId="170" fontId="0" fillId="8" borderId="10" xfId="7" applyNumberFormat="1" applyFont="1" applyFill="1" applyBorder="1"/>
    <xf numFmtId="0" fontId="1" fillId="8" borderId="0" xfId="0" applyFont="1" applyFill="1" applyAlignment="1">
      <alignment horizontal="center"/>
    </xf>
    <xf numFmtId="44" fontId="0" fillId="8" borderId="10" xfId="2" applyFont="1" applyFill="1" applyBorder="1"/>
    <xf numFmtId="164" fontId="0" fillId="8" borderId="0" xfId="0" applyNumberFormat="1" applyFill="1"/>
    <xf numFmtId="165" fontId="0" fillId="8" borderId="10" xfId="0" applyNumberFormat="1" applyFill="1" applyBorder="1"/>
    <xf numFmtId="43" fontId="0" fillId="8" borderId="0" xfId="7" applyFont="1" applyFill="1"/>
    <xf numFmtId="44" fontId="0" fillId="8" borderId="0" xfId="2" applyFont="1" applyFill="1"/>
    <xf numFmtId="43" fontId="0" fillId="8" borderId="0" xfId="0" applyNumberFormat="1" applyFill="1"/>
    <xf numFmtId="0" fontId="0" fillId="8" borderId="10" xfId="0" applyFill="1" applyBorder="1" applyAlignment="1">
      <alignment horizontal="center" vertical="center" wrapText="1"/>
    </xf>
    <xf numFmtId="170" fontId="0" fillId="8" borderId="10" xfId="7" applyNumberFormat="1" applyFont="1" applyFill="1" applyBorder="1" applyAlignment="1">
      <alignment vertical="center"/>
    </xf>
    <xf numFmtId="3" fontId="0" fillId="8" borderId="10" xfId="0" applyNumberFormat="1" applyFill="1" applyBorder="1" applyAlignment="1">
      <alignment vertical="center"/>
    </xf>
    <xf numFmtId="171" fontId="0" fillId="8" borderId="10" xfId="7" applyNumberFormat="1" applyFont="1" applyFill="1" applyBorder="1" applyAlignment="1">
      <alignment vertical="center"/>
    </xf>
    <xf numFmtId="167" fontId="0" fillId="8" borderId="10" xfId="8" applyNumberFormat="1" applyFont="1" applyFill="1" applyBorder="1" applyAlignment="1"/>
    <xf numFmtId="167" fontId="0" fillId="8" borderId="10" xfId="2" applyNumberFormat="1" applyFont="1" applyFill="1" applyBorder="1" applyAlignment="1"/>
    <xf numFmtId="171" fontId="0" fillId="8" borderId="0" xfId="0" applyNumberFormat="1" applyFill="1"/>
    <xf numFmtId="172" fontId="0" fillId="8" borderId="0" xfId="0" applyNumberFormat="1" applyFill="1"/>
    <xf numFmtId="0" fontId="0" fillId="0" borderId="0" xfId="0" applyAlignment="1">
      <alignment horizontal="center"/>
    </xf>
    <xf numFmtId="0" fontId="1" fillId="24" borderId="11" xfId="0" applyFont="1" applyFill="1" applyBorder="1" applyAlignment="1">
      <alignment horizontal="center"/>
    </xf>
    <xf numFmtId="0" fontId="1" fillId="24" borderId="12" xfId="0" applyFont="1" applyFill="1" applyBorder="1" applyAlignment="1">
      <alignment horizontal="center"/>
    </xf>
    <xf numFmtId="0" fontId="1" fillId="24" borderId="17" xfId="0" applyFont="1" applyFill="1" applyBorder="1" applyAlignment="1">
      <alignment horizontal="center"/>
    </xf>
    <xf numFmtId="0" fontId="16" fillId="8" borderId="52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6" fillId="8" borderId="68" xfId="0" applyFont="1" applyFill="1" applyBorder="1" applyAlignment="1">
      <alignment horizontal="center" vertical="center"/>
    </xf>
    <xf numFmtId="0" fontId="0" fillId="8" borderId="27" xfId="0" applyFill="1" applyBorder="1" applyAlignment="1">
      <alignment horizontal="left"/>
    </xf>
    <xf numFmtId="0" fontId="0" fillId="8" borderId="31" xfId="0" applyFill="1" applyBorder="1" applyAlignment="1">
      <alignment horizontal="left"/>
    </xf>
    <xf numFmtId="0" fontId="0" fillId="8" borderId="20" xfId="0" applyFill="1" applyBorder="1" applyAlignment="1">
      <alignment horizontal="left"/>
    </xf>
    <xf numFmtId="170" fontId="0" fillId="0" borderId="54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1" fillId="32" borderId="11" xfId="0" applyFont="1" applyFill="1" applyBorder="1" applyAlignment="1">
      <alignment horizontal="center"/>
    </xf>
    <xf numFmtId="0" fontId="1" fillId="32" borderId="12" xfId="0" applyFont="1" applyFill="1" applyBorder="1" applyAlignment="1">
      <alignment horizontal="center"/>
    </xf>
    <xf numFmtId="0" fontId="1" fillId="32" borderId="17" xfId="0" applyFont="1" applyFill="1" applyBorder="1" applyAlignment="1">
      <alignment horizontal="center"/>
    </xf>
    <xf numFmtId="0" fontId="1" fillId="33" borderId="50" xfId="0" applyFont="1" applyFill="1" applyBorder="1" applyAlignment="1">
      <alignment horizontal="center"/>
    </xf>
    <xf numFmtId="0" fontId="1" fillId="33" borderId="51" xfId="0" applyFont="1" applyFill="1" applyBorder="1" applyAlignment="1">
      <alignment horizontal="center"/>
    </xf>
    <xf numFmtId="0" fontId="1" fillId="33" borderId="55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1" fillId="8" borderId="31" xfId="0" applyFont="1" applyFill="1" applyBorder="1" applyAlignment="1">
      <alignment horizontal="center"/>
    </xf>
    <xf numFmtId="0" fontId="1" fillId="8" borderId="20" xfId="0" applyFont="1" applyFill="1" applyBorder="1" applyAlignment="1">
      <alignment horizontal="center"/>
    </xf>
    <xf numFmtId="0" fontId="5" fillId="20" borderId="0" xfId="0" applyFont="1" applyFill="1" applyAlignment="1">
      <alignment horizontal="center"/>
    </xf>
    <xf numFmtId="0" fontId="19" fillId="27" borderId="10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5" fillId="22" borderId="0" xfId="0" applyFont="1" applyFill="1" applyAlignment="1">
      <alignment horizontal="center" vertical="top"/>
    </xf>
    <xf numFmtId="0" fontId="8" fillId="6" borderId="0" xfId="0" applyFont="1" applyFill="1" applyAlignment="1">
      <alignment horizontal="left" vertical="center"/>
    </xf>
    <xf numFmtId="0" fontId="1" fillId="15" borderId="52" xfId="0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0" fontId="1" fillId="15" borderId="48" xfId="0" applyFont="1" applyFill="1" applyBorder="1" applyAlignment="1">
      <alignment horizontal="center"/>
    </xf>
    <xf numFmtId="0" fontId="1" fillId="9" borderId="52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48" xfId="0" applyFont="1" applyFill="1" applyBorder="1" applyAlignment="1">
      <alignment horizontal="center" vertical="center" wrapText="1"/>
    </xf>
    <xf numFmtId="0" fontId="1" fillId="4" borderId="5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48" xfId="0" applyFont="1" applyFill="1" applyBorder="1" applyAlignment="1">
      <alignment horizontal="center"/>
    </xf>
    <xf numFmtId="14" fontId="2" fillId="21" borderId="6" xfId="0" applyNumberFormat="1" applyFont="1" applyFill="1" applyBorder="1" applyAlignment="1">
      <alignment horizontal="center" vertical="center" wrapText="1"/>
    </xf>
    <xf numFmtId="14" fontId="2" fillId="21" borderId="1" xfId="0" applyNumberFormat="1" applyFont="1" applyFill="1" applyBorder="1" applyAlignment="1">
      <alignment horizontal="center" vertical="center" wrapText="1"/>
    </xf>
    <xf numFmtId="14" fontId="2" fillId="21" borderId="7" xfId="0" applyNumberFormat="1" applyFont="1" applyFill="1" applyBorder="1" applyAlignment="1">
      <alignment horizontal="center" vertical="center" wrapText="1"/>
    </xf>
    <xf numFmtId="0" fontId="2" fillId="21" borderId="9" xfId="0" applyFont="1" applyFill="1" applyBorder="1" applyAlignment="1">
      <alignment horizontal="center" vertical="center" wrapText="1"/>
    </xf>
    <xf numFmtId="0" fontId="2" fillId="21" borderId="5" xfId="0" applyFon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 wrapText="1"/>
    </xf>
    <xf numFmtId="0" fontId="2" fillId="8" borderId="49" xfId="0" applyFont="1" applyFill="1" applyBorder="1" applyAlignment="1">
      <alignment horizontal="center" vertical="center" wrapText="1"/>
    </xf>
    <xf numFmtId="0" fontId="2" fillId="8" borderId="78" xfId="0" applyFont="1" applyFill="1" applyBorder="1" applyAlignment="1">
      <alignment horizontal="center" vertical="center" wrapText="1"/>
    </xf>
    <xf numFmtId="0" fontId="2" fillId="12" borderId="49" xfId="0" applyFont="1" applyFill="1" applyBorder="1" applyAlignment="1">
      <alignment horizontal="center" vertical="center" wrapText="1"/>
    </xf>
    <xf numFmtId="0" fontId="2" fillId="12" borderId="78" xfId="0" applyFont="1" applyFill="1" applyBorder="1" applyAlignment="1">
      <alignment horizontal="center" vertical="center" wrapText="1"/>
    </xf>
    <xf numFmtId="14" fontId="2" fillId="17" borderId="47" xfId="0" applyNumberFormat="1" applyFont="1" applyFill="1" applyBorder="1" applyAlignment="1">
      <alignment horizontal="center" vertical="center" wrapText="1"/>
    </xf>
    <xf numFmtId="0" fontId="2" fillId="17" borderId="45" xfId="0" applyFont="1" applyFill="1" applyBorder="1" applyAlignment="1">
      <alignment horizontal="center" vertical="center" wrapText="1"/>
    </xf>
    <xf numFmtId="14" fontId="2" fillId="17" borderId="45" xfId="0" applyNumberFormat="1" applyFont="1" applyFill="1" applyBorder="1" applyAlignment="1">
      <alignment horizontal="center" vertical="center" wrapText="1"/>
    </xf>
    <xf numFmtId="14" fontId="2" fillId="10" borderId="47" xfId="0" applyNumberFormat="1" applyFont="1" applyFill="1" applyBorder="1" applyAlignment="1">
      <alignment horizontal="center" vertical="center" wrapText="1"/>
    </xf>
    <xf numFmtId="14" fontId="2" fillId="10" borderId="45" xfId="0" applyNumberFormat="1" applyFont="1" applyFill="1" applyBorder="1" applyAlignment="1">
      <alignment horizontal="center" vertical="center" wrapText="1"/>
    </xf>
    <xf numFmtId="0" fontId="2" fillId="18" borderId="11" xfId="0" applyFont="1" applyFill="1" applyBorder="1" applyAlignment="1">
      <alignment horizontal="center" vertical="center" wrapText="1"/>
    </xf>
    <xf numFmtId="0" fontId="2" fillId="18" borderId="14" xfId="0" applyFont="1" applyFill="1" applyBorder="1" applyAlignment="1">
      <alignment horizontal="center" vertical="center" wrapText="1"/>
    </xf>
    <xf numFmtId="0" fontId="2" fillId="17" borderId="36" xfId="0" applyFont="1" applyFill="1" applyBorder="1" applyAlignment="1">
      <alignment horizontal="center" vertical="center" wrapText="1"/>
    </xf>
    <xf numFmtId="0" fontId="2" fillId="17" borderId="46" xfId="0" applyFont="1" applyFill="1" applyBorder="1" applyAlignment="1">
      <alignment horizontal="center" vertical="center" wrapText="1"/>
    </xf>
    <xf numFmtId="0" fontId="2" fillId="17" borderId="42" xfId="0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2" fillId="7" borderId="78" xfId="0" applyFont="1" applyFill="1" applyBorder="1" applyAlignment="1">
      <alignment horizontal="center" vertical="center" wrapText="1"/>
    </xf>
    <xf numFmtId="0" fontId="2" fillId="13" borderId="49" xfId="0" applyFont="1" applyFill="1" applyBorder="1" applyAlignment="1">
      <alignment horizontal="center" vertical="center" wrapText="1"/>
    </xf>
    <xf numFmtId="0" fontId="2" fillId="13" borderId="78" xfId="0" applyFont="1" applyFill="1" applyBorder="1" applyAlignment="1">
      <alignment horizontal="center" vertical="center" wrapText="1"/>
    </xf>
    <xf numFmtId="0" fontId="2" fillId="16" borderId="17" xfId="0" applyFont="1" applyFill="1" applyBorder="1" applyAlignment="1">
      <alignment horizontal="center" vertical="center" wrapText="1"/>
    </xf>
    <xf numFmtId="0" fontId="2" fillId="16" borderId="19" xfId="0" applyFont="1" applyFill="1" applyBorder="1" applyAlignment="1">
      <alignment horizontal="center" vertical="center" wrapText="1"/>
    </xf>
    <xf numFmtId="0" fontId="2" fillId="19" borderId="49" xfId="0" applyFont="1" applyFill="1" applyBorder="1" applyAlignment="1">
      <alignment horizontal="center" vertical="center" wrapText="1"/>
    </xf>
    <xf numFmtId="0" fontId="2" fillId="19" borderId="78" xfId="0" applyFont="1" applyFill="1" applyBorder="1" applyAlignment="1">
      <alignment horizontal="center" vertical="center" wrapText="1"/>
    </xf>
    <xf numFmtId="0" fontId="2" fillId="21" borderId="82" xfId="0" applyFont="1" applyFill="1" applyBorder="1" applyAlignment="1">
      <alignment horizontal="center" vertical="center" wrapText="1"/>
    </xf>
    <xf numFmtId="0" fontId="2" fillId="21" borderId="8" xfId="0" applyFont="1" applyFill="1" applyBorder="1" applyAlignment="1">
      <alignment horizontal="center" vertical="center" wrapText="1"/>
    </xf>
    <xf numFmtId="0" fontId="2" fillId="21" borderId="79" xfId="0" applyFont="1" applyFill="1" applyBorder="1" applyAlignment="1">
      <alignment horizontal="center" vertical="center" wrapText="1"/>
    </xf>
    <xf numFmtId="0" fontId="1" fillId="9" borderId="32" xfId="0" applyFont="1" applyFill="1" applyBorder="1" applyAlignment="1">
      <alignment horizontal="center" vertical="center" wrapText="1"/>
    </xf>
    <xf numFmtId="0" fontId="1" fillId="9" borderId="33" xfId="0" applyFont="1" applyFill="1" applyBorder="1" applyAlignment="1">
      <alignment horizontal="center" vertical="center" wrapText="1"/>
    </xf>
    <xf numFmtId="0" fontId="1" fillId="9" borderId="44" xfId="0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4" borderId="44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1" fillId="14" borderId="32" xfId="0" applyFont="1" applyFill="1" applyBorder="1" applyAlignment="1">
      <alignment horizontal="center"/>
    </xf>
    <xf numFmtId="0" fontId="1" fillId="14" borderId="33" xfId="0" applyFont="1" applyFill="1" applyBorder="1" applyAlignment="1">
      <alignment horizontal="center"/>
    </xf>
    <xf numFmtId="0" fontId="1" fillId="14" borderId="4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18" borderId="61" xfId="0" applyFont="1" applyFill="1" applyBorder="1" applyAlignment="1">
      <alignment horizontal="center" vertical="center" wrapText="1"/>
    </xf>
    <xf numFmtId="0" fontId="2" fillId="18" borderId="60" xfId="0" applyFont="1" applyFill="1" applyBorder="1" applyAlignment="1">
      <alignment horizontal="center" vertical="center" wrapText="1"/>
    </xf>
    <xf numFmtId="0" fontId="2" fillId="17" borderId="22" xfId="0" applyFont="1" applyFill="1" applyBorder="1" applyAlignment="1">
      <alignment horizontal="center" vertical="center" wrapText="1"/>
    </xf>
    <xf numFmtId="0" fontId="2" fillId="17" borderId="27" xfId="0" applyFont="1" applyFill="1" applyBorder="1" applyAlignment="1">
      <alignment horizontal="center" vertical="center" wrapText="1"/>
    </xf>
    <xf numFmtId="0" fontId="2" fillId="17" borderId="28" xfId="0" applyFont="1" applyFill="1" applyBorder="1" applyAlignment="1">
      <alignment horizontal="center" vertical="center" wrapText="1"/>
    </xf>
    <xf numFmtId="0" fontId="16" fillId="22" borderId="5" xfId="0" applyFont="1" applyFill="1" applyBorder="1" applyAlignment="1">
      <alignment horizontal="center"/>
    </xf>
    <xf numFmtId="0" fontId="2" fillId="17" borderId="83" xfId="0" applyFont="1" applyFill="1" applyBorder="1" applyAlignment="1">
      <alignment horizontal="center" vertical="center" wrapText="1"/>
    </xf>
    <xf numFmtId="0" fontId="2" fillId="17" borderId="84" xfId="0" applyFont="1" applyFill="1" applyBorder="1" applyAlignment="1">
      <alignment horizontal="center" vertical="center" wrapText="1"/>
    </xf>
    <xf numFmtId="0" fontId="2" fillId="17" borderId="85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horizontal="center" vertical="center" wrapText="1"/>
    </xf>
    <xf numFmtId="0" fontId="2" fillId="17" borderId="17" xfId="0" applyFont="1" applyFill="1" applyBorder="1" applyAlignment="1">
      <alignment horizontal="center" vertical="center" wrapText="1"/>
    </xf>
    <xf numFmtId="14" fontId="2" fillId="17" borderId="53" xfId="0" applyNumberFormat="1" applyFont="1" applyFill="1" applyBorder="1" applyAlignment="1">
      <alignment horizontal="center" vertical="center" wrapText="1"/>
    </xf>
    <xf numFmtId="0" fontId="3" fillId="12" borderId="52" xfId="0" applyFont="1" applyFill="1" applyBorder="1" applyAlignment="1">
      <alignment horizontal="center" vertical="center" wrapText="1"/>
    </xf>
    <xf numFmtId="0" fontId="3" fillId="12" borderId="48" xfId="0" applyFont="1" applyFill="1" applyBorder="1" applyAlignment="1">
      <alignment horizontal="center" vertical="center" wrapText="1"/>
    </xf>
    <xf numFmtId="0" fontId="2" fillId="16" borderId="66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13" borderId="61" xfId="0" applyFont="1" applyFill="1" applyBorder="1" applyAlignment="1">
      <alignment horizontal="center" vertical="center" wrapText="1"/>
    </xf>
    <xf numFmtId="0" fontId="3" fillId="13" borderId="66" xfId="0" applyFont="1" applyFill="1" applyBorder="1" applyAlignment="1">
      <alignment horizontal="center" vertical="center" wrapText="1"/>
    </xf>
    <xf numFmtId="0" fontId="3" fillId="19" borderId="4" xfId="0" applyFont="1" applyFill="1" applyBorder="1" applyAlignment="1">
      <alignment horizontal="center" vertical="center" wrapText="1"/>
    </xf>
    <xf numFmtId="0" fontId="3" fillId="19" borderId="48" xfId="0" applyFont="1" applyFill="1" applyBorder="1" applyAlignment="1">
      <alignment horizontal="center" vertical="center" wrapText="1"/>
    </xf>
    <xf numFmtId="167" fontId="1" fillId="0" borderId="10" xfId="2" applyNumberFormat="1" applyFont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167" fontId="1" fillId="0" borderId="26" xfId="2" applyNumberFormat="1" applyFont="1" applyBorder="1" applyAlignment="1">
      <alignment horizontal="center"/>
    </xf>
    <xf numFmtId="167" fontId="1" fillId="0" borderId="31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7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11" borderId="51" xfId="0" applyFont="1" applyFill="1" applyBorder="1" applyAlignment="1">
      <alignment horizontal="center"/>
    </xf>
    <xf numFmtId="0" fontId="0" fillId="0" borderId="0" xfId="0" applyNumberFormat="1"/>
    <xf numFmtId="42" fontId="0" fillId="0" borderId="10" xfId="0" applyNumberFormat="1" applyFill="1" applyBorder="1" applyAlignment="1"/>
    <xf numFmtId="0" fontId="0" fillId="0" borderId="10" xfId="0" applyFill="1" applyBorder="1" applyAlignment="1"/>
    <xf numFmtId="1" fontId="0" fillId="0" borderId="10" xfId="0" applyNumberFormat="1" applyFill="1" applyBorder="1" applyAlignment="1">
      <alignment horizontal="left"/>
    </xf>
    <xf numFmtId="1" fontId="0" fillId="0" borderId="10" xfId="0" applyNumberFormat="1" applyFill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0" fontId="0" fillId="15" borderId="22" xfId="0" applyFill="1" applyBorder="1" applyAlignment="1"/>
    <xf numFmtId="0" fontId="0" fillId="0" borderId="52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48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64" xfId="0" applyNumberFormat="1" applyBorder="1" applyAlignment="1">
      <alignment horizontal="center"/>
    </xf>
    <xf numFmtId="0" fontId="0" fillId="21" borderId="90" xfId="0" applyFill="1" applyBorder="1" applyAlignment="1"/>
    <xf numFmtId="0" fontId="0" fillId="8" borderId="6" xfId="0" applyNumberFormat="1" applyFont="1" applyFill="1" applyBorder="1" applyAlignment="1">
      <alignment horizontal="center"/>
    </xf>
    <xf numFmtId="0" fontId="0" fillId="8" borderId="1" xfId="0" applyNumberFormat="1" applyFont="1" applyFill="1" applyBorder="1" applyAlignment="1">
      <alignment horizontal="center"/>
    </xf>
    <xf numFmtId="0" fontId="0" fillId="8" borderId="7" xfId="0" applyNumberFormat="1" applyFont="1" applyFill="1" applyBorder="1"/>
    <xf numFmtId="0" fontId="0" fillId="8" borderId="90" xfId="0" applyFont="1" applyFill="1" applyBorder="1"/>
    <xf numFmtId="3" fontId="0" fillId="8" borderId="0" xfId="0" applyNumberFormat="1" applyFill="1" applyBorder="1" applyAlignment="1">
      <alignment horizontal="center"/>
    </xf>
  </cellXfs>
  <cellStyles count="9">
    <cellStyle name="Millares" xfId="7" builtinId="3"/>
    <cellStyle name="Millares 2" xfId="5" xr:uid="{2C68F984-66DD-4E9A-9396-C2F9F3FE6657}"/>
    <cellStyle name="Moneda" xfId="2" builtinId="4"/>
    <cellStyle name="Moneda 2" xfId="6" xr:uid="{2D6706FF-A95C-4230-993C-F7065A8E9301}"/>
    <cellStyle name="Normal" xfId="0" builtinId="0"/>
    <cellStyle name="Normal 2" xfId="3" xr:uid="{9A1E587F-2BA3-4FF7-B696-67E326A2487C}"/>
    <cellStyle name="Normal 3" xfId="4" xr:uid="{F3EA175A-61D6-4DB8-A9C2-FE2C6568079F}"/>
    <cellStyle name="Porcentaje" xfId="8" builtinId="5"/>
    <cellStyle name="Porcentaje 2" xfId="1" xr:uid="{9BABFD08-0A55-4FCC-BE37-D74FD39BB202}"/>
  </cellStyles>
  <dxfs count="1049">
    <dxf>
      <numFmt numFmtId="3" formatCode="#,##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right/>
        <top/>
        <bottom/>
        <vertical/>
      </border>
    </dxf>
    <dxf>
      <border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alignment horizontal="center"/>
    </dxf>
    <dxf>
      <alignment horizontal="center"/>
    </dxf>
    <dxf>
      <alignment horizontal="center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bottom style="medium">
          <color indexed="64"/>
        </bottom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center"/>
    </dxf>
    <dxf>
      <numFmt numFmtId="167" formatCode="_-&quot;$&quot;\ * #,##0_-;\-&quot;$&quot;\ * #,##0_-;_-&quot;$&quot;\ * &quot;-&quot;??_-;_-@_-"/>
    </dxf>
    <dxf>
      <numFmt numFmtId="166" formatCode="&quot;$&quot;\ #,##0"/>
    </dxf>
    <dxf>
      <alignment wrapText="1"/>
    </dxf>
    <dxf>
      <alignment horizontal="center"/>
    </dxf>
    <dxf>
      <alignment vertical="center"/>
    </dxf>
    <dxf>
      <alignment horizontal="center"/>
    </dxf>
    <dxf>
      <alignment vertical="center"/>
    </dxf>
    <dxf>
      <alignment wrapText="1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numFmt numFmtId="3" formatCode="#,##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border>
        <left/>
        <right/>
        <top/>
        <bottom/>
      </border>
    </dxf>
    <dxf>
      <border>
        <left/>
        <right/>
        <top/>
        <bottom/>
      </border>
    </dxf>
    <dxf>
      <alignment vertical="top"/>
    </dxf>
    <dxf>
      <numFmt numFmtId="3" formatCode="#,##0"/>
    </dxf>
    <dxf>
      <font>
        <b/>
      </font>
      <fill>
        <patternFill patternType="solid">
          <fgColor indexed="64"/>
          <bgColor theme="9" tint="0.79998168889431442"/>
        </patternFill>
      </fill>
      <alignment vertical="center" wrapText="1"/>
    </dxf>
    <dxf>
      <font>
        <b/>
      </font>
      <fill>
        <patternFill patternType="none">
          <fgColor indexed="64"/>
          <bgColor indexed="65"/>
        </patternFill>
      </fill>
      <alignment horizontal="left" vertical="top"/>
    </dxf>
    <dxf>
      <fill>
        <patternFill>
          <fgColor theme="8" tint="0.79998168889431442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alignment horizontal="general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font>
        <b/>
      </font>
      <fill>
        <patternFill patternType="solid">
          <fgColor indexed="64"/>
          <bgColor theme="0"/>
        </patternFill>
      </fill>
      <alignment vertical="center"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alignment horizontal="center"/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</font>
    </dxf>
    <dxf>
      <alignment horizontal="center"/>
    </dxf>
    <dxf>
      <numFmt numFmtId="167" formatCode="_-&quot;$&quot;\ * #,##0_-;\-&quot;$&quot;\ * #,##0_-;_-&quot;$&quot;\ * &quot;-&quot;??_-;_-@_-"/>
    </dxf>
    <dxf>
      <alignment horizontal="center"/>
    </dxf>
    <dxf>
      <alignment vertical="center"/>
    </dxf>
    <dxf>
      <alignment horizontal="center"/>
    </dxf>
    <dxf>
      <font>
        <b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fill>
        <patternFill patternType="solid">
          <fgColor indexed="64"/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rgb="FF00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horizontal="center"/>
    </dxf>
    <dxf>
      <alignment vertical="center"/>
    </dxf>
    <dxf>
      <fill>
        <patternFill patternType="solid">
          <bgColor theme="5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fill>
        <patternFill>
          <bgColor theme="4" tint="0.39997558519241921"/>
        </patternFill>
      </fill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alignment horizontal="general" vertical="bottom" textRotation="0" wrapText="0" indent="0" justifyLastLine="0" shrinkToFit="0" readingOrder="0"/>
    </dxf>
    <dxf>
      <font>
        <b/>
      </font>
      <fill>
        <patternFill patternType="solid">
          <fgColor indexed="64"/>
          <bgColor theme="8" tint="0.79998168889431442"/>
        </patternFill>
      </fill>
      <alignment vertical="center" wrapText="1"/>
    </dxf>
    <dxf>
      <font>
        <b/>
      </font>
      <alignment horizontal="left" vertical="top" wrapText="1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general"/>
    </dxf>
    <dxf>
      <font>
        <b/>
      </font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numFmt numFmtId="34" formatCode="_-&quot;$&quot;\ * #,##0.00_-;\-&quot;$&quot;\ * #,##0.00_-;_-&quot;$&quot;\ * &quot;-&quot;??_-;_-@_-"/>
    </dxf>
    <dxf>
      <alignment horizontal="center"/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/>
    </dxf>
    <dxf>
      <alignment wrapText="1"/>
    </dxf>
    <dxf>
      <alignment wrapText="1"/>
    </dxf>
    <dxf>
      <alignment horizontal="center"/>
    </dxf>
    <dxf>
      <numFmt numFmtId="167" formatCode="_-&quot;$&quot;\ * #,##0_-;\-&quot;$&quot;\ * #,##0_-;_-&quot;$&quot;\ * &quot;-&quot;??_-;_-@_-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alignment wrapText="1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alignment horizontal="center"/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fgColor theme="8" tint="0.79998168889431442"/>
        </patternFill>
      </fill>
      <alignment wrapText="1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vertical="center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3" formatCode="#,##0"/>
    </dxf>
    <dxf>
      <numFmt numFmtId="166" formatCode="&quot;$&quot;\ #,##0"/>
    </dxf>
    <dxf>
      <alignment horizontal="center"/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fgColor theme="8" tint="0.79998168889431442"/>
        </patternFill>
      </fill>
      <alignment wrapText="1"/>
    </dxf>
    <dxf>
      <numFmt numFmtId="32" formatCode="_-&quot;$&quot;\ * #,##0_-;\-&quot;$&quot;\ * #,##0_-;_-&quot;$&quot;\ * &quot;-&quot;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/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numFmt numFmtId="170" formatCode="_-* #,##0_-;\-* #,##0_-;_-* &quot;-&quot;??_-;_-@_-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numFmt numFmtId="19" formatCode="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border>
        <left style="medium">
          <color indexed="64"/>
        </left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  <vertical/>
      </border>
    </dxf>
    <dxf>
      <border>
        <right/>
        <top/>
        <bottom/>
        <vertic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numFmt numFmtId="32" formatCode="_-&quot;$&quot;\ * #,##0_-;\-&quot;$&quot;\ * #,##0_-;_-&quot;$&quot;\ * &quot;-&quot;_-;_-@_-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/>
        <top/>
        <bottom style="medium">
          <color indexed="64"/>
        </bottom>
        <vertical/>
        <horizontal/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/>
        <top/>
        <bottom style="medium">
          <color indexed="64"/>
        </bottom>
        <vertical/>
        <horizontal/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/>
        <top/>
        <bottom style="medium">
          <color indexed="64"/>
        </bottom>
        <vertical/>
        <horizontal/>
      </border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numFmt numFmtId="32" formatCode="_-&quot;$&quot;\ * #,##0_-;\-&quot;$&quot;\ * #,##0_-;_-&quot;$&quot;\ * &quot;-&quot;_-;_-@_-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" formatCode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 outline="0">
        <left/>
        <right style="medium">
          <color indexed="64"/>
        </right>
        <top/>
        <bottom/>
      </border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</dxf>
    <dxf>
      <numFmt numFmtId="1" formatCode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 outline="0">
        <left style="medium">
          <color indexed="64"/>
        </left>
        <right/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outline="0">
        <right style="medium">
          <color indexed="64"/>
        </right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medium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numFmt numFmtId="1" formatCode="0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/mm/yyyy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9" formatCode="d/mm/yyyy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</dxf>
    <dxf>
      <numFmt numFmtId="34" formatCode="_-&quot;$&quot;\ * #,##0.00_-;\-&quot;$&quot;\ * #,##0.00_-;_-&quot;$&quot;\ * &quot;-&quot;??_-;_-@_-"/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font>
        <b/>
      </font>
    </dxf>
    <dxf>
      <alignment horizontal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</font>
      <alignment horizontal="left" vertical="top" wrapText="1"/>
    </dxf>
    <dxf>
      <font>
        <b/>
      </font>
      <fill>
        <patternFill patternType="solid">
          <fgColor indexed="64"/>
          <bgColor theme="8" tint="0.79998168889431442"/>
        </patternFill>
      </fill>
      <alignment vertical="center" wrapText="1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fill>
        <patternFill>
          <bgColor theme="4" tint="0.39997558519241921"/>
        </patternFill>
      </fill>
    </dxf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alignment vertical="center"/>
    </dxf>
    <dxf>
      <alignment horizontal="center"/>
    </dxf>
    <dxf>
      <alignment wrapText="1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center"/>
    </dxf>
    <dxf>
      <alignment vertical="center"/>
    </dxf>
    <dxf>
      <alignment horizontal="center"/>
    </dxf>
    <dxf>
      <numFmt numFmtId="167" formatCode="_-&quot;$&quot;\ * #,##0_-;\-&quot;$&quot;\ * #,##0_-;_-&quot;$&quot;\ * &quot;-&quot;??_-;_-@_-"/>
    </dxf>
    <dxf>
      <alignment horizontal="center"/>
    </dxf>
    <dxf>
      <font>
        <b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vertical="center" wrapText="1"/>
    </dxf>
    <dxf>
      <alignment horizontal="left"/>
    </dxf>
    <dxf>
      <alignment horizontal="lef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alignment horizontal="general"/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fgColor theme="8" tint="0.79998168889431442"/>
        </patternFill>
      </fill>
    </dxf>
    <dxf>
      <font>
        <b/>
      </font>
      <fill>
        <patternFill patternType="none">
          <fgColor indexed="64"/>
          <bgColor indexed="65"/>
        </patternFill>
      </fill>
      <alignment horizontal="left" vertical="top"/>
    </dxf>
    <dxf>
      <font>
        <b/>
      </font>
      <fill>
        <patternFill patternType="solid">
          <fgColor indexed="64"/>
          <bgColor theme="9" tint="0.79998168889431442"/>
        </patternFill>
      </fill>
      <alignment vertical="center" wrapText="1"/>
    </dxf>
    <dxf>
      <numFmt numFmtId="3" formatCode="#,##0"/>
    </dxf>
    <dxf>
      <alignment vertical="top"/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  <alignment horizontal="left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2" formatCode="_-&quot;$&quot;\ * #,##0_-;\-&quot;$&quot;\ * #,##0_-;_-&quot;$&quot;\ * &quot;-&quot;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>
          <fgColor theme="8" tint="0.79998168889431442"/>
        </patternFill>
      </fill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alignment horizontal="center"/>
    </dxf>
    <dxf>
      <numFmt numFmtId="166" formatCode="&quot;$&quot;\ #,##0"/>
    </dxf>
    <dxf>
      <numFmt numFmtId="3" formatCode="#,##0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numFmt numFmtId="166" formatCode="&quot;$&quot;\ #,##0"/>
    </dxf>
    <dxf>
      <numFmt numFmtId="167" formatCode="_-&quot;$&quot;\ * #,##0_-;\-&quot;$&quot;\ * #,##0_-;_-&quot;$&quot;\ * &quot;-&quot;??_-;_-@_-"/>
    </dxf>
    <dxf>
      <fill>
        <patternFill patternType="solid">
          <fgColor indexed="64"/>
          <bgColor theme="8" tint="0.79998168889431442"/>
        </patternFill>
      </fill>
      <alignment horizontal="center"/>
    </dxf>
    <dxf>
      <fill>
        <patternFill>
          <fgColor theme="8" tint="0.79998168889431442"/>
        </patternFill>
      </fill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165" formatCode="[$$-240A]\ #,##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font>
        <b/>
        <sz val="10"/>
        <color theme="4" tint="-0.249977111117893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9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9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9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solid">
          <fgColor indexed="64"/>
          <bgColor theme="7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2" tint="-0.89999084444715716"/>
        <name val="Calibri"/>
        <family val="2"/>
        <scheme val="minor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alignment wrapText="1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7" formatCode="_-&quot;$&quot;\ * #,##0_-;\-&quot;$&quot;\ * #,##0_-;_-&quot;$&quot;\ * &quot;-&quot;??_-;_-@_-"/>
    </dxf>
    <dxf>
      <alignment horizontal="center"/>
    </dxf>
    <dxf>
      <alignment wrapText="1"/>
    </dxf>
    <dxf>
      <alignment wrapText="1"/>
    </dxf>
    <dxf>
      <fill>
        <patternFill patternType="none">
          <fgColor indexed="64"/>
          <bgColor indexed="65"/>
        </patternFill>
      </fill>
      <alignment horizontal="left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alignment horizontal="center"/>
    </dxf>
  </dxfs>
  <tableStyles count="0" defaultTableStyle="TableStyleMedium2" defaultPivotStyle="PivotStyleLight16"/>
  <colors>
    <mruColors>
      <color rgb="FFA54C0F"/>
      <color rgb="FF00FF00"/>
      <color rgb="FFFF9900"/>
      <color rgb="FF47C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1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ENERO.xlsx]DB QUIMICA!TablaDinámica1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$</a:t>
            </a:r>
            <a:r>
              <a:rPr lang="es-CO" baseline="0"/>
              <a:t> m3 TRATAMIENTO GEM</a:t>
            </a:r>
            <a:endParaRPr lang="es-CO"/>
          </a:p>
        </c:rich>
      </c:tx>
      <c:layout>
        <c:manualLayout>
          <c:xMode val="edge"/>
          <c:yMode val="edge"/>
          <c:x val="0.45973851424596712"/>
          <c:y val="1.6566869756487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  <a:alpha val="6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11"/>
        <c:spPr>
          <a:solidFill>
            <a:schemeClr val="accent1"/>
          </a:solidFill>
          <a:ln w="28575" cap="rnd">
            <a:solidFill>
              <a:srgbClr val="0070C0">
                <a:alpha val="0"/>
              </a:srgbClr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703030747811463"/>
          <c:y val="0.10434649438513563"/>
          <c:w val="0.75485347178278228"/>
          <c:h val="0.67968335624431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'DB QUIMICA'!$AK$4</c:f>
              <c:strCache>
                <c:ptCount val="1"/>
                <c:pt idx="0">
                  <c:v>  CAUDAL TOTAL TRATADO GEM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QUIMICA'!$AJ$5:$AJ$36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QUIMICA'!$AK$5:$AK$36</c:f>
              <c:numCache>
                <c:formatCode>#,##0</c:formatCode>
                <c:ptCount val="31"/>
                <c:pt idx="0">
                  <c:v>0</c:v>
                </c:pt>
                <c:pt idx="1">
                  <c:v>815.16417910447763</c:v>
                </c:pt>
                <c:pt idx="2">
                  <c:v>268.38805970149258</c:v>
                </c:pt>
                <c:pt idx="3">
                  <c:v>0</c:v>
                </c:pt>
                <c:pt idx="4">
                  <c:v>868.62686567164178</c:v>
                </c:pt>
                <c:pt idx="5">
                  <c:v>1082.5522388059703</c:v>
                </c:pt>
                <c:pt idx="6">
                  <c:v>875.62686567164178</c:v>
                </c:pt>
                <c:pt idx="7">
                  <c:v>958.01492537313447</c:v>
                </c:pt>
                <c:pt idx="8">
                  <c:v>974.55223880597021</c:v>
                </c:pt>
                <c:pt idx="9">
                  <c:v>594.23880597014931</c:v>
                </c:pt>
                <c:pt idx="10">
                  <c:v>0</c:v>
                </c:pt>
                <c:pt idx="11">
                  <c:v>0</c:v>
                </c:pt>
                <c:pt idx="12">
                  <c:v>1479.8656716417913</c:v>
                </c:pt>
                <c:pt idx="13">
                  <c:v>1769.2537313432838</c:v>
                </c:pt>
                <c:pt idx="14">
                  <c:v>1769.2537313432838</c:v>
                </c:pt>
                <c:pt idx="15">
                  <c:v>1431.4029850746269</c:v>
                </c:pt>
                <c:pt idx="16">
                  <c:v>1222.4776119402986</c:v>
                </c:pt>
                <c:pt idx="17">
                  <c:v>0</c:v>
                </c:pt>
                <c:pt idx="18">
                  <c:v>1857.7164179104479</c:v>
                </c:pt>
                <c:pt idx="19">
                  <c:v>1592.3283582089555</c:v>
                </c:pt>
                <c:pt idx="20">
                  <c:v>1592.3283582089553</c:v>
                </c:pt>
                <c:pt idx="21">
                  <c:v>1592.3283582089555</c:v>
                </c:pt>
                <c:pt idx="22">
                  <c:v>973.08955223880616</c:v>
                </c:pt>
                <c:pt idx="23">
                  <c:v>796.16417910447763</c:v>
                </c:pt>
                <c:pt idx="24">
                  <c:v>0</c:v>
                </c:pt>
                <c:pt idx="25">
                  <c:v>884.62686567164189</c:v>
                </c:pt>
                <c:pt idx="26">
                  <c:v>1061.5522388059703</c:v>
                </c:pt>
                <c:pt idx="27">
                  <c:v>1238.4776119402986</c:v>
                </c:pt>
                <c:pt idx="28">
                  <c:v>1326.9402985074628</c:v>
                </c:pt>
                <c:pt idx="29">
                  <c:v>1326.9402985074628</c:v>
                </c:pt>
                <c:pt idx="30">
                  <c:v>973.08955223880605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9-42C5-A373-95D4B1FB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013664"/>
        <c:axId val="531007184"/>
      </c:barChart>
      <c:lineChart>
        <c:grouping val="standard"/>
        <c:varyColors val="0"/>
        <c:ser>
          <c:idx val="1"/>
          <c:order val="1"/>
          <c:tx>
            <c:strRef>
              <c:f>'DB QUIMICA'!$AL$4</c:f>
              <c:strCache>
                <c:ptCount val="1"/>
                <c:pt idx="0">
                  <c:v>  INDICADOR $m3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CE-49F0-AB8F-E64A9A8C6CB3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CC-40D8-A753-04E0BCC547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52-4C8F-94F9-622159A455B7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83C-4BD4-B2A6-994B72521871}"/>
              </c:ext>
            </c:extLst>
          </c:dPt>
          <c:dLbls>
            <c:spPr>
              <a:solidFill>
                <a:schemeClr val="accent6">
                  <a:lumMod val="20000"/>
                  <a:lumOff val="80000"/>
                  <a:alpha val="66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QUIMICA'!$AJ$5:$AJ$36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QUIMICA'!$AL$5:$AL$36</c:f>
              <c:numCache>
                <c:formatCode>#,##0</c:formatCode>
                <c:ptCount val="31"/>
                <c:pt idx="0">
                  <c:v>0</c:v>
                </c:pt>
                <c:pt idx="1">
                  <c:v>2817.0889482935404</c:v>
                </c:pt>
                <c:pt idx="2">
                  <c:v>4078.2645145145138</c:v>
                </c:pt>
                <c:pt idx="3">
                  <c:v>0</c:v>
                </c:pt>
                <c:pt idx="4">
                  <c:v>2136.8669026427024</c:v>
                </c:pt>
                <c:pt idx="5">
                  <c:v>3938.7752822930879</c:v>
                </c:pt>
                <c:pt idx="6">
                  <c:v>5136.7941943511687</c:v>
                </c:pt>
                <c:pt idx="7">
                  <c:v>4336.5138579463128</c:v>
                </c:pt>
                <c:pt idx="8">
                  <c:v>4332.8641932766668</c:v>
                </c:pt>
                <c:pt idx="9">
                  <c:v>2512.3906163661022</c:v>
                </c:pt>
                <c:pt idx="10">
                  <c:v>0</c:v>
                </c:pt>
                <c:pt idx="11">
                  <c:v>0</c:v>
                </c:pt>
                <c:pt idx="12">
                  <c:v>3519.9174491432254</c:v>
                </c:pt>
                <c:pt idx="13">
                  <c:v>3445.0019191833976</c:v>
                </c:pt>
                <c:pt idx="14">
                  <c:v>2354.6862873291711</c:v>
                </c:pt>
                <c:pt idx="15">
                  <c:v>3111.040389347681</c:v>
                </c:pt>
                <c:pt idx="16">
                  <c:v>1315.1038385466265</c:v>
                </c:pt>
                <c:pt idx="17">
                  <c:v>0</c:v>
                </c:pt>
                <c:pt idx="18">
                  <c:v>2724.2115379980232</c:v>
                </c:pt>
                <c:pt idx="19">
                  <c:v>2348.2593779877393</c:v>
                </c:pt>
                <c:pt idx="20">
                  <c:v>2707.1913137618808</c:v>
                </c:pt>
                <c:pt idx="21">
                  <c:v>3492.4580544776254</c:v>
                </c:pt>
                <c:pt idx="22">
                  <c:v>4211.4751829071884</c:v>
                </c:pt>
                <c:pt idx="23">
                  <c:v>1418.0429484655906</c:v>
                </c:pt>
                <c:pt idx="24">
                  <c:v>0</c:v>
                </c:pt>
                <c:pt idx="25">
                  <c:v>3644.9096507508011</c:v>
                </c:pt>
                <c:pt idx="26">
                  <c:v>2805.5896743715198</c:v>
                </c:pt>
                <c:pt idx="27">
                  <c:v>1430.9059630263441</c:v>
                </c:pt>
                <c:pt idx="28">
                  <c:v>3113.6065463134805</c:v>
                </c:pt>
                <c:pt idx="29">
                  <c:v>3113.5707496766208</c:v>
                </c:pt>
                <c:pt idx="30">
                  <c:v>3786.3216098900252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19-42C5-A373-95D4B1FB548E}"/>
            </c:ext>
          </c:extLst>
        </c:ser>
        <c:ser>
          <c:idx val="2"/>
          <c:order val="2"/>
          <c:tx>
            <c:strRef>
              <c:f>'DB QUIMICA'!$AM$4</c:f>
              <c:strCache>
                <c:ptCount val="1"/>
                <c:pt idx="0">
                  <c:v>  2025 $m3 GEM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'DB QUIMICA'!$AJ$5:$AJ$36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QUIMICA'!$AM$5:$AM$36</c:f>
              <c:numCache>
                <c:formatCode>"$"\ #,##0</c:formatCode>
                <c:ptCount val="31"/>
                <c:pt idx="0">
                  <c:v>5250</c:v>
                </c:pt>
                <c:pt idx="1">
                  <c:v>5250</c:v>
                </c:pt>
                <c:pt idx="2">
                  <c:v>5250</c:v>
                </c:pt>
                <c:pt idx="3">
                  <c:v>5250</c:v>
                </c:pt>
                <c:pt idx="4">
                  <c:v>5250</c:v>
                </c:pt>
                <c:pt idx="5">
                  <c:v>5250</c:v>
                </c:pt>
                <c:pt idx="6">
                  <c:v>5250</c:v>
                </c:pt>
                <c:pt idx="7">
                  <c:v>5250</c:v>
                </c:pt>
                <c:pt idx="8">
                  <c:v>5250</c:v>
                </c:pt>
                <c:pt idx="9">
                  <c:v>5250</c:v>
                </c:pt>
                <c:pt idx="10">
                  <c:v>5250</c:v>
                </c:pt>
                <c:pt idx="11">
                  <c:v>5250</c:v>
                </c:pt>
                <c:pt idx="12">
                  <c:v>5250</c:v>
                </c:pt>
                <c:pt idx="13">
                  <c:v>5250</c:v>
                </c:pt>
                <c:pt idx="14">
                  <c:v>5250</c:v>
                </c:pt>
                <c:pt idx="15">
                  <c:v>5250</c:v>
                </c:pt>
                <c:pt idx="16">
                  <c:v>5250</c:v>
                </c:pt>
                <c:pt idx="17">
                  <c:v>5250</c:v>
                </c:pt>
                <c:pt idx="18">
                  <c:v>5250</c:v>
                </c:pt>
                <c:pt idx="19">
                  <c:v>5250</c:v>
                </c:pt>
                <c:pt idx="20">
                  <c:v>5250</c:v>
                </c:pt>
                <c:pt idx="21">
                  <c:v>5250</c:v>
                </c:pt>
                <c:pt idx="22">
                  <c:v>5250</c:v>
                </c:pt>
                <c:pt idx="23">
                  <c:v>5250</c:v>
                </c:pt>
                <c:pt idx="24">
                  <c:v>5250</c:v>
                </c:pt>
                <c:pt idx="25">
                  <c:v>5250</c:v>
                </c:pt>
                <c:pt idx="26">
                  <c:v>5250</c:v>
                </c:pt>
                <c:pt idx="27">
                  <c:v>5250</c:v>
                </c:pt>
                <c:pt idx="28">
                  <c:v>5250</c:v>
                </c:pt>
                <c:pt idx="29">
                  <c:v>5250</c:v>
                </c:pt>
                <c:pt idx="30">
                  <c:v>5250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19-42C5-A373-95D4B1FB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518224"/>
        <c:axId val="1054534544"/>
      </c:lineChart>
      <c:valAx>
        <c:axId val="531007184"/>
        <c:scaling>
          <c:orientation val="minMax"/>
          <c:max val="18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aseline="0"/>
                  <a:t>volumen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1013664"/>
        <c:crosses val="max"/>
        <c:crossBetween val="between"/>
      </c:valAx>
      <c:catAx>
        <c:axId val="5310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1007184"/>
        <c:crosses val="autoZero"/>
        <c:auto val="1"/>
        <c:lblAlgn val="ctr"/>
        <c:lblOffset val="100"/>
        <c:noMultiLvlLbl val="0"/>
      </c:catAx>
      <c:valAx>
        <c:axId val="1054534544"/>
        <c:scaling>
          <c:orientation val="minMax"/>
          <c:max val="2000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4518224"/>
        <c:crosses val="autoZero"/>
        <c:crossBetween val="between"/>
      </c:valAx>
      <c:catAx>
        <c:axId val="1054518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45345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ENERO.xlsx]DB QUIMICA!TablaDinámica3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INDICADOR 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841388888888888E-2"/>
              <c:y val="5.9972222222222225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643833333333437E-2"/>
              <c:y val="1.4111111111110982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layout>
            <c:manualLayout>
              <c:x val="-7.9337513025095636E-3"/>
              <c:y val="3.52777777777777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QUIMICA'!$AU$4</c:f>
              <c:strCache>
                <c:ptCount val="1"/>
                <c:pt idx="0">
                  <c:v> VOLUMEN ENVIADO A RO (m3)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QUIMICA'!$AU$5:$AU$36</c:f>
              <c:numCache>
                <c:formatCode>General</c:formatCode>
                <c:ptCount val="31"/>
                <c:pt idx="0">
                  <c:v>0</c:v>
                </c:pt>
                <c:pt idx="1">
                  <c:v>257.44900000000001</c:v>
                </c:pt>
                <c:pt idx="2">
                  <c:v>0</c:v>
                </c:pt>
                <c:pt idx="3">
                  <c:v>0</c:v>
                </c:pt>
                <c:pt idx="4">
                  <c:v>278.22300000000001</c:v>
                </c:pt>
                <c:pt idx="5">
                  <c:v>579.81899999999996</c:v>
                </c:pt>
                <c:pt idx="6">
                  <c:v>293.51900000000001</c:v>
                </c:pt>
                <c:pt idx="7">
                  <c:v>560.61800000000005</c:v>
                </c:pt>
                <c:pt idx="8">
                  <c:v>346.26900000000001</c:v>
                </c:pt>
                <c:pt idx="9">
                  <c:v>256.66700000000003</c:v>
                </c:pt>
                <c:pt idx="10">
                  <c:v>0</c:v>
                </c:pt>
                <c:pt idx="11">
                  <c:v>0</c:v>
                </c:pt>
                <c:pt idx="12">
                  <c:v>153.40199999999999</c:v>
                </c:pt>
                <c:pt idx="13">
                  <c:v>933.47800000000007</c:v>
                </c:pt>
                <c:pt idx="14">
                  <c:v>1344.463</c:v>
                </c:pt>
                <c:pt idx="15">
                  <c:v>841.25300000000004</c:v>
                </c:pt>
                <c:pt idx="16">
                  <c:v>463.25599999999997</c:v>
                </c:pt>
                <c:pt idx="17">
                  <c:v>0</c:v>
                </c:pt>
                <c:pt idx="18">
                  <c:v>257.33499999999998</c:v>
                </c:pt>
                <c:pt idx="19">
                  <c:v>596.75</c:v>
                </c:pt>
                <c:pt idx="20">
                  <c:v>907.61500000000001</c:v>
                </c:pt>
                <c:pt idx="21">
                  <c:v>878.96100000000001</c:v>
                </c:pt>
                <c:pt idx="22">
                  <c:v>576.23099999999999</c:v>
                </c:pt>
                <c:pt idx="23">
                  <c:v>0</c:v>
                </c:pt>
                <c:pt idx="24">
                  <c:v>0</c:v>
                </c:pt>
                <c:pt idx="25">
                  <c:v>442.12</c:v>
                </c:pt>
                <c:pt idx="26">
                  <c:v>640.01800000000003</c:v>
                </c:pt>
                <c:pt idx="27">
                  <c:v>1038.94</c:v>
                </c:pt>
                <c:pt idx="28">
                  <c:v>1064.713</c:v>
                </c:pt>
                <c:pt idx="29">
                  <c:v>1257.1569999999999</c:v>
                </c:pt>
                <c:pt idx="30">
                  <c:v>665.32299999999998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2-41B0-BF7A-17BAECB00B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41659064"/>
        <c:axId val="441660864"/>
      </c:barChart>
      <c:lineChart>
        <c:grouping val="standard"/>
        <c:varyColors val="0"/>
        <c:ser>
          <c:idx val="1"/>
          <c:order val="1"/>
          <c:tx>
            <c:strRef>
              <c:f>'DB QUIMICA'!$AV$4</c:f>
              <c:strCache>
                <c:ptCount val="1"/>
                <c:pt idx="0">
                  <c:v> LIMITE INDICADOR M3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CE05-47A7-A89B-60F0B9BB1DE8}"/>
              </c:ext>
            </c:extLst>
          </c:dPt>
          <c:dLbls>
            <c:dLbl>
              <c:idx val="12"/>
              <c:layout>
                <c:manualLayout>
                  <c:x val="-7.9337513025095636E-3"/>
                  <c:y val="3.52777777777777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E05-47A7-A89B-60F0B9BB1D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QUIMICA'!$AV$5:$AV$36</c:f>
              <c:numCache>
                <c:formatCode>_-"$"\ * #,##0_-;\-"$"\ * #,##0_-;_-"$"\ * "-"??_-;_-@_-</c:formatCode>
                <c:ptCount val="31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72-41B0-BF7A-17BAECB00B46}"/>
            </c:ext>
          </c:extLst>
        </c:ser>
        <c:ser>
          <c:idx val="2"/>
          <c:order val="2"/>
          <c:tx>
            <c:strRef>
              <c:f>'DB QUIMICA'!$AW$4</c:f>
              <c:strCache>
                <c:ptCount val="1"/>
                <c:pt idx="0">
                  <c:v> INDICADOR $m3 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FB-481D-9419-630F724F9D50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B72-41B0-BF7A-17BAECB00B46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35CD-4B27-ABAF-854A0E4AC70D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EFB-481D-9419-630F724F9D50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72-41B0-BF7A-17BAECB00B46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5CD-4B27-ABAF-854A0E4AC70D}"/>
              </c:ext>
            </c:extLst>
          </c:dPt>
          <c:dLbls>
            <c:dLbl>
              <c:idx val="15"/>
              <c:layout>
                <c:manualLayout>
                  <c:x val="-1.4841388888888888E-2"/>
                  <c:y val="5.99722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72-41B0-BF7A-17BAECB00B46}"/>
                </c:ext>
              </c:extLst>
            </c:dLbl>
            <c:dLbl>
              <c:idx val="24"/>
              <c:layout>
                <c:manualLayout>
                  <c:x val="-1.4643833333333437E-2"/>
                  <c:y val="1.41111111111109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B72-41B0-BF7A-17BAECB00B46}"/>
                </c:ext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QUIMICA'!$AW$5:$AW$36</c:f>
              <c:numCache>
                <c:formatCode>"$"\ #,##0</c:formatCode>
                <c:ptCount val="31"/>
                <c:pt idx="0">
                  <c:v>0</c:v>
                </c:pt>
                <c:pt idx="1">
                  <c:v>91</c:v>
                </c:pt>
                <c:pt idx="2">
                  <c:v>0</c:v>
                </c:pt>
                <c:pt idx="3">
                  <c:v>0</c:v>
                </c:pt>
                <c:pt idx="4">
                  <c:v>91</c:v>
                </c:pt>
                <c:pt idx="5">
                  <c:v>139.02466637879704</c:v>
                </c:pt>
                <c:pt idx="6">
                  <c:v>539.15153662009277</c:v>
                </c:pt>
                <c:pt idx="7">
                  <c:v>158.20983916683917</c:v>
                </c:pt>
                <c:pt idx="8">
                  <c:v>1512.4814534466234</c:v>
                </c:pt>
                <c:pt idx="9">
                  <c:v>129.31202133093603</c:v>
                </c:pt>
                <c:pt idx="10">
                  <c:v>0</c:v>
                </c:pt>
                <c:pt idx="11">
                  <c:v>0</c:v>
                </c:pt>
                <c:pt idx="12">
                  <c:v>945.28690172387246</c:v>
                </c:pt>
                <c:pt idx="13">
                  <c:v>332.63944814117724</c:v>
                </c:pt>
                <c:pt idx="14">
                  <c:v>234.16839028576615</c:v>
                </c:pt>
                <c:pt idx="15">
                  <c:v>213.67855836847883</c:v>
                </c:pt>
                <c:pt idx="16">
                  <c:v>221.83034835954436</c:v>
                </c:pt>
                <c:pt idx="17">
                  <c:v>0</c:v>
                </c:pt>
                <c:pt idx="18">
                  <c:v>91.000000000000014</c:v>
                </c:pt>
                <c:pt idx="19">
                  <c:v>91</c:v>
                </c:pt>
                <c:pt idx="20">
                  <c:v>137.01997658988844</c:v>
                </c:pt>
                <c:pt idx="21">
                  <c:v>91</c:v>
                </c:pt>
                <c:pt idx="22">
                  <c:v>91.000000000000014</c:v>
                </c:pt>
                <c:pt idx="23">
                  <c:v>0</c:v>
                </c:pt>
                <c:pt idx="24">
                  <c:v>0</c:v>
                </c:pt>
                <c:pt idx="25">
                  <c:v>91</c:v>
                </c:pt>
                <c:pt idx="26">
                  <c:v>91</c:v>
                </c:pt>
                <c:pt idx="27">
                  <c:v>90.999999999999986</c:v>
                </c:pt>
                <c:pt idx="28">
                  <c:v>91</c:v>
                </c:pt>
                <c:pt idx="29">
                  <c:v>91</c:v>
                </c:pt>
                <c:pt idx="30">
                  <c:v>91.000000000000014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72-41B0-BF7A-17BAECB00B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4821320"/>
        <c:axId val="434822400"/>
      </c:lineChart>
      <c:catAx>
        <c:axId val="43482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822400"/>
        <c:crosses val="autoZero"/>
        <c:auto val="1"/>
        <c:lblAlgn val="ctr"/>
        <c:lblOffset val="100"/>
        <c:noMultiLvlLbl val="0"/>
      </c:catAx>
      <c:valAx>
        <c:axId val="4348224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$m3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821320"/>
        <c:crosses val="autoZero"/>
        <c:crossBetween val="between"/>
      </c:valAx>
      <c:valAx>
        <c:axId val="441660864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1659064"/>
        <c:crosses val="max"/>
        <c:crossBetween val="between"/>
        <c:majorUnit val="100"/>
      </c:valAx>
      <c:catAx>
        <c:axId val="441659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166086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ENERO.xlsx]DB QUIMICA!TablaDinámica9</c:name>
    <c:fmtId val="1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DE OPERACIÓN - SISTEMA 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QUIMICA'!$AQ$4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QUIMICA'!$AP$5:$AP$36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QUIMICA'!$AQ$5:$AQ$36</c:f>
              <c:numCache>
                <c:formatCode>#,##0</c:formatCode>
                <c:ptCount val="31"/>
                <c:pt idx="0">
                  <c:v>0</c:v>
                </c:pt>
                <c:pt idx="1">
                  <c:v>815.16417910447763</c:v>
                </c:pt>
                <c:pt idx="2">
                  <c:v>268.38805970149258</c:v>
                </c:pt>
                <c:pt idx="3">
                  <c:v>0</c:v>
                </c:pt>
                <c:pt idx="4">
                  <c:v>868.62686567164178</c:v>
                </c:pt>
                <c:pt idx="5">
                  <c:v>1082.5522388059703</c:v>
                </c:pt>
                <c:pt idx="6">
                  <c:v>875.62686567164178</c:v>
                </c:pt>
                <c:pt idx="7">
                  <c:v>958.01492537313447</c:v>
                </c:pt>
                <c:pt idx="8">
                  <c:v>974.55223880597021</c:v>
                </c:pt>
                <c:pt idx="9">
                  <c:v>594.23880597014931</c:v>
                </c:pt>
                <c:pt idx="10">
                  <c:v>0</c:v>
                </c:pt>
                <c:pt idx="11">
                  <c:v>0</c:v>
                </c:pt>
                <c:pt idx="12">
                  <c:v>1479.8656716417913</c:v>
                </c:pt>
                <c:pt idx="13">
                  <c:v>1769.2537313432838</c:v>
                </c:pt>
                <c:pt idx="14">
                  <c:v>1769.2537313432838</c:v>
                </c:pt>
                <c:pt idx="15">
                  <c:v>1431.4029850746269</c:v>
                </c:pt>
                <c:pt idx="16">
                  <c:v>1222.4776119402986</c:v>
                </c:pt>
                <c:pt idx="17">
                  <c:v>0</c:v>
                </c:pt>
                <c:pt idx="18">
                  <c:v>1857.7164179104479</c:v>
                </c:pt>
                <c:pt idx="19">
                  <c:v>1592.3283582089555</c:v>
                </c:pt>
                <c:pt idx="20">
                  <c:v>1592.3283582089553</c:v>
                </c:pt>
                <c:pt idx="21">
                  <c:v>1592.3283582089555</c:v>
                </c:pt>
                <c:pt idx="22">
                  <c:v>973.08955223880616</c:v>
                </c:pt>
                <c:pt idx="23">
                  <c:v>796.16417910447763</c:v>
                </c:pt>
                <c:pt idx="24">
                  <c:v>0</c:v>
                </c:pt>
                <c:pt idx="25">
                  <c:v>884.62686567164189</c:v>
                </c:pt>
                <c:pt idx="26">
                  <c:v>1061.5522388059703</c:v>
                </c:pt>
                <c:pt idx="27">
                  <c:v>1238.4776119402986</c:v>
                </c:pt>
                <c:pt idx="28">
                  <c:v>1326.9402985074628</c:v>
                </c:pt>
                <c:pt idx="29">
                  <c:v>1326.9402985074628</c:v>
                </c:pt>
                <c:pt idx="30">
                  <c:v>973.08955223880605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40-4F0A-9D85-8AC10DE0F6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1952853008"/>
        <c:axId val="1952852528"/>
      </c:barChart>
      <c:valAx>
        <c:axId val="195285252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 TRATADOS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2853008"/>
        <c:crosses val="max"/>
        <c:crossBetween val="between"/>
      </c:valAx>
      <c:catAx>
        <c:axId val="195285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28525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ENERO.xlsx]DB QUIMICA!TablaDinámica2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DE OPERACIÓN - SISTEMA OSMOSIS INVERSA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'DB QUIMICA'!$AZ$4</c:f>
              <c:strCache>
                <c:ptCount val="1"/>
                <c:pt idx="0">
                  <c:v>VOLUMEN ENVIADO A RO (m3)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QUIMICA'!$AY$5:$AY$36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QUIMICA'!$AZ$5:$AZ$36</c:f>
              <c:numCache>
                <c:formatCode>General</c:formatCode>
                <c:ptCount val="31"/>
                <c:pt idx="0">
                  <c:v>0</c:v>
                </c:pt>
                <c:pt idx="1">
                  <c:v>257.44900000000001</c:v>
                </c:pt>
                <c:pt idx="2">
                  <c:v>0</c:v>
                </c:pt>
                <c:pt idx="3">
                  <c:v>0</c:v>
                </c:pt>
                <c:pt idx="4">
                  <c:v>278.22300000000001</c:v>
                </c:pt>
                <c:pt idx="5">
                  <c:v>579.81899999999996</c:v>
                </c:pt>
                <c:pt idx="6">
                  <c:v>293.51900000000001</c:v>
                </c:pt>
                <c:pt idx="7">
                  <c:v>560.61800000000005</c:v>
                </c:pt>
                <c:pt idx="8">
                  <c:v>346.26900000000001</c:v>
                </c:pt>
                <c:pt idx="9">
                  <c:v>256.66700000000003</c:v>
                </c:pt>
                <c:pt idx="10">
                  <c:v>0</c:v>
                </c:pt>
                <c:pt idx="11">
                  <c:v>0</c:v>
                </c:pt>
                <c:pt idx="12">
                  <c:v>153.40199999999999</c:v>
                </c:pt>
                <c:pt idx="13">
                  <c:v>933.47800000000007</c:v>
                </c:pt>
                <c:pt idx="14">
                  <c:v>1344.463</c:v>
                </c:pt>
                <c:pt idx="15">
                  <c:v>841.25300000000004</c:v>
                </c:pt>
                <c:pt idx="16">
                  <c:v>463.25599999999997</c:v>
                </c:pt>
                <c:pt idx="17">
                  <c:v>0</c:v>
                </c:pt>
                <c:pt idx="18">
                  <c:v>257.33499999999998</c:v>
                </c:pt>
                <c:pt idx="19">
                  <c:v>596.75</c:v>
                </c:pt>
                <c:pt idx="20">
                  <c:v>907.61500000000001</c:v>
                </c:pt>
                <c:pt idx="21">
                  <c:v>878.96100000000001</c:v>
                </c:pt>
                <c:pt idx="22">
                  <c:v>576.23099999999999</c:v>
                </c:pt>
                <c:pt idx="23">
                  <c:v>0</c:v>
                </c:pt>
                <c:pt idx="24">
                  <c:v>0</c:v>
                </c:pt>
                <c:pt idx="25">
                  <c:v>442.12</c:v>
                </c:pt>
                <c:pt idx="26">
                  <c:v>640.01800000000003</c:v>
                </c:pt>
                <c:pt idx="27">
                  <c:v>1038.94</c:v>
                </c:pt>
                <c:pt idx="28">
                  <c:v>1064.713</c:v>
                </c:pt>
                <c:pt idx="29">
                  <c:v>1257.1569999999999</c:v>
                </c:pt>
                <c:pt idx="30">
                  <c:v>665.32299999999998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2-4471-B1D8-97E24CC4D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100"/>
        <c:axId val="1961621936"/>
        <c:axId val="1961617616"/>
      </c:barChart>
      <c:lineChart>
        <c:grouping val="standard"/>
        <c:varyColors val="0"/>
        <c:ser>
          <c:idx val="1"/>
          <c:order val="1"/>
          <c:tx>
            <c:strRef>
              <c:f>'DB QUIMICA'!$BA$4</c:f>
              <c:strCache>
                <c:ptCount val="1"/>
                <c:pt idx="0">
                  <c:v>TIEMPO DE OPERACIÓN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QUIMICA'!$AY$5:$AY$36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QUIMICA'!$BA$5:$BA$36</c:f>
              <c:numCache>
                <c:formatCode>0.00</c:formatCode>
                <c:ptCount val="31"/>
                <c:pt idx="0">
                  <c:v>0</c:v>
                </c:pt>
                <c:pt idx="1">
                  <c:v>4.680890909090909</c:v>
                </c:pt>
                <c:pt idx="2">
                  <c:v>0</c:v>
                </c:pt>
                <c:pt idx="3">
                  <c:v>0</c:v>
                </c:pt>
                <c:pt idx="4">
                  <c:v>5.0586000000000002</c:v>
                </c:pt>
                <c:pt idx="5">
                  <c:v>10.542163636363636</c:v>
                </c:pt>
                <c:pt idx="6">
                  <c:v>5.3367090909090908</c:v>
                </c:pt>
                <c:pt idx="7">
                  <c:v>10.193054545454546</c:v>
                </c:pt>
                <c:pt idx="8">
                  <c:v>6.2957999999999998</c:v>
                </c:pt>
                <c:pt idx="9">
                  <c:v>4.6666727272727275</c:v>
                </c:pt>
                <c:pt idx="10">
                  <c:v>0</c:v>
                </c:pt>
                <c:pt idx="11">
                  <c:v>0</c:v>
                </c:pt>
                <c:pt idx="12">
                  <c:v>2.7891272727272725</c:v>
                </c:pt>
                <c:pt idx="13">
                  <c:v>16.972327272727274</c:v>
                </c:pt>
                <c:pt idx="14">
                  <c:v>24.44478181818182</c:v>
                </c:pt>
                <c:pt idx="15">
                  <c:v>15.295509090909091</c:v>
                </c:pt>
                <c:pt idx="16">
                  <c:v>8.4228363636363639</c:v>
                </c:pt>
                <c:pt idx="17">
                  <c:v>0</c:v>
                </c:pt>
                <c:pt idx="18">
                  <c:v>4.6788181818181815</c:v>
                </c:pt>
                <c:pt idx="19">
                  <c:v>10.85</c:v>
                </c:pt>
                <c:pt idx="20">
                  <c:v>16.502090909090906</c:v>
                </c:pt>
                <c:pt idx="21">
                  <c:v>15.981109090909092</c:v>
                </c:pt>
                <c:pt idx="22">
                  <c:v>10.476927272727274</c:v>
                </c:pt>
                <c:pt idx="23">
                  <c:v>0</c:v>
                </c:pt>
                <c:pt idx="24">
                  <c:v>0</c:v>
                </c:pt>
                <c:pt idx="25">
                  <c:v>6.3159999999999989</c:v>
                </c:pt>
                <c:pt idx="26">
                  <c:v>9.6972424242424253</c:v>
                </c:pt>
                <c:pt idx="27">
                  <c:v>15.983692307692307</c:v>
                </c:pt>
                <c:pt idx="28">
                  <c:v>18.728119268600253</c:v>
                </c:pt>
                <c:pt idx="29">
                  <c:v>20.952616666666664</c:v>
                </c:pt>
                <c:pt idx="30">
                  <c:v>12.558320279720281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B2-4471-B1D8-97E24CC4D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3734544"/>
        <c:axId val="2053735504"/>
      </c:lineChart>
      <c:catAx>
        <c:axId val="205373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3735504"/>
        <c:crosses val="autoZero"/>
        <c:auto val="1"/>
        <c:lblAlgn val="ctr"/>
        <c:lblOffset val="100"/>
        <c:noMultiLvlLbl val="0"/>
      </c:catAx>
      <c:valAx>
        <c:axId val="20537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3734544"/>
        <c:crosses val="autoZero"/>
        <c:crossBetween val="between"/>
      </c:valAx>
      <c:valAx>
        <c:axId val="1961617616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1621936"/>
        <c:crosses val="max"/>
        <c:crossBetween val="between"/>
      </c:valAx>
      <c:catAx>
        <c:axId val="1961621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1617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ENERO.xlsx]GRAFICAS!TablaDinámica5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COONSUMO</a:t>
            </a:r>
            <a:r>
              <a:rPr lang="es-CO" baseline="0"/>
              <a:t> PPM Vs $M3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6451946353323385E-2"/>
          <c:y val="0.20793102582649275"/>
          <c:w val="0.90637920092540336"/>
          <c:h val="0.621270500679828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GRAFICAS!$W$3</c:f>
              <c:strCache>
                <c:ptCount val="1"/>
                <c:pt idx="0">
                  <c:v>COF 494 - PPM POL CATIONICO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GRAFICAS!$W$4:$W$35</c:f>
              <c:numCache>
                <c:formatCode>#,##0</c:formatCode>
                <c:ptCount val="31"/>
                <c:pt idx="0">
                  <c:v>0</c:v>
                </c:pt>
                <c:pt idx="1">
                  <c:v>3.0668668522044822</c:v>
                </c:pt>
                <c:pt idx="2">
                  <c:v>0</c:v>
                </c:pt>
                <c:pt idx="3">
                  <c:v>0</c:v>
                </c:pt>
                <c:pt idx="4">
                  <c:v>2.8781057768308189</c:v>
                </c:pt>
                <c:pt idx="5">
                  <c:v>2.3093573782244827</c:v>
                </c:pt>
                <c:pt idx="6">
                  <c:v>4.282646121328856</c:v>
                </c:pt>
                <c:pt idx="7">
                  <c:v>3.9143440260488878</c:v>
                </c:pt>
                <c:pt idx="8">
                  <c:v>3.8479209740408913</c:v>
                </c:pt>
                <c:pt idx="9">
                  <c:v>2.1035314211081526</c:v>
                </c:pt>
                <c:pt idx="10">
                  <c:v>0</c:v>
                </c:pt>
                <c:pt idx="11">
                  <c:v>0</c:v>
                </c:pt>
                <c:pt idx="12">
                  <c:v>1.6893425179776298</c:v>
                </c:pt>
                <c:pt idx="13">
                  <c:v>2.1195377087902814</c:v>
                </c:pt>
                <c:pt idx="14">
                  <c:v>2.1195377087902814</c:v>
                </c:pt>
                <c:pt idx="15">
                  <c:v>2.6198073073073069</c:v>
                </c:pt>
                <c:pt idx="16">
                  <c:v>2.0450272263326248</c:v>
                </c:pt>
                <c:pt idx="17">
                  <c:v>0</c:v>
                </c:pt>
                <c:pt idx="18">
                  <c:v>2.0186073417050299</c:v>
                </c:pt>
                <c:pt idx="19">
                  <c:v>1.5700279324372455</c:v>
                </c:pt>
                <c:pt idx="20">
                  <c:v>2.3550418986558688</c:v>
                </c:pt>
                <c:pt idx="21">
                  <c:v>2.3550418986558683</c:v>
                </c:pt>
                <c:pt idx="22">
                  <c:v>3.8537049250732389</c:v>
                </c:pt>
                <c:pt idx="23">
                  <c:v>1.5700279324372457</c:v>
                </c:pt>
                <c:pt idx="24">
                  <c:v>0</c:v>
                </c:pt>
                <c:pt idx="25">
                  <c:v>2.8260502783870418</c:v>
                </c:pt>
                <c:pt idx="26">
                  <c:v>3.5325628479838023</c:v>
                </c:pt>
                <c:pt idx="27">
                  <c:v>3.0279110125575448</c:v>
                </c:pt>
                <c:pt idx="28">
                  <c:v>2.8260502783870423</c:v>
                </c:pt>
                <c:pt idx="29">
                  <c:v>2.8260502783870423</c:v>
                </c:pt>
                <c:pt idx="30">
                  <c:v>1.2845683083577464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88-4AEB-AE4F-B463D406B34D}"/>
            </c:ext>
          </c:extLst>
        </c:ser>
        <c:ser>
          <c:idx val="1"/>
          <c:order val="1"/>
          <c:tx>
            <c:strRef>
              <c:f>GRAFICAS!$X$3</c:f>
              <c:strCache>
                <c:ptCount val="1"/>
                <c:pt idx="0">
                  <c:v>COF 440 - PPM POL ANIONICO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GRAFICAS!$X$4:$X$35</c:f>
              <c:numCache>
                <c:formatCode>#,##0</c:formatCode>
                <c:ptCount val="31"/>
                <c:pt idx="0">
                  <c:v>0</c:v>
                </c:pt>
                <c:pt idx="1">
                  <c:v>3.0668668522044822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1.1546786891122414</c:v>
                </c:pt>
                <c:pt idx="6">
                  <c:v>1.4275487071096187</c:v>
                </c:pt>
                <c:pt idx="7">
                  <c:v>1.3047813420162959</c:v>
                </c:pt>
                <c:pt idx="8">
                  <c:v>1.2826403246802971</c:v>
                </c:pt>
                <c:pt idx="9">
                  <c:v>2.1035314211081526</c:v>
                </c:pt>
                <c:pt idx="10">
                  <c:v>0</c:v>
                </c:pt>
                <c:pt idx="11">
                  <c:v>0</c:v>
                </c:pt>
                <c:pt idx="12">
                  <c:v>0.8446712589888149</c:v>
                </c:pt>
                <c:pt idx="13">
                  <c:v>0.70651256959676045</c:v>
                </c:pt>
                <c:pt idx="14">
                  <c:v>0.70651256959676045</c:v>
                </c:pt>
                <c:pt idx="15">
                  <c:v>0.87326910243576905</c:v>
                </c:pt>
                <c:pt idx="16">
                  <c:v>1.0225136131663124</c:v>
                </c:pt>
                <c:pt idx="17">
                  <c:v>0</c:v>
                </c:pt>
                <c:pt idx="18">
                  <c:v>0.6728691139016767</c:v>
                </c:pt>
                <c:pt idx="19">
                  <c:v>1.5700279324372455</c:v>
                </c:pt>
                <c:pt idx="20">
                  <c:v>1.5700279324372457</c:v>
                </c:pt>
                <c:pt idx="21">
                  <c:v>0.78501396621862274</c:v>
                </c:pt>
                <c:pt idx="22">
                  <c:v>2.5691366167154928</c:v>
                </c:pt>
                <c:pt idx="23">
                  <c:v>1.5700279324372457</c:v>
                </c:pt>
                <c:pt idx="24">
                  <c:v>0</c:v>
                </c:pt>
                <c:pt idx="25">
                  <c:v>1.4130251391935209</c:v>
                </c:pt>
                <c:pt idx="26">
                  <c:v>2.3550418986558679</c:v>
                </c:pt>
                <c:pt idx="27">
                  <c:v>1.0093036708525149</c:v>
                </c:pt>
                <c:pt idx="28">
                  <c:v>0.94201675946234742</c:v>
                </c:pt>
                <c:pt idx="29">
                  <c:v>1.8840335189246948</c:v>
                </c:pt>
                <c:pt idx="30">
                  <c:v>1.2845683083577464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88-4AEB-AE4F-B463D406B34D}"/>
            </c:ext>
          </c:extLst>
        </c:ser>
        <c:ser>
          <c:idx val="2"/>
          <c:order val="2"/>
          <c:tx>
            <c:strRef>
              <c:f>GRAFICAS!$Y$3</c:f>
              <c:strCache>
                <c:ptCount val="1"/>
                <c:pt idx="0">
                  <c:v>COF 280 - PPM ACIDO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GRAFICAS!$Y$4:$Y$35</c:f>
              <c:numCache>
                <c:formatCode>#,##0</c:formatCode>
                <c:ptCount val="31"/>
                <c:pt idx="0">
                  <c:v>0</c:v>
                </c:pt>
                <c:pt idx="1">
                  <c:v>196.27947854108686</c:v>
                </c:pt>
                <c:pt idx="2">
                  <c:v>298.07585363140913</c:v>
                </c:pt>
                <c:pt idx="3">
                  <c:v>0</c:v>
                </c:pt>
                <c:pt idx="4">
                  <c:v>126.63665418055604</c:v>
                </c:pt>
                <c:pt idx="5">
                  <c:v>387.97203954171312</c:v>
                </c:pt>
                <c:pt idx="6">
                  <c:v>296.93013107880068</c:v>
                </c:pt>
                <c:pt idx="7">
                  <c:v>344.46227429230214</c:v>
                </c:pt>
                <c:pt idx="8">
                  <c:v>215.4835745462899</c:v>
                </c:pt>
                <c:pt idx="9">
                  <c:v>67.313005475460884</c:v>
                </c:pt>
                <c:pt idx="10">
                  <c:v>0</c:v>
                </c:pt>
                <c:pt idx="11">
                  <c:v>0</c:v>
                </c:pt>
                <c:pt idx="12">
                  <c:v>317.59639337979439</c:v>
                </c:pt>
                <c:pt idx="13">
                  <c:v>158.25881558967436</c:v>
                </c:pt>
                <c:pt idx="14">
                  <c:v>113.04201113548169</c:v>
                </c:pt>
                <c:pt idx="15">
                  <c:v>146.70920920920921</c:v>
                </c:pt>
                <c:pt idx="16">
                  <c:v>155.4220692012795</c:v>
                </c:pt>
                <c:pt idx="17">
                  <c:v>0</c:v>
                </c:pt>
                <c:pt idx="18">
                  <c:v>161.48858733640239</c:v>
                </c:pt>
                <c:pt idx="19">
                  <c:v>188.40335189246946</c:v>
                </c:pt>
                <c:pt idx="20">
                  <c:v>125.60223459497966</c:v>
                </c:pt>
                <c:pt idx="21">
                  <c:v>100.48178767598371</c:v>
                </c:pt>
                <c:pt idx="22">
                  <c:v>20.553092933723942</c:v>
                </c:pt>
                <c:pt idx="23">
                  <c:v>37.6806703784939</c:v>
                </c:pt>
                <c:pt idx="24">
                  <c:v>0</c:v>
                </c:pt>
                <c:pt idx="25">
                  <c:v>158.25881558967436</c:v>
                </c:pt>
                <c:pt idx="26">
                  <c:v>113.04201113548167</c:v>
                </c:pt>
                <c:pt idx="27">
                  <c:v>104.96758176866156</c:v>
                </c:pt>
                <c:pt idx="28">
                  <c:v>211.01175411956584</c:v>
                </c:pt>
                <c:pt idx="29">
                  <c:v>218.54788819526459</c:v>
                </c:pt>
                <c:pt idx="30">
                  <c:v>277.46675460527325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88-4AEB-AE4F-B463D406B34D}"/>
            </c:ext>
          </c:extLst>
        </c:ser>
        <c:ser>
          <c:idx val="3"/>
          <c:order val="3"/>
          <c:tx>
            <c:strRef>
              <c:f>GRAFICAS!$Z$3</c:f>
              <c:strCache>
                <c:ptCount val="1"/>
                <c:pt idx="0">
                  <c:v>COF 235 - PPM COAGULANTE 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GRAFICAS!$Z$4:$Z$35</c:f>
              <c:numCache>
                <c:formatCode>#,##0</c:formatCode>
                <c:ptCount val="31"/>
                <c:pt idx="0">
                  <c:v>0</c:v>
                </c:pt>
                <c:pt idx="1">
                  <c:v>245.34934817635857</c:v>
                </c:pt>
                <c:pt idx="2">
                  <c:v>596.15170726281826</c:v>
                </c:pt>
                <c:pt idx="3">
                  <c:v>0</c:v>
                </c:pt>
                <c:pt idx="4">
                  <c:v>218.73603903914224</c:v>
                </c:pt>
                <c:pt idx="5">
                  <c:v>461.87147564489658</c:v>
                </c:pt>
                <c:pt idx="6">
                  <c:v>799.42727598138652</c:v>
                </c:pt>
                <c:pt idx="7">
                  <c:v>574.10379048717027</c:v>
                </c:pt>
                <c:pt idx="8">
                  <c:v>554.10062026188837</c:v>
                </c:pt>
                <c:pt idx="9">
                  <c:v>269.25202190184353</c:v>
                </c:pt>
                <c:pt idx="10">
                  <c:v>0</c:v>
                </c:pt>
                <c:pt idx="11">
                  <c:v>0</c:v>
                </c:pt>
                <c:pt idx="12">
                  <c:v>439.22905467418377</c:v>
                </c:pt>
                <c:pt idx="13">
                  <c:v>384.3428378606377</c:v>
                </c:pt>
                <c:pt idx="14">
                  <c:v>344.77813396321915</c:v>
                </c:pt>
                <c:pt idx="15">
                  <c:v>419.16916916916915</c:v>
                </c:pt>
                <c:pt idx="16">
                  <c:v>130.88174248528799</c:v>
                </c:pt>
                <c:pt idx="17">
                  <c:v>0</c:v>
                </c:pt>
                <c:pt idx="18">
                  <c:v>328.36012758401819</c:v>
                </c:pt>
                <c:pt idx="19">
                  <c:v>439.60782108242876</c:v>
                </c:pt>
                <c:pt idx="20">
                  <c:v>314.00558648744914</c:v>
                </c:pt>
                <c:pt idx="21">
                  <c:v>502.40893837991854</c:v>
                </c:pt>
                <c:pt idx="22">
                  <c:v>719.35825268033796</c:v>
                </c:pt>
                <c:pt idx="23">
                  <c:v>188.40335189246949</c:v>
                </c:pt>
                <c:pt idx="24">
                  <c:v>0</c:v>
                </c:pt>
                <c:pt idx="25">
                  <c:v>440.86384342837857</c:v>
                </c:pt>
                <c:pt idx="26">
                  <c:v>339.126033406445</c:v>
                </c:pt>
                <c:pt idx="27">
                  <c:v>121.1164405023018</c:v>
                </c:pt>
                <c:pt idx="28">
                  <c:v>482.31258084472188</c:v>
                </c:pt>
                <c:pt idx="29">
                  <c:v>384.34283786063776</c:v>
                </c:pt>
                <c:pt idx="30">
                  <c:v>431.61495160820283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88-4AEB-AE4F-B463D406B34D}"/>
            </c:ext>
          </c:extLst>
        </c:ser>
        <c:ser>
          <c:idx val="4"/>
          <c:order val="4"/>
          <c:tx>
            <c:strRef>
              <c:f>GRAFICAS!$AA$3</c:f>
              <c:strCache>
                <c:ptCount val="1"/>
                <c:pt idx="0">
                  <c:v>COF 255 - PPM DECOLORANTE 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GRAFICAS!$AA$4:$AA$35</c:f>
              <c:numCache>
                <c:formatCode>#,##0</c:formatCode>
                <c:ptCount val="31"/>
                <c:pt idx="0">
                  <c:v>0</c:v>
                </c:pt>
                <c:pt idx="1">
                  <c:v>147.20960890581514</c:v>
                </c:pt>
                <c:pt idx="2">
                  <c:v>186.29740851963069</c:v>
                </c:pt>
                <c:pt idx="3">
                  <c:v>0</c:v>
                </c:pt>
                <c:pt idx="4">
                  <c:v>115.12423107323276</c:v>
                </c:pt>
                <c:pt idx="5">
                  <c:v>184.74859025795863</c:v>
                </c:pt>
                <c:pt idx="6">
                  <c:v>159.88545519627729</c:v>
                </c:pt>
                <c:pt idx="7">
                  <c:v>167.01201177808588</c:v>
                </c:pt>
                <c:pt idx="8">
                  <c:v>194.96132935140517</c:v>
                </c:pt>
                <c:pt idx="9">
                  <c:v>134.62601095092177</c:v>
                </c:pt>
                <c:pt idx="10">
                  <c:v>0</c:v>
                </c:pt>
                <c:pt idx="11">
                  <c:v>0</c:v>
                </c:pt>
                <c:pt idx="12">
                  <c:v>162.17688172585247</c:v>
                </c:pt>
                <c:pt idx="13">
                  <c:v>197.82351948709294</c:v>
                </c:pt>
                <c:pt idx="14">
                  <c:v>84.781508351611265</c:v>
                </c:pt>
                <c:pt idx="15">
                  <c:v>132.7369035702369</c:v>
                </c:pt>
                <c:pt idx="16">
                  <c:v>49.080653431982995</c:v>
                </c:pt>
                <c:pt idx="17">
                  <c:v>0</c:v>
                </c:pt>
                <c:pt idx="18">
                  <c:v>134.57382278033532</c:v>
                </c:pt>
                <c:pt idx="19">
                  <c:v>25.120446918995928</c:v>
                </c:pt>
                <c:pt idx="20">
                  <c:v>131.88234632472864</c:v>
                </c:pt>
                <c:pt idx="21">
                  <c:v>150.72268151397557</c:v>
                </c:pt>
                <c:pt idx="22">
                  <c:v>113.04201113548167</c:v>
                </c:pt>
                <c:pt idx="23">
                  <c:v>50.240893837991862</c:v>
                </c:pt>
                <c:pt idx="24">
                  <c:v>0</c:v>
                </c:pt>
                <c:pt idx="25">
                  <c:v>180.86721781677068</c:v>
                </c:pt>
                <c:pt idx="26">
                  <c:v>113.04201113548167</c:v>
                </c:pt>
                <c:pt idx="27">
                  <c:v>64.595434934560956</c:v>
                </c:pt>
                <c:pt idx="28">
                  <c:v>90.433608908385352</c:v>
                </c:pt>
                <c:pt idx="29">
                  <c:v>128.11427928687925</c:v>
                </c:pt>
                <c:pt idx="30">
                  <c:v>205.53092933723943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88-4AEB-AE4F-B463D406B3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693195471"/>
        <c:axId val="693195951"/>
      </c:barChart>
      <c:lineChart>
        <c:grouping val="standard"/>
        <c:varyColors val="0"/>
        <c:ser>
          <c:idx val="5"/>
          <c:order val="5"/>
          <c:tx>
            <c:strRef>
              <c:f>GRAFICAS!$AB$3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GRAFICAS!$AB$4:$AB$35</c:f>
              <c:numCache>
                <c:formatCode>"$"\ #,##0</c:formatCode>
                <c:ptCount val="31"/>
                <c:pt idx="0">
                  <c:v>0</c:v>
                </c:pt>
                <c:pt idx="1">
                  <c:v>2817.0889482935404</c:v>
                </c:pt>
                <c:pt idx="2">
                  <c:v>4078.2645145145138</c:v>
                </c:pt>
                <c:pt idx="3">
                  <c:v>0</c:v>
                </c:pt>
                <c:pt idx="4">
                  <c:v>2136.8669026427024</c:v>
                </c:pt>
                <c:pt idx="5">
                  <c:v>3938.7752822930879</c:v>
                </c:pt>
                <c:pt idx="6">
                  <c:v>5136.7941943511687</c:v>
                </c:pt>
                <c:pt idx="7">
                  <c:v>4336.5138579463128</c:v>
                </c:pt>
                <c:pt idx="8">
                  <c:v>4332.8641932766668</c:v>
                </c:pt>
                <c:pt idx="9">
                  <c:v>2512.3906163661022</c:v>
                </c:pt>
                <c:pt idx="10">
                  <c:v>0</c:v>
                </c:pt>
                <c:pt idx="11">
                  <c:v>0</c:v>
                </c:pt>
                <c:pt idx="12">
                  <c:v>3519.9174491432254</c:v>
                </c:pt>
                <c:pt idx="13">
                  <c:v>3445.0019191833976</c:v>
                </c:pt>
                <c:pt idx="14">
                  <c:v>2354.6862873291711</c:v>
                </c:pt>
                <c:pt idx="15">
                  <c:v>3111.040389347681</c:v>
                </c:pt>
                <c:pt idx="16">
                  <c:v>1315.1038385466265</c:v>
                </c:pt>
                <c:pt idx="17">
                  <c:v>0</c:v>
                </c:pt>
                <c:pt idx="18">
                  <c:v>2724.2115379980232</c:v>
                </c:pt>
                <c:pt idx="19">
                  <c:v>2348.2593779877393</c:v>
                </c:pt>
                <c:pt idx="20">
                  <c:v>2707.1913137618808</c:v>
                </c:pt>
                <c:pt idx="21">
                  <c:v>3492.4580544776254</c:v>
                </c:pt>
                <c:pt idx="22">
                  <c:v>4211.4751829071884</c:v>
                </c:pt>
                <c:pt idx="23">
                  <c:v>1418.0429484655906</c:v>
                </c:pt>
                <c:pt idx="24">
                  <c:v>0</c:v>
                </c:pt>
                <c:pt idx="25">
                  <c:v>3644.9096507508011</c:v>
                </c:pt>
                <c:pt idx="26">
                  <c:v>2805.5896743715198</c:v>
                </c:pt>
                <c:pt idx="27">
                  <c:v>1430.9059630263441</c:v>
                </c:pt>
                <c:pt idx="28">
                  <c:v>3113.6065463134805</c:v>
                </c:pt>
                <c:pt idx="29">
                  <c:v>3113.5707496766208</c:v>
                </c:pt>
                <c:pt idx="30">
                  <c:v>3786.3216098900252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388-4AEB-AE4F-B463D406B3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48027599"/>
        <c:axId val="1048018479"/>
      </c:lineChart>
      <c:catAx>
        <c:axId val="69319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3195951"/>
        <c:crosses val="autoZero"/>
        <c:auto val="1"/>
        <c:lblAlgn val="ctr"/>
        <c:lblOffset val="100"/>
        <c:noMultiLvlLbl val="0"/>
      </c:catAx>
      <c:valAx>
        <c:axId val="693195951"/>
        <c:scaling>
          <c:orientation val="minMax"/>
          <c:max val="2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PPM</a:t>
                </a:r>
                <a:r>
                  <a:rPr lang="es-CO" baseline="0"/>
                  <a:t>  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3195471"/>
        <c:crosses val="autoZero"/>
        <c:crossBetween val="between"/>
      </c:valAx>
      <c:valAx>
        <c:axId val="1048018479"/>
        <c:scaling>
          <c:orientation val="minMax"/>
          <c:min val="-5000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027599"/>
        <c:crosses val="max"/>
        <c:crossBetween val="between"/>
      </c:valAx>
      <c:catAx>
        <c:axId val="10480275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80184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ENERO.xlsx]GRAFICAS!TablaDinámica6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</a:t>
            </a:r>
            <a:r>
              <a:rPr lang="es-CO" baseline="0"/>
              <a:t> (L) Vs $M3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6.0139664162412856E-2"/>
          <c:y val="0.18913399553350699"/>
          <c:w val="0.88938762772490099"/>
          <c:h val="0.617456101501561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GRAFICAS!$AE$3</c:f>
              <c:strCache>
                <c:ptCount val="1"/>
                <c:pt idx="0">
                  <c:v>CONSUMO POL CATIONICO (KG)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GRAFICAS!$AE$4:$AE$35</c:f>
              <c:numCache>
                <c:formatCode>#,##0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10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10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10</c:v>
                </c:pt>
                <c:pt idx="17">
                  <c:v>0</c:v>
                </c:pt>
                <c:pt idx="18">
                  <c:v>15</c:v>
                </c:pt>
                <c:pt idx="19">
                  <c:v>10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5</c:v>
                </c:pt>
                <c:pt idx="24">
                  <c:v>0</c:v>
                </c:pt>
                <c:pt idx="25">
                  <c:v>10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3-4FAB-8D98-F09374125810}"/>
            </c:ext>
          </c:extLst>
        </c:ser>
        <c:ser>
          <c:idx val="1"/>
          <c:order val="1"/>
          <c:tx>
            <c:strRef>
              <c:f>GRAFICAS!$AF$3</c:f>
              <c:strCache>
                <c:ptCount val="1"/>
                <c:pt idx="0">
                  <c:v>CONSUMO POL ANIONICO (KG)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GRAFICAS!$AF$4:$AF$35</c:f>
              <c:numCache>
                <c:formatCode>#,##0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0</c:v>
                </c:pt>
                <c:pt idx="18">
                  <c:v>5</c:v>
                </c:pt>
                <c:pt idx="19">
                  <c:v>10</c:v>
                </c:pt>
                <c:pt idx="20">
                  <c:v>10</c:v>
                </c:pt>
                <c:pt idx="21">
                  <c:v>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5</c:v>
                </c:pt>
                <c:pt idx="26">
                  <c:v>10</c:v>
                </c:pt>
                <c:pt idx="27">
                  <c:v>5</c:v>
                </c:pt>
                <c:pt idx="28">
                  <c:v>5</c:v>
                </c:pt>
                <c:pt idx="29">
                  <c:v>10</c:v>
                </c:pt>
                <c:pt idx="3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33-4FAB-8D98-F09374125810}"/>
            </c:ext>
          </c:extLst>
        </c:ser>
        <c:ser>
          <c:idx val="2"/>
          <c:order val="2"/>
          <c:tx>
            <c:strRef>
              <c:f>GRAFICAS!$AG$3</c:f>
              <c:strCache>
                <c:ptCount val="1"/>
                <c:pt idx="0">
                  <c:v>CONSUMO LITROS ACIDO (L)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GRAFICAS!$AG$4:$AG$35</c:f>
              <c:numCache>
                <c:formatCode>#,##0</c:formatCode>
                <c:ptCount val="31"/>
                <c:pt idx="0">
                  <c:v>0</c:v>
                </c:pt>
                <c:pt idx="1">
                  <c:v>160</c:v>
                </c:pt>
                <c:pt idx="2">
                  <c:v>80</c:v>
                </c:pt>
                <c:pt idx="3">
                  <c:v>0</c:v>
                </c:pt>
                <c:pt idx="4">
                  <c:v>110</c:v>
                </c:pt>
                <c:pt idx="5">
                  <c:v>420</c:v>
                </c:pt>
                <c:pt idx="6">
                  <c:v>260</c:v>
                </c:pt>
                <c:pt idx="7">
                  <c:v>330</c:v>
                </c:pt>
                <c:pt idx="8">
                  <c:v>210</c:v>
                </c:pt>
                <c:pt idx="9">
                  <c:v>40</c:v>
                </c:pt>
                <c:pt idx="10">
                  <c:v>0</c:v>
                </c:pt>
                <c:pt idx="11">
                  <c:v>0</c:v>
                </c:pt>
                <c:pt idx="12">
                  <c:v>470</c:v>
                </c:pt>
                <c:pt idx="13">
                  <c:v>280</c:v>
                </c:pt>
                <c:pt idx="14">
                  <c:v>200</c:v>
                </c:pt>
                <c:pt idx="15">
                  <c:v>210</c:v>
                </c:pt>
                <c:pt idx="16">
                  <c:v>190</c:v>
                </c:pt>
                <c:pt idx="17">
                  <c:v>0</c:v>
                </c:pt>
                <c:pt idx="18">
                  <c:v>300</c:v>
                </c:pt>
                <c:pt idx="19">
                  <c:v>300</c:v>
                </c:pt>
                <c:pt idx="20">
                  <c:v>200</c:v>
                </c:pt>
                <c:pt idx="21">
                  <c:v>160</c:v>
                </c:pt>
                <c:pt idx="22">
                  <c:v>20</c:v>
                </c:pt>
                <c:pt idx="23">
                  <c:v>30</c:v>
                </c:pt>
                <c:pt idx="24">
                  <c:v>0</c:v>
                </c:pt>
                <c:pt idx="25">
                  <c:v>140</c:v>
                </c:pt>
                <c:pt idx="26">
                  <c:v>120</c:v>
                </c:pt>
                <c:pt idx="27">
                  <c:v>130</c:v>
                </c:pt>
                <c:pt idx="28">
                  <c:v>280</c:v>
                </c:pt>
                <c:pt idx="29">
                  <c:v>290</c:v>
                </c:pt>
                <c:pt idx="30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33-4FAB-8D98-F09374125810}"/>
            </c:ext>
          </c:extLst>
        </c:ser>
        <c:ser>
          <c:idx val="3"/>
          <c:order val="3"/>
          <c:tx>
            <c:strRef>
              <c:f>GRAFICAS!$AH$3</c:f>
              <c:strCache>
                <c:ptCount val="1"/>
                <c:pt idx="0">
                  <c:v>CONSUMO LITROS COAGULANTE (L)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GRAFICAS!$AH$4:$AH$35</c:f>
              <c:numCache>
                <c:formatCode>#,##0</c:formatCode>
                <c:ptCount val="31"/>
                <c:pt idx="0">
                  <c:v>0</c:v>
                </c:pt>
                <c:pt idx="1">
                  <c:v>200</c:v>
                </c:pt>
                <c:pt idx="2">
                  <c:v>160</c:v>
                </c:pt>
                <c:pt idx="3">
                  <c:v>0</c:v>
                </c:pt>
                <c:pt idx="4">
                  <c:v>190</c:v>
                </c:pt>
                <c:pt idx="5">
                  <c:v>500</c:v>
                </c:pt>
                <c:pt idx="6">
                  <c:v>700</c:v>
                </c:pt>
                <c:pt idx="7">
                  <c:v>550</c:v>
                </c:pt>
                <c:pt idx="8">
                  <c:v>540</c:v>
                </c:pt>
                <c:pt idx="9">
                  <c:v>160</c:v>
                </c:pt>
                <c:pt idx="10">
                  <c:v>0</c:v>
                </c:pt>
                <c:pt idx="11">
                  <c:v>0</c:v>
                </c:pt>
                <c:pt idx="12">
                  <c:v>650</c:v>
                </c:pt>
                <c:pt idx="13">
                  <c:v>680</c:v>
                </c:pt>
                <c:pt idx="14">
                  <c:v>610</c:v>
                </c:pt>
                <c:pt idx="15">
                  <c:v>600</c:v>
                </c:pt>
                <c:pt idx="16">
                  <c:v>160</c:v>
                </c:pt>
                <c:pt idx="17">
                  <c:v>0</c:v>
                </c:pt>
                <c:pt idx="18">
                  <c:v>610</c:v>
                </c:pt>
                <c:pt idx="19">
                  <c:v>700</c:v>
                </c:pt>
                <c:pt idx="20">
                  <c:v>500</c:v>
                </c:pt>
                <c:pt idx="21">
                  <c:v>800</c:v>
                </c:pt>
                <c:pt idx="22">
                  <c:v>700</c:v>
                </c:pt>
                <c:pt idx="23">
                  <c:v>150</c:v>
                </c:pt>
                <c:pt idx="24">
                  <c:v>0</c:v>
                </c:pt>
                <c:pt idx="25">
                  <c:v>390</c:v>
                </c:pt>
                <c:pt idx="26">
                  <c:v>360</c:v>
                </c:pt>
                <c:pt idx="27">
                  <c:v>150</c:v>
                </c:pt>
                <c:pt idx="28">
                  <c:v>640</c:v>
                </c:pt>
                <c:pt idx="29">
                  <c:v>510</c:v>
                </c:pt>
                <c:pt idx="30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33-4FAB-8D98-F09374125810}"/>
            </c:ext>
          </c:extLst>
        </c:ser>
        <c:ser>
          <c:idx val="4"/>
          <c:order val="4"/>
          <c:tx>
            <c:strRef>
              <c:f>GRAFICAS!$AI$3</c:f>
              <c:strCache>
                <c:ptCount val="1"/>
                <c:pt idx="0">
                  <c:v>CONSUMO LITROS DECOLORANTE (L)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GRAFICAS!$AI$4:$AI$35</c:f>
              <c:numCache>
                <c:formatCode>#,##0</c:formatCode>
                <c:ptCount val="31"/>
                <c:pt idx="0">
                  <c:v>0</c:v>
                </c:pt>
                <c:pt idx="1">
                  <c:v>120</c:v>
                </c:pt>
                <c:pt idx="2">
                  <c:v>50</c:v>
                </c:pt>
                <c:pt idx="3">
                  <c:v>0</c:v>
                </c:pt>
                <c:pt idx="4">
                  <c:v>100</c:v>
                </c:pt>
                <c:pt idx="5">
                  <c:v>200</c:v>
                </c:pt>
                <c:pt idx="6">
                  <c:v>140</c:v>
                </c:pt>
                <c:pt idx="7">
                  <c:v>160</c:v>
                </c:pt>
                <c:pt idx="8">
                  <c:v>190</c:v>
                </c:pt>
                <c:pt idx="9">
                  <c:v>80</c:v>
                </c:pt>
                <c:pt idx="10">
                  <c:v>0</c:v>
                </c:pt>
                <c:pt idx="11">
                  <c:v>0</c:v>
                </c:pt>
                <c:pt idx="12">
                  <c:v>240</c:v>
                </c:pt>
                <c:pt idx="13">
                  <c:v>350</c:v>
                </c:pt>
                <c:pt idx="14">
                  <c:v>150</c:v>
                </c:pt>
                <c:pt idx="15">
                  <c:v>190</c:v>
                </c:pt>
                <c:pt idx="16">
                  <c:v>60</c:v>
                </c:pt>
                <c:pt idx="17">
                  <c:v>0</c:v>
                </c:pt>
                <c:pt idx="18">
                  <c:v>250</c:v>
                </c:pt>
                <c:pt idx="19">
                  <c:v>40</c:v>
                </c:pt>
                <c:pt idx="20">
                  <c:v>210</c:v>
                </c:pt>
                <c:pt idx="21">
                  <c:v>240</c:v>
                </c:pt>
                <c:pt idx="22">
                  <c:v>110</c:v>
                </c:pt>
                <c:pt idx="23">
                  <c:v>40</c:v>
                </c:pt>
                <c:pt idx="24">
                  <c:v>0</c:v>
                </c:pt>
                <c:pt idx="25">
                  <c:v>160</c:v>
                </c:pt>
                <c:pt idx="26">
                  <c:v>120</c:v>
                </c:pt>
                <c:pt idx="27">
                  <c:v>80</c:v>
                </c:pt>
                <c:pt idx="28">
                  <c:v>120</c:v>
                </c:pt>
                <c:pt idx="29">
                  <c:v>170</c:v>
                </c:pt>
                <c:pt idx="3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33-4FAB-8D98-F093741258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1065307551"/>
        <c:axId val="1065306111"/>
      </c:barChart>
      <c:lineChart>
        <c:grouping val="standard"/>
        <c:varyColors val="0"/>
        <c:ser>
          <c:idx val="5"/>
          <c:order val="5"/>
          <c:tx>
            <c:strRef>
              <c:f>GRAFICAS!$AJ$3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GRAFICAS!$AJ$4:$AJ$35</c:f>
              <c:numCache>
                <c:formatCode>"$"\ #,##0</c:formatCode>
                <c:ptCount val="31"/>
                <c:pt idx="0">
                  <c:v>0</c:v>
                </c:pt>
                <c:pt idx="1">
                  <c:v>2817.0889482935404</c:v>
                </c:pt>
                <c:pt idx="2">
                  <c:v>4078.2645145145138</c:v>
                </c:pt>
                <c:pt idx="3">
                  <c:v>0</c:v>
                </c:pt>
                <c:pt idx="4">
                  <c:v>2136.8669026427024</c:v>
                </c:pt>
                <c:pt idx="5">
                  <c:v>3938.7752822930879</c:v>
                </c:pt>
                <c:pt idx="6">
                  <c:v>5136.7941943511687</c:v>
                </c:pt>
                <c:pt idx="7">
                  <c:v>4336.5138579463128</c:v>
                </c:pt>
                <c:pt idx="8">
                  <c:v>4332.8641932766668</c:v>
                </c:pt>
                <c:pt idx="9">
                  <c:v>2512.3906163661022</c:v>
                </c:pt>
                <c:pt idx="10">
                  <c:v>0</c:v>
                </c:pt>
                <c:pt idx="11">
                  <c:v>0</c:v>
                </c:pt>
                <c:pt idx="12">
                  <c:v>3519.9174491432254</c:v>
                </c:pt>
                <c:pt idx="13">
                  <c:v>3445.0019191833976</c:v>
                </c:pt>
                <c:pt idx="14">
                  <c:v>2354.6862873291711</c:v>
                </c:pt>
                <c:pt idx="15">
                  <c:v>3111.040389347681</c:v>
                </c:pt>
                <c:pt idx="16">
                  <c:v>1315.1038385466265</c:v>
                </c:pt>
                <c:pt idx="17">
                  <c:v>0</c:v>
                </c:pt>
                <c:pt idx="18">
                  <c:v>2724.2115379980232</c:v>
                </c:pt>
                <c:pt idx="19">
                  <c:v>2348.2593779877393</c:v>
                </c:pt>
                <c:pt idx="20">
                  <c:v>2707.1913137618808</c:v>
                </c:pt>
                <c:pt idx="21">
                  <c:v>3492.4580544776254</c:v>
                </c:pt>
                <c:pt idx="22">
                  <c:v>4211.4751829071884</c:v>
                </c:pt>
                <c:pt idx="23">
                  <c:v>1418.0429484655906</c:v>
                </c:pt>
                <c:pt idx="24">
                  <c:v>0</c:v>
                </c:pt>
                <c:pt idx="25">
                  <c:v>3644.9096507508011</c:v>
                </c:pt>
                <c:pt idx="26">
                  <c:v>2805.5896743715198</c:v>
                </c:pt>
                <c:pt idx="27">
                  <c:v>1430.9059630263441</c:v>
                </c:pt>
                <c:pt idx="28">
                  <c:v>3113.6065463134805</c:v>
                </c:pt>
                <c:pt idx="29">
                  <c:v>3113.5707496766208</c:v>
                </c:pt>
                <c:pt idx="30">
                  <c:v>3786.3216098900252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33-4FAB-8D98-F093741258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65191871"/>
        <c:axId val="1065188031"/>
      </c:lineChart>
      <c:catAx>
        <c:axId val="106530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306111"/>
        <c:crosses val="autoZero"/>
        <c:auto val="1"/>
        <c:lblAlgn val="ctr"/>
        <c:lblOffset val="100"/>
        <c:noMultiLvlLbl val="0"/>
      </c:catAx>
      <c:valAx>
        <c:axId val="1065306111"/>
        <c:scaling>
          <c:orientation val="minMax"/>
          <c:max val="25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 CONSUMIDOS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307551"/>
        <c:crosses val="autoZero"/>
        <c:crossBetween val="between"/>
      </c:valAx>
      <c:valAx>
        <c:axId val="1065188031"/>
        <c:scaling>
          <c:orientation val="minMax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191871"/>
        <c:crosses val="max"/>
        <c:crossBetween val="between"/>
      </c:valAx>
      <c:catAx>
        <c:axId val="106519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51880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ENERO.xlsx]GRAFICAS!TablaDinámica7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 KG Vs $M3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2772984909981386E-2"/>
          <c:y val="0.20041477822732073"/>
          <c:w val="0.89066770850664323"/>
          <c:h val="0.645919263998436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GRAFICAS!$AM$3</c:f>
              <c:strCache>
                <c:ptCount val="1"/>
                <c:pt idx="0">
                  <c:v>KG POL CATIONICO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GRAFICAS!$AM$4:$AM$35</c:f>
              <c:numCache>
                <c:formatCode>#,##0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10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10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10</c:v>
                </c:pt>
                <c:pt idx="17">
                  <c:v>0</c:v>
                </c:pt>
                <c:pt idx="18">
                  <c:v>15</c:v>
                </c:pt>
                <c:pt idx="19">
                  <c:v>10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5</c:v>
                </c:pt>
                <c:pt idx="24">
                  <c:v>0</c:v>
                </c:pt>
                <c:pt idx="25">
                  <c:v>10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8-41DB-B0A9-2EB2E3A0ED31}"/>
            </c:ext>
          </c:extLst>
        </c:ser>
        <c:ser>
          <c:idx val="1"/>
          <c:order val="1"/>
          <c:tx>
            <c:strRef>
              <c:f>GRAFICAS!$AN$3</c:f>
              <c:strCache>
                <c:ptCount val="1"/>
                <c:pt idx="0">
                  <c:v>KG POL ANIONICO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GRAFICAS!$AN$4:$AN$35</c:f>
              <c:numCache>
                <c:formatCode>#,##0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0</c:v>
                </c:pt>
                <c:pt idx="18">
                  <c:v>5</c:v>
                </c:pt>
                <c:pt idx="19">
                  <c:v>10</c:v>
                </c:pt>
                <c:pt idx="20">
                  <c:v>10</c:v>
                </c:pt>
                <c:pt idx="21">
                  <c:v>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5</c:v>
                </c:pt>
                <c:pt idx="26">
                  <c:v>10</c:v>
                </c:pt>
                <c:pt idx="27">
                  <c:v>5</c:v>
                </c:pt>
                <c:pt idx="28">
                  <c:v>5</c:v>
                </c:pt>
                <c:pt idx="29">
                  <c:v>10</c:v>
                </c:pt>
                <c:pt idx="3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F8-41DB-B0A9-2EB2E3A0ED31}"/>
            </c:ext>
          </c:extLst>
        </c:ser>
        <c:ser>
          <c:idx val="2"/>
          <c:order val="2"/>
          <c:tx>
            <c:strRef>
              <c:f>GRAFICAS!$AO$3</c:f>
              <c:strCache>
                <c:ptCount val="1"/>
                <c:pt idx="0">
                  <c:v>KG ACIDO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GRAFICAS!$AO$4:$AO$35</c:f>
              <c:numCache>
                <c:formatCode>#,##0</c:formatCode>
                <c:ptCount val="31"/>
                <c:pt idx="0">
                  <c:v>0</c:v>
                </c:pt>
                <c:pt idx="1">
                  <c:v>208</c:v>
                </c:pt>
                <c:pt idx="2">
                  <c:v>104</c:v>
                </c:pt>
                <c:pt idx="3">
                  <c:v>0</c:v>
                </c:pt>
                <c:pt idx="4">
                  <c:v>143</c:v>
                </c:pt>
                <c:pt idx="5">
                  <c:v>546</c:v>
                </c:pt>
                <c:pt idx="6">
                  <c:v>338</c:v>
                </c:pt>
                <c:pt idx="7">
                  <c:v>429</c:v>
                </c:pt>
                <c:pt idx="8">
                  <c:v>273</c:v>
                </c:pt>
                <c:pt idx="9">
                  <c:v>52</c:v>
                </c:pt>
                <c:pt idx="10">
                  <c:v>0</c:v>
                </c:pt>
                <c:pt idx="11">
                  <c:v>0</c:v>
                </c:pt>
                <c:pt idx="12">
                  <c:v>611</c:v>
                </c:pt>
                <c:pt idx="13">
                  <c:v>364</c:v>
                </c:pt>
                <c:pt idx="14">
                  <c:v>260</c:v>
                </c:pt>
                <c:pt idx="15">
                  <c:v>273</c:v>
                </c:pt>
                <c:pt idx="16">
                  <c:v>247</c:v>
                </c:pt>
                <c:pt idx="17">
                  <c:v>0</c:v>
                </c:pt>
                <c:pt idx="18">
                  <c:v>390</c:v>
                </c:pt>
                <c:pt idx="19">
                  <c:v>390</c:v>
                </c:pt>
                <c:pt idx="20">
                  <c:v>260</c:v>
                </c:pt>
                <c:pt idx="21">
                  <c:v>208</c:v>
                </c:pt>
                <c:pt idx="22">
                  <c:v>26</c:v>
                </c:pt>
                <c:pt idx="23">
                  <c:v>39</c:v>
                </c:pt>
                <c:pt idx="24">
                  <c:v>0</c:v>
                </c:pt>
                <c:pt idx="25">
                  <c:v>182</c:v>
                </c:pt>
                <c:pt idx="26">
                  <c:v>156</c:v>
                </c:pt>
                <c:pt idx="27">
                  <c:v>169</c:v>
                </c:pt>
                <c:pt idx="28">
                  <c:v>364</c:v>
                </c:pt>
                <c:pt idx="29">
                  <c:v>377</c:v>
                </c:pt>
                <c:pt idx="30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F8-41DB-B0A9-2EB2E3A0ED31}"/>
            </c:ext>
          </c:extLst>
        </c:ser>
        <c:ser>
          <c:idx val="3"/>
          <c:order val="3"/>
          <c:tx>
            <c:strRef>
              <c:f>GRAFICAS!$AP$3</c:f>
              <c:strCache>
                <c:ptCount val="1"/>
                <c:pt idx="0">
                  <c:v>KG COAGULANTE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GRAFICAS!$AP$4:$AP$35</c:f>
              <c:numCache>
                <c:formatCode>#,##0</c:formatCode>
                <c:ptCount val="31"/>
                <c:pt idx="0">
                  <c:v>0</c:v>
                </c:pt>
                <c:pt idx="1">
                  <c:v>265</c:v>
                </c:pt>
                <c:pt idx="2">
                  <c:v>212</c:v>
                </c:pt>
                <c:pt idx="3">
                  <c:v>0</c:v>
                </c:pt>
                <c:pt idx="4">
                  <c:v>251.75</c:v>
                </c:pt>
                <c:pt idx="5">
                  <c:v>662.5</c:v>
                </c:pt>
                <c:pt idx="6">
                  <c:v>927.5</c:v>
                </c:pt>
                <c:pt idx="7">
                  <c:v>728.75</c:v>
                </c:pt>
                <c:pt idx="8">
                  <c:v>715.5</c:v>
                </c:pt>
                <c:pt idx="9">
                  <c:v>212</c:v>
                </c:pt>
                <c:pt idx="10">
                  <c:v>0</c:v>
                </c:pt>
                <c:pt idx="11">
                  <c:v>0</c:v>
                </c:pt>
                <c:pt idx="12">
                  <c:v>861.25</c:v>
                </c:pt>
                <c:pt idx="13">
                  <c:v>901</c:v>
                </c:pt>
                <c:pt idx="14">
                  <c:v>808.25</c:v>
                </c:pt>
                <c:pt idx="15">
                  <c:v>795</c:v>
                </c:pt>
                <c:pt idx="16">
                  <c:v>212</c:v>
                </c:pt>
                <c:pt idx="17">
                  <c:v>0</c:v>
                </c:pt>
                <c:pt idx="18">
                  <c:v>808.25</c:v>
                </c:pt>
                <c:pt idx="19">
                  <c:v>927.5</c:v>
                </c:pt>
                <c:pt idx="20">
                  <c:v>662.5</c:v>
                </c:pt>
                <c:pt idx="21">
                  <c:v>1060</c:v>
                </c:pt>
                <c:pt idx="22">
                  <c:v>927.5</c:v>
                </c:pt>
                <c:pt idx="23">
                  <c:v>198.75</c:v>
                </c:pt>
                <c:pt idx="24">
                  <c:v>0</c:v>
                </c:pt>
                <c:pt idx="25">
                  <c:v>516.75</c:v>
                </c:pt>
                <c:pt idx="26">
                  <c:v>477</c:v>
                </c:pt>
                <c:pt idx="27">
                  <c:v>198.75</c:v>
                </c:pt>
                <c:pt idx="28">
                  <c:v>848</c:v>
                </c:pt>
                <c:pt idx="29">
                  <c:v>675.75</c:v>
                </c:pt>
                <c:pt idx="30">
                  <c:v>556.5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F8-41DB-B0A9-2EB2E3A0ED31}"/>
            </c:ext>
          </c:extLst>
        </c:ser>
        <c:ser>
          <c:idx val="4"/>
          <c:order val="4"/>
          <c:tx>
            <c:strRef>
              <c:f>GRAFICAS!$AQ$3</c:f>
              <c:strCache>
                <c:ptCount val="1"/>
                <c:pt idx="0">
                  <c:v>KG DECOLORANTE 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GRAFICAS!$AQ$4:$AQ$35</c:f>
              <c:numCache>
                <c:formatCode>#,##0</c:formatCode>
                <c:ptCount val="31"/>
                <c:pt idx="0">
                  <c:v>0</c:v>
                </c:pt>
                <c:pt idx="1">
                  <c:v>150</c:v>
                </c:pt>
                <c:pt idx="2">
                  <c:v>62.5</c:v>
                </c:pt>
                <c:pt idx="3">
                  <c:v>0</c:v>
                </c:pt>
                <c:pt idx="4">
                  <c:v>125</c:v>
                </c:pt>
                <c:pt idx="5">
                  <c:v>250</c:v>
                </c:pt>
                <c:pt idx="6">
                  <c:v>175</c:v>
                </c:pt>
                <c:pt idx="7">
                  <c:v>200</c:v>
                </c:pt>
                <c:pt idx="8">
                  <c:v>237.5</c:v>
                </c:pt>
                <c:pt idx="9">
                  <c:v>100</c:v>
                </c:pt>
                <c:pt idx="10">
                  <c:v>0</c:v>
                </c:pt>
                <c:pt idx="11">
                  <c:v>0</c:v>
                </c:pt>
                <c:pt idx="12">
                  <c:v>300</c:v>
                </c:pt>
                <c:pt idx="13">
                  <c:v>437.5</c:v>
                </c:pt>
                <c:pt idx="14">
                  <c:v>187.5</c:v>
                </c:pt>
                <c:pt idx="15">
                  <c:v>237.5</c:v>
                </c:pt>
                <c:pt idx="16">
                  <c:v>75</c:v>
                </c:pt>
                <c:pt idx="17">
                  <c:v>0</c:v>
                </c:pt>
                <c:pt idx="18">
                  <c:v>312.5</c:v>
                </c:pt>
                <c:pt idx="19">
                  <c:v>50</c:v>
                </c:pt>
                <c:pt idx="20">
                  <c:v>262.5</c:v>
                </c:pt>
                <c:pt idx="21">
                  <c:v>300</c:v>
                </c:pt>
                <c:pt idx="22">
                  <c:v>137.5</c:v>
                </c:pt>
                <c:pt idx="23">
                  <c:v>50</c:v>
                </c:pt>
                <c:pt idx="24">
                  <c:v>0</c:v>
                </c:pt>
                <c:pt idx="25">
                  <c:v>200</c:v>
                </c:pt>
                <c:pt idx="26">
                  <c:v>150</c:v>
                </c:pt>
                <c:pt idx="27">
                  <c:v>100</c:v>
                </c:pt>
                <c:pt idx="28">
                  <c:v>150</c:v>
                </c:pt>
                <c:pt idx="29">
                  <c:v>212.5</c:v>
                </c:pt>
                <c:pt idx="3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8-41DB-B0A9-2EB2E3A0ED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1065209151"/>
        <c:axId val="1065201951"/>
      </c:barChart>
      <c:lineChart>
        <c:grouping val="standard"/>
        <c:varyColors val="0"/>
        <c:ser>
          <c:idx val="5"/>
          <c:order val="5"/>
          <c:tx>
            <c:strRef>
              <c:f>GRAFICAS!$AR$3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GRAFICAS!$AR$4:$AR$35</c:f>
              <c:numCache>
                <c:formatCode>"$"\ #,##0</c:formatCode>
                <c:ptCount val="31"/>
                <c:pt idx="0">
                  <c:v>0</c:v>
                </c:pt>
                <c:pt idx="1">
                  <c:v>2817.0889482935404</c:v>
                </c:pt>
                <c:pt idx="2">
                  <c:v>4078.2645145145138</c:v>
                </c:pt>
                <c:pt idx="3">
                  <c:v>0</c:v>
                </c:pt>
                <c:pt idx="4">
                  <c:v>2136.8669026427024</c:v>
                </c:pt>
                <c:pt idx="5">
                  <c:v>3938.7752822930879</c:v>
                </c:pt>
                <c:pt idx="6">
                  <c:v>5136.7941943511687</c:v>
                </c:pt>
                <c:pt idx="7">
                  <c:v>4336.5138579463128</c:v>
                </c:pt>
                <c:pt idx="8">
                  <c:v>4332.8641932766668</c:v>
                </c:pt>
                <c:pt idx="9">
                  <c:v>2512.3906163661022</c:v>
                </c:pt>
                <c:pt idx="10">
                  <c:v>0</c:v>
                </c:pt>
                <c:pt idx="11">
                  <c:v>0</c:v>
                </c:pt>
                <c:pt idx="12">
                  <c:v>3519.9174491432254</c:v>
                </c:pt>
                <c:pt idx="13">
                  <c:v>3445.0019191833976</c:v>
                </c:pt>
                <c:pt idx="14">
                  <c:v>2354.6862873291711</c:v>
                </c:pt>
                <c:pt idx="15">
                  <c:v>3111.040389347681</c:v>
                </c:pt>
                <c:pt idx="16">
                  <c:v>1315.1038385466265</c:v>
                </c:pt>
                <c:pt idx="17">
                  <c:v>0</c:v>
                </c:pt>
                <c:pt idx="18">
                  <c:v>2724.2115379980232</c:v>
                </c:pt>
                <c:pt idx="19">
                  <c:v>2348.2593779877393</c:v>
                </c:pt>
                <c:pt idx="20">
                  <c:v>2707.1913137618808</c:v>
                </c:pt>
                <c:pt idx="21">
                  <c:v>3492.4580544776254</c:v>
                </c:pt>
                <c:pt idx="22">
                  <c:v>4211.4751829071884</c:v>
                </c:pt>
                <c:pt idx="23">
                  <c:v>1418.0429484655906</c:v>
                </c:pt>
                <c:pt idx="24">
                  <c:v>0</c:v>
                </c:pt>
                <c:pt idx="25">
                  <c:v>3644.9096507508011</c:v>
                </c:pt>
                <c:pt idx="26">
                  <c:v>2805.5896743715198</c:v>
                </c:pt>
                <c:pt idx="27">
                  <c:v>1430.9059630263441</c:v>
                </c:pt>
                <c:pt idx="28">
                  <c:v>3113.6065463134805</c:v>
                </c:pt>
                <c:pt idx="29">
                  <c:v>3113.5707496766208</c:v>
                </c:pt>
                <c:pt idx="30">
                  <c:v>3786.3216098900252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F8-41DB-B0A9-2EB2E3A0ED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65227871"/>
        <c:axId val="1065210591"/>
      </c:lineChart>
      <c:catAx>
        <c:axId val="106520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01951"/>
        <c:crosses val="autoZero"/>
        <c:auto val="1"/>
        <c:lblAlgn val="ctr"/>
        <c:lblOffset val="100"/>
        <c:noMultiLvlLbl val="0"/>
      </c:catAx>
      <c:valAx>
        <c:axId val="1065201951"/>
        <c:scaling>
          <c:orientation val="minMax"/>
          <c:max val="3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 CONSUMO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09151"/>
        <c:crosses val="autoZero"/>
        <c:crossBetween val="between"/>
      </c:valAx>
      <c:valAx>
        <c:axId val="1065210591"/>
        <c:scaling>
          <c:orientation val="minMax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27871"/>
        <c:crosses val="max"/>
        <c:crossBetween val="between"/>
      </c:valAx>
      <c:catAx>
        <c:axId val="1065227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5210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ENERO.xlsx]GRAFICAS!TablaDinámica10</c:name>
    <c:fmtId val="1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$ QUIMICO</a:t>
            </a:r>
            <a:r>
              <a:rPr lang="es-CO" baseline="0"/>
              <a:t> / 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6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GRAFICAS!$AV$3</c:f>
              <c:strCache>
                <c:ptCount val="1"/>
                <c:pt idx="0">
                  <c:v>INDICADOR $ACIDO/M3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GRAFICAS!$AV$4:$AV$35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211.78555734583273</c:v>
                </c:pt>
                <c:pt idx="2">
                  <c:v>321.62384606829045</c:v>
                </c:pt>
                <c:pt idx="3">
                  <c:v>0</c:v>
                </c:pt>
                <c:pt idx="4">
                  <c:v>136.64094986081997</c:v>
                </c:pt>
                <c:pt idx="5">
                  <c:v>418.62183066550847</c:v>
                </c:pt>
                <c:pt idx="6">
                  <c:v>320.38761143402593</c:v>
                </c:pt>
                <c:pt idx="7">
                  <c:v>371.67479396139402</c:v>
                </c:pt>
                <c:pt idx="8">
                  <c:v>232.50677693544679</c:v>
                </c:pt>
                <c:pt idx="9">
                  <c:v>72.630732908022296</c:v>
                </c:pt>
                <c:pt idx="10">
                  <c:v>0</c:v>
                </c:pt>
                <c:pt idx="11">
                  <c:v>0</c:v>
                </c:pt>
                <c:pt idx="12">
                  <c:v>342.68650845679815</c:v>
                </c:pt>
                <c:pt idx="13">
                  <c:v>170.76126202125863</c:v>
                </c:pt>
                <c:pt idx="14">
                  <c:v>121.97233001518474</c:v>
                </c:pt>
                <c:pt idx="15">
                  <c:v>158.29923673673673</c:v>
                </c:pt>
                <c:pt idx="16">
                  <c:v>167.70041266818058</c:v>
                </c:pt>
                <c:pt idx="17">
                  <c:v>0</c:v>
                </c:pt>
                <c:pt idx="18">
                  <c:v>174.2461857359782</c:v>
                </c:pt>
                <c:pt idx="19">
                  <c:v>203.28721669197455</c:v>
                </c:pt>
                <c:pt idx="20">
                  <c:v>135.52481112798304</c:v>
                </c:pt>
                <c:pt idx="21">
                  <c:v>108.41984890238642</c:v>
                </c:pt>
                <c:pt idx="22">
                  <c:v>22.176787275488131</c:v>
                </c:pt>
                <c:pt idx="23">
                  <c:v>40.657443338394913</c:v>
                </c:pt>
                <c:pt idx="24">
                  <c:v>0</c:v>
                </c:pt>
                <c:pt idx="25">
                  <c:v>170.76126202125863</c:v>
                </c:pt>
                <c:pt idx="26">
                  <c:v>121.97233001518472</c:v>
                </c:pt>
                <c:pt idx="27">
                  <c:v>113.26002072838583</c:v>
                </c:pt>
                <c:pt idx="28">
                  <c:v>227.68168269501152</c:v>
                </c:pt>
                <c:pt idx="29">
                  <c:v>235.8131713626905</c:v>
                </c:pt>
                <c:pt idx="30">
                  <c:v>299.3866282190898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ED-4D75-86BD-3E1E0854316B}"/>
            </c:ext>
          </c:extLst>
        </c:ser>
        <c:ser>
          <c:idx val="2"/>
          <c:order val="2"/>
          <c:tx>
            <c:strRef>
              <c:f>GRAFICAS!$AW$3</c:f>
              <c:strCache>
                <c:ptCount val="1"/>
                <c:pt idx="0">
                  <c:v> INDICADOR $COAGULANTE/M3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GRAFICAS!$AW$4:$AW$35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942.75487036765776</c:v>
                </c:pt>
                <c:pt idx="2">
                  <c:v>2290.7129351573794</c:v>
                </c:pt>
                <c:pt idx="3">
                  <c:v>0</c:v>
                </c:pt>
                <c:pt idx="4">
                  <c:v>840.49323000790412</c:v>
                </c:pt>
                <c:pt idx="5">
                  <c:v>1774.7411451655153</c:v>
                </c:pt>
                <c:pt idx="6">
                  <c:v>3071.7993079584776</c:v>
                </c:pt>
                <c:pt idx="7">
                  <c:v>2205.9938149469517</c:v>
                </c:pt>
                <c:pt idx="8">
                  <c:v>2129.1316333563059</c:v>
                </c:pt>
                <c:pt idx="9">
                  <c:v>1034.6008941578339</c:v>
                </c:pt>
                <c:pt idx="10">
                  <c:v>0</c:v>
                </c:pt>
                <c:pt idx="11">
                  <c:v>0</c:v>
                </c:pt>
                <c:pt idx="12">
                  <c:v>1687.7376425855509</c:v>
                </c:pt>
                <c:pt idx="13">
                  <c:v>1476.8373544795004</c:v>
                </c:pt>
                <c:pt idx="14">
                  <c:v>1324.8099797536695</c:v>
                </c:pt>
                <c:pt idx="15">
                  <c:v>1610.6575325325325</c:v>
                </c:pt>
                <c:pt idx="16">
                  <c:v>502.91309549971913</c:v>
                </c:pt>
                <c:pt idx="17">
                  <c:v>0</c:v>
                </c:pt>
                <c:pt idx="18">
                  <c:v>1261.72379024159</c:v>
                </c:pt>
                <c:pt idx="19">
                  <c:v>1689.1930525092325</c:v>
                </c:pt>
                <c:pt idx="20">
                  <c:v>1206.5664660780233</c:v>
                </c:pt>
                <c:pt idx="21">
                  <c:v>1930.506345724837</c:v>
                </c:pt>
                <c:pt idx="22">
                  <c:v>2764.1340859241986</c:v>
                </c:pt>
                <c:pt idx="23">
                  <c:v>723.93987964681401</c:v>
                </c:pt>
                <c:pt idx="24">
                  <c:v>0</c:v>
                </c:pt>
                <c:pt idx="25">
                  <c:v>1694.0193183735446</c:v>
                </c:pt>
                <c:pt idx="26">
                  <c:v>1303.091783364265</c:v>
                </c:pt>
                <c:pt idx="27">
                  <c:v>465.3899226300947</c:v>
                </c:pt>
                <c:pt idx="28">
                  <c:v>1853.2860918958438</c:v>
                </c:pt>
                <c:pt idx="29">
                  <c:v>1476.8373544795004</c:v>
                </c:pt>
                <c:pt idx="30">
                  <c:v>1658.4804515545193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D-4D75-86BD-3E1E0854316B}"/>
            </c:ext>
          </c:extLst>
        </c:ser>
        <c:ser>
          <c:idx val="3"/>
          <c:order val="3"/>
          <c:tx>
            <c:strRef>
              <c:f>GRAFICAS!$AX$3</c:f>
              <c:strCache>
                <c:ptCount val="1"/>
                <c:pt idx="0">
                  <c:v>INDICADOR $DECOLORANTE/M3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GRAFICAS!$AX$4:$AX$35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1158.3556100776329</c:v>
                </c:pt>
                <c:pt idx="2">
                  <c:v>1465.9277332888441</c:v>
                </c:pt>
                <c:pt idx="3">
                  <c:v>0</c:v>
                </c:pt>
                <c:pt idx="4">
                  <c:v>905.88379325750032</c:v>
                </c:pt>
                <c:pt idx="5">
                  <c:v>1453.7404695923121</c:v>
                </c:pt>
                <c:pt idx="6">
                  <c:v>1258.0986755757069</c:v>
                </c:pt>
                <c:pt idx="7">
                  <c:v>1314.1757676788134</c:v>
                </c:pt>
                <c:pt idx="8">
                  <c:v>1534.1019603338693</c:v>
                </c:pt>
                <c:pt idx="9">
                  <c:v>1059.3384236700656</c:v>
                </c:pt>
                <c:pt idx="10">
                  <c:v>0</c:v>
                </c:pt>
                <c:pt idx="11">
                  <c:v>0</c:v>
                </c:pt>
                <c:pt idx="12">
                  <c:v>1276.1293380803015</c:v>
                </c:pt>
                <c:pt idx="13">
                  <c:v>1556.6238189640626</c:v>
                </c:pt>
                <c:pt idx="14">
                  <c:v>667.12449384174113</c:v>
                </c:pt>
                <c:pt idx="15">
                  <c:v>1044.4735099683016</c:v>
                </c:pt>
                <c:pt idx="16">
                  <c:v>386.20339169291623</c:v>
                </c:pt>
                <c:pt idx="17">
                  <c:v>0</c:v>
                </c:pt>
                <c:pt idx="18">
                  <c:v>1058.9277680027637</c:v>
                </c:pt>
                <c:pt idx="19">
                  <c:v>197.66651669384922</c:v>
                </c:pt>
                <c:pt idx="20">
                  <c:v>1037.7492126427085</c:v>
                </c:pt>
                <c:pt idx="21">
                  <c:v>1185.9991001630951</c:v>
                </c:pt>
                <c:pt idx="22">
                  <c:v>889.49932512232135</c:v>
                </c:pt>
                <c:pt idx="23">
                  <c:v>395.33303338769849</c:v>
                </c:pt>
                <c:pt idx="24">
                  <c:v>0</c:v>
                </c:pt>
                <c:pt idx="25">
                  <c:v>1423.1989201957144</c:v>
                </c:pt>
                <c:pt idx="26">
                  <c:v>889.49932512232147</c:v>
                </c:pt>
                <c:pt idx="27">
                  <c:v>508.28532864132654</c:v>
                </c:pt>
                <c:pt idx="28">
                  <c:v>711.59946009785722</c:v>
                </c:pt>
                <c:pt idx="29">
                  <c:v>1008.099235138631</c:v>
                </c:pt>
                <c:pt idx="30">
                  <c:v>1617.2715002224027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D-4D75-86BD-3E1E0854316B}"/>
            </c:ext>
          </c:extLst>
        </c:ser>
        <c:ser>
          <c:idx val="4"/>
          <c:order val="4"/>
          <c:tx>
            <c:strRef>
              <c:f>GRAFICAS!$AY$3</c:f>
              <c:strCache>
                <c:ptCount val="1"/>
                <c:pt idx="0">
                  <c:v>INDICADOR $POL ANIONICO/ M3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GRAFICAS!$AY$4:$AY$35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233.69525413798155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87.986516110352795</c:v>
                </c:pt>
                <c:pt idx="6">
                  <c:v>108.77921148175295</c:v>
                </c:pt>
                <c:pt idx="7">
                  <c:v>99.424338261641751</c:v>
                </c:pt>
                <c:pt idx="8">
                  <c:v>97.737192740638633</c:v>
                </c:pt>
                <c:pt idx="9">
                  <c:v>160.28909428844125</c:v>
                </c:pt>
                <c:pt idx="10">
                  <c:v>0</c:v>
                </c:pt>
                <c:pt idx="11">
                  <c:v>0</c:v>
                </c:pt>
                <c:pt idx="12">
                  <c:v>64.363949934947698</c:v>
                </c:pt>
                <c:pt idx="13">
                  <c:v>53.836257803273149</c:v>
                </c:pt>
                <c:pt idx="14">
                  <c:v>53.836257803273149</c:v>
                </c:pt>
                <c:pt idx="15">
                  <c:v>66.543105605605604</c:v>
                </c:pt>
                <c:pt idx="16">
                  <c:v>77.915537323273014</c:v>
                </c:pt>
                <c:pt idx="17">
                  <c:v>0</c:v>
                </c:pt>
                <c:pt idx="18">
                  <c:v>51.27262647930776</c:v>
                </c:pt>
                <c:pt idx="19">
                  <c:v>119.63612845171811</c:v>
                </c:pt>
                <c:pt idx="20">
                  <c:v>119.63612845171812</c:v>
                </c:pt>
                <c:pt idx="21">
                  <c:v>59.818064225859054</c:v>
                </c:pt>
                <c:pt idx="22">
                  <c:v>195.76821019372053</c:v>
                </c:pt>
                <c:pt idx="23">
                  <c:v>119.63612845171812</c:v>
                </c:pt>
                <c:pt idx="24">
                  <c:v>0</c:v>
                </c:pt>
                <c:pt idx="25">
                  <c:v>107.6725156065463</c:v>
                </c:pt>
                <c:pt idx="26">
                  <c:v>179.45419267757717</c:v>
                </c:pt>
                <c:pt idx="27">
                  <c:v>76.908939718961648</c:v>
                </c:pt>
                <c:pt idx="28">
                  <c:v>71.78167707103087</c:v>
                </c:pt>
                <c:pt idx="29">
                  <c:v>143.56335414206174</c:v>
                </c:pt>
                <c:pt idx="30">
                  <c:v>97.884105096860281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ED-4D75-86BD-3E1E0854316B}"/>
            </c:ext>
          </c:extLst>
        </c:ser>
        <c:ser>
          <c:idx val="5"/>
          <c:order val="5"/>
          <c:tx>
            <c:strRef>
              <c:f>GRAFICAS!$AZ$3</c:f>
              <c:strCache>
                <c:ptCount val="1"/>
                <c:pt idx="0">
                  <c:v> INDICADOR $POL CATIONICO / M3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GRAFICAS!$AZ$4:$AZ$35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270.49765636443533</c:v>
                </c:pt>
                <c:pt idx="2">
                  <c:v>0</c:v>
                </c:pt>
                <c:pt idx="3">
                  <c:v>0</c:v>
                </c:pt>
                <c:pt idx="4">
                  <c:v>253.84892951647822</c:v>
                </c:pt>
                <c:pt idx="5">
                  <c:v>203.68532075939939</c:v>
                </c:pt>
                <c:pt idx="6">
                  <c:v>377.72938790120509</c:v>
                </c:pt>
                <c:pt idx="7">
                  <c:v>345.24514309751191</c:v>
                </c:pt>
                <c:pt idx="8">
                  <c:v>339.38662991040661</c:v>
                </c:pt>
                <c:pt idx="9">
                  <c:v>185.53147134173906</c:v>
                </c:pt>
                <c:pt idx="10">
                  <c:v>0</c:v>
                </c:pt>
                <c:pt idx="11">
                  <c:v>0</c:v>
                </c:pt>
                <c:pt idx="12">
                  <c:v>149.00001008562694</c:v>
                </c:pt>
                <c:pt idx="13">
                  <c:v>186.94322591530283</c:v>
                </c:pt>
                <c:pt idx="14">
                  <c:v>186.94322591530283</c:v>
                </c:pt>
                <c:pt idx="15">
                  <c:v>231.0670045045045</c:v>
                </c:pt>
                <c:pt idx="16">
                  <c:v>180.37140136253751</c:v>
                </c:pt>
                <c:pt idx="17">
                  <c:v>0</c:v>
                </c:pt>
                <c:pt idx="18">
                  <c:v>178.04116753838366</c:v>
                </c:pt>
                <c:pt idx="19">
                  <c:v>138.47646364096505</c:v>
                </c:pt>
                <c:pt idx="20">
                  <c:v>207.7146954614476</c:v>
                </c:pt>
                <c:pt idx="21">
                  <c:v>207.71469546144758</c:v>
                </c:pt>
                <c:pt idx="22">
                  <c:v>339.89677439145964</c:v>
                </c:pt>
                <c:pt idx="23">
                  <c:v>138.47646364096508</c:v>
                </c:pt>
                <c:pt idx="24">
                  <c:v>0</c:v>
                </c:pt>
                <c:pt idx="25">
                  <c:v>249.25763455373712</c:v>
                </c:pt>
                <c:pt idx="26">
                  <c:v>311.57204319217135</c:v>
                </c:pt>
                <c:pt idx="27">
                  <c:v>267.06175130757549</c:v>
                </c:pt>
                <c:pt idx="28">
                  <c:v>249.25763455373712</c:v>
                </c:pt>
                <c:pt idx="29">
                  <c:v>249.25763455373712</c:v>
                </c:pt>
                <c:pt idx="30">
                  <c:v>113.29892479715323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ED-4D75-86BD-3E1E085431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281302111"/>
        <c:axId val="1281302591"/>
      </c:barChart>
      <c:lineChart>
        <c:grouping val="standard"/>
        <c:varyColors val="0"/>
        <c:ser>
          <c:idx val="0"/>
          <c:order val="0"/>
          <c:tx>
            <c:strRef>
              <c:f>GRAFICAS!$AU$3</c:f>
              <c:strCache>
                <c:ptCount val="1"/>
                <c:pt idx="0">
                  <c:v>INDICADOR $m3 </c:v>
                </c:pt>
              </c:strCache>
            </c:strRef>
          </c:tx>
          <c:spPr>
            <a:ln w="28575" cap="rnd">
              <a:solidFill>
                <a:schemeClr val="accent6">
                  <a:alpha val="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GRAFICAS!$AU$4:$AU$35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2817.0889482935404</c:v>
                </c:pt>
                <c:pt idx="2">
                  <c:v>4078.2645145145138</c:v>
                </c:pt>
                <c:pt idx="3">
                  <c:v>0</c:v>
                </c:pt>
                <c:pt idx="4">
                  <c:v>2136.8669026427024</c:v>
                </c:pt>
                <c:pt idx="5">
                  <c:v>3938.7752822930879</c:v>
                </c:pt>
                <c:pt idx="6">
                  <c:v>5136.7941943511687</c:v>
                </c:pt>
                <c:pt idx="7">
                  <c:v>4336.5138579463128</c:v>
                </c:pt>
                <c:pt idx="8">
                  <c:v>4332.8641932766668</c:v>
                </c:pt>
                <c:pt idx="9">
                  <c:v>2512.3906163661022</c:v>
                </c:pt>
                <c:pt idx="10">
                  <c:v>0</c:v>
                </c:pt>
                <c:pt idx="11">
                  <c:v>0</c:v>
                </c:pt>
                <c:pt idx="12">
                  <c:v>3519.9174491432254</c:v>
                </c:pt>
                <c:pt idx="13">
                  <c:v>3445.0019191833976</c:v>
                </c:pt>
                <c:pt idx="14">
                  <c:v>2354.6862873291711</c:v>
                </c:pt>
                <c:pt idx="15">
                  <c:v>3111.040389347681</c:v>
                </c:pt>
                <c:pt idx="16">
                  <c:v>1315.1038385466265</c:v>
                </c:pt>
                <c:pt idx="17">
                  <c:v>0</c:v>
                </c:pt>
                <c:pt idx="18">
                  <c:v>2724.2115379980232</c:v>
                </c:pt>
                <c:pt idx="19">
                  <c:v>2348.2593779877393</c:v>
                </c:pt>
                <c:pt idx="20">
                  <c:v>2707.1913137618808</c:v>
                </c:pt>
                <c:pt idx="21">
                  <c:v>3492.4580544776254</c:v>
                </c:pt>
                <c:pt idx="22">
                  <c:v>4211.4751829071884</c:v>
                </c:pt>
                <c:pt idx="23">
                  <c:v>1418.0429484655906</c:v>
                </c:pt>
                <c:pt idx="24">
                  <c:v>0</c:v>
                </c:pt>
                <c:pt idx="25">
                  <c:v>3644.9096507508011</c:v>
                </c:pt>
                <c:pt idx="26">
                  <c:v>2805.5896743715198</c:v>
                </c:pt>
                <c:pt idx="27">
                  <c:v>1430.9059630263441</c:v>
                </c:pt>
                <c:pt idx="28">
                  <c:v>3113.6065463134805</c:v>
                </c:pt>
                <c:pt idx="29">
                  <c:v>3113.5707496766208</c:v>
                </c:pt>
                <c:pt idx="30">
                  <c:v>3786.3216098900252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ED-4D75-86BD-3E1E085431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1302111"/>
        <c:axId val="1281302591"/>
      </c:lineChart>
      <c:catAx>
        <c:axId val="128130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1302591"/>
        <c:crosses val="autoZero"/>
        <c:auto val="1"/>
        <c:lblAlgn val="ctr"/>
        <c:lblOffset val="100"/>
        <c:noMultiLvlLbl val="0"/>
      </c:catAx>
      <c:valAx>
        <c:axId val="128130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130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718917</xdr:colOff>
      <xdr:row>2</xdr:row>
      <xdr:rowOff>197239</xdr:rowOff>
    </xdr:from>
    <xdr:to>
      <xdr:col>15</xdr:col>
      <xdr:colOff>346699</xdr:colOff>
      <xdr:row>16</xdr:row>
      <xdr:rowOff>139202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D93F93-66A6-D102-8DBB-F02002F49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172011</xdr:colOff>
      <xdr:row>3</xdr:row>
      <xdr:rowOff>233788</xdr:rowOff>
    </xdr:from>
    <xdr:to>
      <xdr:col>1</xdr:col>
      <xdr:colOff>556128</xdr:colOff>
      <xdr:row>11</xdr:row>
      <xdr:rowOff>210122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FECHA 1">
              <a:extLst>
                <a:ext uri="{FF2B5EF4-FFF2-40B4-BE49-F238E27FC236}">
                  <a16:creationId xmlns:a16="http://schemas.microsoft.com/office/drawing/2014/main" id="{F2C66CB9-D032-4EC1-66AA-7DA2F76738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011" y="1191731"/>
              <a:ext cx="1821031" cy="27296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785751</xdr:colOff>
      <xdr:row>19</xdr:row>
      <xdr:rowOff>161262</xdr:rowOff>
    </xdr:from>
    <xdr:to>
      <xdr:col>15</xdr:col>
      <xdr:colOff>443347</xdr:colOff>
      <xdr:row>40</xdr:row>
      <xdr:rowOff>10886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DD9BAC3-17B4-4D71-86B6-84C440A4C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45522</xdr:colOff>
      <xdr:row>25</xdr:row>
      <xdr:rowOff>160070</xdr:rowOff>
    </xdr:from>
    <xdr:to>
      <xdr:col>1</xdr:col>
      <xdr:colOff>439164</xdr:colOff>
      <xdr:row>34</xdr:row>
      <xdr:rowOff>19818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FECHA 2">
              <a:extLst>
                <a:ext uri="{FF2B5EF4-FFF2-40B4-BE49-F238E27FC236}">
                  <a16:creationId xmlns:a16="http://schemas.microsoft.com/office/drawing/2014/main" id="{2B6D1C31-1DB1-3A04-FF7B-AF3CFEBE6A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522" y="7486156"/>
              <a:ext cx="1830556" cy="2449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816678</xdr:colOff>
      <xdr:row>30</xdr:row>
      <xdr:rowOff>179367</xdr:rowOff>
    </xdr:from>
    <xdr:to>
      <xdr:col>3</xdr:col>
      <xdr:colOff>56162</xdr:colOff>
      <xdr:row>31</xdr:row>
      <xdr:rowOff>179367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7AD8647-D7F9-A3FA-8390-E7EF8768A1DA}"/>
            </a:ext>
          </a:extLst>
        </xdr:cNvPr>
        <xdr:cNvSpPr txBox="1"/>
      </xdr:nvSpPr>
      <xdr:spPr>
        <a:xfrm>
          <a:off x="3698423" y="8118022"/>
          <a:ext cx="680357" cy="1801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accent6"/>
              </a:solidFill>
            </a:rPr>
            <a:t>$1.000</a:t>
          </a:r>
        </a:p>
      </xdr:txBody>
    </xdr:sp>
    <xdr:clientData/>
  </xdr:twoCellAnchor>
  <xdr:twoCellAnchor>
    <xdr:from>
      <xdr:col>15</xdr:col>
      <xdr:colOff>595745</xdr:colOff>
      <xdr:row>2</xdr:row>
      <xdr:rowOff>219941</xdr:rowOff>
    </xdr:from>
    <xdr:to>
      <xdr:col>23</xdr:col>
      <xdr:colOff>948763</xdr:colOff>
      <xdr:row>16</xdr:row>
      <xdr:rowOff>161904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D415EE2-C4D1-4267-8BDC-C9E3FAE4C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616528</xdr:colOff>
      <xdr:row>19</xdr:row>
      <xdr:rowOff>166255</xdr:rowOff>
    </xdr:from>
    <xdr:to>
      <xdr:col>23</xdr:col>
      <xdr:colOff>914400</xdr:colOff>
      <xdr:row>40</xdr:row>
      <xdr:rowOff>55418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45D8E2-0636-E962-1087-6151E269D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478675</xdr:colOff>
      <xdr:row>3</xdr:row>
      <xdr:rowOff>35329</xdr:rowOff>
    </xdr:from>
    <xdr:to>
      <xdr:col>34</xdr:col>
      <xdr:colOff>187729</xdr:colOff>
      <xdr:row>10</xdr:row>
      <xdr:rowOff>230159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 1">
              <a:extLst>
                <a:ext uri="{FF2B5EF4-FFF2-40B4-BE49-F238E27FC236}">
                  <a16:creationId xmlns:a16="http://schemas.microsoft.com/office/drawing/2014/main" id="{AE67D4CD-66D2-6084-32BC-216E36EAF0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623220" y="991293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0.12177</cdr:x>
      <cdr:y>0.58317</cdr:y>
    </cdr:from>
    <cdr:to>
      <cdr:x>0.18526</cdr:x>
      <cdr:y>0.6411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91602CB-D3AA-7BCB-6F10-9A4887F26E98}"/>
            </a:ext>
          </a:extLst>
        </cdr:cNvPr>
        <cdr:cNvSpPr txBox="1"/>
      </cdr:nvSpPr>
      <cdr:spPr>
        <a:xfrm xmlns:a="http://schemas.openxmlformats.org/drawingml/2006/main">
          <a:off x="2411046" y="2462735"/>
          <a:ext cx="1257102" cy="2446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CO" sz="1100">
              <a:solidFill>
                <a:schemeClr val="accent6"/>
              </a:solidFill>
            </a:rPr>
            <a:t>$4.975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160020</xdr:rowOff>
    </xdr:from>
    <xdr:to>
      <xdr:col>14</xdr:col>
      <xdr:colOff>365760</xdr:colOff>
      <xdr:row>20</xdr:row>
      <xdr:rowOff>58877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79384C-F28C-A940-E456-4C905C64A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102221</xdr:colOff>
      <xdr:row>20</xdr:row>
      <xdr:rowOff>156065</xdr:rowOff>
    </xdr:from>
    <xdr:to>
      <xdr:col>14</xdr:col>
      <xdr:colOff>357714</xdr:colOff>
      <xdr:row>37</xdr:row>
      <xdr:rowOff>65808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D3D6F98-0F18-E56A-A055-3BB5ADDA1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120731</xdr:colOff>
      <xdr:row>38</xdr:row>
      <xdr:rowOff>14843</xdr:rowOff>
    </xdr:from>
    <xdr:to>
      <xdr:col>14</xdr:col>
      <xdr:colOff>363187</xdr:colOff>
      <xdr:row>57</xdr:row>
      <xdr:rowOff>98757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B3F56E2-85DA-6F19-7DDB-227336D97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21</xdr:col>
      <xdr:colOff>74839</xdr:colOff>
      <xdr:row>36</xdr:row>
      <xdr:rowOff>183697</xdr:rowOff>
    </xdr:from>
    <xdr:to>
      <xdr:col>22</xdr:col>
      <xdr:colOff>1031018</xdr:colOff>
      <xdr:row>50</xdr:row>
      <xdr:rowOff>56063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IA">
              <a:extLst>
                <a:ext uri="{FF2B5EF4-FFF2-40B4-BE49-F238E27FC236}">
                  <a16:creationId xmlns:a16="http://schemas.microsoft.com/office/drawing/2014/main" id="{9CD43253-6C5E-5C96-F74F-5108852ADA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35925" y="7390040"/>
              <a:ext cx="1836864" cy="2476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110835</xdr:colOff>
      <xdr:row>58</xdr:row>
      <xdr:rowOff>27709</xdr:rowOff>
    </xdr:from>
    <xdr:to>
      <xdr:col>14</xdr:col>
      <xdr:colOff>354544</xdr:colOff>
      <xdr:row>78</xdr:row>
      <xdr:rowOff>25526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505EE5-A324-40FF-AC05-C3A0CAA00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ALANCE%20ECON&#211;MICO/Qu&#237;mica%20GEM%20RO/FORMATO%20BIT&#193;CORA%20OPERACI&#211;N%20PTAR%20-%20ENERO%202026.xlsx" TargetMode="External"/><Relationship Id="rId2" Type="http://schemas.openxmlformats.org/officeDocument/2006/relationships/externalLinkPath" Target="file:///T:\2026\BALANCES%202026\BALANCE%20ECON&#211;MICO\Qu&#237;mica%20GEM%20RO\FORMATO%20BIT&#193;CORA%20OPERACI&#211;N%20PTAR%20-%20ENERO%202026.xlsx" TargetMode="External"/><Relationship Id="rId1" Type="http://schemas.openxmlformats.org/officeDocument/2006/relationships/externalLinkPath" Target="/2026/BALANCES%202026/BALANCE%20ECON&#211;MICO/Qu&#237;mica%20GEM%20RO/FORMATO%20BIT&#193;CORA%20OPERACI&#211;N%20PTAR%20-%20ENER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ENTARIO Y CONSUMO GEM  "/>
      <sheetName val="DB QUIMICA"/>
      <sheetName val="CONSUMO QUÍMICA-CAUDALES GEM  "/>
      <sheetName val="INVENTARIO INSUMOS QUÍMICOS GEM"/>
      <sheetName val="REGISTRO RO"/>
      <sheetName val="CONSUMO QUÍMICA - CAUDALES RO"/>
      <sheetName val="INVENTARIO INSUMOS QUÍMICOS RO"/>
      <sheetName val="Consumos"/>
      <sheetName val="FORMATO BITÁCORA OPERACIÓN PT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dward Fernando Montaño Gomez" id="{EE5C7DE3-FA37-4B1A-A8D2-FF232E6C14FC}" userId="S::fernandomg@permoda.com.co::63e6bda6-0f55-41d8-a960-01e830b5153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27.398484953701" createdVersion="8" refreshedVersion="8" minRefreshableVersion="3" recordCount="93" xr:uid="{C3C8AE66-DB41-4ED1-9375-F4773019D99D}">
  <cacheSource type="worksheet">
    <worksheetSource name="Tabla1"/>
  </cacheSource>
  <cacheFields count="63">
    <cacheField name="FECHA" numFmtId="14">
      <sharedItems containsSemiMixedTypes="0" containsNonDate="0" containsDate="1" containsString="0" minDate="2024-09-01T00:00:00" maxDate="2026-02-01T00:00:00" count="457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9-01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  <fieldGroup par="57"/>
    </cacheField>
    <cacheField name="DIA" numFmtId="1">
      <sharedItems containsSemiMixedTypes="0" containsString="0" containsNumb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.6857142857142899" u="1"/>
      </sharedItems>
    </cacheField>
    <cacheField name="ANALISIS TURNO" numFmtId="3">
      <sharedItems/>
    </cacheField>
    <cacheField name="# TURNO" numFmtId="3">
      <sharedItems containsSemiMixedTypes="0" containsString="0" containsNumber="1" containsInteger="1" minValue="1" maxValue="93"/>
    </cacheField>
    <cacheField name="DILIGENCIAR BITACORA" numFmtId="3">
      <sharedItems/>
    </cacheField>
    <cacheField name="FINAL ACIDO (L)" numFmtId="3">
      <sharedItems containsSemiMixedTypes="0" containsString="0" containsNumber="1" containsInteger="1" minValue="1450" maxValue="4630"/>
    </cacheField>
    <cacheField name="FINAL COAGULANTE (L)" numFmtId="3">
      <sharedItems containsSemiMixedTypes="0" containsString="0" containsNumber="1" containsInteger="1" minValue="800" maxValue="6900"/>
    </cacheField>
    <cacheField name="FINAL DECOLORANTE (L)" numFmtId="3">
      <sharedItems containsSemiMixedTypes="0" containsString="0" containsNumber="1" containsInteger="1" minValue="270" maxValue="2200"/>
    </cacheField>
    <cacheField name="FINAL POL ANIONICO (KG)" numFmtId="3">
      <sharedItems containsSemiMixedTypes="0" containsString="0" containsNumber="1" containsInteger="1" minValue="165" maxValue="250"/>
    </cacheField>
    <cacheField name="FINAL POL CATIONICO (KG)" numFmtId="3">
      <sharedItems containsSemiMixedTypes="0" containsString="0" containsNumber="1" containsInteger="1" minValue="25" maxValue="185"/>
    </cacheField>
    <cacheField name="Lectura Horometro INICIAL (06:00)" numFmtId="3">
      <sharedItems containsSemiMixedTypes="0" containsString="0" containsNumber="1" containsInteger="1" minValue="16502" maxValue="16837"/>
    </cacheField>
    <cacheField name="CAUDAL TOTAL TRATADO GEM " numFmtId="3">
      <sharedItems containsSemiMixedTypes="0" containsString="0" containsNumber="1" minValue="0" maxValue="707.70149253731347"/>
    </cacheField>
    <cacheField name="CAUDAL DE TRATAMIENTO" numFmtId="3">
      <sharedItems containsSemiMixedTypes="0" containsString="0" containsNumber="1" containsInteger="1" minValue="0" maxValue="85"/>
    </cacheField>
    <cacheField name="CAUDAL 2" numFmtId="3">
      <sharedItems containsSemiMixedTypes="0" containsString="0" containsNumber="1" containsInteger="1" minValue="0" maxValue="85"/>
    </cacheField>
    <cacheField name="CONSUMO LITROS ACIDO (L)" numFmtId="3">
      <sharedItems containsSemiMixedTypes="0" containsString="0" containsNumber="1" containsInteger="1" minValue="0" maxValue="230"/>
    </cacheField>
    <cacheField name="CONSUMO LITROS COAGULANTE (L)" numFmtId="3">
      <sharedItems containsSemiMixedTypes="0" containsString="0" containsNumber="1" containsInteger="1" minValue="0" maxValue="420"/>
    </cacheField>
    <cacheField name="CONSUMO LITROS DECOLORANTE (L)" numFmtId="3">
      <sharedItems containsSemiMixedTypes="0" containsString="0" containsNumber="1" containsInteger="1" minValue="0" maxValue="160"/>
    </cacheField>
    <cacheField name="CONSUMO POL ANIONICO (KG)" numFmtId="3">
      <sharedItems containsSemiMixedTypes="0" containsString="0" containsNumber="1" containsInteger="1" minValue="0" maxValue="5"/>
    </cacheField>
    <cacheField name="CONSUMO POL CATIONICO (KG)" numFmtId="3">
      <sharedItems containsSemiMixedTypes="0" containsString="0" containsNumber="1" containsInteger="1" minValue="0" maxValue="5"/>
    </cacheField>
    <cacheField name="KG ACIDO" numFmtId="3">
      <sharedItems containsSemiMixedTypes="0" containsString="0" containsNumber="1" minValue="0" maxValue="299"/>
    </cacheField>
    <cacheField name="KG COAGULANTE" numFmtId="3">
      <sharedItems containsSemiMixedTypes="0" containsString="0" containsNumber="1" minValue="0" maxValue="556.5"/>
    </cacheField>
    <cacheField name="KG DECOLORANTE " numFmtId="3">
      <sharedItems containsSemiMixedTypes="0" containsString="0" containsNumber="1" minValue="0" maxValue="200"/>
    </cacheField>
    <cacheField name="KG POL ANIONICO " numFmtId="3">
      <sharedItems containsSemiMixedTypes="0" containsString="0" containsNumber="1" containsInteger="1" minValue="0" maxValue="5"/>
    </cacheField>
    <cacheField name="KG POL CATIONICO " numFmtId="3">
      <sharedItems containsSemiMixedTypes="0" containsString="0" containsNumber="1" containsInteger="1" minValue="0" maxValue="5"/>
    </cacheField>
    <cacheField name="PPM ACIDO " numFmtId="3">
      <sharedItems containsMixedTypes="1" containsNumber="1" minValue="0" maxValue="969.39343350027821"/>
    </cacheField>
    <cacheField name="PPM COAGULANTE " numFmtId="3">
      <sharedItems containsMixedTypes="1" containsNumber="1" minValue="0" maxValue="1767.4203640500566"/>
    </cacheField>
    <cacheField name="PPM DECOLORANTE " numFmtId="3">
      <sharedItems containsMixedTypes="1" containsNumber="1" minValue="0" maxValue="414.27069807704197"/>
    </cacheField>
    <cacheField name="PPM POL ANIONICO " numFmtId="3">
      <sharedItems containsMixedTypes="1" containsNumber="1" minValue="0" maxValue="28.583617747440272"/>
    </cacheField>
    <cacheField name="PPM POL CATIONICO" numFmtId="3">
      <sharedItems containsMixedTypes="1" containsNumber="1" minValue="0" maxValue="28.583617747440272"/>
    </cacheField>
    <cacheField name="DENSIDAD ACIDO" numFmtId="169">
      <sharedItems containsSemiMixedTypes="0" containsString="0" containsNumber="1" minValue="1.3" maxValue="1.3"/>
    </cacheField>
    <cacheField name="DENSIDAD COAGULANTE" numFmtId="169">
      <sharedItems containsSemiMixedTypes="0" containsString="0" containsNumber="1" minValue="1.325" maxValue="1.325"/>
    </cacheField>
    <cacheField name="DENSIDAD DECOLORANTE" numFmtId="169">
      <sharedItems containsSemiMixedTypes="0" containsString="0" containsNumber="1" minValue="1.25" maxValue="1.25"/>
    </cacheField>
    <cacheField name="DENSIDAD ANIONICO" numFmtId="3">
      <sharedItems containsSemiMixedTypes="0" containsString="0" containsNumber="1" containsInteger="1" minValue="2500" maxValue="2500"/>
    </cacheField>
    <cacheField name="DENSIDAD CATIONICO" numFmtId="3">
      <sharedItems containsSemiMixedTypes="0" containsString="0" containsNumber="1" containsInteger="1" minValue="2500" maxValue="2500"/>
    </cacheField>
    <cacheField name="PRECIO (KG) ACIDO" numFmtId="165">
      <sharedItems containsSemiMixedTypes="0" containsString="0" containsNumber="1" containsInteger="1" minValue="830" maxValue="830"/>
    </cacheField>
    <cacheField name="PRECIO (KG) COAGULANTE" numFmtId="165">
      <sharedItems containsSemiMixedTypes="0" containsString="0" containsNumber="1" containsInteger="1" minValue="2900" maxValue="2900"/>
    </cacheField>
    <cacheField name="PRECIO (KG) DECOLORANTE" numFmtId="165">
      <sharedItems containsSemiMixedTypes="0" containsString="0" containsNumber="1" containsInteger="1" minValue="6295" maxValue="6295"/>
    </cacheField>
    <cacheField name="PRECIO (KG) ANIONICO" numFmtId="165">
      <sharedItems containsSemiMixedTypes="0" containsString="0" containsNumber="1" containsInteger="1" minValue="19050" maxValue="19050"/>
    </cacheField>
    <cacheField name="PRECIO (KG) CATIONICO" numFmtId="165">
      <sharedItems containsSemiMixedTypes="0" containsString="0" containsNumber="1" containsInteger="1" minValue="22050" maxValue="22050"/>
    </cacheField>
    <cacheField name="COSTO OPERATIVO ACIDO" numFmtId="165">
      <sharedItems containsSemiMixedTypes="0" containsString="0" containsNumber="1" containsInteger="1" minValue="0" maxValue="248170"/>
    </cacheField>
    <cacheField name="COSTO OPERATIVO COAGULANTE" numFmtId="165">
      <sharedItems containsSemiMixedTypes="0" containsString="0" containsNumber="1" minValue="0" maxValue="1613850"/>
    </cacheField>
    <cacheField name="COSTO OPERATIVO DECOLORANTE" numFmtId="165">
      <sharedItems containsSemiMixedTypes="0" containsString="0" containsNumber="1" minValue="0" maxValue="1259000"/>
    </cacheField>
    <cacheField name="COSTO OPERATIVO ANIONICO" numFmtId="165">
      <sharedItems containsSemiMixedTypes="0" containsString="0" containsNumber="1" containsInteger="1" minValue="0" maxValue="95250"/>
    </cacheField>
    <cacheField name="COSTO OPERATIVO CATIONICO" numFmtId="165">
      <sharedItems containsSemiMixedTypes="0" containsString="0" containsNumber="1" containsInteger="1" minValue="0" maxValue="110250"/>
    </cacheField>
    <cacheField name="COSTO QUIMICA " numFmtId="165">
      <sharedItems containsSemiMixedTypes="0" containsString="0" containsNumber="1" minValue="0" maxValue="2962295"/>
    </cacheField>
    <cacheField name="LIMITE INDICADOR M3" numFmtId="165">
      <sharedItems containsSemiMixedTypes="0" containsString="0" containsNumber="1" containsInteger="1" minValue="5250" maxValue="5250"/>
    </cacheField>
    <cacheField name="$ m3" numFmtId="165">
      <sharedItems containsMixedTypes="1" containsNumber="1" minValue="0" maxValue="7613.7706200227522"/>
    </cacheField>
    <cacheField name="INDICADOR" numFmtId="0" formula="(#NAME? /'CAUDAL TOTAL TRATADO GEM ')" databaseField="0"/>
    <cacheField name="INDICADOR $m3" numFmtId="0" formula=" ('COSTO QUIMICA '/'CAUDAL TOTAL TRATADO GEM ')" databaseField="0"/>
    <cacheField name="ppm diario acido" numFmtId="0" formula="('CONSUMO LITROS ACIDO (L)'*1000000)/('CAUDAL TOTAL TRATADO GEM '*1000)" databaseField="0"/>
    <cacheField name="COF 235 - PPM COAGULANTE " numFmtId="0" formula="('CONSUMO LITROS COAGULANTE (L)'*1000000)/('CAUDAL TOTAL TRATADO GEM '*1000)" databaseField="0"/>
    <cacheField name="COF 255 - PPM DECOLORANTE" numFmtId="0" formula="('CONSUMO LITROS DECOLORANTE (L)'*1000000)/('CAUDAL TOTAL TRATADO GEM '*1000)" databaseField="0"/>
    <cacheField name="COF 440 - PPM POL ANIONICO" numFmtId="0" formula="('CONSUMO POL ANIONICO (KG)'*250000)/('CAUDAL TOTAL TRATADO GEM '*1000)" databaseField="0"/>
    <cacheField name="COF 494 - PPM POL CATIONICO" numFmtId="0" formula="('KG POL CATIONICO '*250000)/('CAUDAL TOTAL TRATADO GEM '*1000)" databaseField="0"/>
    <cacheField name="2024 $m3 GEM" numFmtId="0" formula="('LIMITE INDICADOR M3'-'LIMITE INDICADOR M3')+4909" databaseField="0"/>
    <cacheField name="Meses (FECHA)" numFmtId="0" databaseField="0">
      <fieldGroup base="0">
        <rangePr groupBy="months" startDate="2026-01-01T00:00:00" endDate="2026-02-01T00:00:00"/>
        <groupItems count="14">
          <s v="&lt;1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2/2026"/>
        </groupItems>
      </fieldGroup>
    </cacheField>
    <cacheField name="Trimestres (FECHA)" numFmtId="0" databaseField="0">
      <fieldGroup base="0">
        <rangePr groupBy="quarters" startDate="2026-01-01T00:00:00" endDate="2026-02-01T00:00:00"/>
        <groupItems count="6">
          <s v="&lt;1/01/2026"/>
          <s v="Trim.1"/>
          <s v="Trim.2"/>
          <s v="Trim.3"/>
          <s v="Trim.4"/>
          <s v="&gt;1/02/2026"/>
        </groupItems>
      </fieldGroup>
    </cacheField>
    <cacheField name="Años (FECHA)" numFmtId="0" databaseField="0">
      <fieldGroup base="0">
        <rangePr groupBy="years" startDate="2026-01-01T00:00:00" endDate="2026-02-01T00:00:00"/>
        <groupItems count="3">
          <s v="&lt;1/01/2026"/>
          <s v="2026"/>
          <s v="&gt;1/02/2026"/>
        </groupItems>
      </fieldGroup>
    </cacheField>
    <cacheField name="INDICADOR $ACIDO/M3" numFmtId="0" formula="'COSTO OPERATIVO ACIDO'/'CAUDAL TOTAL TRATADO GEM '" databaseField="0"/>
    <cacheField name="INDICADOR $COAGULANTE/M3" numFmtId="0" formula="'COSTO OPERATIVO COAGULANTE'/'CAUDAL TOTAL TRATADO GEM '" databaseField="0"/>
    <cacheField name="INDICADOR $DECOLORANTE/M3" numFmtId="0" formula="'COSTO OPERATIVO DECOLORANTE'/'CAUDAL TOTAL TRATADO GEM '" databaseField="0"/>
    <cacheField name="INDICADOR $POL ANIONICO/ M3" numFmtId="0" formula="'COSTO OPERATIVO ANIONICO'/'CAUDAL TOTAL TRATADO GEM '" databaseField="0"/>
    <cacheField name="INDICADOR $POL CATIONICO / M3" numFmtId="0" formula="'COSTO OPERATIVO CATIONICO'/'CAUDAL TOTAL TRATADO GEM '" databaseField="0"/>
  </cacheFields>
  <extLst>
    <ext xmlns:x14="http://schemas.microsoft.com/office/spreadsheetml/2009/9/main" uri="{725AE2AE-9491-48be-B2B4-4EB974FC3084}">
      <x14:pivotCacheDefinition pivotCacheId="151529139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27.398488194442" createdVersion="8" refreshedVersion="8" minRefreshableVersion="3" recordCount="94" xr:uid="{B88EE19A-5615-4F82-AE52-3176984C19D2}">
  <cacheSource type="worksheet">
    <worksheetSource name="Tabla2"/>
  </cacheSource>
  <cacheFields count="63">
    <cacheField name="FECHA" numFmtId="14">
      <sharedItems containsNonDate="0" containsDate="1" containsString="0" containsBlank="1" minDate="2024-09-01T00:00:00" maxDate="2026-01-01T00:00:00" count="369"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m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3-01T00:00:00" u="1"/>
        <d v="2025-03-02T00:00:00" u="1"/>
        <d v="2025-03-03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  <fieldGroup par="62"/>
    </cacheField>
    <cacheField name="DIA" numFmtId="1">
      <sharedItems containsSemiMixedTypes="0" containsString="0" containsNumber="1" containsInteger="1" minValue="0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0"/>
      </sharedItems>
    </cacheField>
    <cacheField name="TURNO" numFmtId="0">
      <sharedItems containsBlank="1"/>
    </cacheField>
    <cacheField name="HCL (10%)" numFmtId="0">
      <sharedItems containsNonDate="0" containsString="0" containsBlank="1"/>
    </cacheField>
    <cacheField name="KURIVERTER IK-220 (Biocida)" numFmtId="0">
      <sharedItems containsString="0" containsBlank="1" containsNumber="1" containsInteger="1" minValue="0" maxValue="0"/>
    </cacheField>
    <cacheField name="VITEC 7000 (Antiincrustante)" numFmtId="0">
      <sharedItems containsString="0" containsBlank="1" containsNumber="1" containsInteger="1" minValue="0" maxValue="0"/>
    </cacheField>
    <cacheField name="Hidróxido de Sodio (NaOH)" numFmtId="0">
      <sharedItems containsNonDate="0" containsString="0" containsBlank="1"/>
    </cacheField>
    <cacheField name="Bisulfito de sodio " numFmtId="0">
      <sharedItems containsNonDate="0" containsString="0" containsBlank="1"/>
    </cacheField>
    <cacheField name="TIEMPO DE OPERACIÓN (minutos)" numFmtId="2">
      <sharedItems containsSemiMixedTypes="0" containsString="0" containsNumber="1" minValue="0" maxValue="8.8366600000000002"/>
    </cacheField>
    <cacheField name="cm HCL (10%)" numFmtId="0">
      <sharedItems containsSemiMixedTypes="0" containsString="0" containsNumber="1" containsInteger="1" minValue="0" maxValue="0"/>
    </cacheField>
    <cacheField name="cm IK-220 (Biocida)" numFmtId="0">
      <sharedItems containsSemiMixedTypes="0" containsString="0" containsNumber="1" containsInteger="1" minValue="4" maxValue="54"/>
    </cacheField>
    <cacheField name="cm          Vitec 7000" numFmtId="0">
      <sharedItems containsSemiMixedTypes="0" containsString="0" containsNumber="1" containsInteger="1" minValue="3" maxValue="58"/>
    </cacheField>
    <cacheField name="cm NaOH" numFmtId="0">
      <sharedItems containsSemiMixedTypes="0" containsString="0" containsNumber="1" containsInteger="1" minValue="0" maxValue="0"/>
    </cacheField>
    <cacheField name="cm Bisulfito de sodio" numFmtId="0">
      <sharedItems containsSemiMixedTypes="0" containsString="0" containsNumber="1" containsInteger="1" minValue="0" maxValue="0"/>
    </cacheField>
    <cacheField name="(INV- L) - HCL (10%)" numFmtId="1">
      <sharedItems containsSemiMixedTypes="0" containsString="0" containsNumber="1" containsInteger="1" minValue="0" maxValue="0"/>
    </cacheField>
    <cacheField name="(INV -L) - KURIVERTER IK-220 (Biocida)" numFmtId="1">
      <sharedItems containsSemiMixedTypes="0" containsString="0" containsNumber="1" minValue="35.087719298245617" maxValue="473.68421052631584"/>
    </cacheField>
    <cacheField name="(INV -L) - VITEC 7000 (Antiincrustante)" numFmtId="1">
      <sharedItems containsSemiMixedTypes="0" containsString="0" containsNumber="1" minValue="26.315789473684212" maxValue="508.77192982456143"/>
    </cacheField>
    <cacheField name="(INV -L) - Hidróxido de Sodio (NaOH)" numFmtId="1">
      <sharedItems containsSemiMixedTypes="0" containsString="0" containsNumber="1" containsInteger="1" minValue="0" maxValue="0"/>
    </cacheField>
    <cacheField name="(INV -L) Bisulfito de sodio " numFmtId="1">
      <sharedItems containsSemiMixedTypes="0" containsString="0" containsNumber="1" containsInteger="1" minValue="0" maxValue="0"/>
    </cacheField>
    <cacheField name="CONSUMO (L) HCL (10%)2" numFmtId="1">
      <sharedItems containsSemiMixedTypes="0" containsString="0" containsNumber="1" containsInteger="1" minValue="0" maxValue="0"/>
    </cacheField>
    <cacheField name="CONSUMO (L) KURIVERTER IK-220 (Biocida)" numFmtId="1">
      <sharedItems containsSemiMixedTypes="0" containsString="0" containsNumber="1" minValue="0" maxValue="394.73684210526318"/>
    </cacheField>
    <cacheField name="CONSUMO (L) VITEC 7000 (Antiincrustante)" numFmtId="1">
      <sharedItems containsSemiMixedTypes="0" containsString="0" containsNumber="1" minValue="0" maxValue="377.19298245614038"/>
    </cacheField>
    <cacheField name="CONSUMO (L) Hidróxido de Sodio (NaOH)" numFmtId="1">
      <sharedItems containsSemiMixedTypes="0" containsString="0" containsNumber="1" containsInteger="1" minValue="0" maxValue="0"/>
    </cacheField>
    <cacheField name="CONSUMO (L) Bisulfito de sodio" numFmtId="1">
      <sharedItems containsSemiMixedTypes="0" containsString="0" containsNumber="1" containsInteger="1" minValue="0" maxValue="0"/>
    </cacheField>
    <cacheField name="DENSIDAD HCL (10%)" numFmtId="0">
      <sharedItems containsString="0" containsBlank="1" containsNumber="1" minValue="1.18" maxValue="1.18"/>
    </cacheField>
    <cacheField name="DENSIDAD KURIVERTER IK-220 (Biocida)" numFmtId="0">
      <sharedItems containsString="0" containsBlank="1" containsNumber="1" minValue="1.28" maxValue="1.28"/>
    </cacheField>
    <cacheField name="DENSIDAD VITEC 7000 (Antiincrustante)" numFmtId="0">
      <sharedItems containsString="0" containsBlank="1" containsNumber="1" minValue="1.2" maxValue="1.2"/>
    </cacheField>
    <cacheField name="DENSIDAD Hidróxido de Sodio (NaOH)" numFmtId="0">
      <sharedItems containsString="0" containsBlank="1" containsNumber="1" minValue="1.53" maxValue="1.53"/>
    </cacheField>
    <cacheField name="DENSIDAD Bisulfito de sodio " numFmtId="0">
      <sharedItems containsString="0" containsBlank="1" containsNumber="1" minValue="1.2" maxValue="1.2"/>
    </cacheField>
    <cacheField name="CONSUMO (Kg) HCL (10%)22" numFmtId="1">
      <sharedItems containsSemiMixedTypes="0" containsString="0" containsNumber="1" containsInteger="1" minValue="0" maxValue="0"/>
    </cacheField>
    <cacheField name="CONSUMO (Kg) KURIVERTER IK-220 (Biocida)" numFmtId="1">
      <sharedItems containsSemiMixedTypes="0" containsString="0" containsNumber="1" minValue="0" maxValue="370.52631578947376"/>
    </cacheField>
    <cacheField name="CONSUMO (Kg) VITEC 7000 (Antiincrustante)" numFmtId="1">
      <sharedItems containsSemiMixedTypes="0" containsString="0" containsNumber="1" minValue="0" maxValue="452.63157894736844"/>
    </cacheField>
    <cacheField name="CONSUMO (Kg) Hidróxido de Sodio (NaOH)" numFmtId="1">
      <sharedItems containsSemiMixedTypes="0" containsString="0" containsNumber="1" containsInteger="1" minValue="0" maxValue="0"/>
    </cacheField>
    <cacheField name="CONSUMO (Kg) Bisulfito de sodio6" numFmtId="1">
      <sharedItems containsSemiMixedTypes="0" containsString="0" containsNumber="1" containsInteger="1" minValue="0" maxValue="0"/>
    </cacheField>
    <cacheField name="VOLUMEN ENVIADO A RO (m3)" numFmtId="1">
      <sharedItems containsString="0" containsBlank="1" containsNumber="1" minValue="0" maxValue="524.53099999999995"/>
    </cacheField>
    <cacheField name="Q DE OPERACIÓN (m3/h)" numFmtId="0">
      <sharedItems containsSemiMixedTypes="0" containsString="0" containsNumber="1" containsInteger="1" minValue="50" maxValue="70"/>
    </cacheField>
    <cacheField name="PPM HCL (10%)" numFmtId="1">
      <sharedItems containsMixedTypes="1" containsNumber="1" containsInteger="1" minValue="0" maxValue="0"/>
    </cacheField>
    <cacheField name="PPM  KURIVERTER IK-220 (Biocida)" numFmtId="1">
      <sharedItems containsMixedTypes="1" containsNumber="1" minValue="0" maxValue="1466.2115301708432"/>
    </cacheField>
    <cacheField name="PPM  VITEC 7000 (Antiincrustante)" numFmtId="1">
      <sharedItems containsMixedTypes="1" containsNumber="1" minValue="0" maxValue="726.38488683604453"/>
    </cacheField>
    <cacheField name="PPM  Hidróxido de Sodio (NaOH)" numFmtId="1">
      <sharedItems containsMixedTypes="1" containsNumber="1" containsInteger="1" minValue="0" maxValue="0"/>
    </cacheField>
    <cacheField name="PPM Bisulfito de sodio " numFmtId="1">
      <sharedItems containsMixedTypes="1" containsNumber="1" containsInteger="1" minValue="0" maxValue="0"/>
    </cacheField>
    <cacheField name="PRECIO HCL (10%)" numFmtId="42">
      <sharedItems containsSemiMixedTypes="0" containsString="0" containsNumber="1" containsInteger="1" minValue="1550" maxValue="1550"/>
    </cacheField>
    <cacheField name="PRECIO KURIVERTER IK-220 (Biocida)" numFmtId="42">
      <sharedItems containsSemiMixedTypes="0" containsString="0" containsNumber="1" containsInteger="1" minValue="19462" maxValue="19462"/>
    </cacheField>
    <cacheField name="PRECIO VITEC 7000 (Antiincrustante)" numFmtId="42">
      <sharedItems containsSemiMixedTypes="0" containsString="0" containsNumber="1" containsInteger="1" minValue="36854" maxValue="36854"/>
    </cacheField>
    <cacheField name="PRECIO Hidróxido de Sodio (NaOH)" numFmtId="42">
      <sharedItems containsSemiMixedTypes="0" containsString="0" containsNumber="1" containsInteger="1" minValue="1560" maxValue="1560"/>
    </cacheField>
    <cacheField name="PRECIO Bisulfito de sodio " numFmtId="42">
      <sharedItems containsSemiMixedTypes="0" containsString="0" containsNumber="1" containsInteger="1" minValue="3640" maxValue="3640"/>
    </cacheField>
    <cacheField name="COSTO OPERATIVO HCL (10%)" numFmtId="42">
      <sharedItems containsSemiMixedTypes="0" containsString="0" containsNumber="1" minValue="0" maxValue="459452.63157894748"/>
    </cacheField>
    <cacheField name="COSTO OPERATIVO KURIVERTER IK-220 (Biocida)" numFmtId="42">
      <sharedItems containsSemiMixedTypes="0" containsString="0" containsNumber="1" minValue="0" maxValue="105709.3894736842"/>
    </cacheField>
    <cacheField name="COSTO OPERATIVO VITEC 7000 (Antiincrustante)" numFmtId="42">
      <sharedItems containsSemiMixedTypes="0" containsString="0" containsNumber="1" containsInteger="1" minValue="0" maxValue="0"/>
    </cacheField>
    <cacheField name="COSTO OPERATIVO Hidróxido de Sodio (NaOH)" numFmtId="42">
      <sharedItems containsSemiMixedTypes="0" containsString="0" containsNumber="1" containsInteger="1" minValue="0" maxValue="0"/>
    </cacheField>
    <cacheField name="COSTO OPERATIVO Bisulfito de sodio " numFmtId="42">
      <sharedItems containsSemiMixedTypes="0" containsString="0" containsNumber="1" minValue="0" maxValue="47732.320999999996"/>
    </cacheField>
    <cacheField name="COSTO QUIMICA " numFmtId="42">
      <sharedItems containsSemiMixedTypes="0" containsString="0" containsNumber="1" minValue="0" maxValue="487365.95736842114"/>
    </cacheField>
    <cacheField name="LIMITE INDICADOR M3" numFmtId="42">
      <sharedItems containsString="0" containsBlank="1" containsNumber="1" containsInteger="1" minValue="1000" maxValue="1000"/>
    </cacheField>
    <cacheField name="$m3 ENVIADO A RO (m3)" numFmtId="42">
      <sharedItems containsMixedTypes="1" containsNumber="1" minValue="0" maxValue="431.05178443483942"/>
    </cacheField>
    <cacheField name="INDICADOR $m3 RO" numFmtId="0" formula="('COSTO QUIMICA '/'VOLUMEN ENVIADO A RO (m3)')" databaseField="0"/>
    <cacheField name="PPM HCL" numFmtId="0" formula=" ('CONSUMO (Kg) HCL (10%)22'*1000)/'VOLUMEN ENVIADO A RO (m3)'" databaseField="0"/>
    <cacheField name="PPM KURIVERTER" numFmtId="0" formula="('CONSUMO (Kg) KURIVERTER IK-220 (Biocida)'*1000)/'VOLUMEN ENVIADO A RO (m3)'" databaseField="0"/>
    <cacheField name="PPM VITEC" numFmtId="0" formula=" ('CONSUMO (Kg) VITEC 7000 (Antiincrustante)'*1000)/'VOLUMEN ENVIADO A RO (m3)'" databaseField="0"/>
    <cacheField name="PPM NaOH" numFmtId="0" formula=" ('CONSUMO (Kg) Hidróxido de Sodio (NaOH)'*1000)/#NAME?" databaseField="0"/>
    <cacheField name="PPM BISULFITO" numFmtId="0" formula=" ('CONSUMO (Kg) Bisulfito de sodio6'*1000)/'VOLUMEN ENVIADO A RO (m3)'" databaseField="0"/>
    <cacheField name="Meses (FECHA)" numFmtId="0" databaseField="0">
      <fieldGroup base="0">
        <rangePr groupBy="months" startDate="2025-12-01T00:00:00" endDate="2026-01-01T00:00:00"/>
        <groupItems count="14">
          <s v="&lt;1/12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1/2026"/>
        </groupItems>
      </fieldGroup>
    </cacheField>
    <cacheField name="Trimestres (FECHA)" numFmtId="0" databaseField="0">
      <fieldGroup base="0">
        <rangePr groupBy="quarters" startDate="2025-12-01T00:00:00" endDate="2026-01-01T00:00:00"/>
        <groupItems count="6">
          <s v="&lt;1/12/2025"/>
          <s v="Trim.1"/>
          <s v="Trim.2"/>
          <s v="Trim.3"/>
          <s v="Trim.4"/>
          <s v="&gt;1/01/2026"/>
        </groupItems>
      </fieldGroup>
    </cacheField>
    <cacheField name="Años (FECHA)" numFmtId="0" databaseField="0">
      <fieldGroup base="0">
        <rangePr groupBy="years" startDate="2025-12-01T00:00:00" endDate="2026-01-01T00:00:00"/>
        <groupItems count="4">
          <s v="&lt;1/12/2025"/>
          <s v="2025"/>
          <s v="2026"/>
          <s v="&gt;1/01/2026"/>
        </groupItems>
      </fieldGroup>
    </cacheField>
  </cacheFields>
  <extLst>
    <ext xmlns:x14="http://schemas.microsoft.com/office/spreadsheetml/2009/9/main" uri="{725AE2AE-9491-48be-B2B4-4EB974FC3084}">
      <x14:pivotCacheDefinition pivotCacheId="1406470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x v="0"/>
    <s v="1 (NOCHE)"/>
    <n v="1"/>
    <s v="FINAL TURNO 3"/>
    <n v="2160"/>
    <n v="2100"/>
    <n v="1670"/>
    <n v="250"/>
    <n v="185"/>
    <n v="16502"/>
    <n v="0"/>
    <n v="8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0"/>
    <x v="0"/>
    <s v="2 (MAÑANA)"/>
    <n v="2"/>
    <s v="FINAL TURNO 1"/>
    <n v="2160"/>
    <n v="2100"/>
    <n v="1670"/>
    <n v="250"/>
    <n v="185"/>
    <n v="16502"/>
    <n v="0"/>
    <n v="8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0"/>
    <x v="0"/>
    <s v="3(TARDE)"/>
    <n v="3"/>
    <s v="FINAL TURNO 2"/>
    <n v="2160"/>
    <n v="2100"/>
    <n v="1670"/>
    <n v="250"/>
    <n v="185"/>
    <n v="16502"/>
    <n v="0"/>
    <n v="8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"/>
    <x v="1"/>
    <s v="2 (NOCHE)"/>
    <n v="4"/>
    <s v="FINAL TURNO 3"/>
    <n v="2160"/>
    <n v="2100"/>
    <n v="1670"/>
    <n v="250"/>
    <n v="185"/>
    <n v="16502"/>
    <n v="0"/>
    <n v="8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"/>
    <x v="1"/>
    <s v="3 (MAÑANA)"/>
    <n v="5"/>
    <s v="FINAL TURNO 1"/>
    <n v="2160"/>
    <n v="2100"/>
    <n v="1670"/>
    <n v="250"/>
    <n v="185"/>
    <n v="16502"/>
    <n v="640.23880597014931"/>
    <n v="83"/>
    <n v="83"/>
    <n v="80"/>
    <n v="150"/>
    <n v="70"/>
    <n v="5"/>
    <n v="5"/>
    <n v="104"/>
    <n v="198.75"/>
    <n v="87.5"/>
    <n v="5"/>
    <n v="5"/>
    <n v="162.43938828795226"/>
    <n v="310.43104252144718"/>
    <n v="136.66775456919058"/>
    <n v="7.8095859753823191"/>
    <n v="7.8095859753823191"/>
    <n v="1.3"/>
    <n v="1.325"/>
    <n v="1.25"/>
    <n v="2500"/>
    <n v="2500"/>
    <n v="830"/>
    <n v="2900"/>
    <n v="6295"/>
    <n v="19050"/>
    <n v="22050"/>
    <n v="86320"/>
    <n v="576375"/>
    <n v="550812.5"/>
    <n v="95250"/>
    <n v="110250"/>
    <n v="1419007.5"/>
    <n v="5250"/>
    <n v="2216.3722141924654"/>
  </r>
  <r>
    <x v="1"/>
    <x v="1"/>
    <s v="3(TARDE)"/>
    <n v="6"/>
    <s v="FINAL TURNO 2"/>
    <n v="2080"/>
    <n v="1950"/>
    <n v="1600"/>
    <n v="245"/>
    <n v="180"/>
    <n v="16509"/>
    <n v="174.92537313432837"/>
    <n v="79"/>
    <n v="79"/>
    <n v="80"/>
    <n v="50"/>
    <n v="50"/>
    <n v="5"/>
    <n v="5"/>
    <n v="104"/>
    <n v="66.25"/>
    <n v="62.5"/>
    <n v="5"/>
    <n v="5"/>
    <n v="594.5392491467577"/>
    <n v="378.73293515358358"/>
    <n v="357.29522184300339"/>
    <n v="28.583617747440272"/>
    <n v="28.583617747440272"/>
    <n v="1.3"/>
    <n v="1.325"/>
    <n v="1.25"/>
    <n v="2500"/>
    <n v="2500"/>
    <n v="830"/>
    <n v="2900"/>
    <n v="6295"/>
    <n v="19050"/>
    <n v="22050"/>
    <n v="86320"/>
    <n v="192125"/>
    <n v="393437.5"/>
    <n v="95250"/>
    <n v="110250"/>
    <n v="877382.5"/>
    <n v="5250"/>
    <n v="5015.7531996587031"/>
  </r>
  <r>
    <x v="2"/>
    <x v="2"/>
    <s v="3 (NOCHE)"/>
    <n v="7"/>
    <s v="FINAL TURNO 3"/>
    <n v="2000"/>
    <n v="1750"/>
    <n v="1550"/>
    <n v="240"/>
    <n v="175"/>
    <n v="16511"/>
    <n v="0"/>
    <n v="0"/>
    <n v="0"/>
    <n v="40"/>
    <n v="80"/>
    <n v="25"/>
    <n v="0"/>
    <n v="0"/>
    <n v="52"/>
    <n v="106"/>
    <n v="31.25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43160"/>
    <n v="307400"/>
    <n v="196718.75"/>
    <n v="0"/>
    <n v="0"/>
    <n v="547278.75"/>
    <n v="5250"/>
    <e v="#DIV/0!"/>
  </r>
  <r>
    <x v="2"/>
    <x v="2"/>
    <s v="4 (MAÑANA)"/>
    <n v="8"/>
    <s v="FINAL TURNO 1"/>
    <n v="1960"/>
    <n v="1670"/>
    <n v="1525"/>
    <n v="240"/>
    <n v="175"/>
    <n v="16511"/>
    <n v="268.38805970149258"/>
    <n v="81"/>
    <n v="81"/>
    <n v="40"/>
    <n v="80"/>
    <n v="25"/>
    <n v="0"/>
    <n v="0"/>
    <n v="52"/>
    <n v="106"/>
    <n v="31.25"/>
    <n v="0"/>
    <n v="0"/>
    <n v="193.74930486041595"/>
    <n v="394.95050606161709"/>
    <n v="116.4358803247692"/>
    <n v="0"/>
    <n v="0"/>
    <n v="1.3"/>
    <n v="1.325"/>
    <n v="1.25"/>
    <n v="2500"/>
    <n v="2500"/>
    <n v="830"/>
    <n v="2900"/>
    <n v="6295"/>
    <n v="19050"/>
    <n v="22050"/>
    <n v="43160"/>
    <n v="307400"/>
    <n v="196718.75"/>
    <n v="0"/>
    <n v="0"/>
    <n v="547278.75"/>
    <n v="5250"/>
    <n v="2039.1322572572569"/>
  </r>
  <r>
    <x v="2"/>
    <x v="2"/>
    <s v="3(TARDE)"/>
    <n v="9"/>
    <s v="FINAL TURNO 2"/>
    <n v="1920"/>
    <n v="1590"/>
    <n v="1500"/>
    <n v="240"/>
    <n v="175"/>
    <n v="16514"/>
    <n v="0"/>
    <n v="0"/>
    <n v="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3"/>
    <x v="3"/>
    <s v="4 (NOCHE)"/>
    <n v="10"/>
    <s v="FINAL TURNO 3"/>
    <n v="1920"/>
    <n v="1590"/>
    <n v="1500"/>
    <n v="240"/>
    <n v="175"/>
    <n v="16514"/>
    <n v="0"/>
    <n v="0"/>
    <n v="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3"/>
    <x v="3"/>
    <s v="5 (MAÑANA)"/>
    <n v="11"/>
    <s v="FINAL TURNO 1"/>
    <n v="1920"/>
    <n v="1590"/>
    <n v="1500"/>
    <n v="240"/>
    <n v="175"/>
    <n v="16514"/>
    <n v="0"/>
    <n v="0"/>
    <n v="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3"/>
    <x v="3"/>
    <s v="3(TARDE)"/>
    <n v="12"/>
    <s v="FINAL TURNO 2"/>
    <n v="1920"/>
    <n v="1590"/>
    <n v="1500"/>
    <n v="240"/>
    <n v="175"/>
    <n v="16514"/>
    <n v="0"/>
    <n v="0"/>
    <n v="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4"/>
    <x v="4"/>
    <s v="5 (NOCHE)"/>
    <n v="13"/>
    <s v="FINAL TURNO 3"/>
    <n v="1920"/>
    <n v="1590"/>
    <n v="1500"/>
    <n v="240"/>
    <n v="175"/>
    <n v="16514"/>
    <n v="89.462686567164184"/>
    <n v="81"/>
    <n v="81"/>
    <n v="0"/>
    <n v="50"/>
    <n v="0"/>
    <n v="0"/>
    <n v="0"/>
    <n v="0"/>
    <n v="66.25"/>
    <n v="0"/>
    <n v="0"/>
    <n v="0"/>
    <n v="0"/>
    <n v="740.53219886553211"/>
    <n v="0"/>
    <n v="0"/>
    <n v="0"/>
    <n v="1.3"/>
    <n v="1.325"/>
    <n v="1.25"/>
    <n v="2500"/>
    <n v="2500"/>
    <n v="830"/>
    <n v="2900"/>
    <n v="6295"/>
    <n v="19050"/>
    <n v="22050"/>
    <n v="0"/>
    <n v="192125"/>
    <n v="0"/>
    <n v="0"/>
    <n v="0"/>
    <n v="192125"/>
    <n v="5250"/>
    <n v="2147.543376710043"/>
  </r>
  <r>
    <x v="4"/>
    <x v="4"/>
    <s v="6 (MAÑANA)"/>
    <n v="14"/>
    <s v="FINAL TURNO 1"/>
    <n v="1920"/>
    <n v="1440"/>
    <n v="1500"/>
    <n v="250"/>
    <n v="170"/>
    <n v="16515"/>
    <n v="341.85074626865674"/>
    <n v="77"/>
    <n v="77"/>
    <n v="70"/>
    <n v="40"/>
    <n v="50"/>
    <n v="0"/>
    <n v="5"/>
    <n v="91"/>
    <n v="53"/>
    <n v="62.5"/>
    <n v="0"/>
    <n v="5"/>
    <n v="266.19804400977995"/>
    <n v="155.03842123646524"/>
    <n v="182.82832692979392"/>
    <n v="0"/>
    <n v="14.626266154383513"/>
    <n v="1.3"/>
    <n v="1.325"/>
    <n v="1.25"/>
    <n v="2500"/>
    <n v="2500"/>
    <n v="830"/>
    <n v="2900"/>
    <n v="6295"/>
    <n v="19050"/>
    <n v="22050"/>
    <n v="75530"/>
    <n v="153700"/>
    <n v="393437.5"/>
    <n v="0"/>
    <n v="110250"/>
    <n v="732917.5"/>
    <n v="5250"/>
    <n v="2143.9692848410755"/>
  </r>
  <r>
    <x v="4"/>
    <x v="4"/>
    <s v="3(TARDE)"/>
    <n v="15"/>
    <s v="FINAL TURNO 2"/>
    <n v="1850"/>
    <n v="1400"/>
    <n v="1450"/>
    <n v="250"/>
    <n v="165"/>
    <n v="16519"/>
    <n v="437.31343283582089"/>
    <n v="79"/>
    <n v="79"/>
    <n v="40"/>
    <n v="100"/>
    <n v="50"/>
    <n v="0"/>
    <n v="5"/>
    <n v="52"/>
    <n v="132.5"/>
    <n v="62.5"/>
    <n v="0"/>
    <n v="5"/>
    <n v="118.90784982935153"/>
    <n v="302.9863481228669"/>
    <n v="142.91808873720137"/>
    <n v="0"/>
    <n v="11.43344709897611"/>
    <n v="1.3"/>
    <n v="1.325"/>
    <n v="1.25"/>
    <n v="2500"/>
    <n v="2500"/>
    <n v="830"/>
    <n v="2900"/>
    <n v="6295"/>
    <n v="19050"/>
    <n v="22050"/>
    <n v="43160"/>
    <n v="384250"/>
    <n v="393437.5"/>
    <n v="0"/>
    <n v="110250"/>
    <n v="931097.5"/>
    <n v="5250"/>
    <n v="2129.1308020477818"/>
  </r>
  <r>
    <x v="5"/>
    <x v="5"/>
    <s v="6 (NOCHE)"/>
    <n v="16"/>
    <s v="FINAL TURNO 3"/>
    <n v="1710"/>
    <n v="1300"/>
    <n v="1400"/>
    <n v="250"/>
    <n v="160"/>
    <n v="16524"/>
    <n v="271.38805970149258"/>
    <n v="82"/>
    <n v="82"/>
    <n v="60"/>
    <n v="150"/>
    <n v="30"/>
    <n v="5"/>
    <n v="5"/>
    <n v="78"/>
    <n v="198.75"/>
    <n v="37.5"/>
    <n v="5"/>
    <n v="5"/>
    <n v="287.4113182643128"/>
    <n v="732.34614750041237"/>
    <n v="138.17851839630421"/>
    <n v="18.423802452840562"/>
    <n v="18.423802452840562"/>
    <n v="1.3"/>
    <n v="1.325"/>
    <n v="1.25"/>
    <n v="2500"/>
    <n v="2500"/>
    <n v="830"/>
    <n v="2900"/>
    <n v="6295"/>
    <n v="19050"/>
    <n v="22050"/>
    <n v="64740"/>
    <n v="576375"/>
    <n v="236062.5"/>
    <n v="95250"/>
    <n v="110250"/>
    <n v="1082677.5"/>
    <n v="5250"/>
    <n v="3989.4072760270578"/>
  </r>
  <r>
    <x v="5"/>
    <x v="5"/>
    <s v="7 (MAÑANA)"/>
    <n v="17"/>
    <s v="FINAL TURNO 1"/>
    <n v="1650"/>
    <n v="1000"/>
    <n v="1370"/>
    <n v="245"/>
    <n v="155"/>
    <n v="16527"/>
    <n v="280.38805970149258"/>
    <n v="85"/>
    <n v="85"/>
    <n v="200"/>
    <n v="200"/>
    <n v="90"/>
    <n v="0"/>
    <n v="0"/>
    <n v="260"/>
    <n v="265"/>
    <n v="112.5"/>
    <n v="0"/>
    <n v="0"/>
    <n v="927.28627701479809"/>
    <n v="945.11870541892881"/>
    <n v="401.22963909294151"/>
    <n v="0"/>
    <n v="0"/>
    <n v="1.3"/>
    <n v="1.325"/>
    <n v="1.25"/>
    <n v="2500"/>
    <n v="2500"/>
    <n v="830"/>
    <n v="2900"/>
    <n v="6295"/>
    <n v="19050"/>
    <n v="22050"/>
    <n v="215800"/>
    <n v="768500"/>
    <n v="708187.5"/>
    <n v="0"/>
    <n v="0"/>
    <n v="1692487.5"/>
    <n v="5250"/>
    <n v="6036.232433727243"/>
  </r>
  <r>
    <x v="5"/>
    <x v="5"/>
    <s v="3(TARDE)"/>
    <n v="18"/>
    <s v="FINAL TURNO 2"/>
    <n v="1450"/>
    <n v="800"/>
    <n v="1280"/>
    <n v="245"/>
    <n v="155"/>
    <n v="16530"/>
    <n v="530.77611940298516"/>
    <n v="80"/>
    <n v="80"/>
    <n v="160"/>
    <n v="150"/>
    <n v="80"/>
    <n v="0"/>
    <n v="5"/>
    <n v="208"/>
    <n v="198.75"/>
    <n v="100"/>
    <n v="0"/>
    <n v="5"/>
    <n v="391.87897193633648"/>
    <n v="374.45166188628303"/>
    <n v="188.40335189246946"/>
    <n v="0"/>
    <n v="9.4201675946234733"/>
    <n v="1.3"/>
    <n v="1.325"/>
    <n v="1.25"/>
    <n v="2500"/>
    <n v="2500"/>
    <n v="830"/>
    <n v="2900"/>
    <n v="6295"/>
    <n v="19050"/>
    <n v="22050"/>
    <n v="172640"/>
    <n v="576375"/>
    <n v="629500"/>
    <n v="0"/>
    <n v="110250"/>
    <n v="1488765"/>
    <n v="5250"/>
    <n v="2804.8831618019231"/>
  </r>
  <r>
    <x v="6"/>
    <x v="6"/>
    <s v="7 (NOCHE)"/>
    <n v="19"/>
    <s v="FINAL TURNO 3"/>
    <n v="4290"/>
    <n v="2650"/>
    <n v="1200"/>
    <n v="245"/>
    <n v="175"/>
    <n v="16536"/>
    <n v="262.38805970149258"/>
    <n v="79"/>
    <n v="79"/>
    <n v="50"/>
    <n v="350"/>
    <n v="50"/>
    <n v="5"/>
    <n v="5"/>
    <n v="65"/>
    <n v="463.75"/>
    <n v="62.5"/>
    <n v="5"/>
    <n v="5"/>
    <n v="247.72468714448232"/>
    <n v="1767.4203640500566"/>
    <n v="238.19681456200223"/>
    <n v="19.055745164960179"/>
    <n v="19.055745164960179"/>
    <n v="1.3"/>
    <n v="1.325"/>
    <n v="1.25"/>
    <n v="2500"/>
    <n v="2500"/>
    <n v="830"/>
    <n v="2900"/>
    <n v="6295"/>
    <n v="19050"/>
    <n v="22050"/>
    <n v="53950"/>
    <n v="1344875"/>
    <n v="393437.5"/>
    <n v="95250"/>
    <n v="110250"/>
    <n v="1997762.5"/>
    <n v="5250"/>
    <n v="7613.7706200227522"/>
  </r>
  <r>
    <x v="6"/>
    <x v="6"/>
    <s v="8 (MAÑANA)"/>
    <n v="20"/>
    <s v="FINAL TURNO 1"/>
    <n v="4240"/>
    <n v="2300"/>
    <n v="1150"/>
    <n v="240"/>
    <n v="170"/>
    <n v="16539"/>
    <n v="180.92537313432837"/>
    <n v="82"/>
    <n v="82"/>
    <n v="90"/>
    <n v="150"/>
    <n v="50"/>
    <n v="0"/>
    <n v="5"/>
    <n v="117"/>
    <n v="198.75"/>
    <n v="62.5"/>
    <n v="0"/>
    <n v="5"/>
    <n v="646.67546609470378"/>
    <n v="1098.5192212506186"/>
    <n v="345.44629599076058"/>
    <n v="0"/>
    <n v="27.635703679260846"/>
    <n v="1.3"/>
    <n v="1.325"/>
    <n v="1.25"/>
    <n v="2500"/>
    <n v="2500"/>
    <n v="830"/>
    <n v="2900"/>
    <n v="6295"/>
    <n v="19050"/>
    <n v="22050"/>
    <n v="97110"/>
    <n v="576375"/>
    <n v="393437.5"/>
    <n v="0"/>
    <n v="110250"/>
    <n v="1177172.5"/>
    <n v="5250"/>
    <n v="6506.3980778749374"/>
  </r>
  <r>
    <x v="6"/>
    <x v="6"/>
    <s v="3(TARDE)"/>
    <n v="21"/>
    <s v="FINAL TURNO 2"/>
    <n v="4150"/>
    <n v="2000"/>
    <n v="1100"/>
    <n v="240"/>
    <n v="165"/>
    <n v="16541"/>
    <n v="432.31343283582089"/>
    <n v="78"/>
    <n v="78"/>
    <n v="120"/>
    <n v="200"/>
    <n v="40"/>
    <n v="0"/>
    <n v="5"/>
    <n v="156"/>
    <n v="265"/>
    <n v="50"/>
    <n v="0"/>
    <n v="5"/>
    <n v="360.84930088037288"/>
    <n v="612.98118418781291"/>
    <n v="115.65682720524771"/>
    <n v="0"/>
    <n v="11.565682720524771"/>
    <n v="1.3"/>
    <n v="1.325"/>
    <n v="1.25"/>
    <n v="2500"/>
    <n v="2500"/>
    <n v="830"/>
    <n v="2900"/>
    <n v="6295"/>
    <n v="19050"/>
    <n v="22050"/>
    <n v="129480"/>
    <n v="768500"/>
    <n v="314750"/>
    <n v="0"/>
    <n v="110250"/>
    <n v="1322980"/>
    <n v="5250"/>
    <n v="3060.2333851199724"/>
  </r>
  <r>
    <x v="7"/>
    <x v="7"/>
    <s v="8 (NOCHE)"/>
    <n v="22"/>
    <s v="FINAL TURNO 3"/>
    <n v="4030"/>
    <n v="2800"/>
    <n v="1060"/>
    <n v="240"/>
    <n v="160"/>
    <n v="16546"/>
    <n v="217.38805970149255"/>
    <n v="64"/>
    <n v="64"/>
    <n v="80"/>
    <n v="260"/>
    <n v="20"/>
    <n v="5"/>
    <n v="5"/>
    <n v="104"/>
    <n v="344.5"/>
    <n v="25"/>
    <n v="5"/>
    <n v="5"/>
    <n v="478.40714040508067"/>
    <n v="1584.7236525918297"/>
    <n v="115.00171644352901"/>
    <n v="23.0003432887058"/>
    <n v="23.0003432887058"/>
    <n v="1.3"/>
    <n v="1.325"/>
    <n v="1.25"/>
    <n v="2500"/>
    <n v="2500"/>
    <n v="830"/>
    <n v="2900"/>
    <n v="6295"/>
    <n v="19050"/>
    <n v="22050"/>
    <n v="86320"/>
    <n v="999050"/>
    <n v="157375"/>
    <n v="95250"/>
    <n v="110250"/>
    <n v="1448245"/>
    <n v="5250"/>
    <n v="6662.0264332303459"/>
  </r>
  <r>
    <x v="7"/>
    <x v="7"/>
    <s v="9 (MAÑANA)"/>
    <n v="23"/>
    <s v="FINAL TURNO 1"/>
    <n v="3950"/>
    <n v="2540"/>
    <n v="1040"/>
    <n v="235"/>
    <n v="155"/>
    <n v="16549"/>
    <n v="305.85074626865674"/>
    <n v="68"/>
    <n v="68"/>
    <n v="220"/>
    <n v="100"/>
    <n v="70"/>
    <n v="0"/>
    <n v="5"/>
    <n v="286"/>
    <n v="132.5"/>
    <n v="87.5"/>
    <n v="0"/>
    <n v="5"/>
    <n v="935.09662307241842"/>
    <n v="433.21784110872534"/>
    <n v="286.08725356236579"/>
    <n v="0"/>
    <n v="16.347843060706616"/>
    <n v="1.3"/>
    <n v="1.325"/>
    <n v="1.25"/>
    <n v="2500"/>
    <n v="2500"/>
    <n v="830"/>
    <n v="2900"/>
    <n v="6295"/>
    <n v="19050"/>
    <n v="22050"/>
    <n v="237380"/>
    <n v="384250"/>
    <n v="550812.5"/>
    <n v="0"/>
    <n v="110250"/>
    <n v="1282692.5"/>
    <n v="5250"/>
    <n v="4193.8511370290844"/>
  </r>
  <r>
    <x v="7"/>
    <x v="7"/>
    <s v="3(TARDE)"/>
    <n v="24"/>
    <s v="FINAL TURNO 2"/>
    <n v="3730"/>
    <n v="2440"/>
    <n v="970"/>
    <n v="235"/>
    <n v="150"/>
    <n v="16553"/>
    <n v="434.7761194029851"/>
    <n v="64"/>
    <n v="64"/>
    <n v="30"/>
    <n v="190"/>
    <n v="70"/>
    <n v="0"/>
    <n v="5"/>
    <n v="39"/>
    <n v="251.75"/>
    <n v="87.5"/>
    <n v="0"/>
    <n v="5"/>
    <n v="89.701338825952618"/>
    <n v="579.03364229316855"/>
    <n v="201.25300377617575"/>
    <n v="0"/>
    <n v="11.5001716443529"/>
    <n v="1.3"/>
    <n v="1.325"/>
    <n v="1.25"/>
    <n v="2500"/>
    <n v="2500"/>
    <n v="830"/>
    <n v="2900"/>
    <n v="6295"/>
    <n v="19050"/>
    <n v="22050"/>
    <n v="32370"/>
    <n v="730075"/>
    <n v="550812.5"/>
    <n v="0"/>
    <n v="110250"/>
    <n v="1423507.5"/>
    <n v="5250"/>
    <n v="3274.116117404737"/>
  </r>
  <r>
    <x v="8"/>
    <x v="8"/>
    <s v="9 (NOCHE)"/>
    <n v="25"/>
    <s v="FINAL TURNO 3"/>
    <n v="3700"/>
    <n v="2100"/>
    <n v="900"/>
    <n v="235"/>
    <n v="145"/>
    <n v="16559"/>
    <n v="235.38805970149255"/>
    <n v="70"/>
    <n v="70"/>
    <n v="60"/>
    <n v="180"/>
    <n v="50"/>
    <n v="5"/>
    <n v="5"/>
    <n v="78"/>
    <n v="238.5"/>
    <n v="62.5"/>
    <n v="5"/>
    <n v="5"/>
    <n v="331.36770020924479"/>
    <n v="1013.2204679474985"/>
    <n v="265.51899055227949"/>
    <n v="21.24151924418236"/>
    <n v="21.24151924418236"/>
    <n v="1.3"/>
    <n v="1.325"/>
    <n v="1.25"/>
    <n v="2500"/>
    <n v="2500"/>
    <n v="830"/>
    <n v="2900"/>
    <n v="6295"/>
    <n v="19050"/>
    <n v="22050"/>
    <n v="64740"/>
    <n v="691650"/>
    <n v="393437.5"/>
    <n v="95250"/>
    <n v="110250"/>
    <n v="1355327.5"/>
    <n v="5250"/>
    <n v="5757.8430346839132"/>
  </r>
  <r>
    <x v="8"/>
    <x v="8"/>
    <s v="10 (MAÑANA)"/>
    <n v="26"/>
    <s v="FINAL TURNO 1"/>
    <n v="3640"/>
    <n v="1920"/>
    <n v="850"/>
    <n v="230"/>
    <n v="140"/>
    <n v="16562"/>
    <n v="250.38805970149255"/>
    <n v="75"/>
    <n v="75"/>
    <n v="75"/>
    <n v="105"/>
    <n v="70"/>
    <n v="0"/>
    <n v="5"/>
    <n v="97.5"/>
    <n v="139.125"/>
    <n v="87.5"/>
    <n v="0"/>
    <n v="5"/>
    <n v="389.39556509298995"/>
    <n v="555.63751788268951"/>
    <n v="349.45755841678584"/>
    <n v="0"/>
    <n v="19.969003338102048"/>
    <n v="1.3"/>
    <n v="1.325"/>
    <n v="1.25"/>
    <n v="2500"/>
    <n v="2500"/>
    <n v="830"/>
    <n v="2900"/>
    <n v="6295"/>
    <n v="19050"/>
    <n v="22050"/>
    <n v="80925"/>
    <n v="403462.5"/>
    <n v="550812.5"/>
    <n v="0"/>
    <n v="110250"/>
    <n v="1145450"/>
    <n v="5250"/>
    <n v="4574.6989747257985"/>
  </r>
  <r>
    <x v="8"/>
    <x v="8"/>
    <s v="3(TARDE)"/>
    <n v="27"/>
    <s v="FINAL TURNO 2"/>
    <n v="3565"/>
    <n v="1665"/>
    <n v="780"/>
    <n v="230"/>
    <n v="135"/>
    <n v="16565"/>
    <n v="488.7761194029851"/>
    <n v="73"/>
    <n v="73"/>
    <n v="75"/>
    <n v="255"/>
    <n v="70"/>
    <n v="0"/>
    <n v="5"/>
    <n v="97.5"/>
    <n v="337.875"/>
    <n v="87.5"/>
    <n v="0"/>
    <n v="5"/>
    <n v="199.47783070721874"/>
    <n v="691.26740564309262"/>
    <n v="179.01856601929887"/>
    <n v="0"/>
    <n v="10.229632343959937"/>
    <n v="1.3"/>
    <n v="1.325"/>
    <n v="1.25"/>
    <n v="2500"/>
    <n v="2500"/>
    <n v="830"/>
    <n v="2900"/>
    <n v="6295"/>
    <n v="19050"/>
    <n v="22050"/>
    <n v="80925"/>
    <n v="979837.5"/>
    <n v="550812.5"/>
    <n v="0"/>
    <n v="110250"/>
    <n v="1721825"/>
    <n v="5250"/>
    <n v="3522.7273421277632"/>
  </r>
  <r>
    <x v="9"/>
    <x v="9"/>
    <s v="10 (NOCHE)"/>
    <n v="28"/>
    <s v="FINAL TURNO 3"/>
    <n v="3490"/>
    <n v="1410"/>
    <n v="710"/>
    <n v="230"/>
    <n v="130"/>
    <n v="16571"/>
    <n v="417.31343283582089"/>
    <n v="75"/>
    <n v="75"/>
    <n v="40"/>
    <n v="160"/>
    <n v="80"/>
    <n v="5"/>
    <n v="5"/>
    <n v="52"/>
    <n v="212"/>
    <n v="100"/>
    <n v="5"/>
    <n v="5"/>
    <n v="124.60658082975679"/>
    <n v="508.01144492131618"/>
    <n v="239.62804005722461"/>
    <n v="11.98140200286123"/>
    <n v="11.98140200286123"/>
    <n v="1.3"/>
    <n v="1.325"/>
    <n v="1.25"/>
    <n v="2500"/>
    <n v="2500"/>
    <n v="830"/>
    <n v="2900"/>
    <n v="6295"/>
    <n v="19050"/>
    <n v="22050"/>
    <n v="43160"/>
    <n v="614800"/>
    <n v="629500"/>
    <n v="95250"/>
    <n v="110250"/>
    <n v="1492960"/>
    <n v="5250"/>
    <n v="3577.5507868383406"/>
  </r>
  <r>
    <x v="9"/>
    <x v="9"/>
    <s v="11 (MAÑANA)"/>
    <n v="29"/>
    <s v="FINAL TURNO 1"/>
    <n v="3350"/>
    <n v="1250"/>
    <n v="630"/>
    <n v="225"/>
    <n v="125"/>
    <n v="16576"/>
    <n v="176.92537313432837"/>
    <n v="80"/>
    <n v="80"/>
    <n v="0"/>
    <n v="0"/>
    <n v="0"/>
    <n v="0"/>
    <n v="0"/>
    <n v="0"/>
    <n v="0"/>
    <n v="0"/>
    <n v="0"/>
    <n v="0"/>
    <n v="0"/>
    <n v="0"/>
    <n v="0"/>
    <n v="0"/>
    <n v="0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n v="0"/>
  </r>
  <r>
    <x v="9"/>
    <x v="9"/>
    <s v="3(TARDE)"/>
    <n v="30"/>
    <s v="FINAL TURNO 2"/>
    <n v="3350"/>
    <n v="1250"/>
    <n v="630"/>
    <n v="225"/>
    <n v="125"/>
    <n v="16578"/>
    <n v="0"/>
    <n v="0"/>
    <n v="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0"/>
    <x v="10"/>
    <s v="11 (NOCHE)"/>
    <n v="31"/>
    <s v="FINAL TURNO 3"/>
    <n v="3350"/>
    <n v="1250"/>
    <n v="630"/>
    <n v="225"/>
    <n v="125"/>
    <n v="16578"/>
    <n v="0"/>
    <n v="0"/>
    <n v="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0"/>
    <x v="10"/>
    <s v="12 (MAÑANA)"/>
    <n v="32"/>
    <s v="FINAL TURNO 1"/>
    <n v="3350"/>
    <n v="1250"/>
    <n v="630"/>
    <n v="225"/>
    <n v="125"/>
    <n v="16578"/>
    <n v="0"/>
    <n v="0"/>
    <n v="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0"/>
    <x v="10"/>
    <s v="3(TARDE)"/>
    <n v="33"/>
    <s v="FINAL TURNO 2"/>
    <n v="3350"/>
    <n v="1250"/>
    <n v="630"/>
    <n v="225"/>
    <n v="125"/>
    <n v="16578"/>
    <n v="0"/>
    <n v="0"/>
    <n v="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1"/>
    <x v="11"/>
    <s v="12 (NOCHE)"/>
    <n v="34"/>
    <s v="FINAL TURNO 3"/>
    <n v="3350"/>
    <n v="1250"/>
    <n v="630"/>
    <n v="225"/>
    <n v="125"/>
    <n v="16578"/>
    <n v="0"/>
    <n v="0"/>
    <n v="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1"/>
    <x v="11"/>
    <s v="13 (MAÑANA)"/>
    <n v="35"/>
    <s v="FINAL TURNO 1"/>
    <n v="3350"/>
    <n v="1250"/>
    <n v="630"/>
    <n v="225"/>
    <n v="125"/>
    <n v="16578"/>
    <n v="0"/>
    <n v="0"/>
    <n v="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1"/>
    <x v="11"/>
    <s v="3(TARDE)"/>
    <n v="36"/>
    <s v="FINAL TURNO 2"/>
    <n v="3350"/>
    <n v="1250"/>
    <n v="630"/>
    <n v="225"/>
    <n v="125"/>
    <n v="16578"/>
    <n v="0"/>
    <n v="0"/>
    <n v="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2"/>
    <x v="12"/>
    <s v="13 (NOCHE)"/>
    <n v="37"/>
    <s v="FINAL TURNO 3"/>
    <n v="3350"/>
    <n v="1250"/>
    <n v="630"/>
    <n v="225"/>
    <n v="125"/>
    <n v="16578"/>
    <n v="241.38805970149255"/>
    <n v="72"/>
    <n v="72"/>
    <n v="180"/>
    <n v="160"/>
    <n v="80"/>
    <n v="0"/>
    <n v="0"/>
    <n v="234"/>
    <n v="212"/>
    <n v="100"/>
    <n v="0"/>
    <n v="0"/>
    <n v="969.39343350027821"/>
    <n v="878.25387992332901"/>
    <n v="414.27069807704197"/>
    <n v="0"/>
    <n v="0"/>
    <n v="1.3"/>
    <n v="1.325"/>
    <n v="1.25"/>
    <n v="2500"/>
    <n v="2500"/>
    <n v="830"/>
    <n v="2900"/>
    <n v="6295"/>
    <n v="19050"/>
    <n v="22050"/>
    <n v="194220"/>
    <n v="614800"/>
    <n v="629500"/>
    <n v="0"/>
    <n v="0"/>
    <n v="1438520"/>
    <n v="5250"/>
    <n v="5959.3668459778637"/>
  </r>
  <r>
    <x v="12"/>
    <x v="12"/>
    <s v="14 (MAÑANA)"/>
    <n v="38"/>
    <s v="FINAL TURNO 1"/>
    <n v="3170"/>
    <n v="3940"/>
    <n v="550"/>
    <n v="225"/>
    <n v="125"/>
    <n v="16581"/>
    <n v="530.77611940298516"/>
    <n v="80"/>
    <n v="80"/>
    <n v="100"/>
    <n v="170"/>
    <n v="50"/>
    <n v="0"/>
    <n v="5"/>
    <n v="130"/>
    <n v="225.25"/>
    <n v="62.5"/>
    <n v="0"/>
    <n v="5"/>
    <n v="244.9243574602103"/>
    <n v="424.37855013778744"/>
    <n v="117.75209493279341"/>
    <n v="0"/>
    <n v="9.4201675946234733"/>
    <n v="1.3"/>
    <n v="1.325"/>
    <n v="1.25"/>
    <n v="2500"/>
    <n v="2500"/>
    <n v="830"/>
    <n v="2900"/>
    <n v="6295"/>
    <n v="19050"/>
    <n v="22050"/>
    <n v="107900"/>
    <n v="653225"/>
    <n v="393437.5"/>
    <n v="0"/>
    <n v="110250"/>
    <n v="1264812.5"/>
    <n v="5250"/>
    <n v="2382.9491451549402"/>
  </r>
  <r>
    <x v="12"/>
    <x v="12"/>
    <s v="3(TARDE)"/>
    <n v="39"/>
    <s v="FINAL TURNO 2"/>
    <n v="3070"/>
    <n v="3770"/>
    <n v="500"/>
    <n v="225"/>
    <n v="120"/>
    <n v="16587"/>
    <n v="707.70149253731347"/>
    <n v="80"/>
    <n v="80"/>
    <n v="190"/>
    <n v="320"/>
    <n v="110"/>
    <n v="5"/>
    <n v="5"/>
    <n v="247"/>
    <n v="424"/>
    <n v="137.5"/>
    <n v="5"/>
    <n v="5"/>
    <n v="349.01720938079973"/>
    <n v="599.1226590180529"/>
    <n v="194.29095663910914"/>
    <n v="7.0651256959676054"/>
    <n v="7.0651256959676054"/>
    <n v="1.3"/>
    <n v="1.325"/>
    <n v="1.25"/>
    <n v="2500"/>
    <n v="2500"/>
    <n v="830"/>
    <n v="2900"/>
    <n v="6295"/>
    <n v="19050"/>
    <n v="22050"/>
    <n v="205010"/>
    <n v="1229600"/>
    <n v="865562.5"/>
    <n v="95250"/>
    <n v="110250"/>
    <n v="2505672.5"/>
    <n v="5250"/>
    <n v="3540.5782330858779"/>
  </r>
  <r>
    <x v="13"/>
    <x v="13"/>
    <s v="14 (NOCHE)"/>
    <n v="40"/>
    <s v="FINAL TURNO 3"/>
    <n v="2780"/>
    <n v="3450"/>
    <n v="1000"/>
    <n v="220"/>
    <n v="115"/>
    <n v="16595"/>
    <n v="530.77611940298516"/>
    <n v="80"/>
    <n v="80"/>
    <n v="40"/>
    <n v="220"/>
    <n v="120"/>
    <n v="0"/>
    <n v="5"/>
    <n v="52"/>
    <n v="291.5"/>
    <n v="150"/>
    <n v="0"/>
    <n v="5"/>
    <n v="97.969742984084121"/>
    <n v="549.19577076654843"/>
    <n v="282.60502783870419"/>
    <n v="0"/>
    <n v="9.4201675946234733"/>
    <n v="1.3"/>
    <n v="1.325"/>
    <n v="1.25"/>
    <n v="2500"/>
    <n v="2500"/>
    <n v="830"/>
    <n v="2900"/>
    <n v="6295"/>
    <n v="19050"/>
    <n v="22050"/>
    <n v="43160"/>
    <n v="845350"/>
    <n v="944250"/>
    <n v="0"/>
    <n v="110250"/>
    <n v="1943010"/>
    <n v="5250"/>
    <n v="3660.6959676058709"/>
  </r>
  <r>
    <x v="13"/>
    <x v="13"/>
    <s v="15 (MAÑANA)"/>
    <n v="41"/>
    <s v="FINAL TURNO 1"/>
    <n v="2740"/>
    <n v="3230"/>
    <n v="880"/>
    <n v="220"/>
    <n v="110"/>
    <n v="16601"/>
    <n v="530.77611940298516"/>
    <n v="80"/>
    <n v="80"/>
    <n v="230"/>
    <n v="350"/>
    <n v="160"/>
    <n v="0"/>
    <n v="5"/>
    <n v="299"/>
    <n v="463.75"/>
    <n v="200"/>
    <n v="0"/>
    <n v="5"/>
    <n v="563.32602215848374"/>
    <n v="873.72054440132717"/>
    <n v="376.80670378493892"/>
    <n v="0"/>
    <n v="9.4201675946234733"/>
    <n v="1.3"/>
    <n v="1.325"/>
    <n v="1.25"/>
    <n v="2500"/>
    <n v="2500"/>
    <n v="830"/>
    <n v="2900"/>
    <n v="6295"/>
    <n v="19050"/>
    <n v="22050"/>
    <n v="248170"/>
    <n v="1344875"/>
    <n v="1259000"/>
    <n v="0"/>
    <n v="110250"/>
    <n v="2962295"/>
    <n v="5250"/>
    <n v="5581.0630729430286"/>
  </r>
  <r>
    <x v="13"/>
    <x v="13"/>
    <s v="3(TARDE)"/>
    <n v="42"/>
    <s v="FINAL TURNO 2"/>
    <n v="2510"/>
    <n v="2720"/>
    <n v="720"/>
    <n v="220"/>
    <n v="105"/>
    <n v="16607"/>
    <n v="707.70149253731347"/>
    <n v="80"/>
    <n v="80"/>
    <n v="10"/>
    <n v="110"/>
    <n v="70"/>
    <n v="5"/>
    <n v="5"/>
    <n v="13"/>
    <n v="145.75"/>
    <n v="87.5"/>
    <n v="5"/>
    <n v="5"/>
    <n v="18.369326809515773"/>
    <n v="205.94841403745571"/>
    <n v="123.63969967943309"/>
    <n v="7.0651256959676054"/>
    <n v="7.0651256959676054"/>
    <n v="1.3"/>
    <n v="1.325"/>
    <n v="1.25"/>
    <n v="2500"/>
    <n v="2500"/>
    <n v="830"/>
    <n v="2900"/>
    <n v="6295"/>
    <n v="19050"/>
    <n v="22050"/>
    <n v="10790"/>
    <n v="422675"/>
    <n v="550812.5"/>
    <n v="95250"/>
    <n v="110250"/>
    <n v="1189777.5"/>
    <n v="5250"/>
    <n v="1681.1855175468195"/>
  </r>
  <r>
    <x v="14"/>
    <x v="14"/>
    <s v="15 (NOCHE)"/>
    <n v="43"/>
    <s v="FINAL TURNO 3"/>
    <n v="2500"/>
    <n v="2610"/>
    <n v="650"/>
    <n v="215"/>
    <n v="100"/>
    <n v="16615"/>
    <n v="619.23880597014931"/>
    <n v="80"/>
    <n v="80"/>
    <n v="50"/>
    <n v="270"/>
    <n v="50"/>
    <n v="0"/>
    <n v="5"/>
    <n v="65"/>
    <n v="357.75"/>
    <n v="62.5"/>
    <n v="0"/>
    <n v="5"/>
    <n v="104.96758176866156"/>
    <n v="577.72542119597961"/>
    <n v="100.9303670852515"/>
    <n v="0"/>
    <n v="8.0744293668201195"/>
    <n v="1.3"/>
    <n v="1.325"/>
    <n v="1.25"/>
    <n v="2500"/>
    <n v="2500"/>
    <n v="830"/>
    <n v="2900"/>
    <n v="6295"/>
    <n v="19050"/>
    <n v="22050"/>
    <n v="53950"/>
    <n v="1037475"/>
    <n v="393437.5"/>
    <n v="0"/>
    <n v="110250"/>
    <n v="1595112.5"/>
    <n v="5250"/>
    <n v="2575.9246426763716"/>
  </r>
  <r>
    <x v="14"/>
    <x v="14"/>
    <s v="16 (MAÑANA)"/>
    <n v="44"/>
    <s v="FINAL TURNO 1"/>
    <n v="2450"/>
    <n v="2340"/>
    <n v="600"/>
    <n v="215"/>
    <n v="95"/>
    <n v="16622"/>
    <n v="619.23880597014931"/>
    <n v="80"/>
    <n v="80"/>
    <n v="30"/>
    <n v="190"/>
    <n v="70"/>
    <n v="0"/>
    <n v="5"/>
    <n v="39"/>
    <n v="251.75"/>
    <n v="87.5"/>
    <n v="0"/>
    <n v="5"/>
    <n v="62.980549061196939"/>
    <n v="406.54751861939303"/>
    <n v="141.30251391935209"/>
    <n v="0"/>
    <n v="8.0744293668201195"/>
    <n v="1.3"/>
    <n v="1.325"/>
    <n v="1.25"/>
    <n v="2500"/>
    <n v="2500"/>
    <n v="830"/>
    <n v="2900"/>
    <n v="6295"/>
    <n v="19050"/>
    <n v="22050"/>
    <n v="32370"/>
    <n v="730075"/>
    <n v="550812.5"/>
    <n v="0"/>
    <n v="110250"/>
    <n v="1423507.5"/>
    <n v="5250"/>
    <n v="2298.8021523777384"/>
  </r>
  <r>
    <x v="14"/>
    <x v="14"/>
    <s v="3(TARDE)"/>
    <n v="45"/>
    <s v="FINAL TURNO 2"/>
    <n v="2420"/>
    <n v="2150"/>
    <n v="530"/>
    <n v="215"/>
    <n v="90"/>
    <n v="16629"/>
    <n v="530.77611940298516"/>
    <n v="80"/>
    <n v="80"/>
    <n v="120"/>
    <n v="150"/>
    <n v="30"/>
    <n v="5"/>
    <n v="5"/>
    <n v="156"/>
    <n v="198.75"/>
    <n v="37.5"/>
    <n v="5"/>
    <n v="5"/>
    <n v="293.90922895225236"/>
    <n v="374.45166188628303"/>
    <n v="70.651256959676047"/>
    <n v="9.4201675946234733"/>
    <n v="9.4201675946234733"/>
    <n v="1.3"/>
    <n v="1.325"/>
    <n v="1.25"/>
    <n v="2500"/>
    <n v="2500"/>
    <n v="830"/>
    <n v="2900"/>
    <n v="6295"/>
    <n v="19050"/>
    <n v="22050"/>
    <n v="129480"/>
    <n v="576375"/>
    <n v="236062.5"/>
    <n v="95250"/>
    <n v="110250"/>
    <n v="1147417.5"/>
    <n v="5250"/>
    <n v="2161.7730302007758"/>
  </r>
  <r>
    <x v="15"/>
    <x v="15"/>
    <s v="16 (NOCHE)"/>
    <n v="46"/>
    <s v="FINAL TURNO 3"/>
    <n v="2300"/>
    <n v="2000"/>
    <n v="500"/>
    <n v="210"/>
    <n v="85"/>
    <n v="16635"/>
    <n v="542.77611940298516"/>
    <n v="82"/>
    <n v="82"/>
    <n v="100"/>
    <n v="180"/>
    <n v="50"/>
    <n v="0"/>
    <n v="5"/>
    <n v="130"/>
    <n v="238.5"/>
    <n v="62.5"/>
    <n v="0"/>
    <n v="5"/>
    <n v="239.5094318869273"/>
    <n v="439.40768850024739"/>
    <n v="115.14876533025351"/>
    <n v="0"/>
    <n v="9.2119012264202809"/>
    <n v="1.3"/>
    <n v="1.325"/>
    <n v="1.25"/>
    <n v="2500"/>
    <n v="2500"/>
    <n v="830"/>
    <n v="2900"/>
    <n v="6295"/>
    <n v="19050"/>
    <n v="22050"/>
    <n v="107900"/>
    <n v="691650"/>
    <n v="393437.5"/>
    <n v="0"/>
    <n v="110250"/>
    <n v="1303237.5"/>
    <n v="5250"/>
    <n v="2401.0590249133802"/>
  </r>
  <r>
    <x v="15"/>
    <x v="15"/>
    <s v="17 (MAÑANA)"/>
    <n v="47"/>
    <s v="FINAL TURNO 1"/>
    <n v="2100"/>
    <n v="1820"/>
    <n v="450"/>
    <n v="210"/>
    <n v="80"/>
    <n v="16641"/>
    <n v="530.77611940298516"/>
    <n v="80"/>
    <n v="80"/>
    <n v="40"/>
    <n v="220"/>
    <n v="100"/>
    <n v="0"/>
    <n v="5"/>
    <n v="52"/>
    <n v="291.5"/>
    <n v="125"/>
    <n v="0"/>
    <n v="5"/>
    <n v="97.969742984084121"/>
    <n v="549.19577076654843"/>
    <n v="235.50418986558682"/>
    <n v="0"/>
    <n v="9.4201675946234733"/>
    <n v="1.3"/>
    <n v="1.325"/>
    <n v="1.25"/>
    <n v="2500"/>
    <n v="2500"/>
    <n v="830"/>
    <n v="2900"/>
    <n v="6295"/>
    <n v="19050"/>
    <n v="22050"/>
    <n v="43160"/>
    <n v="845350"/>
    <n v="786875"/>
    <n v="0"/>
    <n v="110250"/>
    <n v="1785635"/>
    <n v="5250"/>
    <n v="3364.1961925650971"/>
  </r>
  <r>
    <x v="15"/>
    <x v="15"/>
    <s v="3(TARDE)"/>
    <n v="48"/>
    <s v="FINAL TURNO 2"/>
    <n v="2060"/>
    <n v="1600"/>
    <n v="350"/>
    <n v="210"/>
    <n v="75"/>
    <n v="16647"/>
    <n v="357.85074626865674"/>
    <n v="81"/>
    <n v="81"/>
    <n v="70"/>
    <n v="200"/>
    <n v="40"/>
    <n v="5"/>
    <n v="5"/>
    <n v="91"/>
    <n v="265"/>
    <n v="50"/>
    <n v="5"/>
    <n v="5"/>
    <n v="254.29596262929596"/>
    <n v="740.53219886553211"/>
    <n v="139.72305638972304"/>
    <n v="13.972305638972305"/>
    <n v="13.972305638972305"/>
    <n v="1.3"/>
    <n v="1.325"/>
    <n v="1.25"/>
    <n v="2500"/>
    <n v="2500"/>
    <n v="830"/>
    <n v="2900"/>
    <n v="6295"/>
    <n v="19050"/>
    <n v="22050"/>
    <n v="75530"/>
    <n v="768500"/>
    <n v="314750"/>
    <n v="95250"/>
    <n v="110250"/>
    <n v="1364280"/>
    <n v="5250"/>
    <n v="3812.4274274274271"/>
  </r>
  <r>
    <x v="16"/>
    <x v="16"/>
    <s v="17 (NOCHE)"/>
    <n v="49"/>
    <s v="FINAL TURNO 3"/>
    <n v="1990"/>
    <n v="1400"/>
    <n v="310"/>
    <n v="205"/>
    <n v="70"/>
    <n v="16651"/>
    <n v="691.70149253731347"/>
    <n v="78"/>
    <n v="78"/>
    <n v="90"/>
    <n v="30"/>
    <n v="20"/>
    <n v="0"/>
    <n v="5"/>
    <n v="117"/>
    <n v="39.75"/>
    <n v="25"/>
    <n v="0"/>
    <n v="5"/>
    <n v="169.14810978767477"/>
    <n v="57.466986017607454"/>
    <n v="36.142758501639911"/>
    <n v="0"/>
    <n v="7.2285517003279818"/>
    <n v="1.3"/>
    <n v="1.325"/>
    <n v="1.25"/>
    <n v="2500"/>
    <n v="2500"/>
    <n v="830"/>
    <n v="2900"/>
    <n v="6295"/>
    <n v="19050"/>
    <n v="22050"/>
    <n v="97110"/>
    <n v="115275"/>
    <n v="157375"/>
    <n v="0"/>
    <n v="110250"/>
    <n v="480010"/>
    <n v="5250"/>
    <n v="693.95542033488687"/>
  </r>
  <r>
    <x v="16"/>
    <x v="16"/>
    <s v="18 (MAÑANA)"/>
    <n v="50"/>
    <s v="FINAL TURNO 1"/>
    <n v="1900"/>
    <n v="1370"/>
    <n v="290"/>
    <n v="205"/>
    <n v="65"/>
    <n v="16659"/>
    <n v="353.85074626865674"/>
    <n v="80"/>
    <n v="80"/>
    <n v="80"/>
    <n v="110"/>
    <n v="20"/>
    <n v="5"/>
    <n v="5"/>
    <n v="104"/>
    <n v="145.75"/>
    <n v="25"/>
    <n v="5"/>
    <n v="5"/>
    <n v="293.90922895225236"/>
    <n v="411.89682807491141"/>
    <n v="70.651256959676061"/>
    <n v="14.130251391935211"/>
    <n v="14.130251391935211"/>
    <n v="1.3"/>
    <n v="1.325"/>
    <n v="1.25"/>
    <n v="2500"/>
    <n v="2500"/>
    <n v="830"/>
    <n v="2900"/>
    <n v="6295"/>
    <n v="19050"/>
    <n v="22050"/>
    <n v="86320"/>
    <n v="422675"/>
    <n v="157375"/>
    <n v="95250"/>
    <n v="110250"/>
    <n v="871870"/>
    <n v="5250"/>
    <n v="2463.9484562173106"/>
  </r>
  <r>
    <x v="16"/>
    <x v="16"/>
    <s v="3(TARDE)"/>
    <n v="51"/>
    <s v="FINAL TURNO 2"/>
    <n v="1820"/>
    <n v="1080"/>
    <n v="270"/>
    <n v="200"/>
    <n v="60"/>
    <n v="16663"/>
    <n v="176.92537313432837"/>
    <n v="80"/>
    <n v="80"/>
    <n v="20"/>
    <n v="20"/>
    <n v="20"/>
    <n v="0"/>
    <n v="0"/>
    <n v="26"/>
    <n v="26.5"/>
    <n v="25"/>
    <n v="0"/>
    <n v="0"/>
    <n v="146.95461447612618"/>
    <n v="149.78066475451323"/>
    <n v="141.30251391935212"/>
    <n v="0"/>
    <n v="0"/>
    <n v="1.3"/>
    <n v="1.325"/>
    <n v="1.25"/>
    <n v="2500"/>
    <n v="2500"/>
    <n v="830"/>
    <n v="2900"/>
    <n v="6295"/>
    <n v="19050"/>
    <n v="22050"/>
    <n v="21580"/>
    <n v="76850"/>
    <n v="157375"/>
    <n v="0"/>
    <n v="0"/>
    <n v="255805"/>
    <n v="5250"/>
    <n v="1445.8355829255947"/>
  </r>
  <r>
    <x v="17"/>
    <x v="17"/>
    <s v="18 (NOCHE)"/>
    <n v="52"/>
    <s v="FINAL TURNO 3"/>
    <n v="2800"/>
    <n v="4060"/>
    <n v="1250"/>
    <n v="250"/>
    <n v="110"/>
    <n v="16665"/>
    <n v="0"/>
    <n v="0"/>
    <n v="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7"/>
    <x v="17"/>
    <s v="19 (MAÑANA)"/>
    <n v="53"/>
    <s v="FINAL TURNO 1"/>
    <n v="2800"/>
    <n v="4060"/>
    <n v="1250"/>
    <n v="250"/>
    <n v="110"/>
    <n v="16665"/>
    <n v="0"/>
    <n v="0"/>
    <n v="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7"/>
    <x v="17"/>
    <s v="3(TARDE)"/>
    <n v="54"/>
    <s v="FINAL TURNO 2"/>
    <n v="2800"/>
    <n v="4060"/>
    <n v="1250"/>
    <n v="250"/>
    <n v="110"/>
    <n v="16665"/>
    <n v="0"/>
    <n v="0"/>
    <n v="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8"/>
    <x v="18"/>
    <s v="19 (NOCHE)"/>
    <n v="55"/>
    <s v="FINAL TURNO 3"/>
    <n v="2800"/>
    <n v="4060"/>
    <n v="1250"/>
    <n v="250"/>
    <n v="110"/>
    <n v="16665"/>
    <n v="530.77611940298516"/>
    <n v="80"/>
    <n v="80"/>
    <n v="90"/>
    <n v="220"/>
    <n v="150"/>
    <n v="0"/>
    <n v="5"/>
    <n v="117"/>
    <n v="291.5"/>
    <n v="187.5"/>
    <n v="0"/>
    <n v="5"/>
    <n v="220.43192171418926"/>
    <n v="549.19577076654843"/>
    <n v="353.25628479838025"/>
    <n v="0"/>
    <n v="9.4201675946234733"/>
    <n v="1.3"/>
    <n v="1.325"/>
    <n v="1.25"/>
    <n v="2500"/>
    <n v="2500"/>
    <n v="830"/>
    <n v="2900"/>
    <n v="6295"/>
    <n v="19050"/>
    <n v="22050"/>
    <n v="97110"/>
    <n v="845350"/>
    <n v="1180312.5"/>
    <n v="0"/>
    <n v="110250"/>
    <n v="2233022.5"/>
    <n v="5250"/>
    <n v="4207.0892385130192"/>
  </r>
  <r>
    <x v="18"/>
    <x v="18"/>
    <s v="20 (MAÑANA)"/>
    <n v="56"/>
    <s v="FINAL TURNO 1"/>
    <n v="2710"/>
    <n v="3840"/>
    <n v="1100"/>
    <n v="250"/>
    <n v="105"/>
    <n v="16671"/>
    <n v="619.23880597014931"/>
    <n v="80"/>
    <n v="80"/>
    <n v="100"/>
    <n v="240"/>
    <n v="10"/>
    <n v="0"/>
    <n v="5"/>
    <n v="130"/>
    <n v="318"/>
    <n v="12.5"/>
    <n v="0"/>
    <n v="5"/>
    <n v="209.93516353732312"/>
    <n v="513.53370772975961"/>
    <n v="20.186073417050302"/>
    <n v="0"/>
    <n v="8.0744293668201195"/>
    <n v="1.3"/>
    <n v="1.325"/>
    <n v="1.25"/>
    <n v="2500"/>
    <n v="2500"/>
    <n v="830"/>
    <n v="2900"/>
    <n v="6295"/>
    <n v="19050"/>
    <n v="22050"/>
    <n v="107900"/>
    <n v="922200"/>
    <n v="78687.5"/>
    <n v="0"/>
    <n v="110250"/>
    <n v="1219037.5"/>
    <n v="5250"/>
    <n v="1968.6064378509964"/>
  </r>
  <r>
    <x v="18"/>
    <x v="18"/>
    <s v="3(TARDE)"/>
    <n v="57"/>
    <s v="FINAL TURNO 2"/>
    <n v="2610"/>
    <n v="3600"/>
    <n v="1090"/>
    <n v="250"/>
    <n v="100"/>
    <n v="16678"/>
    <n v="707.70149253731347"/>
    <n v="80"/>
    <n v="80"/>
    <n v="110"/>
    <n v="150"/>
    <n v="90"/>
    <n v="5"/>
    <n v="5"/>
    <n v="143"/>
    <n v="198.75"/>
    <n v="112.5"/>
    <n v="5"/>
    <n v="5"/>
    <n v="202.06259490467352"/>
    <n v="280.83874641471232"/>
    <n v="158.96532815927111"/>
    <n v="7.0651256959676054"/>
    <n v="7.0651256959676054"/>
    <n v="1.3"/>
    <n v="1.325"/>
    <n v="1.25"/>
    <n v="2500"/>
    <n v="2500"/>
    <n v="830"/>
    <n v="2900"/>
    <n v="6295"/>
    <n v="19050"/>
    <n v="22050"/>
    <n v="118690"/>
    <n v="576375"/>
    <n v="708187.5"/>
    <n v="95250"/>
    <n v="110250"/>
    <n v="1608752.5"/>
    <n v="5250"/>
    <n v="2273.2077252404251"/>
  </r>
  <r>
    <x v="19"/>
    <x v="19"/>
    <s v="20 (NOCHE)"/>
    <n v="58"/>
    <s v="FINAL TURNO 3"/>
    <n v="2500"/>
    <n v="3450"/>
    <n v="1000"/>
    <n v="245"/>
    <n v="95"/>
    <n v="16686"/>
    <n v="707.70149253731347"/>
    <n v="80"/>
    <n v="80"/>
    <n v="100"/>
    <n v="250"/>
    <n v="0"/>
    <n v="5"/>
    <n v="0"/>
    <n v="130"/>
    <n v="331.25"/>
    <n v="0"/>
    <n v="5"/>
    <n v="0"/>
    <n v="183.69326809515775"/>
    <n v="468.06457735785386"/>
    <n v="0"/>
    <n v="7.0651256959676054"/>
    <n v="0"/>
    <n v="1.3"/>
    <n v="1.325"/>
    <n v="1.25"/>
    <n v="2500"/>
    <n v="2500"/>
    <n v="830"/>
    <n v="2900"/>
    <n v="6295"/>
    <n v="19050"/>
    <n v="22050"/>
    <n v="107900"/>
    <n v="960625"/>
    <n v="0"/>
    <n v="95250"/>
    <n v="0"/>
    <n v="1163775"/>
    <n v="5250"/>
    <n v="1644.4433313649399"/>
  </r>
  <r>
    <x v="19"/>
    <x v="19"/>
    <s v="21 (MAÑANA)"/>
    <n v="59"/>
    <s v="FINAL TURNO 1"/>
    <n v="2400"/>
    <n v="3000"/>
    <n v="1000"/>
    <n v="240"/>
    <n v="95"/>
    <n v="16694"/>
    <n v="353.85074626865674"/>
    <n v="80"/>
    <n v="80"/>
    <n v="100"/>
    <n v="300"/>
    <n v="10"/>
    <n v="5"/>
    <n v="5"/>
    <n v="130"/>
    <n v="397.5"/>
    <n v="12.5"/>
    <n v="5"/>
    <n v="5"/>
    <n v="367.3865361903155"/>
    <n v="1123.3549856588493"/>
    <n v="35.325628479838031"/>
    <n v="14.130251391935211"/>
    <n v="14.130251391935211"/>
    <n v="1.3"/>
    <n v="1.325"/>
    <n v="1.25"/>
    <n v="2500"/>
    <n v="2500"/>
    <n v="830"/>
    <n v="2900"/>
    <n v="6295"/>
    <n v="19050"/>
    <n v="22050"/>
    <n v="107900"/>
    <n v="1152750"/>
    <n v="78687.5"/>
    <n v="95250"/>
    <n v="110250"/>
    <n v="1544837.5"/>
    <n v="5250"/>
    <n v="4365.7884469377423"/>
  </r>
  <r>
    <x v="19"/>
    <x v="19"/>
    <s v="3(TARDE)"/>
    <n v="60"/>
    <s v="FINAL TURNO 2"/>
    <n v="2300"/>
    <n v="2700"/>
    <n v="990"/>
    <n v="235"/>
    <n v="90"/>
    <n v="16698"/>
    <n v="530.77611940298516"/>
    <n v="80"/>
    <n v="80"/>
    <n v="100"/>
    <n v="150"/>
    <n v="30"/>
    <n v="0"/>
    <n v="5"/>
    <n v="130"/>
    <n v="198.75"/>
    <n v="37.5"/>
    <n v="0"/>
    <n v="5"/>
    <n v="244.9243574602103"/>
    <n v="374.45166188628303"/>
    <n v="70.651256959676047"/>
    <n v="0"/>
    <n v="9.4201675946234733"/>
    <n v="1.3"/>
    <n v="1.325"/>
    <n v="1.25"/>
    <n v="2500"/>
    <n v="2500"/>
    <n v="830"/>
    <n v="2900"/>
    <n v="6295"/>
    <n v="19050"/>
    <n v="22050"/>
    <n v="107900"/>
    <n v="576375"/>
    <n v="236062.5"/>
    <n v="0"/>
    <n v="110250"/>
    <n v="1030587.5"/>
    <n v="5250"/>
    <n v="1941.6613941848036"/>
  </r>
  <r>
    <x v="20"/>
    <x v="20"/>
    <s v="21 (NOCHE)"/>
    <n v="61"/>
    <s v="FINAL TURNO 3"/>
    <n v="2200"/>
    <n v="2550"/>
    <n v="960"/>
    <n v="235"/>
    <n v="85"/>
    <n v="16704"/>
    <n v="619.23880597014931"/>
    <n v="80"/>
    <n v="80"/>
    <n v="100"/>
    <n v="160"/>
    <n v="110"/>
    <n v="5"/>
    <n v="5"/>
    <n v="130"/>
    <n v="212"/>
    <n v="137.5"/>
    <n v="5"/>
    <n v="5"/>
    <n v="209.93516353732312"/>
    <n v="342.35580515317309"/>
    <n v="222.0468075875533"/>
    <n v="8.0744293668201195"/>
    <n v="8.0744293668201195"/>
    <n v="1.3"/>
    <n v="1.325"/>
    <n v="1.25"/>
    <n v="2500"/>
    <n v="2500"/>
    <n v="830"/>
    <n v="2900"/>
    <n v="6295"/>
    <n v="19050"/>
    <n v="22050"/>
    <n v="107900"/>
    <n v="614800"/>
    <n v="865562.5"/>
    <n v="95250"/>
    <n v="110250"/>
    <n v="1793762.5"/>
    <n v="5250"/>
    <n v="2896.7217214201351"/>
  </r>
  <r>
    <x v="20"/>
    <x v="20"/>
    <s v="22 (MAÑANA)"/>
    <n v="62"/>
    <s v="FINAL TURNO 1"/>
    <n v="2100"/>
    <n v="2390"/>
    <n v="850"/>
    <n v="230"/>
    <n v="80"/>
    <n v="16711"/>
    <n v="530.77611940298516"/>
    <n v="80"/>
    <n v="80"/>
    <n v="20"/>
    <n v="190"/>
    <n v="50"/>
    <n v="0"/>
    <n v="5"/>
    <n v="26"/>
    <n v="251.75"/>
    <n v="62.5"/>
    <n v="0"/>
    <n v="5"/>
    <n v="48.98487149204206"/>
    <n v="474.30543838929185"/>
    <n v="117.75209493279341"/>
    <n v="0"/>
    <n v="9.4201675946234733"/>
    <n v="1.3"/>
    <n v="1.325"/>
    <n v="1.25"/>
    <n v="2500"/>
    <n v="2500"/>
    <n v="830"/>
    <n v="2900"/>
    <n v="6295"/>
    <n v="19050"/>
    <n v="22050"/>
    <n v="21580"/>
    <n v="730075"/>
    <n v="393437.5"/>
    <n v="0"/>
    <n v="110250"/>
    <n v="1255342.5"/>
    <n v="5250"/>
    <n v="2365.1073477307236"/>
  </r>
  <r>
    <x v="20"/>
    <x v="20"/>
    <s v="3(TARDE)"/>
    <n v="63"/>
    <s v="FINAL TURNO 2"/>
    <n v="2080"/>
    <n v="2200"/>
    <n v="800"/>
    <n v="230"/>
    <n v="75"/>
    <n v="16717"/>
    <n v="442.31343283582089"/>
    <n v="80"/>
    <n v="80"/>
    <n v="80"/>
    <n v="150"/>
    <n v="50"/>
    <n v="5"/>
    <n v="5"/>
    <n v="104"/>
    <n v="198.75"/>
    <n v="62.5"/>
    <n v="5"/>
    <n v="5"/>
    <n v="235.12738316180193"/>
    <n v="449.34199426353973"/>
    <n v="141.30251391935212"/>
    <n v="11.304201113548169"/>
    <n v="11.304201113548169"/>
    <n v="1.3"/>
    <n v="1.325"/>
    <n v="1.25"/>
    <n v="2500"/>
    <n v="2500"/>
    <n v="830"/>
    <n v="2900"/>
    <n v="6295"/>
    <n v="19050"/>
    <n v="22050"/>
    <n v="86320"/>
    <n v="576375"/>
    <n v="393437.5"/>
    <n v="95250"/>
    <n v="110250"/>
    <n v="1261632.5"/>
    <n v="5250"/>
    <n v="2852.3495022777124"/>
  </r>
  <r>
    <x v="21"/>
    <x v="21"/>
    <s v="22 (NOCHE)"/>
    <n v="64"/>
    <s v="FINAL TURNO 3"/>
    <n v="3000"/>
    <n v="4900"/>
    <n v="1750"/>
    <n v="225"/>
    <n v="70"/>
    <n v="16722"/>
    <n v="442.31343283582089"/>
    <n v="80"/>
    <n v="80"/>
    <n v="40"/>
    <n v="300"/>
    <n v="110"/>
    <n v="0"/>
    <n v="5"/>
    <n v="52"/>
    <n v="397.5"/>
    <n v="137.5"/>
    <n v="0"/>
    <n v="5"/>
    <n v="117.56369158090097"/>
    <n v="898.68398852707946"/>
    <n v="310.86553062257468"/>
    <n v="0"/>
    <n v="11.304201113548169"/>
    <n v="1.3"/>
    <n v="1.325"/>
    <n v="1.25"/>
    <n v="2500"/>
    <n v="2500"/>
    <n v="830"/>
    <n v="2900"/>
    <n v="6295"/>
    <n v="19050"/>
    <n v="22050"/>
    <n v="43160"/>
    <n v="1152750"/>
    <n v="865562.5"/>
    <n v="0"/>
    <n v="110250"/>
    <n v="2171722.5"/>
    <n v="5250"/>
    <n v="4909.9175805635232"/>
  </r>
  <r>
    <x v="21"/>
    <x v="21"/>
    <s v="23 (MAÑANA)"/>
    <n v="65"/>
    <s v="FINAL TURNO 1"/>
    <n v="2860"/>
    <n v="4600"/>
    <n v="1640"/>
    <n v="225"/>
    <n v="65"/>
    <n v="16727"/>
    <n v="619.23880597014931"/>
    <n v="80"/>
    <n v="80"/>
    <n v="100"/>
    <n v="220"/>
    <n v="70"/>
    <n v="5"/>
    <n v="5"/>
    <n v="130"/>
    <n v="291.5"/>
    <n v="87.5"/>
    <n v="5"/>
    <n v="5"/>
    <n v="209.93516353732312"/>
    <n v="470.73923208561303"/>
    <n v="141.30251391935209"/>
    <n v="8.0744293668201195"/>
    <n v="8.0744293668201195"/>
    <n v="1.3"/>
    <n v="1.325"/>
    <n v="1.25"/>
    <n v="2500"/>
    <n v="2500"/>
    <n v="830"/>
    <n v="2900"/>
    <n v="6295"/>
    <n v="19050"/>
    <n v="22050"/>
    <n v="107900"/>
    <n v="845350"/>
    <n v="550812.5"/>
    <n v="95250"/>
    <n v="110250"/>
    <n v="1709562.5"/>
    <n v="5250"/>
    <n v="2760.7483308828841"/>
  </r>
  <r>
    <x v="21"/>
    <x v="21"/>
    <s v="3(TARDE)"/>
    <n v="66"/>
    <s v="FINAL TURNO 2"/>
    <n v="2760"/>
    <n v="4380"/>
    <n v="1570"/>
    <n v="220"/>
    <n v="60"/>
    <n v="16734"/>
    <n v="530.77611940298516"/>
    <n v="80"/>
    <n v="80"/>
    <n v="20"/>
    <n v="280"/>
    <n v="60"/>
    <n v="0"/>
    <n v="5"/>
    <n v="26"/>
    <n v="371"/>
    <n v="75"/>
    <n v="0"/>
    <n v="5"/>
    <n v="48.98487149204206"/>
    <n v="698.97643552106172"/>
    <n v="141.30251391935209"/>
    <n v="0"/>
    <n v="9.4201675946234733"/>
    <n v="1.3"/>
    <n v="1.325"/>
    <n v="1.25"/>
    <n v="2500"/>
    <n v="2500"/>
    <n v="830"/>
    <n v="2900"/>
    <n v="6295"/>
    <n v="19050"/>
    <n v="22050"/>
    <n v="21580"/>
    <n v="1075900"/>
    <n v="472125"/>
    <n v="0"/>
    <n v="110250"/>
    <n v="1679855"/>
    <n v="5250"/>
    <n v="3164.9031269332427"/>
  </r>
  <r>
    <x v="22"/>
    <x v="22"/>
    <s v="23 (NOCHE)"/>
    <n v="67"/>
    <s v="FINAL TURNO 3"/>
    <n v="2740"/>
    <n v="4100"/>
    <n v="1510"/>
    <n v="220"/>
    <n v="55"/>
    <n v="16740"/>
    <n v="265.38805970149258"/>
    <n v="80"/>
    <n v="80"/>
    <n v="0"/>
    <n v="190"/>
    <n v="10"/>
    <n v="5"/>
    <n v="5"/>
    <n v="0"/>
    <n v="251.75"/>
    <n v="12.5"/>
    <n v="5"/>
    <n v="5"/>
    <n v="0"/>
    <n v="948.6108767785837"/>
    <n v="47.100837973117365"/>
    <n v="18.840335189246947"/>
    <n v="18.840335189246947"/>
    <n v="1.3"/>
    <n v="1.325"/>
    <n v="1.25"/>
    <n v="2500"/>
    <n v="2500"/>
    <n v="830"/>
    <n v="2900"/>
    <n v="6295"/>
    <n v="19050"/>
    <n v="22050"/>
    <n v="0"/>
    <n v="730075"/>
    <n v="78687.5"/>
    <n v="95250"/>
    <n v="110250"/>
    <n v="1014262.5"/>
    <n v="5250"/>
    <n v="3821.8090939767162"/>
  </r>
  <r>
    <x v="22"/>
    <x v="22"/>
    <s v="24 (MAÑANA)"/>
    <n v="68"/>
    <s v="FINAL TURNO 1"/>
    <n v="2740"/>
    <n v="3910"/>
    <n v="1500"/>
    <n v="215"/>
    <n v="50"/>
    <n v="16743"/>
    <n v="176.92537313432837"/>
    <n v="80"/>
    <n v="80"/>
    <n v="0"/>
    <n v="90"/>
    <n v="20"/>
    <n v="0"/>
    <n v="5"/>
    <n v="0"/>
    <n v="119.25"/>
    <n v="25"/>
    <n v="0"/>
    <n v="5"/>
    <n v="0"/>
    <n v="674.01299139530954"/>
    <n v="141.30251391935212"/>
    <n v="0"/>
    <n v="28.260502783870422"/>
    <n v="1.3"/>
    <n v="1.325"/>
    <n v="1.25"/>
    <n v="2500"/>
    <n v="2500"/>
    <n v="830"/>
    <n v="2900"/>
    <n v="6295"/>
    <n v="19050"/>
    <n v="22050"/>
    <n v="0"/>
    <n v="345825"/>
    <n v="157375"/>
    <n v="0"/>
    <n v="110250"/>
    <n v="613450"/>
    <n v="5250"/>
    <n v="3467.2810865530619"/>
  </r>
  <r>
    <x v="22"/>
    <x v="22"/>
    <s v="3(TARDE)"/>
    <n v="69"/>
    <s v="FINAL TURNO 2"/>
    <n v="2740"/>
    <n v="3820"/>
    <n v="1480"/>
    <n v="215"/>
    <n v="45"/>
    <n v="16745"/>
    <n v="530.77611940298516"/>
    <n v="80"/>
    <n v="80"/>
    <n v="20"/>
    <n v="420"/>
    <n v="80"/>
    <n v="5"/>
    <n v="5"/>
    <n v="26"/>
    <n v="556.5"/>
    <n v="100"/>
    <n v="5"/>
    <n v="5"/>
    <n v="48.98487149204206"/>
    <n v="1048.4646532815925"/>
    <n v="188.40335189246946"/>
    <n v="9.4201675946234733"/>
    <n v="9.4201675946234733"/>
    <n v="1.3"/>
    <n v="1.325"/>
    <n v="1.25"/>
    <n v="2500"/>
    <n v="2500"/>
    <n v="830"/>
    <n v="2900"/>
    <n v="6295"/>
    <n v="19050"/>
    <n v="22050"/>
    <n v="21580"/>
    <n v="1613850"/>
    <n v="629500"/>
    <n v="95250"/>
    <n v="110250"/>
    <n v="2470430"/>
    <n v="5250"/>
    <n v="4654.3729261571334"/>
  </r>
  <r>
    <x v="23"/>
    <x v="23"/>
    <s v="24 (NOCHE)"/>
    <n v="70"/>
    <s v="FINAL TURNO 3"/>
    <n v="2720"/>
    <n v="3400"/>
    <n v="1400"/>
    <n v="210"/>
    <n v="40"/>
    <n v="16751"/>
    <n v="442.31343283582089"/>
    <n v="80"/>
    <n v="80"/>
    <n v="20"/>
    <n v="120"/>
    <n v="30"/>
    <n v="0"/>
    <n v="5"/>
    <n v="26"/>
    <n v="159"/>
    <n v="37.5"/>
    <n v="0"/>
    <n v="5"/>
    <n v="58.781845790450483"/>
    <n v="359.47359541083176"/>
    <n v="84.781508351611265"/>
    <n v="0"/>
    <n v="11.304201113548169"/>
    <n v="1.3"/>
    <n v="1.325"/>
    <n v="1.25"/>
    <n v="2500"/>
    <n v="2500"/>
    <n v="830"/>
    <n v="2900"/>
    <n v="6295"/>
    <n v="19050"/>
    <n v="22050"/>
    <n v="21580"/>
    <n v="461100"/>
    <n v="236062.5"/>
    <n v="0"/>
    <n v="110250"/>
    <n v="828992.5"/>
    <n v="5250"/>
    <n v="1874.2195883246161"/>
  </r>
  <r>
    <x v="23"/>
    <x v="23"/>
    <s v="25 (MAÑANA)"/>
    <n v="71"/>
    <s v="FINAL TURNO 1"/>
    <n v="2700"/>
    <n v="3280"/>
    <n v="1370"/>
    <n v="210"/>
    <n v="35"/>
    <n v="16756"/>
    <n v="176.92537313432837"/>
    <n v="80"/>
    <n v="80"/>
    <n v="10"/>
    <n v="30"/>
    <n v="10"/>
    <n v="5"/>
    <n v="0"/>
    <n v="13"/>
    <n v="39.75"/>
    <n v="12.5"/>
    <n v="5"/>
    <n v="0"/>
    <n v="73.477307238063091"/>
    <n v="224.67099713176987"/>
    <n v="70.651256959676061"/>
    <n v="28.260502783870422"/>
    <n v="0"/>
    <n v="1.3"/>
    <n v="1.325"/>
    <n v="1.25"/>
    <n v="2500"/>
    <n v="2500"/>
    <n v="830"/>
    <n v="2900"/>
    <n v="6295"/>
    <n v="19050"/>
    <n v="22050"/>
    <n v="10790"/>
    <n v="115275"/>
    <n v="78687.5"/>
    <n v="95250"/>
    <n v="0"/>
    <n v="300002.5"/>
    <n v="5250"/>
    <n v="1695.6442972836173"/>
  </r>
  <r>
    <x v="23"/>
    <x v="23"/>
    <s v="3(TARDE)"/>
    <n v="72"/>
    <s v="FINAL TURNO 2"/>
    <n v="2690"/>
    <n v="3250"/>
    <n v="1360"/>
    <n v="205"/>
    <n v="35"/>
    <n v="16758"/>
    <n v="176.92537313432837"/>
    <n v="80"/>
    <n v="80"/>
    <n v="0"/>
    <n v="0"/>
    <n v="0"/>
    <n v="0"/>
    <n v="0"/>
    <n v="0"/>
    <n v="0"/>
    <n v="0"/>
    <n v="0"/>
    <n v="0"/>
    <n v="0"/>
    <n v="0"/>
    <n v="0"/>
    <n v="0"/>
    <n v="0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n v="0"/>
  </r>
  <r>
    <x v="24"/>
    <x v="24"/>
    <s v="25 (NOCHE)"/>
    <n v="73"/>
    <s v="FINAL TURNO 3"/>
    <n v="2690"/>
    <n v="3250"/>
    <n v="1360"/>
    <n v="205"/>
    <n v="35"/>
    <n v="16760"/>
    <n v="0"/>
    <n v="8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24"/>
    <x v="24"/>
    <s v="26 (MAÑANA)"/>
    <n v="74"/>
    <s v="FINAL TURNO 1"/>
    <n v="2690"/>
    <n v="3250"/>
    <n v="1360"/>
    <n v="205"/>
    <n v="35"/>
    <n v="16760"/>
    <n v="0"/>
    <n v="8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24"/>
    <x v="24"/>
    <s v="3(TARDE)"/>
    <n v="75"/>
    <s v="FINAL TURNO 2"/>
    <n v="2690"/>
    <n v="3250"/>
    <n v="1360"/>
    <n v="205"/>
    <n v="35"/>
    <n v="16760"/>
    <n v="0"/>
    <n v="8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25"/>
    <x v="25"/>
    <s v="26 (NOCHE)"/>
    <n v="76"/>
    <s v="FINAL TURNO 3"/>
    <n v="2690"/>
    <n v="3250"/>
    <n v="1360"/>
    <n v="205"/>
    <n v="35"/>
    <n v="16760"/>
    <n v="176.92537313432837"/>
    <n v="80"/>
    <n v="80"/>
    <n v="70"/>
    <n v="100"/>
    <n v="40"/>
    <n v="5"/>
    <n v="5"/>
    <n v="91"/>
    <n v="132.5"/>
    <n v="50"/>
    <n v="5"/>
    <n v="5"/>
    <n v="514.34115066644165"/>
    <n v="748.90332377256618"/>
    <n v="282.60502783870425"/>
    <n v="28.260502783870422"/>
    <n v="28.260502783870422"/>
    <n v="1.3"/>
    <n v="1.325"/>
    <n v="1.25"/>
    <n v="2500"/>
    <n v="2500"/>
    <n v="830"/>
    <n v="2900"/>
    <n v="6295"/>
    <n v="19050"/>
    <n v="22050"/>
    <n v="75530"/>
    <n v="384250"/>
    <n v="314750"/>
    <n v="95250"/>
    <n v="110250"/>
    <n v="980030"/>
    <n v="5250"/>
    <n v="5539.2281086553057"/>
  </r>
  <r>
    <x v="25"/>
    <x v="25"/>
    <s v="27 (MAÑANA)"/>
    <n v="77"/>
    <s v="FINAL TURNO 1"/>
    <n v="2620"/>
    <n v="3000"/>
    <n v="1320"/>
    <n v="200"/>
    <n v="30"/>
    <n v="16762"/>
    <n v="442.31343283582089"/>
    <n v="80"/>
    <n v="80"/>
    <n v="70"/>
    <n v="150"/>
    <n v="70"/>
    <n v="0"/>
    <n v="5"/>
    <n v="91"/>
    <n v="198.75"/>
    <n v="87.5"/>
    <n v="0"/>
    <n v="5"/>
    <n v="205.7364602665767"/>
    <n v="449.34199426353973"/>
    <n v="197.82351948709297"/>
    <n v="0"/>
    <n v="11.304201113548169"/>
    <n v="1.3"/>
    <n v="1.325"/>
    <n v="1.25"/>
    <n v="2500"/>
    <n v="2500"/>
    <n v="830"/>
    <n v="2900"/>
    <n v="6295"/>
    <n v="19050"/>
    <n v="22050"/>
    <n v="75530"/>
    <n v="576375"/>
    <n v="550812.5"/>
    <n v="0"/>
    <n v="110250"/>
    <n v="1312967.5"/>
    <n v="5250"/>
    <n v="2968.4097351105111"/>
  </r>
  <r>
    <x v="25"/>
    <x v="25"/>
    <s v="3(TARDE)"/>
    <n v="78"/>
    <s v="FINAL TURNO 2"/>
    <n v="2550"/>
    <n v="2850"/>
    <n v="1250"/>
    <n v="200"/>
    <n v="25"/>
    <n v="16767"/>
    <n v="265.38805970149258"/>
    <n v="80"/>
    <n v="80"/>
    <n v="0"/>
    <n v="140"/>
    <n v="50"/>
    <n v="0"/>
    <n v="0"/>
    <n v="0"/>
    <n v="185.5"/>
    <n v="62.5"/>
    <n v="0"/>
    <n v="0"/>
    <n v="0"/>
    <n v="698.97643552106172"/>
    <n v="235.50418986558682"/>
    <n v="0"/>
    <n v="0"/>
    <n v="1.3"/>
    <n v="1.325"/>
    <n v="1.25"/>
    <n v="2500"/>
    <n v="2500"/>
    <n v="830"/>
    <n v="2900"/>
    <n v="6295"/>
    <n v="19050"/>
    <n v="22050"/>
    <n v="0"/>
    <n v="537950"/>
    <n v="393437.5"/>
    <n v="0"/>
    <n v="0"/>
    <n v="931387.5"/>
    <n v="5250"/>
    <n v="3509.5305382149481"/>
  </r>
  <r>
    <x v="26"/>
    <x v="26"/>
    <s v="27 (NOCHE)"/>
    <n v="79"/>
    <s v="FINAL TURNO 3"/>
    <n v="4550"/>
    <n v="4710"/>
    <n v="2200"/>
    <n v="200"/>
    <n v="125"/>
    <n v="16770"/>
    <n v="353.85074626865674"/>
    <n v="80"/>
    <n v="80"/>
    <n v="50"/>
    <n v="160"/>
    <n v="80"/>
    <n v="5"/>
    <n v="5"/>
    <n v="65"/>
    <n v="212"/>
    <n v="100"/>
    <n v="5"/>
    <n v="5"/>
    <n v="183.69326809515775"/>
    <n v="599.1226590180529"/>
    <n v="282.60502783870425"/>
    <n v="14.130251391935211"/>
    <n v="14.130251391935211"/>
    <n v="1.3"/>
    <n v="1.325"/>
    <n v="1.25"/>
    <n v="2500"/>
    <n v="2500"/>
    <n v="830"/>
    <n v="2900"/>
    <n v="6295"/>
    <n v="19050"/>
    <n v="22050"/>
    <n v="53950"/>
    <n v="614800"/>
    <n v="629500"/>
    <n v="95250"/>
    <n v="110250"/>
    <n v="1503750"/>
    <n v="5250"/>
    <n v="4249.6731061245146"/>
  </r>
  <r>
    <x v="26"/>
    <x v="26"/>
    <s v="28 (MAÑANA)"/>
    <n v="80"/>
    <s v="FINAL TURNO 1"/>
    <n v="4500"/>
    <n v="4550"/>
    <n v="2120"/>
    <n v="195"/>
    <n v="120"/>
    <n v="16774"/>
    <n v="353.85074626865674"/>
    <n v="80"/>
    <n v="80"/>
    <n v="40"/>
    <n v="50"/>
    <n v="20"/>
    <n v="0"/>
    <n v="5"/>
    <n v="52"/>
    <n v="66.25"/>
    <n v="25"/>
    <n v="0"/>
    <n v="5"/>
    <n v="146.95461447612618"/>
    <n v="187.22583094314155"/>
    <n v="70.651256959676061"/>
    <n v="0"/>
    <n v="14.130251391935211"/>
    <n v="1.3"/>
    <n v="1.325"/>
    <n v="1.25"/>
    <n v="2500"/>
    <n v="2500"/>
    <n v="830"/>
    <n v="2900"/>
    <n v="6295"/>
    <n v="19050"/>
    <n v="22050"/>
    <n v="43160"/>
    <n v="192125"/>
    <n v="157375"/>
    <n v="0"/>
    <n v="110250"/>
    <n v="502910"/>
    <n v="5250"/>
    <n v="1421.2489455036273"/>
  </r>
  <r>
    <x v="26"/>
    <x v="26"/>
    <s v="3(TARDE)"/>
    <n v="81"/>
    <s v="FINAL TURNO 2"/>
    <n v="4460"/>
    <n v="4500"/>
    <n v="2100"/>
    <n v="195"/>
    <n v="115"/>
    <n v="16778"/>
    <n v="353.85074626865674"/>
    <n v="80"/>
    <n v="80"/>
    <n v="30"/>
    <n v="150"/>
    <n v="20"/>
    <n v="5"/>
    <n v="5"/>
    <n v="39"/>
    <n v="198.75"/>
    <n v="25"/>
    <n v="5"/>
    <n v="5"/>
    <n v="110.21596085709464"/>
    <n v="561.67749282942464"/>
    <n v="70.651256959676061"/>
    <n v="14.130251391935211"/>
    <n v="14.130251391935211"/>
    <n v="1.3"/>
    <n v="1.325"/>
    <n v="1.25"/>
    <n v="2500"/>
    <n v="2500"/>
    <n v="830"/>
    <n v="2900"/>
    <n v="6295"/>
    <n v="19050"/>
    <n v="22050"/>
    <n v="32370"/>
    <n v="576375"/>
    <n v="157375"/>
    <n v="95250"/>
    <n v="110250"/>
    <n v="971620"/>
    <n v="5250"/>
    <n v="2745.8469714864177"/>
  </r>
  <r>
    <x v="27"/>
    <x v="27"/>
    <s v="28 (NOCHE)"/>
    <n v="82"/>
    <s v="FINAL TURNO 3"/>
    <n v="4430"/>
    <n v="4350"/>
    <n v="2080"/>
    <n v="190"/>
    <n v="110"/>
    <n v="16782"/>
    <n v="619.23880597014931"/>
    <n v="80"/>
    <n v="80"/>
    <n v="30"/>
    <n v="50"/>
    <n v="30"/>
    <n v="0"/>
    <n v="5"/>
    <n v="39"/>
    <n v="66.25"/>
    <n v="37.5"/>
    <n v="0"/>
    <n v="5"/>
    <n v="62.980549061196939"/>
    <n v="106.9861891103666"/>
    <n v="60.5582202511509"/>
    <n v="0"/>
    <n v="8.0744293668201195"/>
    <n v="1.3"/>
    <n v="1.325"/>
    <n v="1.25"/>
    <n v="2500"/>
    <n v="2500"/>
    <n v="830"/>
    <n v="2900"/>
    <n v="6295"/>
    <n v="19050"/>
    <n v="22050"/>
    <n v="32370"/>
    <n v="192125"/>
    <n v="236062.5"/>
    <n v="0"/>
    <n v="110250"/>
    <n v="570807.5"/>
    <n v="5250"/>
    <n v="921.78896816023519"/>
  </r>
  <r>
    <x v="27"/>
    <x v="27"/>
    <s v="29 (MAÑANA)"/>
    <n v="83"/>
    <s v="FINAL TURNO 1"/>
    <n v="4300"/>
    <n v="4300"/>
    <n v="2050"/>
    <n v="190"/>
    <n v="105"/>
    <n v="16789"/>
    <n v="176.92537313432837"/>
    <n v="80"/>
    <n v="80"/>
    <n v="50"/>
    <n v="50"/>
    <n v="30"/>
    <n v="0"/>
    <n v="5"/>
    <n v="65"/>
    <n v="66.25"/>
    <n v="37.5"/>
    <n v="0"/>
    <n v="5"/>
    <n v="367.3865361903155"/>
    <n v="374.45166188628309"/>
    <n v="211.95377087902816"/>
    <n v="0"/>
    <n v="28.260502783870422"/>
    <n v="1.3"/>
    <n v="1.325"/>
    <n v="1.25"/>
    <n v="2500"/>
    <n v="2500"/>
    <n v="830"/>
    <n v="2900"/>
    <n v="6295"/>
    <n v="19050"/>
    <n v="22050"/>
    <n v="53950"/>
    <n v="192125"/>
    <n v="236062.5"/>
    <n v="0"/>
    <n v="110250"/>
    <n v="592387.5"/>
    <n v="5250"/>
    <n v="3348.233718576008"/>
  </r>
  <r>
    <x v="27"/>
    <x v="27"/>
    <s v="3(TARDE)"/>
    <n v="84"/>
    <s v="FINAL TURNO 2"/>
    <n v="4250"/>
    <n v="4250"/>
    <n v="2020"/>
    <n v="190"/>
    <n v="100"/>
    <n v="16791"/>
    <n v="442.31343283582089"/>
    <n v="80"/>
    <n v="80"/>
    <n v="50"/>
    <n v="50"/>
    <n v="20"/>
    <n v="5"/>
    <n v="5"/>
    <n v="65"/>
    <n v="66.25"/>
    <n v="25"/>
    <n v="5"/>
    <n v="5"/>
    <n v="146.95461447612621"/>
    <n v="149.78066475451325"/>
    <n v="56.52100556774085"/>
    <n v="11.304201113548169"/>
    <n v="11.304201113548169"/>
    <n v="1.3"/>
    <n v="1.325"/>
    <n v="1.25"/>
    <n v="2500"/>
    <n v="2500"/>
    <n v="830"/>
    <n v="2900"/>
    <n v="6295"/>
    <n v="19050"/>
    <n v="22050"/>
    <n v="53950"/>
    <n v="192125"/>
    <n v="157375"/>
    <n v="95250"/>
    <n v="110250"/>
    <n v="608950"/>
    <n v="5250"/>
    <n v="1376.7386536190315"/>
  </r>
  <r>
    <x v="28"/>
    <x v="28"/>
    <s v="29 (NOCHE)"/>
    <n v="85"/>
    <s v="FINAL TURNO 3"/>
    <n v="4200"/>
    <n v="4200"/>
    <n v="2000"/>
    <n v="185"/>
    <n v="95"/>
    <n v="16796"/>
    <n v="530.77611940298516"/>
    <n v="80"/>
    <n v="80"/>
    <n v="80"/>
    <n v="200"/>
    <n v="20"/>
    <n v="0"/>
    <n v="5"/>
    <n v="104"/>
    <n v="265"/>
    <n v="25"/>
    <n v="0"/>
    <n v="5"/>
    <n v="195.93948596816824"/>
    <n v="499.26888251504408"/>
    <n v="47.100837973117365"/>
    <n v="0"/>
    <n v="9.4201675946234733"/>
    <n v="1.3"/>
    <n v="1.325"/>
    <n v="1.25"/>
    <n v="2500"/>
    <n v="2500"/>
    <n v="830"/>
    <n v="2900"/>
    <n v="6295"/>
    <n v="19050"/>
    <n v="22050"/>
    <n v="86320"/>
    <n v="768500"/>
    <n v="157375"/>
    <n v="0"/>
    <n v="110250"/>
    <n v="1122445"/>
    <n v="5250"/>
    <n v="2114.7240031494289"/>
  </r>
  <r>
    <x v="28"/>
    <x v="28"/>
    <s v="30 (MAÑANA)"/>
    <n v="86"/>
    <s v="FINAL TURNO 1"/>
    <n v="4120"/>
    <n v="3850"/>
    <n v="1980"/>
    <n v="185"/>
    <n v="90"/>
    <n v="16802"/>
    <n v="353.85074626865674"/>
    <n v="80"/>
    <n v="80"/>
    <n v="120"/>
    <n v="150"/>
    <n v="30"/>
    <n v="5"/>
    <n v="5"/>
    <n v="156"/>
    <n v="198.75"/>
    <n v="37.5"/>
    <n v="5"/>
    <n v="5"/>
    <n v="440.86384342837857"/>
    <n v="561.67749282942464"/>
    <n v="105.97688543951408"/>
    <n v="14.130251391935211"/>
    <n v="14.130251391935211"/>
    <n v="1.3"/>
    <n v="1.325"/>
    <n v="1.25"/>
    <n v="2500"/>
    <n v="2500"/>
    <n v="830"/>
    <n v="2900"/>
    <n v="6295"/>
    <n v="19050"/>
    <n v="22050"/>
    <n v="129480"/>
    <n v="576375"/>
    <n v="236062.5"/>
    <n v="95250"/>
    <n v="110250"/>
    <n v="1147417.5"/>
    <n v="5250"/>
    <n v="3242.6595453011641"/>
  </r>
  <r>
    <x v="28"/>
    <x v="28"/>
    <s v="3(TARDE)"/>
    <n v="87"/>
    <s v="FINAL TURNO 2"/>
    <n v="4000"/>
    <n v="3700"/>
    <n v="1950"/>
    <n v="180"/>
    <n v="85"/>
    <n v="16806"/>
    <n v="442.31343283582089"/>
    <n v="80"/>
    <n v="80"/>
    <n v="80"/>
    <n v="290"/>
    <n v="70"/>
    <n v="0"/>
    <n v="5"/>
    <n v="104"/>
    <n v="384.25"/>
    <n v="87.5"/>
    <n v="0"/>
    <n v="5"/>
    <n v="235.12738316180193"/>
    <n v="868.72785557617681"/>
    <n v="197.82351948709297"/>
    <n v="0"/>
    <n v="11.304201113548169"/>
    <n v="1.3"/>
    <n v="1.325"/>
    <n v="1.25"/>
    <n v="2500"/>
    <n v="2500"/>
    <n v="830"/>
    <n v="2900"/>
    <n v="6295"/>
    <n v="19050"/>
    <n v="22050"/>
    <n v="86320"/>
    <n v="1114325"/>
    <n v="550812.5"/>
    <n v="0"/>
    <n v="110250"/>
    <n v="1861707.5"/>
    <n v="5250"/>
    <n v="4209.0231989201957"/>
  </r>
  <r>
    <x v="29"/>
    <x v="29"/>
    <s v="30 (NOCHE)"/>
    <n v="88"/>
    <s v="FINAL TURNO 3"/>
    <n v="3920"/>
    <n v="3410"/>
    <n v="1880"/>
    <n v="180"/>
    <n v="80"/>
    <n v="16811"/>
    <n v="530.77611940298516"/>
    <n v="80"/>
    <n v="80"/>
    <n v="100"/>
    <n v="170"/>
    <n v="70"/>
    <n v="5"/>
    <n v="5"/>
    <n v="130"/>
    <n v="225.25"/>
    <n v="87.5"/>
    <n v="5"/>
    <n v="5"/>
    <n v="244.9243574602103"/>
    <n v="424.37855013778744"/>
    <n v="164.85293290591079"/>
    <n v="9.4201675946234733"/>
    <n v="9.4201675946234733"/>
    <n v="1.3"/>
    <n v="1.325"/>
    <n v="1.25"/>
    <n v="2500"/>
    <n v="2500"/>
    <n v="830"/>
    <n v="2900"/>
    <n v="6295"/>
    <n v="19050"/>
    <n v="22050"/>
    <n v="107900"/>
    <n v="653225"/>
    <n v="550812.5"/>
    <n v="95250"/>
    <n v="110250"/>
    <n v="1517437.5"/>
    <n v="5250"/>
    <n v="2858.9031128732913"/>
  </r>
  <r>
    <x v="29"/>
    <x v="29"/>
    <s v="31 (MAÑANA)"/>
    <n v="89"/>
    <s v="FINAL TURNO 1"/>
    <n v="3820"/>
    <n v="3240"/>
    <n v="1810"/>
    <n v="175"/>
    <n v="75"/>
    <n v="16817"/>
    <n v="353.85074626865674"/>
    <n v="80"/>
    <n v="80"/>
    <n v="40"/>
    <n v="140"/>
    <n v="20"/>
    <n v="0"/>
    <n v="5"/>
    <n v="52"/>
    <n v="185.5"/>
    <n v="25"/>
    <n v="0"/>
    <n v="5"/>
    <n v="146.95461447612618"/>
    <n v="524.23232664079637"/>
    <n v="70.651256959676061"/>
    <n v="0"/>
    <n v="14.130251391935211"/>
    <n v="1.3"/>
    <n v="1.325"/>
    <n v="1.25"/>
    <n v="2500"/>
    <n v="2500"/>
    <n v="830"/>
    <n v="2900"/>
    <n v="6295"/>
    <n v="19050"/>
    <n v="22050"/>
    <n v="43160"/>
    <n v="537950"/>
    <n v="157375"/>
    <n v="0"/>
    <n v="110250"/>
    <n v="848735"/>
    <n v="5250"/>
    <n v="2398.5677830268264"/>
  </r>
  <r>
    <x v="29"/>
    <x v="29"/>
    <s v="3(TARDE)"/>
    <n v="90"/>
    <s v="FINAL TURNO 2"/>
    <n v="3780"/>
    <n v="3100"/>
    <n v="1790"/>
    <n v="175"/>
    <n v="70"/>
    <n v="16821"/>
    <n v="442.31343283582089"/>
    <n v="80"/>
    <n v="80"/>
    <n v="150"/>
    <n v="200"/>
    <n v="80"/>
    <n v="5"/>
    <n v="5"/>
    <n v="195"/>
    <n v="265"/>
    <n v="100"/>
    <n v="5"/>
    <n v="5"/>
    <n v="440.86384342837863"/>
    <n v="599.12265901805301"/>
    <n v="226.0840222709634"/>
    <n v="11.304201113548169"/>
    <n v="11.304201113548169"/>
    <n v="1.3"/>
    <n v="1.325"/>
    <n v="1.25"/>
    <n v="2500"/>
    <n v="2500"/>
    <n v="830"/>
    <n v="2900"/>
    <n v="6295"/>
    <n v="19050"/>
    <n v="22050"/>
    <n v="161850"/>
    <n v="768500"/>
    <n v="629500"/>
    <n v="95250"/>
    <n v="110250"/>
    <n v="1765350"/>
    <n v="5250"/>
    <n v="3991.1742871604524"/>
  </r>
  <r>
    <x v="30"/>
    <x v="30"/>
    <s v="31 (NOCHE)"/>
    <n v="91"/>
    <s v="FINAL TURNO 3"/>
    <n v="4630"/>
    <n v="6900"/>
    <n v="1710"/>
    <n v="170"/>
    <n v="65"/>
    <n v="16826"/>
    <n v="619.23880597014931"/>
    <n v="80"/>
    <n v="80"/>
    <n v="30"/>
    <n v="280"/>
    <n v="110"/>
    <n v="0"/>
    <n v="5"/>
    <n v="39"/>
    <n v="371"/>
    <n v="137.5"/>
    <n v="0"/>
    <n v="5"/>
    <n v="62.980549061196939"/>
    <n v="599.1226590180529"/>
    <n v="222.0468075875533"/>
    <n v="0"/>
    <n v="8.0744293668201195"/>
    <n v="1.3"/>
    <n v="1.325"/>
    <n v="1.25"/>
    <n v="2500"/>
    <n v="2500"/>
    <n v="830"/>
    <n v="2900"/>
    <n v="6295"/>
    <n v="19050"/>
    <n v="22050"/>
    <n v="32370"/>
    <n v="1075900"/>
    <n v="865562.5"/>
    <n v="0"/>
    <n v="110250"/>
    <n v="2084082.5"/>
    <n v="5250"/>
    <n v="3365.5553881751785"/>
  </r>
  <r>
    <x v="30"/>
    <x v="30"/>
    <s v="32 (MAÑANA)"/>
    <n v="92"/>
    <s v="FINAL TURNO 1"/>
    <n v="4600"/>
    <n v="6620"/>
    <n v="1600"/>
    <n v="170"/>
    <n v="60"/>
    <n v="16833"/>
    <n v="353.85074626865674"/>
    <n v="80"/>
    <n v="80"/>
    <n v="230"/>
    <n v="130"/>
    <n v="80"/>
    <n v="5"/>
    <n v="0"/>
    <n v="299"/>
    <n v="172.25"/>
    <n v="100"/>
    <n v="5"/>
    <n v="0"/>
    <n v="844.98903323772561"/>
    <n v="486.787160452168"/>
    <n v="282.60502783870425"/>
    <n v="14.130251391935211"/>
    <n v="0"/>
    <n v="1.3"/>
    <n v="1.325"/>
    <n v="1.25"/>
    <n v="2500"/>
    <n v="2500"/>
    <n v="830"/>
    <n v="2900"/>
    <n v="6295"/>
    <n v="19050"/>
    <n v="22050"/>
    <n v="248170"/>
    <n v="499525"/>
    <n v="629500"/>
    <n v="95250"/>
    <n v="0"/>
    <n v="1472445"/>
    <n v="5250"/>
    <n v="4161.2036021596086"/>
  </r>
  <r>
    <x v="30"/>
    <x v="30"/>
    <s v="3(TARDE)"/>
    <n v="93"/>
    <s v="FINAL TURNO 2"/>
    <n v="4370"/>
    <n v="6490"/>
    <n v="1520"/>
    <n v="165"/>
    <n v="60"/>
    <n v="16837"/>
    <n v="0"/>
    <n v="0"/>
    <n v="0"/>
    <n v="10"/>
    <n v="10"/>
    <n v="10"/>
    <n v="0"/>
    <n v="0"/>
    <n v="13"/>
    <n v="13.25"/>
    <n v="12.5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10790"/>
    <n v="38425"/>
    <n v="78687.5"/>
    <n v="0"/>
    <n v="0"/>
    <n v="127902.5"/>
    <n v="5250"/>
    <e v="#DIV/0!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s v="1 (NOCH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0"/>
    <x v="0"/>
    <s v="2 (MAÑANA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0"/>
    <x v="0"/>
    <s v="3(TARD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1"/>
    <x v="1"/>
    <s v="1 (NOCH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1"/>
    <x v="1"/>
    <s v="2 (MAÑANA)"/>
    <m/>
    <m/>
    <m/>
    <m/>
    <m/>
    <n v="4.680890909090909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57.44900000000001"/>
    <n v="55"/>
    <n v="0"/>
    <n v="0"/>
    <n v="0"/>
    <n v="0"/>
    <n v="0"/>
    <n v="1550"/>
    <n v="19462"/>
    <n v="36854"/>
    <n v="1560"/>
    <n v="3640"/>
    <n v="0"/>
    <n v="0"/>
    <n v="0"/>
    <n v="0"/>
    <n v="23427.859"/>
    <n v="23427.859"/>
    <n v="1000"/>
    <n v="91"/>
  </r>
  <r>
    <x v="1"/>
    <x v="1"/>
    <s v="3(TARD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"/>
    <x v="2"/>
    <s v="1 (NOCH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"/>
    <x v="2"/>
    <s v="2 (MAÑANA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"/>
    <x v="2"/>
    <s v="3(TARD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n v="0"/>
  </r>
  <r>
    <x v="3"/>
    <x v="3"/>
    <s v="1 (NOCH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n v="0"/>
  </r>
  <r>
    <x v="3"/>
    <x v="3"/>
    <s v="2 (MAÑANA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n v="0"/>
  </r>
  <r>
    <x v="3"/>
    <x v="3"/>
    <s v="3(TARD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n v="0"/>
  </r>
  <r>
    <x v="4"/>
    <x v="4"/>
    <s v="1 (NOCH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n v="0"/>
  </r>
  <r>
    <x v="4"/>
    <x v="4"/>
    <s v="2 (MAÑANA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4"/>
    <x v="4"/>
    <s v="3(TARDE)"/>
    <m/>
    <m/>
    <m/>
    <m/>
    <m/>
    <n v="5.0586000000000002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78.22300000000001"/>
    <n v="55"/>
    <n v="0"/>
    <n v="0"/>
    <n v="0"/>
    <n v="0"/>
    <n v="0"/>
    <n v="1550"/>
    <n v="19462"/>
    <n v="36854"/>
    <n v="1560"/>
    <n v="3640"/>
    <n v="0"/>
    <n v="0"/>
    <n v="0"/>
    <n v="0"/>
    <n v="25318.293000000001"/>
    <n v="25318.293000000001"/>
    <n v="1000"/>
    <e v="#DIV/0!"/>
  </r>
  <r>
    <x v="5"/>
    <x v="5"/>
    <s v="1 (NOCHE)"/>
    <m/>
    <m/>
    <m/>
    <m/>
    <m/>
    <n v="2.4370909090909088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34.04"/>
    <n v="55"/>
    <n v="0"/>
    <n v="0"/>
    <n v="0"/>
    <n v="0"/>
    <n v="0"/>
    <n v="1550"/>
    <n v="19462"/>
    <n v="36854"/>
    <n v="1560"/>
    <n v="3640"/>
    <n v="0"/>
    <n v="0"/>
    <n v="0"/>
    <n v="0"/>
    <n v="12197.64"/>
    <n v="12197.64"/>
    <n v="1000"/>
    <e v="#DIV/0!"/>
  </r>
  <r>
    <x v="5"/>
    <x v="5"/>
    <s v="2 (MAÑANA)"/>
    <m/>
    <m/>
    <m/>
    <m/>
    <m/>
    <n v="3.2748545454545455"/>
    <n v="0"/>
    <n v="52"/>
    <n v="32"/>
    <n v="0"/>
    <n v="0"/>
    <n v="0"/>
    <n v="456.14035087719299"/>
    <n v="280.70175438596493"/>
    <n v="0"/>
    <n v="0"/>
    <n v="0"/>
    <n v="17.543859649122794"/>
    <n v="0"/>
    <n v="0"/>
    <n v="0"/>
    <n v="1.18"/>
    <n v="1.28"/>
    <n v="1.2"/>
    <n v="1.53"/>
    <n v="1.2"/>
    <n v="0"/>
    <n v="22.456140350877178"/>
    <n v="0"/>
    <n v="0"/>
    <n v="0"/>
    <n v="180.11699999999999"/>
    <n v="55"/>
    <n v="0"/>
    <n v="124.67529634002997"/>
    <n v="0"/>
    <n v="0"/>
    <n v="0"/>
    <n v="1550"/>
    <n v="19462"/>
    <n v="36854"/>
    <n v="1560"/>
    <n v="3640"/>
    <n v="27845.614035087699"/>
    <n v="0"/>
    <n v="0"/>
    <n v="0"/>
    <n v="16390.647000000001"/>
    <n v="44236.2610350877"/>
    <n v="1000"/>
    <n v="190.78702432950504"/>
  </r>
  <r>
    <x v="5"/>
    <x v="5"/>
    <s v="3(TARDE)"/>
    <m/>
    <m/>
    <m/>
    <m/>
    <m/>
    <n v="4.8302181818181813"/>
    <n v="0"/>
    <n v="50"/>
    <n v="32"/>
    <n v="0"/>
    <n v="0"/>
    <n v="0"/>
    <n v="438.5964912280701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65.66199999999998"/>
    <n v="55"/>
    <n v="0"/>
    <n v="0"/>
    <n v="0"/>
    <n v="0"/>
    <n v="0"/>
    <n v="1550"/>
    <n v="19462"/>
    <n v="36854"/>
    <n v="1560"/>
    <n v="3640"/>
    <n v="0"/>
    <n v="0"/>
    <n v="0"/>
    <n v="0"/>
    <n v="24175.241999999998"/>
    <n v="24175.241999999998"/>
    <n v="1000"/>
    <n v="55.194616438356164"/>
  </r>
  <r>
    <x v="6"/>
    <x v="6"/>
    <s v="1 (NOCHE)"/>
    <m/>
    <m/>
    <m/>
    <m/>
    <m/>
    <n v="1.3341636363636364"/>
    <n v="0"/>
    <n v="50"/>
    <n v="32"/>
    <n v="0"/>
    <n v="0"/>
    <n v="0"/>
    <n v="438.59649122807019"/>
    <n v="280.70175438596493"/>
    <n v="0"/>
    <n v="0"/>
    <n v="0"/>
    <n v="43.859649122807014"/>
    <n v="0"/>
    <n v="0"/>
    <n v="0"/>
    <n v="1.18"/>
    <n v="1.28"/>
    <n v="1.2"/>
    <n v="1.53"/>
    <n v="1.2"/>
    <n v="0"/>
    <n v="56.140350877192979"/>
    <n v="0"/>
    <n v="0"/>
    <n v="0"/>
    <n v="73.379000000000005"/>
    <n v="55"/>
    <n v="0"/>
    <n v="765.07380690923799"/>
    <n v="0"/>
    <n v="0"/>
    <n v="0"/>
    <n v="1550"/>
    <n v="19462"/>
    <n v="36854"/>
    <n v="1560"/>
    <n v="3640"/>
    <n v="69614.035087719298"/>
    <n v="0"/>
    <n v="0"/>
    <n v="0"/>
    <n v="6677.4890000000014"/>
    <n v="76291.524087719299"/>
    <n v="1000"/>
    <n v="292.02720819956249"/>
  </r>
  <r>
    <x v="6"/>
    <x v="6"/>
    <s v="2 (MAÑANA)"/>
    <m/>
    <m/>
    <m/>
    <m/>
    <m/>
    <n v="1.3341636363636364"/>
    <n v="0"/>
    <n v="45"/>
    <n v="32"/>
    <n v="0"/>
    <n v="0"/>
    <n v="0"/>
    <n v="394.73684210526318"/>
    <n v="280.70175438596493"/>
    <n v="0"/>
    <n v="0"/>
    <n v="0"/>
    <n v="26.31578947368422"/>
    <n v="0"/>
    <n v="0"/>
    <n v="0"/>
    <n v="1.18"/>
    <n v="1.28"/>
    <n v="1.2"/>
    <n v="1.53"/>
    <n v="1.2"/>
    <n v="0"/>
    <n v="33.684210526315802"/>
    <n v="0"/>
    <n v="0"/>
    <n v="0"/>
    <n v="73.379000000000005"/>
    <n v="55"/>
    <n v="0"/>
    <n v="459.04428414554297"/>
    <n v="0"/>
    <n v="0"/>
    <n v="0"/>
    <n v="1550"/>
    <n v="19462"/>
    <n v="36854"/>
    <n v="1560"/>
    <n v="3640"/>
    <n v="41768.421052631602"/>
    <n v="0"/>
    <n v="0"/>
    <n v="0"/>
    <n v="6677.4890000000014"/>
    <n v="48445.910052631603"/>
    <n v="1000"/>
    <n v="431.05178443483942"/>
  </r>
  <r>
    <x v="6"/>
    <x v="6"/>
    <s v="3(TARDE)"/>
    <m/>
    <m/>
    <m/>
    <m/>
    <m/>
    <n v="2.668381818181818"/>
    <n v="0"/>
    <n v="42"/>
    <n v="32"/>
    <n v="0"/>
    <n v="0"/>
    <n v="0"/>
    <n v="368.42105263157896"/>
    <n v="280.70175438596493"/>
    <n v="0"/>
    <n v="0"/>
    <n v="0"/>
    <n v="0"/>
    <n v="71.929824561403507"/>
    <n v="0"/>
    <n v="0"/>
    <n v="1.18"/>
    <n v="1.28"/>
    <n v="1.2"/>
    <n v="1.53"/>
    <n v="1.2"/>
    <n v="0"/>
    <n v="0"/>
    <n v="86.315789473684205"/>
    <n v="0"/>
    <n v="0"/>
    <n v="146.761"/>
    <n v="55"/>
    <n v="0"/>
    <n v="0"/>
    <n v="588.13846644329351"/>
    <n v="0"/>
    <n v="0"/>
    <n v="1550"/>
    <n v="19462"/>
    <n v="36854"/>
    <n v="1560"/>
    <n v="3640"/>
    <n v="0"/>
    <n v="20158.534736842106"/>
    <n v="0"/>
    <n v="0"/>
    <n v="13355.251"/>
    <n v="33513.78573684211"/>
    <n v="1000"/>
    <e v="#DIV/0!"/>
  </r>
  <r>
    <x v="7"/>
    <x v="7"/>
    <s v="1 (NOCHE)"/>
    <m/>
    <m/>
    <m/>
    <m/>
    <m/>
    <n v="0.19094545454545456"/>
    <n v="0"/>
    <n v="42"/>
    <n v="58"/>
    <n v="0"/>
    <n v="0"/>
    <n v="0"/>
    <n v="368.42105263157896"/>
    <n v="508.7719298245614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0.502000000000001"/>
    <n v="55"/>
    <n v="0"/>
    <n v="0"/>
    <n v="0"/>
    <n v="0"/>
    <n v="0"/>
    <n v="1550"/>
    <n v="19462"/>
    <n v="36854"/>
    <n v="1560"/>
    <n v="3640"/>
    <n v="0"/>
    <n v="0"/>
    <n v="0"/>
    <n v="0"/>
    <n v="955.68200000000002"/>
    <n v="955.68200000000002"/>
    <n v="1000"/>
    <n v="3.7137661025511495"/>
  </r>
  <r>
    <x v="7"/>
    <x v="7"/>
    <s v="2 (MAÑANA)"/>
    <m/>
    <m/>
    <m/>
    <m/>
    <m/>
    <n v="3.9779999999999998"/>
    <n v="0"/>
    <n v="42"/>
    <n v="58"/>
    <n v="0"/>
    <n v="0"/>
    <n v="0"/>
    <n v="368.42105263157896"/>
    <n v="508.77192982456143"/>
    <n v="0"/>
    <n v="0"/>
    <n v="0"/>
    <n v="17.543859649122794"/>
    <n v="0"/>
    <n v="0"/>
    <n v="0"/>
    <n v="1.18"/>
    <n v="1.28"/>
    <n v="1.2"/>
    <n v="1.53"/>
    <n v="1.2"/>
    <n v="0"/>
    <n v="22.456140350877178"/>
    <n v="0"/>
    <n v="0"/>
    <n v="0"/>
    <n v="218.79"/>
    <n v="55"/>
    <n v="0"/>
    <n v="102.63787353570628"/>
    <n v="0"/>
    <n v="0"/>
    <n v="0"/>
    <n v="1550"/>
    <n v="19462"/>
    <n v="36854"/>
    <n v="1560"/>
    <n v="3640"/>
    <n v="27845.614035087699"/>
    <n v="0"/>
    <n v="0"/>
    <n v="0"/>
    <n v="19909.89"/>
    <n v="47755.504035087695"/>
    <n v="1000"/>
    <n v="314.54101428666826"/>
  </r>
  <r>
    <x v="7"/>
    <x v="7"/>
    <s v="3(TARDE)"/>
    <m/>
    <m/>
    <m/>
    <m/>
    <m/>
    <n v="6.0241090909090911"/>
    <n v="0"/>
    <n v="40"/>
    <n v="58"/>
    <n v="0"/>
    <n v="0"/>
    <n v="0"/>
    <n v="350.87719298245617"/>
    <n v="508.77192982456143"/>
    <n v="0"/>
    <n v="0"/>
    <n v="0"/>
    <n v="0"/>
    <n v="35.087719298245588"/>
    <n v="0"/>
    <n v="0"/>
    <n v="1.18"/>
    <n v="1.28"/>
    <n v="1.2"/>
    <n v="1.53"/>
    <n v="1.2"/>
    <n v="0"/>
    <n v="0"/>
    <n v="42.105263157894704"/>
    <n v="0"/>
    <n v="0"/>
    <n v="331.32600000000002"/>
    <n v="55"/>
    <n v="0"/>
    <n v="0"/>
    <n v="127.08107168738555"/>
    <n v="0"/>
    <n v="0"/>
    <n v="1550"/>
    <n v="19462"/>
    <n v="36854"/>
    <n v="1560"/>
    <n v="3640"/>
    <n v="0"/>
    <n v="9833.4315789473603"/>
    <n v="0"/>
    <n v="0"/>
    <n v="30150.666000000005"/>
    <n v="39984.097578947367"/>
    <n v="1000"/>
    <n v="145.68756382358731"/>
  </r>
  <r>
    <x v="8"/>
    <x v="8"/>
    <s v="1 (NOCHE)"/>
    <m/>
    <m/>
    <m/>
    <m/>
    <m/>
    <n v="0.85053636363636365"/>
    <n v="0"/>
    <n v="40"/>
    <n v="54"/>
    <n v="0"/>
    <n v="0"/>
    <n v="0"/>
    <n v="350.87719298245617"/>
    <n v="473.68421052631584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46.779499999999999"/>
    <n v="55"/>
    <n v="0"/>
    <n v="0"/>
    <n v="0"/>
    <n v="0"/>
    <n v="0"/>
    <n v="1550"/>
    <n v="19462"/>
    <n v="36854"/>
    <n v="1560"/>
    <n v="3640"/>
    <n v="0"/>
    <n v="0"/>
    <n v="0"/>
    <n v="0"/>
    <n v="4256.9345000000003"/>
    <n v="4256.9345000000003"/>
    <n v="1000"/>
    <e v="#REF!"/>
  </r>
  <r>
    <x v="8"/>
    <x v="8"/>
    <s v="2 (MAÑANA)"/>
    <m/>
    <m/>
    <m/>
    <m/>
    <m/>
    <n v="0.85053636363636365"/>
    <n v="0"/>
    <n v="40"/>
    <n v="54"/>
    <n v="0"/>
    <n v="0"/>
    <n v="0"/>
    <n v="350.87719298245617"/>
    <n v="473.68421052631584"/>
    <n v="0"/>
    <n v="0"/>
    <n v="0"/>
    <n v="17.543859649122794"/>
    <n v="0"/>
    <n v="0"/>
    <n v="0"/>
    <n v="1.18"/>
    <n v="1.28"/>
    <n v="1.2"/>
    <n v="1.53"/>
    <n v="1.2"/>
    <n v="0"/>
    <n v="22.456140350877178"/>
    <n v="0"/>
    <n v="0"/>
    <n v="0"/>
    <n v="46.779499999999999"/>
    <n v="55"/>
    <n v="0"/>
    <n v="480.04233373330578"/>
    <n v="0"/>
    <n v="0"/>
    <n v="0"/>
    <n v="1550"/>
    <n v="19462"/>
    <n v="36854"/>
    <n v="1560"/>
    <n v="3640"/>
    <n v="27845.614035087699"/>
    <n v="0"/>
    <n v="0"/>
    <n v="0"/>
    <n v="4256.9345000000003"/>
    <n v="32102.548535087699"/>
    <n v="1000"/>
    <e v="#REF!"/>
  </r>
  <r>
    <x v="8"/>
    <x v="8"/>
    <s v="3(TARDE)"/>
    <m/>
    <m/>
    <m/>
    <m/>
    <m/>
    <n v="4.5947272727272725"/>
    <n v="0"/>
    <n v="38"/>
    <n v="54"/>
    <n v="0"/>
    <n v="0"/>
    <n v="0"/>
    <n v="333.33333333333337"/>
    <n v="473.68421052631584"/>
    <n v="0"/>
    <n v="0"/>
    <n v="0"/>
    <n v="289.47368421052636"/>
    <n v="17.543859649122851"/>
    <n v="0"/>
    <n v="0"/>
    <n v="1.18"/>
    <n v="1.28"/>
    <n v="1.2"/>
    <n v="1.53"/>
    <n v="1.2"/>
    <n v="0"/>
    <n v="370.52631578947376"/>
    <n v="21.05263157894742"/>
    <n v="0"/>
    <n v="0"/>
    <n v="252.71"/>
    <n v="55"/>
    <n v="0"/>
    <n v="1466.2115301708432"/>
    <n v="83.307473305161722"/>
    <n v="0"/>
    <n v="0"/>
    <n v="1550"/>
    <n v="19462"/>
    <n v="36854"/>
    <n v="1560"/>
    <n v="3640"/>
    <n v="459452.63157894748"/>
    <n v="4916.7157894736965"/>
    <n v="0"/>
    <n v="0"/>
    <n v="22996.61"/>
    <n v="487365.95736842114"/>
    <n v="1000"/>
    <e v="#REF!"/>
  </r>
  <r>
    <x v="9"/>
    <x v="9"/>
    <s v="1 (NOCHE)"/>
    <m/>
    <m/>
    <m/>
    <m/>
    <m/>
    <n v="2.6456727272727272"/>
    <n v="0"/>
    <n v="5"/>
    <n v="52"/>
    <n v="0"/>
    <n v="0"/>
    <n v="0"/>
    <n v="43.859649122807021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45.512"/>
    <n v="55"/>
    <n v="0"/>
    <n v="0"/>
    <n v="0"/>
    <n v="0"/>
    <n v="0"/>
    <n v="1550"/>
    <n v="19462"/>
    <n v="36854"/>
    <n v="1560"/>
    <n v="3640"/>
    <n v="0"/>
    <n v="0"/>
    <n v="0"/>
    <n v="0"/>
    <n v="13241.592000000001"/>
    <n v="13241.592000000001"/>
    <n v="1000"/>
    <e v="#REF!"/>
  </r>
  <r>
    <x v="9"/>
    <x v="9"/>
    <s v="2 (MAÑANA)"/>
    <m/>
    <m/>
    <m/>
    <m/>
    <m/>
    <n v="2.0209999999999999"/>
    <n v="0"/>
    <n v="5"/>
    <n v="52"/>
    <n v="0"/>
    <n v="0"/>
    <n v="0"/>
    <n v="43.859649122807021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11.155"/>
    <n v="55"/>
    <n v="0"/>
    <n v="0"/>
    <n v="0"/>
    <n v="0"/>
    <n v="0"/>
    <n v="1550"/>
    <n v="19462"/>
    <n v="36854"/>
    <n v="1560"/>
    <n v="3640"/>
    <n v="0"/>
    <n v="0"/>
    <n v="0"/>
    <n v="0"/>
    <n v="10115.105000000001"/>
    <n v="10115.105000000001"/>
    <n v="1000"/>
    <e v="#REF!"/>
  </r>
  <r>
    <x v="9"/>
    <x v="9"/>
    <s v="3(TARDE)"/>
    <m/>
    <m/>
    <m/>
    <m/>
    <m/>
    <n v="0"/>
    <n v="0"/>
    <n v="5"/>
    <n v="52"/>
    <n v="0"/>
    <n v="0"/>
    <n v="0"/>
    <n v="43.859649122807021"/>
    <n v="456.14035087719299"/>
    <n v="0"/>
    <n v="0"/>
    <n v="0"/>
    <n v="0"/>
    <n v="35.087719298245588"/>
    <n v="0"/>
    <n v="0"/>
    <n v="1.18"/>
    <n v="1.28"/>
    <n v="1.2"/>
    <n v="1.53"/>
    <n v="1.2"/>
    <n v="0"/>
    <n v="0"/>
    <n v="42.105263157894704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9833.4315789473603"/>
    <n v="0"/>
    <n v="0"/>
    <n v="0"/>
    <n v="9833.4315789473603"/>
    <n v="1000"/>
    <e v="#REF!"/>
  </r>
  <r>
    <x v="10"/>
    <x v="10"/>
    <s v="1 (NOCHE)"/>
    <m/>
    <m/>
    <m/>
    <m/>
    <m/>
    <n v="0"/>
    <n v="0"/>
    <n v="5"/>
    <n v="48"/>
    <n v="0"/>
    <n v="0"/>
    <n v="0"/>
    <n v="43.859649122807021"/>
    <n v="421.0526315789474"/>
    <n v="0"/>
    <n v="0"/>
    <n v="0"/>
    <n v="0"/>
    <n v="377.19298245614038"/>
    <n v="0"/>
    <n v="0"/>
    <n v="1.18"/>
    <n v="1.28"/>
    <n v="1.2"/>
    <n v="1.53"/>
    <n v="1.2"/>
    <n v="0"/>
    <n v="0"/>
    <n v="452.63157894736844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105709.3894736842"/>
    <n v="0"/>
    <n v="0"/>
    <n v="0"/>
    <n v="105709.3894736842"/>
    <n v="1000"/>
    <e v="#REF!"/>
  </r>
  <r>
    <x v="10"/>
    <x v="10"/>
    <s v="2 (MAÑANA)"/>
    <m/>
    <m/>
    <m/>
    <m/>
    <m/>
    <n v="0"/>
    <n v="0"/>
    <n v="5"/>
    <n v="5"/>
    <n v="0"/>
    <n v="0"/>
    <n v="0"/>
    <n v="43.85964912280702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0"/>
    <x v="10"/>
    <s v="3(TARDE)"/>
    <m/>
    <m/>
    <m/>
    <m/>
    <m/>
    <n v="0"/>
    <n v="0"/>
    <n v="5"/>
    <n v="5"/>
    <n v="0"/>
    <n v="0"/>
    <n v="0"/>
    <n v="43.85964912280702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1"/>
    <x v="11"/>
    <s v="1 (NOCHE)"/>
    <m/>
    <m/>
    <m/>
    <m/>
    <m/>
    <n v="0"/>
    <n v="0"/>
    <n v="5"/>
    <n v="5"/>
    <n v="0"/>
    <n v="0"/>
    <n v="0"/>
    <n v="43.85964912280702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1"/>
    <x v="11"/>
    <s v="2 (MAÑANA)"/>
    <m/>
    <m/>
    <m/>
    <m/>
    <m/>
    <n v="0"/>
    <n v="0"/>
    <n v="5"/>
    <n v="5"/>
    <n v="0"/>
    <n v="0"/>
    <n v="0"/>
    <n v="43.85964912280702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1"/>
    <x v="11"/>
    <s v="3(TARDE)"/>
    <m/>
    <n v="0"/>
    <n v="0"/>
    <m/>
    <m/>
    <n v="0"/>
    <n v="0"/>
    <n v="5"/>
    <n v="5"/>
    <n v="0"/>
    <n v="0"/>
    <n v="0"/>
    <n v="43.859649122807021"/>
    <n v="43.859649122807021"/>
    <n v="0"/>
    <n v="0"/>
    <n v="0"/>
    <n v="20"/>
    <n v="30"/>
    <n v="0"/>
    <n v="0"/>
    <n v="1.18"/>
    <n v="1.28"/>
    <n v="1.2"/>
    <n v="1.53"/>
    <n v="1.2"/>
    <n v="0"/>
    <n v="25.6"/>
    <n v="36"/>
    <n v="0"/>
    <n v="0"/>
    <n v="0"/>
    <n v="55"/>
    <e v="#DIV/0!"/>
    <e v="#DIV/0!"/>
    <e v="#DIV/0!"/>
    <e v="#DIV/0!"/>
    <e v="#DIV/0!"/>
    <n v="1550"/>
    <n v="19462"/>
    <n v="36854"/>
    <n v="1560"/>
    <n v="3640"/>
    <n v="31744.000000000007"/>
    <n v="8407.5840000000007"/>
    <n v="0"/>
    <n v="0"/>
    <n v="0"/>
    <n v="40151.58400000001"/>
    <n v="1000"/>
    <e v="#REF!"/>
  </r>
  <r>
    <x v="12"/>
    <x v="12"/>
    <s v="1 (NOCHE)"/>
    <m/>
    <m/>
    <m/>
    <m/>
    <m/>
    <n v="0"/>
    <n v="0"/>
    <n v="5"/>
    <n v="5"/>
    <n v="0"/>
    <n v="0"/>
    <n v="0"/>
    <n v="43.85964912280702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2"/>
    <x v="12"/>
    <s v="2 (MAÑANA)"/>
    <m/>
    <m/>
    <m/>
    <m/>
    <m/>
    <n v="0"/>
    <n v="0"/>
    <n v="5"/>
    <n v="5"/>
    <n v="0"/>
    <n v="0"/>
    <n v="0"/>
    <n v="43.859649122807021"/>
    <n v="43.859649122807021"/>
    <n v="0"/>
    <n v="0"/>
    <n v="0"/>
    <n v="8.7719298245614041"/>
    <n v="8.7719298245614041"/>
    <n v="0"/>
    <n v="0"/>
    <n v="1.18"/>
    <n v="1.28"/>
    <n v="1.2"/>
    <n v="1.53"/>
    <n v="1.2"/>
    <n v="0"/>
    <n v="11.228070175438598"/>
    <n v="10.526315789473685"/>
    <n v="0"/>
    <n v="0"/>
    <n v="0"/>
    <n v="55"/>
    <e v="#DIV/0!"/>
    <e v="#DIV/0!"/>
    <e v="#DIV/0!"/>
    <e v="#DIV/0!"/>
    <e v="#DIV/0!"/>
    <n v="1550"/>
    <n v="19462"/>
    <n v="36854"/>
    <n v="1560"/>
    <n v="3640"/>
    <n v="13922.807017543862"/>
    <n v="2458.3578947368424"/>
    <n v="0"/>
    <n v="0"/>
    <n v="0"/>
    <n v="16381.164912280705"/>
    <n v="1000"/>
    <e v="#REF!"/>
  </r>
  <r>
    <x v="12"/>
    <x v="12"/>
    <s v="3(TARDE)"/>
    <m/>
    <m/>
    <m/>
    <m/>
    <m/>
    <n v="2.7891272727272725"/>
    <n v="0"/>
    <n v="4"/>
    <n v="4"/>
    <n v="0"/>
    <n v="0"/>
    <n v="0"/>
    <n v="35.087719298245617"/>
    <n v="35.087719298245617"/>
    <n v="0"/>
    <n v="0"/>
    <n v="0"/>
    <n v="61.403508771929751"/>
    <n v="61.403508771929751"/>
    <n v="0"/>
    <n v="0"/>
    <n v="1.18"/>
    <n v="1.28"/>
    <n v="1.2"/>
    <n v="1.53"/>
    <n v="1.2"/>
    <n v="0"/>
    <n v="78.596491228070079"/>
    <n v="73.684210526315695"/>
    <n v="0"/>
    <n v="0"/>
    <n v="153.40199999999999"/>
    <n v="55"/>
    <n v="0"/>
    <n v="512.35636581055064"/>
    <n v="480.33409294739118"/>
    <n v="0"/>
    <n v="0"/>
    <n v="1550"/>
    <n v="19462"/>
    <n v="36854"/>
    <n v="1560"/>
    <n v="3640"/>
    <n v="97459.649122806906"/>
    <n v="17208.505263157873"/>
    <n v="0"/>
    <n v="0"/>
    <n v="13959.582"/>
    <n v="128627.73638596477"/>
    <n v="1000"/>
    <e v="#REF!"/>
  </r>
  <r>
    <x v="13"/>
    <x v="13"/>
    <s v="1 (NOCHE)"/>
    <m/>
    <m/>
    <m/>
    <m/>
    <m/>
    <n v="5.3890545454545462"/>
    <n v="0"/>
    <n v="54"/>
    <n v="54"/>
    <n v="0"/>
    <n v="0"/>
    <n v="0"/>
    <n v="473.68421052631584"/>
    <n v="473.68421052631584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96.39800000000002"/>
    <n v="55"/>
    <n v="0"/>
    <n v="0"/>
    <n v="0"/>
    <n v="0"/>
    <n v="0"/>
    <n v="1550"/>
    <n v="19462"/>
    <n v="36854"/>
    <n v="1560"/>
    <n v="3640"/>
    <n v="0"/>
    <n v="0"/>
    <n v="0"/>
    <n v="0"/>
    <n v="26972.218000000004"/>
    <n v="26972.218000000004"/>
    <n v="1000"/>
    <e v="#REF!"/>
  </r>
  <r>
    <x v="13"/>
    <x v="13"/>
    <s v="2 (MAÑANA)"/>
    <m/>
    <m/>
    <m/>
    <m/>
    <m/>
    <n v="4.215672727272727"/>
    <n v="0"/>
    <n v="54"/>
    <n v="54"/>
    <n v="0"/>
    <n v="0"/>
    <n v="0"/>
    <n v="473.68421052631584"/>
    <n v="473.68421052631584"/>
    <n v="0"/>
    <n v="0"/>
    <n v="0"/>
    <n v="35.087719298245645"/>
    <n v="140.35087719298247"/>
    <n v="0"/>
    <n v="0"/>
    <n v="1.18"/>
    <n v="1.28"/>
    <n v="1.2"/>
    <n v="1.53"/>
    <n v="1.2"/>
    <n v="0"/>
    <n v="44.912280701754426"/>
    <n v="168.42105263157896"/>
    <n v="0"/>
    <n v="0"/>
    <n v="231.86199999999999"/>
    <n v="55"/>
    <n v="0"/>
    <n v="193.70263648961205"/>
    <n v="726.38488683604453"/>
    <n v="0"/>
    <n v="0"/>
    <n v="1550"/>
    <n v="19462"/>
    <n v="36854"/>
    <n v="1560"/>
    <n v="3640"/>
    <n v="55691.228070175493"/>
    <n v="39333.726315789478"/>
    <n v="0"/>
    <n v="0"/>
    <n v="21099.441999999999"/>
    <n v="116124.39638596497"/>
    <n v="1000"/>
    <e v="#REF!"/>
  </r>
  <r>
    <x v="13"/>
    <x v="13"/>
    <s v="3(TARDE)"/>
    <m/>
    <m/>
    <m/>
    <m/>
    <m/>
    <n v="7.3676000000000004"/>
    <n v="0"/>
    <n v="50"/>
    <n v="38"/>
    <n v="0"/>
    <n v="0"/>
    <n v="0"/>
    <n v="438.59649122807019"/>
    <n v="333.33333333333337"/>
    <n v="0"/>
    <n v="0"/>
    <n v="0"/>
    <n v="71.403508771929808"/>
    <n v="61.403508771929864"/>
    <n v="0"/>
    <n v="0"/>
    <n v="1.18"/>
    <n v="1.28"/>
    <n v="1.2"/>
    <n v="1.53"/>
    <n v="1.2"/>
    <n v="0"/>
    <n v="91.396491228070161"/>
    <n v="73.684210526315837"/>
    <n v="0"/>
    <n v="0"/>
    <n v="405.21800000000002"/>
    <n v="55"/>
    <n v="0"/>
    <n v="225.54894212021719"/>
    <n v="181.83844381620719"/>
    <n v="0"/>
    <n v="0"/>
    <n v="1550"/>
    <n v="19462"/>
    <n v="36854"/>
    <n v="1560"/>
    <n v="3640"/>
    <n v="113331.64912280701"/>
    <n v="17208.505263157906"/>
    <n v="0"/>
    <n v="0"/>
    <n v="36874.838000000003"/>
    <n v="167414.9923859649"/>
    <n v="1000"/>
    <e v="#REF!"/>
  </r>
  <r>
    <x v="14"/>
    <x v="14"/>
    <s v="1 (NOCHE)"/>
    <m/>
    <m/>
    <m/>
    <m/>
    <m/>
    <n v="8.327272727272728"/>
    <n v="0"/>
    <n v="43"/>
    <n v="31"/>
    <n v="0"/>
    <n v="0"/>
    <n v="0"/>
    <n v="377.19298245614038"/>
    <n v="271.92982456140351"/>
    <n v="0"/>
    <n v="0"/>
    <n v="0"/>
    <n v="26.31578947368422"/>
    <n v="17.543859649122794"/>
    <n v="0"/>
    <n v="0"/>
    <n v="1.18"/>
    <n v="1.28"/>
    <n v="1.2"/>
    <n v="1.53"/>
    <n v="1.2"/>
    <n v="0"/>
    <n v="33.684210526315802"/>
    <n v="21.052631578947352"/>
    <n v="0"/>
    <n v="0"/>
    <n v="458"/>
    <n v="55"/>
    <n v="0"/>
    <n v="73.546311192829265"/>
    <n v="45.966444495518239"/>
    <n v="0"/>
    <n v="0"/>
    <n v="1550"/>
    <n v="19462"/>
    <n v="36854"/>
    <n v="1560"/>
    <n v="3640"/>
    <n v="41768.421052631602"/>
    <n v="4916.7157894736802"/>
    <n v="0"/>
    <n v="0"/>
    <n v="41678.000000000007"/>
    <n v="88363.13684210529"/>
    <n v="1000"/>
    <e v="#REF!"/>
  </r>
  <r>
    <x v="14"/>
    <x v="14"/>
    <s v="2 (MAÑANA)"/>
    <m/>
    <m/>
    <m/>
    <m/>
    <m/>
    <n v="7.9636363636363638"/>
    <n v="0"/>
    <n v="40"/>
    <n v="29"/>
    <n v="0"/>
    <n v="0"/>
    <n v="0"/>
    <n v="350.87719298245617"/>
    <n v="254.38596491228071"/>
    <n v="0"/>
    <n v="0"/>
    <n v="0"/>
    <n v="35.087719298245645"/>
    <n v="78.94736842105263"/>
    <n v="0"/>
    <n v="0"/>
    <n v="1.18"/>
    <n v="1.28"/>
    <n v="1.2"/>
    <n v="1.53"/>
    <n v="1.2"/>
    <n v="0"/>
    <n v="44.912280701754426"/>
    <n v="94.73684210526315"/>
    <n v="0"/>
    <n v="0"/>
    <n v="438"/>
    <n v="55"/>
    <n v="0"/>
    <n v="102.53945365697358"/>
    <n v="216.29416005767843"/>
    <n v="0"/>
    <n v="0"/>
    <n v="1550"/>
    <n v="19462"/>
    <n v="36854"/>
    <n v="1560"/>
    <n v="3640"/>
    <n v="55691.228070175493"/>
    <n v="22125.221052631579"/>
    <n v="0"/>
    <n v="0"/>
    <n v="39858.000000000007"/>
    <n v="117674.44912280707"/>
    <n v="1000"/>
    <e v="#REF!"/>
  </r>
  <r>
    <x v="14"/>
    <x v="14"/>
    <s v="3(TARDE)"/>
    <m/>
    <m/>
    <m/>
    <m/>
    <m/>
    <n v="8.1538727272727272"/>
    <n v="0"/>
    <n v="36"/>
    <n v="20"/>
    <n v="0"/>
    <n v="0"/>
    <n v="0"/>
    <n v="315.78947368421052"/>
    <n v="175.43859649122808"/>
    <n v="0"/>
    <n v="0"/>
    <n v="0"/>
    <n v="35.087719298245588"/>
    <n v="43.859649122807014"/>
    <n v="0"/>
    <n v="0"/>
    <n v="1.18"/>
    <n v="1.28"/>
    <n v="1.2"/>
    <n v="1.53"/>
    <n v="1.2"/>
    <n v="0"/>
    <n v="44.912280701754355"/>
    <n v="52.631578947368418"/>
    <n v="0"/>
    <n v="0"/>
    <n v="448.46300000000002"/>
    <n v="55"/>
    <n v="0"/>
    <n v="100.14712629972674"/>
    <n v="117.35991363249235"/>
    <n v="0"/>
    <n v="0"/>
    <n v="1550"/>
    <n v="19462"/>
    <n v="36854"/>
    <n v="1560"/>
    <n v="3640"/>
    <n v="55691.228070175399"/>
    <n v="12291.78947368421"/>
    <n v="0"/>
    <n v="0"/>
    <n v="40810.133000000009"/>
    <n v="108793.15054385961"/>
    <n v="1000"/>
    <e v="#REF!"/>
  </r>
  <r>
    <x v="15"/>
    <x v="15"/>
    <s v="1 (NOCHE)"/>
    <m/>
    <m/>
    <m/>
    <m/>
    <m/>
    <n v="6.6536181818181817"/>
    <n v="0"/>
    <n v="32"/>
    <n v="15"/>
    <n v="0"/>
    <n v="0"/>
    <n v="0"/>
    <n v="280.70175438596493"/>
    <n v="131.57894736842107"/>
    <n v="0"/>
    <n v="0"/>
    <n v="0"/>
    <n v="17.543859649122794"/>
    <n v="35.087719298245617"/>
    <n v="0"/>
    <n v="0"/>
    <n v="1.18"/>
    <n v="1.28"/>
    <n v="1.2"/>
    <n v="1.53"/>
    <n v="1.2"/>
    <n v="0"/>
    <n v="22.456140350877178"/>
    <n v="42.10526315789474"/>
    <n v="0"/>
    <n v="0"/>
    <n v="365.94900000000001"/>
    <n v="55"/>
    <n v="0"/>
    <n v="61.364125467967327"/>
    <n v="115.05773525243883"/>
    <n v="0"/>
    <n v="0"/>
    <n v="1550"/>
    <n v="19462"/>
    <n v="36854"/>
    <n v="1560"/>
    <n v="3640"/>
    <n v="27845.614035087699"/>
    <n v="9833.4315789473694"/>
    <n v="0"/>
    <n v="0"/>
    <n v="33301.359000000004"/>
    <n v="70980.404614035069"/>
    <n v="1000"/>
    <e v="#REF!"/>
  </r>
  <r>
    <x v="15"/>
    <x v="15"/>
    <s v="2 (MAÑANA)"/>
    <m/>
    <m/>
    <m/>
    <m/>
    <m/>
    <n v="4.7499636363636366"/>
    <n v="0"/>
    <n v="30"/>
    <n v="11"/>
    <n v="0"/>
    <n v="0"/>
    <n v="0"/>
    <n v="263.15789473684214"/>
    <n v="96.491228070175453"/>
    <n v="0"/>
    <n v="0"/>
    <n v="0"/>
    <n v="26.31578947368422"/>
    <n v="17.543859649122822"/>
    <n v="0"/>
    <n v="0"/>
    <n v="1.18"/>
    <n v="1.28"/>
    <n v="1.2"/>
    <n v="1.53"/>
    <n v="1.2"/>
    <n v="0"/>
    <n v="33.684210526315802"/>
    <n v="21.052631578947388"/>
    <n v="0"/>
    <n v="0"/>
    <n v="261.24799999999999"/>
    <n v="55"/>
    <n v="0"/>
    <n v="128.93576420227447"/>
    <n v="80.584852626421593"/>
    <n v="0"/>
    <n v="0"/>
    <n v="1550"/>
    <n v="19462"/>
    <n v="36854"/>
    <n v="1560"/>
    <n v="3640"/>
    <n v="41768.421052631602"/>
    <n v="4916.7157894736883"/>
    <n v="0"/>
    <n v="0"/>
    <n v="23773.567999999999"/>
    <n v="70458.70484210529"/>
    <n v="1000"/>
    <e v="#REF!"/>
  </r>
  <r>
    <x v="15"/>
    <x v="15"/>
    <s v="3(TARDE)"/>
    <m/>
    <m/>
    <m/>
    <m/>
    <m/>
    <n v="3.8919272727272731"/>
    <n v="0"/>
    <n v="27"/>
    <n v="9"/>
    <n v="0"/>
    <n v="0"/>
    <n v="0"/>
    <n v="236.84210526315792"/>
    <n v="78.94736842105263"/>
    <n v="0"/>
    <n v="0"/>
    <n v="0"/>
    <n v="8.7719298245614254"/>
    <n v="17.543859649122801"/>
    <n v="0"/>
    <n v="0"/>
    <n v="1.18"/>
    <n v="1.28"/>
    <n v="1.2"/>
    <n v="1.53"/>
    <n v="1.2"/>
    <n v="0"/>
    <n v="11.228070175438624"/>
    <n v="21.052631578947359"/>
    <n v="0"/>
    <n v="0"/>
    <n v="214.05600000000001"/>
    <n v="55"/>
    <n v="0"/>
    <n v="52.453891390283964"/>
    <n v="98.351046356782135"/>
    <n v="0"/>
    <n v="0"/>
    <n v="1550"/>
    <n v="19462"/>
    <n v="36854"/>
    <n v="1560"/>
    <n v="3640"/>
    <n v="13922.807017543895"/>
    <n v="4916.715789473682"/>
    <n v="0"/>
    <n v="0"/>
    <n v="19479.096000000001"/>
    <n v="38318.618807017578"/>
    <n v="1000"/>
    <e v="#REF!"/>
  </r>
  <r>
    <x v="16"/>
    <x v="16"/>
    <s v="1 (NOCHE)"/>
    <m/>
    <m/>
    <m/>
    <m/>
    <m/>
    <n v="6.3793818181818178"/>
    <n v="0"/>
    <n v="26"/>
    <n v="7"/>
    <n v="0"/>
    <n v="0"/>
    <n v="0"/>
    <n v="228.07017543859649"/>
    <n v="61.403508771929829"/>
    <n v="0"/>
    <n v="0"/>
    <n v="0"/>
    <n v="17.543859649122794"/>
    <n v="0"/>
    <n v="0"/>
    <n v="0"/>
    <n v="1.18"/>
    <n v="1.28"/>
    <n v="1.2"/>
    <n v="1.53"/>
    <n v="1.2"/>
    <n v="0"/>
    <n v="22.456140350877178"/>
    <n v="0"/>
    <n v="0"/>
    <n v="0"/>
    <n v="350.86599999999999"/>
    <n v="55"/>
    <n v="0"/>
    <n v="64.00204166512907"/>
    <n v="0"/>
    <n v="0"/>
    <n v="0"/>
    <n v="1550"/>
    <n v="19462"/>
    <n v="36854"/>
    <n v="1560"/>
    <n v="3640"/>
    <n v="27845.614035087699"/>
    <n v="0"/>
    <n v="0"/>
    <n v="0"/>
    <n v="31928.805999999997"/>
    <n v="59774.420035087693"/>
    <n v="1000"/>
    <e v="#REF!"/>
  </r>
  <r>
    <x v="16"/>
    <x v="16"/>
    <s v="2 (MAÑANA)"/>
    <m/>
    <m/>
    <m/>
    <m/>
    <m/>
    <n v="2.0434545454545456"/>
    <n v="0"/>
    <n v="24"/>
    <n v="7"/>
    <n v="0"/>
    <n v="0"/>
    <n v="0"/>
    <n v="210.5263157894737"/>
    <n v="61.403508771929829"/>
    <n v="0"/>
    <n v="0"/>
    <n v="0"/>
    <n v="17.543859649122794"/>
    <n v="17.543859649122808"/>
    <n v="0"/>
    <n v="0"/>
    <n v="1.18"/>
    <n v="1.28"/>
    <n v="1.2"/>
    <n v="1.53"/>
    <n v="1.2"/>
    <n v="0"/>
    <n v="22.456140350877178"/>
    <n v="21.05263157894737"/>
    <n v="0"/>
    <n v="0"/>
    <n v="112.39"/>
    <n v="55"/>
    <n v="0"/>
    <n v="199.80550183181046"/>
    <n v="187.31765796732245"/>
    <n v="0"/>
    <n v="0"/>
    <n v="1550"/>
    <n v="19462"/>
    <n v="36854"/>
    <n v="1560"/>
    <n v="3640"/>
    <n v="27845.614035087699"/>
    <n v="4916.7157894736847"/>
    <n v="0"/>
    <n v="0"/>
    <n v="10227.490000000002"/>
    <n v="42989.819824561389"/>
    <n v="1000"/>
    <e v="#REF!"/>
  </r>
  <r>
    <x v="16"/>
    <x v="16"/>
    <s v="3(TARDE)"/>
    <m/>
    <m/>
    <m/>
    <m/>
    <m/>
    <n v="0"/>
    <n v="0"/>
    <n v="22"/>
    <n v="5"/>
    <n v="0"/>
    <n v="0"/>
    <n v="0"/>
    <n v="192.9824561403509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7"/>
    <x v="17"/>
    <s v="1 (NOCHE)"/>
    <m/>
    <m/>
    <m/>
    <m/>
    <m/>
    <n v="0"/>
    <n v="0"/>
    <n v="22"/>
    <n v="5"/>
    <n v="0"/>
    <n v="0"/>
    <n v="0"/>
    <n v="192.9824561403509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7"/>
    <x v="17"/>
    <s v="2 (MAÑANA)"/>
    <m/>
    <m/>
    <m/>
    <m/>
    <m/>
    <n v="0"/>
    <n v="0"/>
    <n v="22"/>
    <n v="5"/>
    <n v="0"/>
    <n v="0"/>
    <n v="0"/>
    <n v="192.9824561403509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7"/>
    <x v="17"/>
    <s v="3(TARDE)"/>
    <m/>
    <m/>
    <m/>
    <m/>
    <m/>
    <n v="0"/>
    <n v="0"/>
    <n v="22"/>
    <n v="5"/>
    <n v="0"/>
    <n v="0"/>
    <n v="0"/>
    <n v="192.98245614035091"/>
    <n v="43.859649122807021"/>
    <n v="0"/>
    <n v="0"/>
    <n v="0"/>
    <n v="0"/>
    <n v="17.543859649122808"/>
    <n v="0"/>
    <n v="0"/>
    <n v="1.18"/>
    <n v="1.28"/>
    <n v="1.2"/>
    <n v="1.53"/>
    <n v="1.2"/>
    <n v="0"/>
    <n v="0"/>
    <n v="21.05263157894737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4916.7157894736847"/>
    <n v="0"/>
    <n v="0"/>
    <n v="0"/>
    <n v="4916.7157894736847"/>
    <n v="1000"/>
    <e v="#REF!"/>
  </r>
  <r>
    <x v="18"/>
    <x v="18"/>
    <s v="1 (NOCHE)"/>
    <m/>
    <m/>
    <m/>
    <m/>
    <m/>
    <n v="0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8"/>
    <x v="18"/>
    <s v="2 (MAÑANA)"/>
    <m/>
    <m/>
    <m/>
    <m/>
    <m/>
    <n v="4.6788181818181815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57.33499999999998"/>
    <n v="55"/>
    <n v="0"/>
    <n v="0"/>
    <n v="0"/>
    <n v="0"/>
    <n v="0"/>
    <n v="1550"/>
    <n v="19462"/>
    <n v="36854"/>
    <n v="1560"/>
    <n v="3640"/>
    <n v="0"/>
    <n v="0"/>
    <n v="0"/>
    <n v="0"/>
    <n v="23417.485000000001"/>
    <n v="23417.485000000001"/>
    <n v="1000"/>
    <e v="#REF!"/>
  </r>
  <r>
    <x v="18"/>
    <x v="18"/>
    <s v="3(TARDE)"/>
    <m/>
    <m/>
    <m/>
    <m/>
    <m/>
    <n v="0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9"/>
    <x v="19"/>
    <s v="1 (NOCHE)"/>
    <m/>
    <m/>
    <m/>
    <m/>
    <m/>
    <n v="2.760472727272727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51.82599999999999"/>
    <n v="55"/>
    <n v="0"/>
    <n v="0"/>
    <n v="0"/>
    <n v="0"/>
    <n v="0"/>
    <n v="1550"/>
    <n v="19462"/>
    <n v="36854"/>
    <n v="1560"/>
    <n v="3640"/>
    <n v="0"/>
    <n v="0"/>
    <n v="0"/>
    <n v="0"/>
    <n v="13816.166000000001"/>
    <n v="13816.166000000001"/>
    <n v="1000"/>
    <e v="#REF!"/>
  </r>
  <r>
    <x v="19"/>
    <x v="19"/>
    <s v="2 (MAÑANA)"/>
    <m/>
    <m/>
    <m/>
    <m/>
    <m/>
    <n v="2.760472727272727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51.82599999999999"/>
    <n v="55"/>
    <n v="0"/>
    <n v="0"/>
    <n v="0"/>
    <n v="0"/>
    <n v="0"/>
    <n v="1550"/>
    <n v="19462"/>
    <n v="36854"/>
    <n v="1560"/>
    <n v="3640"/>
    <n v="0"/>
    <n v="0"/>
    <n v="0"/>
    <n v="0"/>
    <n v="13816.166000000001"/>
    <n v="13816.166000000001"/>
    <n v="1000"/>
    <e v="#REF!"/>
  </r>
  <r>
    <x v="19"/>
    <x v="19"/>
    <s v="3(TARDE)"/>
    <m/>
    <m/>
    <m/>
    <m/>
    <m/>
    <n v="5.3290545454545457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93.09800000000001"/>
    <n v="55"/>
    <n v="0"/>
    <n v="0"/>
    <n v="0"/>
    <n v="0"/>
    <n v="0"/>
    <n v="1550"/>
    <n v="19462"/>
    <n v="36854"/>
    <n v="1560"/>
    <n v="3640"/>
    <n v="0"/>
    <n v="0"/>
    <n v="0"/>
    <n v="0"/>
    <n v="26671.918000000001"/>
    <n v="26671.918000000001"/>
    <n v="1000"/>
    <e v="#REF!"/>
  </r>
  <r>
    <x v="20"/>
    <x v="20"/>
    <s v="1 (NOCHE)"/>
    <m/>
    <m/>
    <m/>
    <m/>
    <m/>
    <n v="8.3940181818181809"/>
    <n v="0"/>
    <n v="22"/>
    <n v="3"/>
    <n v="0"/>
    <n v="0"/>
    <n v="0"/>
    <n v="192.98245614035091"/>
    <n v="26.315789473684212"/>
    <n v="0"/>
    <n v="0"/>
    <n v="0"/>
    <n v="26.31578947368422"/>
    <n v="0"/>
    <n v="0"/>
    <n v="0"/>
    <n v="1.18"/>
    <n v="1.28"/>
    <n v="1.2"/>
    <n v="1.53"/>
    <n v="1.2"/>
    <n v="0"/>
    <n v="33.684210526315802"/>
    <n v="0"/>
    <n v="0"/>
    <n v="0"/>
    <n v="461.67099999999999"/>
    <n v="55"/>
    <n v="0"/>
    <n v="72.961504028444068"/>
    <n v="0"/>
    <n v="0"/>
    <n v="0"/>
    <n v="1550"/>
    <n v="19462"/>
    <n v="36854"/>
    <n v="1560"/>
    <n v="3640"/>
    <n v="41768.421052631602"/>
    <n v="0"/>
    <n v="0"/>
    <n v="0"/>
    <n v="42012.061000000002"/>
    <n v="83780.482052631603"/>
    <n v="1000"/>
    <n v="181.47226499527068"/>
  </r>
  <r>
    <x v="20"/>
    <x v="20"/>
    <s v="2 (MAÑANA)"/>
    <m/>
    <m/>
    <m/>
    <m/>
    <m/>
    <n v="4.9900181818181819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74.45100000000002"/>
    <n v="55"/>
    <n v="0"/>
    <n v="0"/>
    <n v="0"/>
    <n v="0"/>
    <n v="0"/>
    <n v="1550"/>
    <n v="19462"/>
    <n v="36854"/>
    <n v="1560"/>
    <n v="3640"/>
    <n v="0"/>
    <n v="0"/>
    <n v="0"/>
    <n v="0"/>
    <n v="24975.041000000005"/>
    <n v="24975.041000000005"/>
    <n v="1000"/>
    <e v="#REF!"/>
  </r>
  <r>
    <x v="20"/>
    <x v="20"/>
    <s v="3(TARDE)"/>
    <m/>
    <m/>
    <m/>
    <m/>
    <m/>
    <n v="3.1180545454545454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71.49299999999999"/>
    <n v="55"/>
    <n v="0"/>
    <n v="0"/>
    <n v="0"/>
    <n v="0"/>
    <n v="0"/>
    <n v="1550"/>
    <n v="19462"/>
    <n v="36854"/>
    <n v="1560"/>
    <n v="3640"/>
    <n v="0"/>
    <n v="0"/>
    <n v="0"/>
    <n v="0"/>
    <n v="15605.862999999999"/>
    <n v="15605.862999999999"/>
    <n v="1000"/>
    <n v="91"/>
  </r>
  <r>
    <x v="21"/>
    <x v="21"/>
    <s v="1 (NOCHE)"/>
    <m/>
    <m/>
    <m/>
    <m/>
    <m/>
    <n v="4.574218181818182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51.58199999999999"/>
    <n v="55"/>
    <n v="0"/>
    <n v="0"/>
    <n v="0"/>
    <n v="0"/>
    <n v="0"/>
    <n v="1550"/>
    <n v="19462"/>
    <n v="36854"/>
    <n v="1560"/>
    <n v="3640"/>
    <n v="0"/>
    <n v="0"/>
    <n v="0"/>
    <n v="0"/>
    <n v="22893.962"/>
    <n v="22893.962"/>
    <n v="1000"/>
    <n v="91"/>
  </r>
  <r>
    <x v="21"/>
    <x v="21"/>
    <s v="2 (MAÑANA)"/>
    <m/>
    <m/>
    <m/>
    <m/>
    <m/>
    <n v="6.6203272727272724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64.11799999999999"/>
    <n v="55"/>
    <n v="0"/>
    <n v="0"/>
    <n v="0"/>
    <n v="0"/>
    <n v="0"/>
    <n v="1550"/>
    <n v="19462"/>
    <n v="36854"/>
    <n v="1560"/>
    <n v="3640"/>
    <n v="0"/>
    <n v="0"/>
    <n v="0"/>
    <n v="0"/>
    <n v="33134.737999999998"/>
    <n v="33134.737999999998"/>
    <n v="1000"/>
    <n v="91"/>
  </r>
  <r>
    <x v="21"/>
    <x v="21"/>
    <s v="3(TARDE)"/>
    <m/>
    <m/>
    <m/>
    <m/>
    <m/>
    <n v="4.7865636363636366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63.26100000000002"/>
    <n v="55"/>
    <n v="0"/>
    <n v="0"/>
    <n v="0"/>
    <n v="0"/>
    <n v="0"/>
    <n v="1550"/>
    <n v="19462"/>
    <n v="36854"/>
    <n v="1560"/>
    <n v="3640"/>
    <n v="0"/>
    <n v="0"/>
    <n v="0"/>
    <n v="0"/>
    <n v="23956.751000000004"/>
    <n v="23956.751000000004"/>
    <n v="1000"/>
    <n v="91"/>
  </r>
  <r>
    <x v="22"/>
    <x v="22"/>
    <s v="1 (NOCHE)"/>
    <m/>
    <m/>
    <m/>
    <m/>
    <m/>
    <n v="1.9996545454545454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09.98099999999999"/>
    <n v="55"/>
    <n v="0"/>
    <n v="0"/>
    <n v="0"/>
    <n v="0"/>
    <n v="0"/>
    <n v="1550"/>
    <n v="19462"/>
    <n v="36854"/>
    <n v="1560"/>
    <n v="3640"/>
    <n v="0"/>
    <n v="0"/>
    <n v="0"/>
    <n v="0"/>
    <n v="10008.271000000001"/>
    <n v="10008.271000000001"/>
    <n v="1000"/>
    <n v="91.000000000000014"/>
  </r>
  <r>
    <x v="22"/>
    <x v="22"/>
    <s v="2 (MAÑANA)"/>
    <m/>
    <m/>
    <m/>
    <m/>
    <m/>
    <n v="1.1384727272727273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62.616"/>
    <n v="55"/>
    <n v="0"/>
    <n v="0"/>
    <n v="0"/>
    <n v="0"/>
    <n v="0"/>
    <n v="1550"/>
    <n v="19462"/>
    <n v="36854"/>
    <n v="1560"/>
    <n v="3640"/>
    <n v="0"/>
    <n v="0"/>
    <n v="0"/>
    <n v="0"/>
    <n v="5698.0560000000005"/>
    <n v="5698.0560000000005"/>
    <n v="1000"/>
    <n v="91.000000000000014"/>
  </r>
  <r>
    <x v="22"/>
    <x v="22"/>
    <s v="3(TARDE)"/>
    <m/>
    <m/>
    <m/>
    <m/>
    <m/>
    <n v="7.3388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403.63400000000001"/>
    <n v="55"/>
    <n v="0"/>
    <n v="0"/>
    <n v="0"/>
    <n v="0"/>
    <n v="0"/>
    <n v="1550"/>
    <n v="19462"/>
    <n v="36854"/>
    <n v="1560"/>
    <n v="3640"/>
    <n v="0"/>
    <n v="0"/>
    <n v="0"/>
    <n v="0"/>
    <n v="36730.694000000003"/>
    <n v="36730.694000000003"/>
    <n v="1000"/>
    <n v="91"/>
  </r>
  <r>
    <x v="23"/>
    <x v="23"/>
    <s v="1 (NOCH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3"/>
    <x v="23"/>
    <s v="2 (MAÑANA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3"/>
    <x v="23"/>
    <s v="3(TARD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4"/>
    <x v="24"/>
    <s v="1 (NOCH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4"/>
    <x v="24"/>
    <s v="2 (MAÑANA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4"/>
    <x v="24"/>
    <s v="3(TARD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5"/>
    <x v="25"/>
    <s v="1 (NOCH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70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5"/>
    <x v="25"/>
    <s v="2 (MAÑANA)"/>
    <m/>
    <m/>
    <m/>
    <m/>
    <m/>
    <n v="5.2004571428571422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64.03199999999998"/>
    <n v="70"/>
    <n v="0"/>
    <n v="0"/>
    <n v="0"/>
    <n v="0"/>
    <n v="0"/>
    <n v="1550"/>
    <n v="19462"/>
    <n v="36854"/>
    <n v="1560"/>
    <n v="3640"/>
    <n v="0"/>
    <n v="0"/>
    <n v="0"/>
    <n v="0"/>
    <n v="33126.911999999997"/>
    <n v="33126.911999999997"/>
    <n v="1000"/>
    <n v="91"/>
  </r>
  <r>
    <x v="25"/>
    <x v="25"/>
    <s v="3(TARDE)"/>
    <m/>
    <m/>
    <m/>
    <m/>
    <m/>
    <n v="1.1155428571428569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78.087999999999994"/>
    <n v="70"/>
    <n v="0"/>
    <n v="0"/>
    <n v="0"/>
    <n v="0"/>
    <n v="0"/>
    <n v="1550"/>
    <n v="19462"/>
    <n v="36854"/>
    <n v="1560"/>
    <n v="3640"/>
    <n v="0"/>
    <n v="0"/>
    <n v="0"/>
    <n v="0"/>
    <n v="7106.0079999999998"/>
    <n v="7106.0079999999998"/>
    <n v="1000"/>
    <n v="91"/>
  </r>
  <r>
    <x v="26"/>
    <x v="26"/>
    <s v="1 (NOCHE)"/>
    <m/>
    <m/>
    <m/>
    <m/>
    <m/>
    <n v="2.7443030303030302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81.124"/>
    <n v="66"/>
    <n v="0"/>
    <n v="0"/>
    <n v="0"/>
    <n v="0"/>
    <n v="0"/>
    <n v="1550"/>
    <n v="19462"/>
    <n v="36854"/>
    <n v="1560"/>
    <n v="3640"/>
    <n v="0"/>
    <n v="0"/>
    <n v="0"/>
    <n v="0"/>
    <n v="16482.284"/>
    <n v="16482.284"/>
    <n v="1000"/>
    <n v="91"/>
  </r>
  <r>
    <x v="26"/>
    <x v="26"/>
    <s v="2 (MAÑANA)"/>
    <m/>
    <m/>
    <m/>
    <m/>
    <m/>
    <n v="2.8397424242424241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87.423"/>
    <n v="66"/>
    <n v="0"/>
    <n v="0"/>
    <n v="0"/>
    <n v="0"/>
    <n v="0"/>
    <n v="1550"/>
    <n v="19462"/>
    <n v="36854"/>
    <n v="1560"/>
    <n v="3640"/>
    <n v="0"/>
    <n v="0"/>
    <n v="0"/>
    <n v="0"/>
    <n v="17055.492999999999"/>
    <n v="17055.492999999999"/>
    <n v="1000"/>
    <n v="90.999999999999986"/>
  </r>
  <r>
    <x v="26"/>
    <x v="26"/>
    <s v="3(TARDE)"/>
    <m/>
    <m/>
    <m/>
    <m/>
    <m/>
    <n v="4.1131969696969701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71.471"/>
    <n v="66"/>
    <n v="0"/>
    <n v="0"/>
    <n v="0"/>
    <n v="0"/>
    <n v="0"/>
    <n v="1550"/>
    <n v="19462"/>
    <n v="36854"/>
    <n v="1560"/>
    <n v="3640"/>
    <n v="0"/>
    <n v="0"/>
    <n v="0"/>
    <n v="0"/>
    <n v="24703.861000000001"/>
    <n v="24703.861000000001"/>
    <n v="1000"/>
    <n v="91"/>
  </r>
  <r>
    <x v="27"/>
    <x v="27"/>
    <s v="1 (NOCHE)"/>
    <m/>
    <m/>
    <m/>
    <m/>
    <m/>
    <n v="7.9139846153846154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514.40899999999999"/>
    <n v="65"/>
    <n v="0"/>
    <n v="0"/>
    <n v="0"/>
    <n v="0"/>
    <n v="0"/>
    <n v="1550"/>
    <n v="19462"/>
    <n v="36854"/>
    <n v="1560"/>
    <n v="3640"/>
    <n v="0"/>
    <n v="0"/>
    <n v="0"/>
    <n v="0"/>
    <n v="46811.218999999997"/>
    <n v="46811.218999999997"/>
    <n v="1000"/>
    <n v="91"/>
  </r>
  <r>
    <x v="27"/>
    <x v="27"/>
    <s v="2 (MAÑANA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6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7"/>
    <x v="27"/>
    <s v="3(TARDE)"/>
    <m/>
    <m/>
    <m/>
    <m/>
    <m/>
    <n v="8.0697076923076914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524.53099999999995"/>
    <n v="65"/>
    <n v="0"/>
    <n v="0"/>
    <n v="0"/>
    <n v="0"/>
    <n v="0"/>
    <n v="1550"/>
    <n v="19462"/>
    <n v="36854"/>
    <n v="1560"/>
    <n v="3640"/>
    <n v="0"/>
    <n v="0"/>
    <n v="0"/>
    <n v="0"/>
    <n v="47732.320999999996"/>
    <n v="47732.320999999996"/>
    <n v="1000"/>
    <n v="91"/>
  </r>
  <r>
    <x v="28"/>
    <x v="28"/>
    <s v="1 (NOCHE)"/>
    <m/>
    <m/>
    <m/>
    <m/>
    <m/>
    <n v="8.8366600000000002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441.83300000000003"/>
    <n v="50"/>
    <n v="0"/>
    <n v="0"/>
    <n v="0"/>
    <n v="0"/>
    <n v="0"/>
    <n v="1550"/>
    <n v="19462"/>
    <n v="36854"/>
    <n v="1560"/>
    <n v="3640"/>
    <n v="0"/>
    <n v="0"/>
    <n v="0"/>
    <n v="0"/>
    <n v="40206.803"/>
    <n v="40206.803"/>
    <n v="1000"/>
    <n v="91"/>
  </r>
  <r>
    <x v="28"/>
    <x v="28"/>
    <s v="2 (MAÑANA)"/>
    <m/>
    <m/>
    <m/>
    <m/>
    <m/>
    <n v="4.8752461538461542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16.89100000000002"/>
    <n v="65"/>
    <n v="0"/>
    <n v="0"/>
    <n v="0"/>
    <n v="0"/>
    <n v="0"/>
    <n v="1550"/>
    <n v="19462"/>
    <n v="36854"/>
    <n v="1560"/>
    <n v="3640"/>
    <n v="0"/>
    <n v="0"/>
    <n v="0"/>
    <n v="0"/>
    <n v="28837.081000000002"/>
    <n v="28837.081000000002"/>
    <n v="1000"/>
    <n v="91"/>
  </r>
  <r>
    <x v="28"/>
    <x v="28"/>
    <s v="3(TARDE)"/>
    <m/>
    <m/>
    <m/>
    <m/>
    <m/>
    <n v="5.0162131147540983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05.98899999999998"/>
    <n v="61"/>
    <n v="0"/>
    <n v="0"/>
    <n v="0"/>
    <n v="0"/>
    <n v="0"/>
    <n v="1550"/>
    <n v="19462"/>
    <n v="36854"/>
    <n v="1560"/>
    <n v="3640"/>
    <n v="0"/>
    <n v="0"/>
    <n v="0"/>
    <n v="0"/>
    <n v="27844.999"/>
    <n v="27844.999"/>
    <n v="1000"/>
    <n v="91"/>
  </r>
  <r>
    <x v="29"/>
    <x v="29"/>
    <s v="1 (NOCHE)"/>
    <m/>
    <m/>
    <m/>
    <m/>
    <m/>
    <n v="8.406883333333333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504.41300000000001"/>
    <n v="60"/>
    <n v="0"/>
    <n v="0"/>
    <n v="0"/>
    <n v="0"/>
    <n v="0"/>
    <n v="1550"/>
    <n v="19462"/>
    <n v="36854"/>
    <n v="1560"/>
    <n v="3640"/>
    <n v="0"/>
    <n v="0"/>
    <n v="0"/>
    <n v="0"/>
    <n v="45901.583000000006"/>
    <n v="45901.583000000006"/>
    <n v="1000"/>
    <n v="91.000000000000014"/>
  </r>
  <r>
    <x v="29"/>
    <x v="29"/>
    <s v="2 (MAÑANA)"/>
    <m/>
    <m/>
    <m/>
    <m/>
    <m/>
    <n v="5.1084166666666668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06.505"/>
    <n v="60"/>
    <n v="0"/>
    <n v="0"/>
    <n v="0"/>
    <n v="0"/>
    <n v="0"/>
    <n v="1550"/>
    <n v="19462"/>
    <n v="36854"/>
    <n v="1560"/>
    <n v="3640"/>
    <n v="0"/>
    <n v="0"/>
    <n v="0"/>
    <n v="0"/>
    <n v="27891.955000000002"/>
    <n v="27891.955000000002"/>
    <n v="1000"/>
    <n v="91"/>
  </r>
  <r>
    <x v="29"/>
    <x v="29"/>
    <s v="3(TARDE)"/>
    <m/>
    <m/>
    <m/>
    <m/>
    <m/>
    <n v="7.4373166666666659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446.23899999999998"/>
    <n v="60"/>
    <n v="0"/>
    <n v="0"/>
    <n v="0"/>
    <n v="0"/>
    <n v="0"/>
    <n v="1550"/>
    <n v="19462"/>
    <n v="36854"/>
    <n v="1560"/>
    <n v="3640"/>
    <n v="0"/>
    <n v="0"/>
    <n v="0"/>
    <n v="0"/>
    <n v="40607.748999999996"/>
    <n v="40607.748999999996"/>
    <n v="1000"/>
    <n v="91"/>
  </r>
  <r>
    <x v="30"/>
    <x v="30"/>
    <s v="1 (NOCHE)"/>
    <m/>
    <m/>
    <m/>
    <m/>
    <m/>
    <n v="8.4615384615384617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440"/>
    <n v="52"/>
    <n v="0"/>
    <n v="0"/>
    <n v="0"/>
    <n v="0"/>
    <n v="0"/>
    <n v="1550"/>
    <n v="19462"/>
    <n v="36854"/>
    <n v="1560"/>
    <n v="3640"/>
    <n v="0"/>
    <n v="0"/>
    <n v="0"/>
    <n v="0"/>
    <n v="40040"/>
    <n v="40040"/>
    <n v="1000"/>
    <n v="91"/>
  </r>
  <r>
    <x v="30"/>
    <x v="30"/>
    <s v="2 (MAÑANA)"/>
    <m/>
    <m/>
    <m/>
    <m/>
    <m/>
    <n v="4.0967818181818183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25.32300000000001"/>
    <n v="55"/>
    <n v="0"/>
    <n v="0"/>
    <n v="0"/>
    <n v="0"/>
    <n v="0"/>
    <n v="1550"/>
    <n v="19462"/>
    <n v="36854"/>
    <n v="1560"/>
    <n v="3640"/>
    <n v="0"/>
    <n v="0"/>
    <n v="0"/>
    <n v="0"/>
    <n v="20504.393000000004"/>
    <n v="20504.393000000004"/>
    <n v="1000"/>
    <n v="91.000000000000014"/>
  </r>
  <r>
    <x v="30"/>
    <x v="30"/>
    <s v="3(TARD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31"/>
    <x v="31"/>
    <m/>
    <m/>
    <m/>
    <m/>
    <m/>
    <m/>
    <n v="0"/>
    <n v="0"/>
    <n v="45"/>
    <n v="37"/>
    <n v="0"/>
    <n v="0"/>
    <n v="0"/>
    <n v="394.73684210526318"/>
    <n v="324.56140350877195"/>
    <n v="0"/>
    <n v="0"/>
    <n v="0"/>
    <n v="394.73684210526318"/>
    <n v="324.56140350877195"/>
    <n v="0"/>
    <n v="0"/>
    <m/>
    <m/>
    <m/>
    <m/>
    <m/>
    <n v="0"/>
    <n v="0"/>
    <n v="0"/>
    <n v="0"/>
    <n v="0"/>
    <m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m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06B5F-45CD-412F-BF77-980020224C02}" name="TablaDinámica5" cacheId="37" applyNumberFormats="0" applyBorderFormats="0" applyFontFormats="0" applyPatternFormats="0" applyAlignmentFormats="0" applyWidthHeightFormats="1" dataCaption="Valores" errorCaption="-" missingCaption="0" showMissing="0" updatedVersion="8" minRefreshableVersion="3" useAutoFormatting="1" itemPrintTitles="1" createdVersion="8" indent="0" outline="1" outlineData="1" multipleFieldFilters="0" chartFormat="131" rowHeaderCaption="DIA">
  <location ref="BH4:BJ36" firstHeaderRow="0" firstDataRow="1" firstDataCol="1"/>
  <pivotFields count="63">
    <pivotField showAll="0">
      <items count="458"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5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3"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N TRATADO GEM  (m3)" fld="11" baseField="0" baseItem="0"/>
    <dataField name="COSTO QUIMICA  GEM" fld="44" baseField="0" baseItem="0"/>
  </dataFields>
  <formats count="24">
    <format dxfId="902">
      <pivotArea outline="0" collapsedLevelsAreSubtotals="1" fieldPosition="0"/>
    </format>
    <format dxfId="901">
      <pivotArea outline="0" collapsedLevelsAreSubtotals="1" fieldPosition="0"/>
    </format>
    <format dxfId="900">
      <pivotArea type="all" dataOnly="0" outline="0" fieldPosition="0"/>
    </format>
    <format dxfId="899">
      <pivotArea outline="0" collapsedLevelsAreSubtotals="1" fieldPosition="0"/>
    </format>
    <format dxfId="898">
      <pivotArea field="1" type="button" dataOnly="0" labelOnly="1" outline="0" axis="axisRow" fieldPosition="0"/>
    </format>
    <format dxfId="897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896">
      <pivotArea dataOnly="0" labelOnly="1" grandRow="1" outline="0" fieldPosition="0"/>
    </format>
    <format dxfId="895">
      <pivotArea type="all" dataOnly="0" outline="0" fieldPosition="0"/>
    </format>
    <format dxfId="894">
      <pivotArea outline="0" collapsedLevelsAreSubtotals="1" fieldPosition="0"/>
    </format>
    <format dxfId="893">
      <pivotArea field="1" type="button" dataOnly="0" labelOnly="1" outline="0" axis="axisRow" fieldPosition="0"/>
    </format>
    <format dxfId="892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891">
      <pivotArea dataOnly="0" labelOnly="1" grandRow="1" outline="0" fieldPosition="0"/>
    </format>
    <format dxfId="890">
      <pivotArea type="all" dataOnly="0" outline="0" fieldPosition="0"/>
    </format>
    <format dxfId="889">
      <pivotArea outline="0" collapsedLevelsAreSubtotals="1" fieldPosition="0"/>
    </format>
    <format dxfId="888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887">
      <pivotArea dataOnly="0" labelOnly="1" grandRow="1" outline="0" fieldPosition="0"/>
    </format>
    <format dxfId="886">
      <pivotArea type="all" dataOnly="0" outline="0" fieldPosition="0"/>
    </format>
    <format dxfId="885">
      <pivotArea outline="0" collapsedLevelsAreSubtotals="1" fieldPosition="0"/>
    </format>
    <format dxfId="88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883">
      <pivotArea dataOnly="0" labelOnly="1" grandRow="1" outline="0" fieldPosition="0"/>
    </format>
    <format dxfId="88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81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880">
      <pivotArea field="1" type="button" dataOnly="0" labelOnly="1" outline="0" axis="axisRow" fieldPosition="0"/>
    </format>
    <format dxfId="879">
      <pivotArea dataOnly="0" labelOnly="1" fieldPosition="0">
        <references count="1">
          <reference field="1" count="1">
            <x v="11"/>
          </reference>
        </references>
      </pivotArea>
    </format>
  </formats>
  <chartFormats count="1">
    <chartFormat chart="1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A6452-6403-4D7B-902A-DAA0A37FFAD5}" name="TablaDinámica4" cacheId="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C4:BF36" firstHeaderRow="0" firstDataRow="1" firstDataCol="1"/>
  <pivotFields count="63">
    <pivotField showAll="0">
      <items count="370"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axis="axisRow" numFmtId="1"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showAll="0"/>
    <pivotField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dataField="1" numFmtId="42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3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OLUMEN ENVIADO A RO (m3) " fld="34" baseField="0" baseItem="0"/>
    <dataField name="TIEMPO DE OPERACIÓN" fld="8" baseField="0" baseItem="0" numFmtId="2"/>
    <dataField name="COSTO QUIMICA  " fld="51" baseField="0" baseItem="0" numFmtId="4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0E303-E04F-4112-8C13-54769680D078}" name="TablaDinámica1" cacheId="37" applyNumberFormats="0" applyBorderFormats="0" applyFontFormats="0" applyPatternFormats="0" applyAlignmentFormats="0" applyWidthHeightFormats="1" dataCaption="Valores" errorCaption="-" showError="1" missingCaption="0" updatedVersion="8" minRefreshableVersion="3" useAutoFormatting="1" colGrandTotals="0" itemPrintTitles="1" createdVersion="8" indent="0" outline="1" outlineData="1" multipleFieldFilters="0" chartFormat="123" rowHeaderCaption="DIA">
  <location ref="AJ4:AM36" firstHeaderRow="0" firstDataRow="1" firstDataCol="1"/>
  <pivotFields count="63">
    <pivotField showAll="0">
      <items count="458"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5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3"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AUDAL TOTAL TRATADO GEM " fld="11" baseField="0" baseItem="0"/>
    <dataField name="  INDICADOR $m3" fld="48" baseField="0" baseItem="0" numFmtId="3"/>
    <dataField name="  2025 $m3 GEM " fld="45" subtotal="min" baseField="0" baseItem="0" numFmtId="166"/>
  </dataFields>
  <formats count="35">
    <format dxfId="937">
      <pivotArea outline="0" collapsedLevelsAreSubtotals="1" fieldPosition="0"/>
    </format>
    <format dxfId="93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35">
      <pivotArea outline="0" collapsedLevelsAreSubtotals="1" fieldPosition="0"/>
    </format>
    <format dxfId="93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3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32">
      <pivotArea type="all" dataOnly="0" outline="0" fieldPosition="0"/>
    </format>
    <format dxfId="931">
      <pivotArea outline="0" collapsedLevelsAreSubtotals="1" fieldPosition="0"/>
    </format>
    <format dxfId="930">
      <pivotArea field="1" type="button" dataOnly="0" labelOnly="1" outline="0" axis="axisRow" fieldPosition="0"/>
    </format>
    <format dxfId="929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928">
      <pivotArea dataOnly="0" labelOnly="1" grandRow="1" outline="0" fieldPosition="0"/>
    </format>
    <format dxfId="9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26">
      <pivotArea type="all" dataOnly="0" outline="0" fieldPosition="0"/>
    </format>
    <format dxfId="925">
      <pivotArea outline="0" collapsedLevelsAreSubtotals="1" fieldPosition="0"/>
    </format>
    <format dxfId="924">
      <pivotArea field="1" type="button" dataOnly="0" labelOnly="1" outline="0" axis="axisRow" fieldPosition="0"/>
    </format>
    <format dxfId="923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922">
      <pivotArea dataOnly="0" labelOnly="1" grandRow="1" outline="0" fieldPosition="0"/>
    </format>
    <format dxfId="9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20">
      <pivotArea type="all" dataOnly="0" outline="0" fieldPosition="0"/>
    </format>
    <format dxfId="919">
      <pivotArea outline="0" collapsedLevelsAreSubtotals="1" fieldPosition="0"/>
    </format>
    <format dxfId="918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917">
      <pivotArea dataOnly="0" labelOnly="1" grandRow="1" outline="0" fieldPosition="0"/>
    </format>
    <format dxfId="916">
      <pivotArea field="1" type="button" dataOnly="0" labelOnly="1" outline="0" axis="axisRow" fieldPosition="0"/>
    </format>
    <format dxfId="9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14">
      <pivotArea type="all" dataOnly="0" outline="0" fieldPosition="0"/>
    </format>
    <format dxfId="913">
      <pivotArea outline="0" collapsedLevelsAreSubtotals="1" fieldPosition="0"/>
    </format>
    <format dxfId="912">
      <pivotArea field="1" type="button" dataOnly="0" labelOnly="1" outline="0" axis="axisRow" fieldPosition="0"/>
    </format>
    <format dxfId="911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910">
      <pivotArea dataOnly="0" labelOnly="1" grandRow="1" outline="0" fieldPosition="0"/>
    </format>
    <format dxfId="90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0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0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06">
      <pivotArea collapsedLevelsAreSubtotals="1" fieldPosition="0">
        <references count="2">
          <reference field="4294967294" count="1" selected="0">
            <x v="1"/>
          </reference>
          <reference field="1" count="28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905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90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0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4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48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48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48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48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F70FC-172B-4311-A5CA-3A69E29C0D11}" name="TablaDinámica2" cacheId="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Y4:BA36" firstHeaderRow="0" firstDataRow="1" firstDataCol="1"/>
  <pivotFields count="63">
    <pivotField showAll="0">
      <items count="370"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axis="axisRow" numFmtId="1"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showAll="0"/>
    <pivotField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3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N ENVIADO A RO (m3) " fld="34" baseField="0" baseItem="0"/>
    <dataField name="TIEMPO DE OPERACIÓN" fld="8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3146D-00C2-4F51-94E4-C03C054F8751}" name="TablaDinámica3" cacheId="42" applyNumberFormats="0" applyBorderFormats="0" applyFontFormats="0" applyPatternFormats="0" applyAlignmentFormats="0" applyWidthHeightFormats="1" dataCaption="Valores" errorCaption="0" showError="1" missingCaption="0" updatedVersion="8" minRefreshableVersion="3" itemPrintTitles="1" createdVersion="8" indent="0" outline="1" outlineData="1" multipleFieldFilters="0" chartFormat="62" rowHeaderCaption="DÍA">
  <location ref="AT4:AW36" firstHeaderRow="0" firstDataRow="1" firstDataCol="1"/>
  <pivotFields count="63">
    <pivotField numFmtId="14" showAll="0">
      <items count="370"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x="31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dataField="1" numFmtId="42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5">
        <item sd="0" x="1"/>
        <item x="0"/>
        <item x="2"/>
        <item x="3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VOLUMEN ENVIADO A RO (m3)" fld="34" baseField="0" baseItem="0"/>
    <dataField name=" LIMITE INDICADOR M3" fld="52" subtotal="min" baseField="0" baseItem="0" numFmtId="167"/>
    <dataField name=" INDICADOR $m3 RO" fld="54" baseField="0" baseItem="0" numFmtId="166"/>
  </dataFields>
  <formats count="3">
    <format dxfId="940">
      <pivotArea field="1" type="button" dataOnly="0" labelOnly="1" outline="0" axis="axisRow" fieldPosition="0"/>
    </format>
    <format dxfId="93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3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2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2"/>
          </reference>
          <reference field="1" count="1" selected="0">
            <x v="23"/>
          </reference>
        </references>
      </pivotArea>
    </chartFormat>
    <chartFormat chart="2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9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21" format="20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21" format="21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22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25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22" format="26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22" format="27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B91EE-9494-41C8-A64E-C25951BC636A}" name="TablaDinámica9" cacheId="37" applyNumberFormats="0" applyBorderFormats="0" applyFontFormats="0" applyPatternFormats="0" applyAlignmentFormats="0" applyWidthHeightFormats="1" dataCaption="Valores" errorCaption="-" missingCaption="0" showMissing="0" updatedVersion="8" minRefreshableVersion="3" useAutoFormatting="1" itemPrintTitles="1" createdVersion="8" indent="0" outline="1" outlineData="1" multipleFieldFilters="0" chartFormat="137" rowHeaderCaption="DIA">
  <location ref="AP4:AQ36" firstHeaderRow="1" firstDataRow="1" firstDataCol="1"/>
  <pivotFields count="63">
    <pivotField showAll="0">
      <items count="458"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5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3"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VOLUMEN TRATADO GEM  (m3)" fld="11" baseField="0" baseItem="0"/>
  </dataFields>
  <formats count="23">
    <format dxfId="963">
      <pivotArea outline="0" collapsedLevelsAreSubtotals="1" fieldPosition="0"/>
    </format>
    <format dxfId="962">
      <pivotArea outline="0" collapsedLevelsAreSubtotals="1" fieldPosition="0"/>
    </format>
    <format dxfId="961">
      <pivotArea type="all" dataOnly="0" outline="0" fieldPosition="0"/>
    </format>
    <format dxfId="960">
      <pivotArea outline="0" collapsedLevelsAreSubtotals="1" fieldPosition="0"/>
    </format>
    <format dxfId="959">
      <pivotArea field="1" type="button" dataOnly="0" labelOnly="1" outline="0" axis="axisRow" fieldPosition="0"/>
    </format>
    <format dxfId="958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957">
      <pivotArea dataOnly="0" labelOnly="1" grandRow="1" outline="0" fieldPosition="0"/>
    </format>
    <format dxfId="956">
      <pivotArea type="all" dataOnly="0" outline="0" fieldPosition="0"/>
    </format>
    <format dxfId="955">
      <pivotArea outline="0" collapsedLevelsAreSubtotals="1" fieldPosition="0"/>
    </format>
    <format dxfId="954">
      <pivotArea field="1" type="button" dataOnly="0" labelOnly="1" outline="0" axis="axisRow" fieldPosition="0"/>
    </format>
    <format dxfId="953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952">
      <pivotArea dataOnly="0" labelOnly="1" grandRow="1" outline="0" fieldPosition="0"/>
    </format>
    <format dxfId="951">
      <pivotArea type="all" dataOnly="0" outline="0" fieldPosition="0"/>
    </format>
    <format dxfId="950">
      <pivotArea outline="0" collapsedLevelsAreSubtotals="1" fieldPosition="0"/>
    </format>
    <format dxfId="949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948">
      <pivotArea dataOnly="0" labelOnly="1" grandRow="1" outline="0" fieldPosition="0"/>
    </format>
    <format dxfId="947">
      <pivotArea field="1" type="button" dataOnly="0" labelOnly="1" outline="0" axis="axisRow" fieldPosition="0"/>
    </format>
    <format dxfId="946">
      <pivotArea type="all" dataOnly="0" outline="0" fieldPosition="0"/>
    </format>
    <format dxfId="945">
      <pivotArea outline="0" collapsedLevelsAreSubtotals="1" fieldPosition="0"/>
    </format>
    <format dxfId="944">
      <pivotArea field="1" type="button" dataOnly="0" labelOnly="1" outline="0" axis="axisRow" fieldPosition="0"/>
    </format>
    <format dxfId="943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942">
      <pivotArea dataOnly="0" labelOnly="1" grandRow="1" outline="0" fieldPosition="0"/>
    </format>
    <format dxfId="941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1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4D9CA-4B55-4A5B-A9E2-E67ECFD60FC9}" name="TablaDinámica5" cacheId="37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4" rowHeaderCaption="DIA">
  <location ref="V3:AB35" firstHeaderRow="0" firstDataRow="1" firstDataCol="1" rowPageCount="1" colPageCount="1"/>
  <pivotFields count="63">
    <pivotField axis="axisPage" numFmtId="14" showAll="0">
      <items count="458"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5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sd="0"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COF 494 - PPM POL CATIONICO " fld="53" baseField="0" baseItem="0" numFmtId="3"/>
    <dataField name="COF 440 - PPM POL ANIONICO " fld="52" baseField="0" baseItem="0" numFmtId="3"/>
    <dataField name="COF 280 - PPM ACIDO " fld="49" baseField="0" baseItem="0" numFmtId="3"/>
    <dataField name="COF 235 - PPM COAGULANTE  " fld="50" baseField="0" baseItem="0" numFmtId="3"/>
    <dataField name="COF 255 - PPM DECOLORANTE " fld="51" baseField="0" baseItem="0" numFmtId="3"/>
    <dataField name=" INDICADOR $m3 " fld="48" baseField="0" baseItem="0"/>
  </dataFields>
  <formats count="3">
    <format dxfId="1015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1014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1013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chartFormats count="6"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CB2C0-F69E-4409-8B70-C0EC306C9BF1}" name="TablaDinámica7" cacheId="37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7" rowHeaderCaption="DIA">
  <location ref="AL3:AR35" firstHeaderRow="0" firstDataRow="1" firstDataCol="1" rowPageCount="1" colPageCount="1"/>
  <pivotFields count="63">
    <pivotField axis="axisPage" numFmtId="14" showAll="0">
      <items count="458"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5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sd="0"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KG POL CATIONICO  " fld="23" baseField="0" baseItem="0" numFmtId="3"/>
    <dataField name="KG POL ANIONICO  " fld="22" baseField="0" baseItem="0" numFmtId="3"/>
    <dataField name="KG ACIDO " fld="19" baseField="0" baseItem="0" numFmtId="3"/>
    <dataField name="KG COAGULANTE " fld="20" baseField="0" baseItem="0" numFmtId="3"/>
    <dataField name="KG DECOLORANTE  " fld="21" baseField="0" baseItem="0" numFmtId="3"/>
    <dataField name=" INDICADOR $m3 " fld="48" baseField="0" baseItem="0"/>
  </dataFields>
  <formats count="3">
    <format dxfId="1018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1017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1016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chartFormats count="11"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5"/>
          </reference>
          <reference field="1" count="1" selected="0">
            <x v="18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4"/>
          </reference>
          <reference field="1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8D28C-06B2-47A4-A8C7-96F56DDA066C}" name="TablaDinámica6" cacheId="37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8" rowHeaderCaption="DIA">
  <location ref="AD3:AJ35" firstHeaderRow="0" firstDataRow="1" firstDataCol="1" rowPageCount="1" colPageCount="1"/>
  <pivotFields count="63">
    <pivotField axis="axisPage" numFmtId="14" showAll="0">
      <items count="458"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5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sd="0"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CONSUMO POL CATIONICO (KG) " fld="18" baseField="0" baseItem="0" numFmtId="3"/>
    <dataField name="CONSUMO POL ANIONICO (KG) " fld="17" baseField="0" baseItem="0" numFmtId="3"/>
    <dataField name="CONSUMO LITROS ACIDO (L) " fld="14" baseField="0" baseItem="0" numFmtId="3"/>
    <dataField name="CONSUMO LITROS COAGULANTE (L) " fld="15" baseField="0" baseItem="0" numFmtId="3"/>
    <dataField name="CONSUMO LITROS DECOLORANTE (L) " fld="16" baseField="0" baseItem="0" numFmtId="3"/>
    <dataField name=" INDICADOR $m3 " fld="48" baseField="0" baseItem="0"/>
  </dataFields>
  <formats count="4">
    <format dxfId="1022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1021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1020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101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hartFormats count="9"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5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2B3D3-1C65-4A13-8A25-264C8AB3668A}" name="TablaDinámica10" cacheId="37" applyNumberFormats="0" applyBorderFormats="0" applyFontFormats="0" applyPatternFormats="0" applyAlignmentFormats="0" applyWidthHeightFormats="1" dataCaption="Valores" errorCaption="0" showError="1" missingCaption="0" showMissing="0" updatedVersion="8" minRefreshableVersion="3" useAutoFormatting="1" itemPrintTitles="1" createdVersion="8" indent="0" outline="1" outlineData="1" multipleFieldFilters="0" chartFormat="136" rowHeaderCaption="DIA">
  <location ref="AT3:AZ35" firstHeaderRow="0" firstDataRow="1" firstDataCol="1"/>
  <pivotFields count="63">
    <pivotField showAll="0">
      <items count="458"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5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INDICADOR $m3 " fld="48" baseField="0" baseItem="0" numFmtId="167"/>
    <dataField name="INDICADOR $ACIDO/M3 " fld="58" baseField="0" baseItem="0" numFmtId="167"/>
    <dataField name=" INDICADOR $COAGULANTE/M3 " fld="59" baseField="0" baseItem="0" numFmtId="167"/>
    <dataField name="INDICADOR $DECOLORANTE/M3 " fld="60" baseField="0" baseItem="0" numFmtId="167"/>
    <dataField name="INDICADOR $POL ANIONICO/ M3 " fld="61" baseField="0" baseItem="0" numFmtId="167"/>
    <dataField name=" INDICADOR $POL CATIONICO / M3 " fld="62" baseField="0" baseItem="0" numFmtId="167"/>
  </dataFields>
  <formats count="26">
    <format dxfId="1048">
      <pivotArea outline="0" collapsedLevelsAreSubtotals="1" fieldPosition="0"/>
    </format>
    <format dxfId="1047">
      <pivotArea outline="0" collapsedLevelsAreSubtotals="1" fieldPosition="0"/>
    </format>
    <format dxfId="1046">
      <pivotArea type="all" dataOnly="0" outline="0" fieldPosition="0"/>
    </format>
    <format dxfId="1045">
      <pivotArea outline="0" collapsedLevelsAreSubtotals="1" fieldPosition="0"/>
    </format>
    <format dxfId="1044">
      <pivotArea field="1" type="button" dataOnly="0" labelOnly="1" outline="0" axis="axisRow" fieldPosition="0"/>
    </format>
    <format dxfId="1043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042">
      <pivotArea dataOnly="0" labelOnly="1" grandRow="1" outline="0" fieldPosition="0"/>
    </format>
    <format dxfId="1041">
      <pivotArea type="all" dataOnly="0" outline="0" fieldPosition="0"/>
    </format>
    <format dxfId="1040">
      <pivotArea outline="0" collapsedLevelsAreSubtotals="1" fieldPosition="0"/>
    </format>
    <format dxfId="1039">
      <pivotArea field="1" type="button" dataOnly="0" labelOnly="1" outline="0" axis="axisRow" fieldPosition="0"/>
    </format>
    <format dxfId="1038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037">
      <pivotArea dataOnly="0" labelOnly="1" grandRow="1" outline="0" fieldPosition="0"/>
    </format>
    <format dxfId="1036">
      <pivotArea type="all" dataOnly="0" outline="0" fieldPosition="0"/>
    </format>
    <format dxfId="1035">
      <pivotArea outline="0" collapsedLevelsAreSubtotals="1" fieldPosition="0"/>
    </format>
    <format dxfId="103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033">
      <pivotArea dataOnly="0" labelOnly="1" grandRow="1" outline="0" fieldPosition="0"/>
    </format>
    <format dxfId="1032">
      <pivotArea type="all" dataOnly="0" outline="0" fieldPosition="0"/>
    </format>
    <format dxfId="1031">
      <pivotArea outline="0" collapsedLevelsAreSubtotals="1" fieldPosition="0"/>
    </format>
    <format dxfId="1030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029">
      <pivotArea dataOnly="0" labelOnly="1" grandRow="1" outline="0" fieldPosition="0"/>
    </format>
    <format dxfId="1028">
      <pivotArea field="1" type="button" dataOnly="0" labelOnly="1" outline="0" axis="axisRow" fieldPosition="0"/>
    </format>
    <format dxfId="1027">
      <pivotArea dataOnly="0" labelOnly="1" fieldPosition="0">
        <references count="1">
          <reference field="1" count="1">
            <x v="11"/>
          </reference>
        </references>
      </pivotArea>
    </format>
    <format dxfId="102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02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024">
      <pivotArea dataOnly="0" fieldPosition="0">
        <references count="1">
          <reference field="1" count="0"/>
        </references>
      </pivotArea>
    </format>
    <format dxfId="1023">
      <pivotArea outline="0" collapsedLevelsAreSubtotals="1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</formats>
  <chartFormats count="6">
    <chartFormat chart="13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3" format="1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3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3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B8E37-404E-4B1C-9D4A-74F39F25D255}" name="TablaDinámica4" cacheId="37" dataOnRows="1" applyNumberFormats="0" applyBorderFormats="0" applyFontFormats="0" applyPatternFormats="0" applyAlignmentFormats="0" applyWidthHeightFormats="1" dataCaption="PRODUCTOS QUÍMICOS" updatedVersion="8" minRefreshableVersion="3" rowGrandTotals="0" colGrandTotals="0" itemPrintTitles="1" createdVersion="8" indent="0" outline="1" outlineData="1" multipleFieldFilters="0" rowHeaderCaption="FECHA" colHeaderCaption="DIAS">
  <location ref="A25:AF33" firstHeaderRow="1" firstDataRow="2" firstDataCol="1"/>
  <pivotFields count="63">
    <pivotField showAll="0">
      <items count="458"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5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3"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1"/>
  </colFields>
  <colItems count="3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</colItems>
  <dataFields count="7">
    <dataField name="COF 280 - PPM ACIDO  " fld="49" baseField="0" baseItem="0" numFmtId="3"/>
    <dataField name="COF 235 - PPM COAGULANTE  " fld="50" baseField="0" baseItem="0" numFmtId="3"/>
    <dataField name="COF 255 - PPM DECOLORANTE  " fld="51" baseField="0" baseItem="0" numFmtId="3"/>
    <dataField name="COF 440 - PPM POL ANIONICO  " fld="52" baseField="1" baseItem="0"/>
    <dataField name="COF 494 - PPM POL CATIONICO " fld="53" baseField="0" baseItem="0"/>
    <dataField name="CAUDAL TOTAL TRATADO GEM  " fld="11" baseField="0" baseItem="0"/>
    <dataField name="INDICADOR $m3 " fld="48" baseField="0" baseItem="0"/>
  </dataFields>
  <formats count="53">
    <format dxfId="746">
      <pivotArea field="0" type="button" dataOnly="0" labelOnly="1" outline="0"/>
    </format>
    <format dxfId="745">
      <pivotArea field="0" type="button" dataOnly="0" labelOnly="1" outline="0"/>
    </format>
    <format dxfId="744">
      <pivotArea field="0" type="button" dataOnly="0" labelOnly="1" outline="0"/>
    </format>
    <format dxfId="743">
      <pivotArea field="0" type="button" dataOnly="0" labelOnly="1" outline="0"/>
    </format>
    <format dxfId="742">
      <pivotArea type="all" dataOnly="0" outline="0" fieldPosition="0"/>
    </format>
    <format dxfId="741">
      <pivotArea outline="0" collapsedLevelsAreSubtotals="1" fieldPosition="0"/>
    </format>
    <format dxfId="740">
      <pivotArea field="0" type="button" dataOnly="0" labelOnly="1" outline="0"/>
    </format>
    <format dxfId="739">
      <pivotArea dataOnly="0" labelOnly="1" grandRow="1" outline="0" fieldPosition="0"/>
    </format>
    <format dxfId="738">
      <pivotArea field="0" type="button" dataOnly="0" labelOnly="1" outline="0"/>
    </format>
    <format dxfId="737">
      <pivotArea field="0" type="button" dataOnly="0" labelOnly="1" outline="0"/>
    </format>
    <format dxfId="736">
      <pivotArea field="0" type="button" dataOnly="0" labelOnly="1" outline="0"/>
    </format>
    <format dxfId="735">
      <pivotArea field="0" type="button" dataOnly="0" labelOnly="1" outline="0"/>
    </format>
    <format dxfId="734">
      <pivotArea outline="0" collapsedLevelsAreSubtotals="1" fieldPosition="0"/>
    </format>
    <format dxfId="733">
      <pivotArea field="0" type="button" dataOnly="0" labelOnly="1" outline="0"/>
    </format>
    <format dxfId="732">
      <pivotArea type="all" dataOnly="0" outline="0" fieldPosition="0"/>
    </format>
    <format dxfId="731">
      <pivotArea field="0" type="button" dataOnly="0" labelOnly="1" outline="0"/>
    </format>
    <format dxfId="730">
      <pivotArea dataOnly="0" labelOnly="1" grandRow="1" outline="0" fieldPosition="0"/>
    </format>
    <format dxfId="729">
      <pivotArea type="origin" dataOnly="0" labelOnly="1" outline="0" fieldPosition="0"/>
    </format>
    <format dxfId="728">
      <pivotArea type="origin" dataOnly="0" labelOnly="1" outline="0" fieldPosition="0"/>
    </format>
    <format dxfId="727">
      <pivotArea field="1" type="button" dataOnly="0" labelOnly="1" outline="0" axis="axisCol" fieldPosition="0"/>
    </format>
    <format dxfId="7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25">
      <pivotArea collapsedLevelsAreSubtotals="1" fieldPosition="0">
        <references count="2">
          <reference field="4294967294" count="2">
            <x v="3"/>
            <x v="4"/>
          </reference>
          <reference field="1" count="29" selected="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724">
      <pivotArea field="1" grandCol="1" collapsedLevelsAreSubtotals="1" axis="axisCol" fieldPosition="0">
        <references count="1">
          <reference field="4294967294" count="2">
            <x v="3"/>
            <x v="4"/>
          </reference>
        </references>
      </pivotArea>
    </format>
    <format dxfId="723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722">
      <pivotArea outline="0" collapsedLevelsAreSubtotals="1" fieldPosition="0">
        <references count="1">
          <reference field="1" count="0" selected="0"/>
        </references>
      </pivotArea>
    </format>
    <format dxfId="721">
      <pivotArea field="1" type="button" dataOnly="0" labelOnly="1" outline="0" axis="axisCol" fieldPosition="0"/>
    </format>
    <format dxfId="720">
      <pivotArea type="topRight" dataOnly="0" labelOnly="1" outline="0" fieldPosition="0"/>
    </format>
    <format dxfId="719">
      <pivotArea dataOnly="0" labelOnly="1" fieldPosition="0">
        <references count="1">
          <reference field="1" count="0"/>
        </references>
      </pivotArea>
    </format>
    <format dxfId="71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1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1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15">
      <pivotArea type="all" dataOnly="0" outline="0" fieldPosition="0"/>
    </format>
    <format dxfId="714">
      <pivotArea type="origin" dataOnly="0" labelOnly="1" outline="0" fieldPosition="0"/>
    </format>
    <format dxfId="713">
      <pivotArea field="-2" type="button" dataOnly="0" labelOnly="1" outline="0" axis="axisRow" fieldPosition="0"/>
    </format>
    <format dxfId="712">
      <pivotArea dataOnly="0" labelOnly="1" fieldPosition="0">
        <references count="1">
          <reference field="1" count="0"/>
        </references>
      </pivotArea>
    </format>
    <format dxfId="711">
      <pivotArea dataOnly="0" labelOnly="1" grandCol="1" outline="0" fieldPosition="0"/>
    </format>
    <format dxfId="710">
      <pivotArea outline="0" collapsedLevelsAreSubtotals="1" fieldPosition="0"/>
    </format>
    <format dxfId="70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08">
      <pivotArea type="origin" dataOnly="0" labelOnly="1" outline="0" fieldPosition="0"/>
    </format>
    <format dxfId="707">
      <pivotArea field="-2" type="button" dataOnly="0" labelOnly="1" outline="0" axis="axisRow" fieldPosition="0"/>
    </format>
    <format dxfId="706">
      <pivotArea field="1" type="button" dataOnly="0" labelOnly="1" outline="0" axis="axisCol" fieldPosition="0"/>
    </format>
    <format dxfId="705">
      <pivotArea type="topRight" dataOnly="0" labelOnly="1" outline="0" fieldPosition="0"/>
    </format>
    <format dxfId="704">
      <pivotArea field="1" type="button" dataOnly="0" labelOnly="1" outline="0" axis="axisCol" fieldPosition="0"/>
    </format>
    <format dxfId="703">
      <pivotArea type="topRight" dataOnly="0" labelOnly="1" outline="0" fieldPosition="0"/>
    </format>
    <format dxfId="702">
      <pivotArea dataOnly="0" labelOnly="1" fieldPosition="0">
        <references count="1">
          <reference field="1" count="0"/>
        </references>
      </pivotArea>
    </format>
    <format dxfId="701">
      <pivotArea dataOnly="0" labelOnly="1" grandCol="1" outline="0" fieldPosition="0"/>
    </format>
    <format dxfId="700">
      <pivotArea field="1" type="button" dataOnly="0" labelOnly="1" outline="0" axis="axisCol" fieldPosition="0"/>
    </format>
    <format dxfId="699">
      <pivotArea type="topRight" dataOnly="0" labelOnly="1" outline="0" fieldPosition="0"/>
    </format>
    <format dxfId="698">
      <pivotArea dataOnly="0" labelOnly="1" fieldPosition="0">
        <references count="1">
          <reference field="1" count="0"/>
        </references>
      </pivotArea>
    </format>
    <format dxfId="697">
      <pivotArea dataOnly="0" labelOnly="1" grandCol="1" outline="0" fieldPosition="0"/>
    </format>
    <format dxfId="696">
      <pivotArea type="origin" dataOnly="0" labelOnly="1" outline="0" fieldPosition="0"/>
    </format>
    <format dxfId="695">
      <pivotArea field="-2" type="button" dataOnly="0" labelOnly="1" outline="0" axis="axisRow" fieldPosition="0"/>
    </format>
    <format dxfId="694">
      <pivotArea collapsedLevelsAreSubtotals="1" fieldPosition="0">
        <references count="1">
          <reference field="4294967294" count="1">
            <x v="6"/>
          </reference>
        </references>
      </pivotArea>
    </format>
  </formats>
  <conditionalFormats count="3">
    <conditionalFormat priority="4">
      <pivotAreas count="1">
        <pivotArea type="data" collapsedLevelsAreSubtotals="1" fieldPosition="0">
          <references count="1">
            <reference field="4294967294" count="1">
              <x v="0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1" count="29" selected="0">
              <x v="1"/>
              <x v="2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1">
            <reference field="4294967294" count="1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B47A8-E72A-4796-8C15-340E8D309401}" name="TablaDinámica1" cacheId="37" dataOnRows="1" applyNumberFormats="0" applyBorderFormats="0" applyFontFormats="0" applyPatternFormats="0" applyAlignmentFormats="0" applyWidthHeightFormats="1" dataCaption="CONSOLIDADO AGUA POTABLE VS AGUA TRATADA (m3/Día)" updatedVersion="8" minRefreshableVersion="3" itemPrintTitles="1" createdVersion="8" indent="0" outline="1" outlineData="1" multipleFieldFilters="0" rowHeaderCaption="FECHA" colHeaderCaption="DIAS">
  <location ref="A35:AG37" firstHeaderRow="1" firstDataRow="2" firstDataCol="1"/>
  <pivotFields count="63">
    <pivotField showAll="0">
      <items count="458"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5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3"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numFmtId="165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1"/>
  </colFields>
  <col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1">
    <dataField name=" CAUDAL TOTAL TRATADO GEM " fld="11" baseField="0" baseItem="0"/>
  </dataFields>
  <formats count="37">
    <format dxfId="783">
      <pivotArea field="0" type="button" dataOnly="0" labelOnly="1" outline="0"/>
    </format>
    <format dxfId="782">
      <pivotArea field="0" type="button" dataOnly="0" labelOnly="1" outline="0"/>
    </format>
    <format dxfId="781">
      <pivotArea outline="0" collapsedLevelsAreSubtotals="1" fieldPosition="0"/>
    </format>
    <format dxfId="780">
      <pivotArea field="1" type="button" dataOnly="0" labelOnly="1" outline="0" axis="axisCol" fieldPosition="0"/>
    </format>
    <format dxfId="779">
      <pivotArea type="origin" dataOnly="0" labelOnly="1" outline="0" fieldPosition="0"/>
    </format>
    <format dxfId="778">
      <pivotArea outline="0" collapsedLevelsAreSubtotals="1" fieldPosition="0"/>
    </format>
    <format dxfId="777">
      <pivotArea outline="0" collapsedLevelsAreSubtotals="1" fieldPosition="0"/>
    </format>
    <format dxfId="776">
      <pivotArea type="origin" dataOnly="0" labelOnly="1" outline="0" fieldPosition="0"/>
    </format>
    <format dxfId="775">
      <pivotArea field="-2" type="button" dataOnly="0" labelOnly="1" outline="0" axis="axisRow" fieldPosition="0"/>
    </format>
    <format dxfId="774">
      <pivotArea type="origin" dataOnly="0" labelOnly="1" outline="0" fieldPosition="0"/>
    </format>
    <format dxfId="773">
      <pivotArea field="-2" type="button" dataOnly="0" labelOnly="1" outline="0" axis="axisRow" fieldPosition="0"/>
    </format>
    <format dxfId="772">
      <pivotArea outline="0" collapsedLevelsAreSubtotals="1" fieldPosition="0">
        <references count="1">
          <reference field="1" count="0" selected="0"/>
        </references>
      </pivotArea>
    </format>
    <format dxfId="771">
      <pivotArea field="1" type="button" dataOnly="0" labelOnly="1" outline="0" axis="axisCol" fieldPosition="0"/>
    </format>
    <format dxfId="770">
      <pivotArea type="topRight" dataOnly="0" labelOnly="1" outline="0" fieldPosition="0"/>
    </format>
    <format dxfId="769">
      <pivotArea dataOnly="0" labelOnly="1" fieldPosition="0">
        <references count="1">
          <reference field="1" count="0"/>
        </references>
      </pivotArea>
    </format>
    <format dxfId="768">
      <pivotArea outline="0" collapsedLevelsAreSubtotals="1" fieldPosition="0"/>
    </format>
    <format dxfId="767">
      <pivotArea dataOnly="0" labelOnly="1" fieldPosition="0">
        <references count="1">
          <reference field="1" count="0"/>
        </references>
      </pivotArea>
    </format>
    <format dxfId="766">
      <pivotArea dataOnly="0" labelOnly="1" grandCol="1" outline="0" fieldPosition="0"/>
    </format>
    <format dxfId="765">
      <pivotArea outline="0" collapsedLevelsAreSubtotals="1" fieldPosition="0"/>
    </format>
    <format dxfId="764">
      <pivotArea dataOnly="0" labelOnly="1" fieldPosition="0">
        <references count="1">
          <reference field="1" count="0"/>
        </references>
      </pivotArea>
    </format>
    <format dxfId="763">
      <pivotArea dataOnly="0" labelOnly="1" grandCol="1" outline="0" fieldPosition="0"/>
    </format>
    <format dxfId="762">
      <pivotArea outline="0" collapsedLevelsAreSubtotals="1" fieldPosition="0"/>
    </format>
    <format dxfId="76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60">
      <pivotArea field="1" type="button" dataOnly="0" labelOnly="1" outline="0" axis="axisCol" fieldPosition="0"/>
    </format>
    <format dxfId="759">
      <pivotArea type="topRight" dataOnly="0" labelOnly="1" outline="0" fieldPosition="0"/>
    </format>
    <format dxfId="758">
      <pivotArea dataOnly="0" labelOnly="1" fieldPosition="0">
        <references count="1">
          <reference field="1" count="0"/>
        </references>
      </pivotArea>
    </format>
    <format dxfId="757">
      <pivotArea dataOnly="0" labelOnly="1" grandCol="1" outline="0" fieldPosition="0"/>
    </format>
    <format dxfId="75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5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54">
      <pivotArea outline="0" collapsedLevelsAreSubtotals="1" fieldPosition="0"/>
    </format>
    <format dxfId="75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52">
      <pivotArea type="origin" dataOnly="0" labelOnly="1" outline="0" fieldPosition="0"/>
    </format>
    <format dxfId="751">
      <pivotArea field="-2" type="button" dataOnly="0" labelOnly="1" outline="0" axis="axisRow" fieldPosition="0"/>
    </format>
    <format dxfId="750">
      <pivotArea field="1" type="button" dataOnly="0" labelOnly="1" outline="0" axis="axisCol" fieldPosition="0"/>
    </format>
    <format dxfId="749">
      <pivotArea type="topRight" dataOnly="0" labelOnly="1" outline="0" fieldPosition="0"/>
    </format>
    <format dxfId="748">
      <pivotArea dataOnly="0" labelOnly="1" fieldPosition="0">
        <references count="1">
          <reference field="1" count="0"/>
        </references>
      </pivotArea>
    </format>
    <format dxfId="747">
      <pivotArea dataOnly="0" labelOnly="1" grandCol="1" outline="0" fieldPosition="0"/>
    </format>
  </formats>
  <conditionalFormats count="1">
    <conditionalFormat priority="1">
      <pivotAreas count="1">
        <pivotArea type="data" outline="0" collapsedLevelsAreSubtotals="1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6D859-AE2C-4071-B467-E91DE3ACEFD5}" name="TablaDinámica2" cacheId="37" dataOnRows="1" applyNumberFormats="0" applyBorderFormats="0" applyFontFormats="0" applyPatternFormats="0" applyAlignmentFormats="0" applyWidthHeightFormats="1" dataCaption="PRODUCTOS QUÍMICOS " errorCaption="-" showError="1" missingCaption="-" updatedVersion="8" minRefreshableVersion="3" itemPrintTitles="1" createdVersion="8" indent="0" outline="1" outlineData="1" multipleFieldFilters="0" rowHeaderCaption="FECHA" colHeaderCaption="DIAS">
  <location ref="A2:AG10" firstHeaderRow="1" firstDataRow="2" firstDataCol="1"/>
  <pivotFields count="63">
    <pivotField showAll="0">
      <items count="458"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5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3" showAll="0"/>
    <pivotField dataField="1" showAll="0"/>
    <pivotField dataField="1" showAll="0"/>
    <pivotField dataField="1" showAll="0"/>
    <pivotField dataField="1" showAll="0"/>
    <pivotField dataFiel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1"/>
  </colFields>
  <col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7">
    <dataField name="COF 280 ACIDO (L)" fld="14" baseField="0" baseItem="0"/>
    <dataField name="COF 235 COAGULANTE (L)" fld="15" baseField="0" baseItem="0"/>
    <dataField name="COF 255  DECOLORANTE (L)" fld="16" baseField="0" baseItem="0"/>
    <dataField name="COF 440 POL ANIONICO (KG)" fld="17" baseField="0" baseItem="0"/>
    <dataField name="COF 494 POL CATIONICO (KG)" fld="18" baseField="0" baseItem="0"/>
    <dataField name="CAUDAL TOTAL TRATADO GEM  " fld="11" baseField="0" baseItem="0"/>
    <dataField name="INDICADOR $m3 " fld="48" baseField="0" baseItem="0"/>
  </dataFields>
  <formats count="27">
    <format dxfId="810">
      <pivotArea type="all" dataOnly="0" outline="0" fieldPosition="0"/>
    </format>
    <format dxfId="809">
      <pivotArea outline="0" collapsedLevelsAreSubtotals="1" fieldPosition="0"/>
    </format>
    <format dxfId="808">
      <pivotArea field="1" type="button" dataOnly="0" labelOnly="1" outline="0" axis="axisCol" fieldPosition="0"/>
    </format>
    <format dxfId="807">
      <pivotArea type="topRight" dataOnly="0" labelOnly="1" outline="0" fieldPosition="0"/>
    </format>
    <format dxfId="80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05">
      <pivotArea dataOnly="0" labelOnly="1" fieldPosition="0">
        <references count="1">
          <reference field="1" count="0"/>
        </references>
      </pivotArea>
    </format>
    <format dxfId="804">
      <pivotArea dataOnly="0" labelOnly="1" grandCol="1" outline="0" fieldPosition="0"/>
    </format>
    <format dxfId="803">
      <pivotArea outline="0" collapsedLevelsAreSubtotals="1" fieldPosition="0"/>
    </format>
    <format dxfId="80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01">
      <pivotArea dataOnly="0" labelOnly="1" fieldPosition="0">
        <references count="1">
          <reference field="1" count="0"/>
        </references>
      </pivotArea>
    </format>
    <format dxfId="800">
      <pivotArea dataOnly="0" labelOnly="1" grandCol="1" outline="0" fieldPosition="0"/>
    </format>
    <format dxfId="799">
      <pivotArea type="origin" dataOnly="0" labelOnly="1" outline="0" fieldPosition="0"/>
    </format>
    <format dxfId="798">
      <pivotArea field="-2" type="button" dataOnly="0" labelOnly="1" outline="0" axis="axisRow" fieldPosition="0"/>
    </format>
    <format dxfId="797">
      <pivotArea type="origin" dataOnly="0" labelOnly="1" outline="0" fieldPosition="0"/>
    </format>
    <format dxfId="796">
      <pivotArea field="-2" type="button" dataOnly="0" labelOnly="1" outline="0" axis="axisRow" fieldPosition="0"/>
    </format>
    <format dxfId="795">
      <pivotArea field="1" type="button" dataOnly="0" labelOnly="1" outline="0" axis="axisCol" fieldPosition="0"/>
    </format>
    <format dxfId="794">
      <pivotArea type="topRight" dataOnly="0" labelOnly="1" outline="0" fieldPosition="0"/>
    </format>
    <format dxfId="793">
      <pivotArea dataOnly="0" labelOnly="1" fieldPosition="0">
        <references count="1">
          <reference field="1" count="0"/>
        </references>
      </pivotArea>
    </format>
    <format dxfId="792">
      <pivotArea dataOnly="0" labelOnly="1" grandCol="1" outline="0" fieldPosition="0"/>
    </format>
    <format dxfId="791">
      <pivotArea outline="0" collapsedLevelsAreSubtotals="1" fieldPosition="0"/>
    </format>
    <format dxfId="790">
      <pivotArea dataOnly="0" labelOnly="1" fieldPosition="0">
        <references count="1">
          <reference field="1" count="0"/>
        </references>
      </pivotArea>
    </format>
    <format dxfId="789">
      <pivotArea dataOnly="0" labelOnly="1" grandCol="1" outline="0" fieldPosition="0"/>
    </format>
    <format dxfId="788">
      <pivotArea dataOnly="0" labelOnly="1" fieldPosition="0">
        <references count="1">
          <reference field="1" count="0"/>
        </references>
      </pivotArea>
    </format>
    <format dxfId="787">
      <pivotArea dataOnly="0" labelOnly="1" grandCol="1" outline="0" fieldPosition="0"/>
    </format>
    <format dxfId="78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85">
      <pivotArea field="-2" type="button" dataOnly="0" labelOnly="1" outline="0" axis="axisRow" fieldPosition="0"/>
    </format>
    <format dxfId="784">
      <pivotArea collapsedLevelsAreSubtotals="1" fieldPosition="0">
        <references count="1">
          <reference field="429496729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70A10-4731-4093-A3F0-4394698F81CA}" name="TablaDinámica3" cacheId="37" dataOnRows="1" applyNumberFormats="0" applyBorderFormats="0" applyFontFormats="0" applyPatternFormats="0" applyAlignmentFormats="0" applyWidthHeightFormats="1" dataCaption="PRODUCTOS QUÍMICOS" updatedVersion="8" minRefreshableVersion="3" showDrill="0" itemPrintTitles="1" createdVersion="8" indent="0" outline="1" outlineData="1" multipleFieldFilters="0" rowHeaderCaption="FECHA" colHeaderCaption="DIAS">
  <location ref="A13:AG21" firstHeaderRow="1" firstDataRow="2" firstDataCol="1"/>
  <pivotFields count="63">
    <pivotField showAll="0">
      <items count="458"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5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3" showAll="0"/>
    <pivotField showAll="0"/>
    <pivotField showAll="0"/>
    <pivotField showAll="0"/>
    <pivotField showAll="0"/>
    <pivotField showAll="0"/>
    <pivotField dataField="1" numFmtId="3" showAll="0"/>
    <pivotField dataField="1" numFmtId="3" showAll="0"/>
    <pivotField dataField="1" numFmtId="3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1"/>
  </colFields>
  <col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7">
    <dataField name="COF 280 - KG ACIDO" fld="19" baseField="0" baseItem="0" numFmtId="3"/>
    <dataField name="COF 235 - KG COAGULANTE" fld="20" baseField="0" baseItem="0"/>
    <dataField name="COF 255 - KG DECOLORANTE " fld="21" baseField="0" baseItem="0"/>
    <dataField name="COF 440 - KG POL ANIONICO " fld="22" baseField="0" baseItem="0"/>
    <dataField name="COF 494 - KG POL CATIONICO " fld="23" baseField="0" baseItem="0"/>
    <dataField name="CAUDAL TOTAL TRATADO GEM  " fld="11" baseField="0" baseItem="0"/>
    <dataField name="INDICADOR $m3 " fld="48" baseField="0" baseItem="0"/>
  </dataFields>
  <formats count="64">
    <format dxfId="874">
      <pivotArea field="0" type="button" dataOnly="0" labelOnly="1" outline="0"/>
    </format>
    <format dxfId="873">
      <pivotArea field="0" type="button" dataOnly="0" labelOnly="1" outline="0"/>
    </format>
    <format dxfId="872">
      <pivotArea field="0" type="button" dataOnly="0" labelOnly="1" outline="0"/>
    </format>
    <format dxfId="87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7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6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68">
      <pivotArea field="0" type="button" dataOnly="0" labelOnly="1" outline="0"/>
    </format>
    <format dxfId="86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66">
      <pivotArea type="all" dataOnly="0" outline="0" fieldPosition="0"/>
    </format>
    <format dxfId="865">
      <pivotArea outline="0" collapsedLevelsAreSubtotals="1" fieldPosition="0"/>
    </format>
    <format dxfId="864">
      <pivotArea field="0" type="button" dataOnly="0" labelOnly="1" outline="0"/>
    </format>
    <format dxfId="863">
      <pivotArea dataOnly="0" labelOnly="1" grandRow="1" outline="0" fieldPosition="0"/>
    </format>
    <format dxfId="86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61">
      <pivotArea field="0" type="button" dataOnly="0" labelOnly="1" outline="0"/>
    </format>
    <format dxfId="86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59">
      <pivotArea field="0" type="button" dataOnly="0" labelOnly="1" outline="0"/>
    </format>
    <format dxfId="85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57">
      <pivotArea outline="0" collapsedLevelsAreSubtotals="1" fieldPosition="0"/>
    </format>
    <format dxfId="856">
      <pivotArea dataOnly="0" labelOnly="1" grandRow="1" outline="0" fieldPosition="0"/>
    </format>
    <format dxfId="855">
      <pivotArea field="-2" type="button" dataOnly="0" labelOnly="1" outline="0" axis="axisRow" fieldPosition="0"/>
    </format>
    <format dxfId="854">
      <pivotArea type="origin" dataOnly="0" labelOnly="1" outline="0" fieldPosition="0"/>
    </format>
    <format dxfId="853">
      <pivotArea type="origin" dataOnly="0" labelOnly="1" outline="0" fieldPosition="0"/>
    </format>
    <format dxfId="852">
      <pivotArea field="-2" type="button" dataOnly="0" labelOnly="1" outline="0" axis="axisRow" fieldPosition="0"/>
    </format>
    <format dxfId="851">
      <pivotArea field="-2" type="button" dataOnly="0" labelOnly="1" outline="0" axis="axisRow" fieldPosition="0"/>
    </format>
    <format dxfId="850">
      <pivotArea outline="0" fieldPosition="0">
        <references count="1">
          <reference field="4294967294" count="1">
            <x v="0"/>
          </reference>
        </references>
      </pivotArea>
    </format>
    <format dxfId="849">
      <pivotArea field="1" type="button" dataOnly="0" labelOnly="1" outline="0" axis="axisCol" fieldPosition="0"/>
    </format>
    <format dxfId="84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47">
      <pivotArea field="1" type="button" dataOnly="0" labelOnly="1" outline="0" axis="axisCol" fieldPosition="0"/>
    </format>
    <format dxfId="846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845">
      <pivotArea outline="0" collapsedLevelsAreSubtotals="1" fieldPosition="0">
        <references count="1">
          <reference field="1" count="0" selected="0"/>
        </references>
      </pivotArea>
    </format>
    <format dxfId="844">
      <pivotArea field="1" type="button" dataOnly="0" labelOnly="1" outline="0" axis="axisCol" fieldPosition="0"/>
    </format>
    <format dxfId="843">
      <pivotArea type="topRight" dataOnly="0" labelOnly="1" outline="0" fieldPosition="0"/>
    </format>
    <format dxfId="842">
      <pivotArea dataOnly="0" labelOnly="1" fieldPosition="0">
        <references count="1">
          <reference field="1" count="0"/>
        </references>
      </pivotArea>
    </format>
    <format dxfId="841">
      <pivotArea type="origin" dataOnly="0" labelOnly="1" outline="0" fieldPosition="0"/>
    </format>
    <format dxfId="840">
      <pivotArea field="-2" type="button" dataOnly="0" labelOnly="1" outline="0" axis="axisRow" fieldPosition="0"/>
    </format>
    <format dxfId="83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3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3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3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3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34">
      <pivotArea type="origin" dataOnly="0" labelOnly="1" outline="0" fieldPosition="0"/>
    </format>
    <format dxfId="833">
      <pivotArea field="1" type="button" dataOnly="0" labelOnly="1" outline="0" axis="axisCol" fieldPosition="0"/>
    </format>
    <format dxfId="832">
      <pivotArea type="topRight" dataOnly="0" labelOnly="1" outline="0" fieldPosition="0"/>
    </format>
    <format dxfId="831">
      <pivotArea field="-2" type="button" dataOnly="0" labelOnly="1" outline="0" axis="axisRow" fieldPosition="0"/>
    </format>
    <format dxfId="830">
      <pivotArea dataOnly="0" labelOnly="1" fieldPosition="0">
        <references count="1">
          <reference field="1" count="0"/>
        </references>
      </pivotArea>
    </format>
    <format dxfId="829">
      <pivotArea dataOnly="0" labelOnly="1" grandCol="1" outline="0" fieldPosition="0"/>
    </format>
    <format dxfId="828">
      <pivotArea type="origin" dataOnly="0" labelOnly="1" outline="0" fieldPosition="0"/>
    </format>
    <format dxfId="827">
      <pivotArea field="1" type="button" dataOnly="0" labelOnly="1" outline="0" axis="axisCol" fieldPosition="0"/>
    </format>
    <format dxfId="826">
      <pivotArea type="topRight" dataOnly="0" labelOnly="1" outline="0" fieldPosition="0"/>
    </format>
    <format dxfId="825">
      <pivotArea field="-2" type="button" dataOnly="0" labelOnly="1" outline="0" axis="axisRow" fieldPosition="0"/>
    </format>
    <format dxfId="824">
      <pivotArea dataOnly="0" labelOnly="1" fieldPosition="0">
        <references count="1">
          <reference field="1" count="0"/>
        </references>
      </pivotArea>
    </format>
    <format dxfId="823">
      <pivotArea dataOnly="0" labelOnly="1" grandCol="1" outline="0" fieldPosition="0"/>
    </format>
    <format dxfId="822">
      <pivotArea dataOnly="0" labelOnly="1" fieldPosition="0">
        <references count="1">
          <reference field="1" count="0"/>
        </references>
      </pivotArea>
    </format>
    <format dxfId="821">
      <pivotArea dataOnly="0" labelOnly="1" grandCol="1" outline="0" fieldPosition="0"/>
    </format>
    <format dxfId="820">
      <pivotArea field="1" type="button" dataOnly="0" labelOnly="1" outline="0" axis="axisCol" fieldPosition="0"/>
    </format>
    <format dxfId="819">
      <pivotArea type="topRight" dataOnly="0" labelOnly="1" outline="0" fieldPosition="0"/>
    </format>
    <format dxfId="818">
      <pivotArea dataOnly="0" labelOnly="1" fieldPosition="0">
        <references count="1">
          <reference field="1" count="0"/>
        </references>
      </pivotArea>
    </format>
    <format dxfId="817">
      <pivotArea dataOnly="0" labelOnly="1" grandCol="1" outline="0" fieldPosition="0"/>
    </format>
    <format dxfId="816">
      <pivotArea outline="0" collapsedLevelsAreSubtotals="1" fieldPosition="0"/>
    </format>
    <format dxfId="815">
      <pivotArea type="origin" dataOnly="0" labelOnly="1" outline="0" fieldPosition="0"/>
    </format>
    <format dxfId="814">
      <pivotArea field="-2" type="button" dataOnly="0" labelOnly="1" outline="0" axis="axisRow" fieldPosition="0"/>
    </format>
    <format dxfId="813">
      <pivotArea collapsedLevelsAreSubtotals="1" fieldPosition="0">
        <references count="1">
          <reference field="4294967294" count="1">
            <x v="6"/>
          </reference>
        </references>
      </pivotArea>
    </format>
    <format dxfId="812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811">
      <pivotArea dataOnly="0" labelOnly="1" outline="0" fieldPosition="0">
        <references count="1">
          <reference field="4294967294" count="2"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C57C8-AC33-4BC5-87D9-06E577497B75}" name="TablaDinámica5" cacheId="4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olHeaderCaption="DIA">
  <location ref="A32:AH34" firstHeaderRow="1" firstDataRow="2" firstDataCol="1"/>
  <pivotFields count="63">
    <pivotField numFmtId="14" showAll="0">
      <items count="370"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x="31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</pivotFields>
  <rowItems count="1">
    <i/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1">
    <dataField name=" TIEMPO DE OPERACIÓN (minutos)" fld="8" baseField="0" baseItem="0"/>
  </dataFields>
  <formats count="23">
    <format dxfId="494">
      <pivotArea outline="0" collapsedLevelsAreSubtotals="1" fieldPosition="0"/>
    </format>
    <format dxfId="493">
      <pivotArea dataOnly="0" labelOnly="1" outline="0" axis="axisValues" fieldPosition="0"/>
    </format>
    <format dxfId="492">
      <pivotArea field="1" type="button" dataOnly="0" labelOnly="1" outline="0" axis="axisCol" fieldPosition="0"/>
    </format>
    <format dxfId="491">
      <pivotArea type="topRight" dataOnly="0" labelOnly="1" outline="0" fieldPosition="0"/>
    </format>
    <format dxfId="490">
      <pivotArea dataOnly="0" labelOnly="1" fieldPosition="0">
        <references count="1">
          <reference field="1" count="0"/>
        </references>
      </pivotArea>
    </format>
    <format dxfId="489">
      <pivotArea dataOnly="0" labelOnly="1" grandCol="1" outline="0" fieldPosition="0"/>
    </format>
    <format dxfId="488">
      <pivotArea type="all" dataOnly="0" outline="0" fieldPosition="0"/>
    </format>
    <format dxfId="487">
      <pivotArea outline="0" collapsedLevelsAreSubtotals="1" fieldPosition="0"/>
    </format>
    <format dxfId="486">
      <pivotArea type="origin" dataOnly="0" labelOnly="1" outline="0" offset="A1" fieldPosition="0"/>
    </format>
    <format dxfId="485">
      <pivotArea dataOnly="0" labelOnly="1" outline="0" axis="axisValues" fieldPosition="0"/>
    </format>
    <format dxfId="484">
      <pivotArea field="1" type="button" dataOnly="0" labelOnly="1" outline="0" axis="axisCol" fieldPosition="0"/>
    </format>
    <format dxfId="483">
      <pivotArea type="topRight" dataOnly="0" labelOnly="1" outline="0" fieldPosition="0"/>
    </format>
    <format dxfId="482">
      <pivotArea type="origin" dataOnly="0" labelOnly="1" outline="0" offset="A2" fieldPosition="0"/>
    </format>
    <format dxfId="481">
      <pivotArea dataOnly="0" labelOnly="1" fieldPosition="0">
        <references count="1">
          <reference field="1" count="0"/>
        </references>
      </pivotArea>
    </format>
    <format dxfId="480">
      <pivotArea dataOnly="0" labelOnly="1" grandCol="1" outline="0" fieldPosition="0"/>
    </format>
    <format dxfId="479">
      <pivotArea type="origin" dataOnly="0" labelOnly="1" outline="0" offset="A1" fieldPosition="0"/>
    </format>
    <format dxfId="478">
      <pivotArea type="origin" dataOnly="0" labelOnly="1" outline="0" offset="A2" fieldPosition="0"/>
    </format>
    <format dxfId="477">
      <pivotArea outline="0" collapsedLevelsAreSubtotals="1" fieldPosition="0">
        <references count="1">
          <reference field="1" count="0" selected="0"/>
        </references>
      </pivotArea>
    </format>
    <format dxfId="476">
      <pivotArea dataOnly="0" labelOnly="1" fieldPosition="0">
        <references count="1">
          <reference field="1" count="0"/>
        </references>
      </pivotArea>
    </format>
    <format dxfId="475">
      <pivotArea outline="0" collapsedLevelsAreSubtotals="1" fieldPosition="0"/>
    </format>
    <format dxfId="474">
      <pivotArea dataOnly="0" labelOnly="1" outline="0" axis="axisValues" fieldPosition="0"/>
    </format>
    <format dxfId="473">
      <pivotArea outline="0" collapsedLevelsAreSubtotals="1" fieldPosition="0"/>
    </format>
    <format dxfId="47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E0C01-B715-4E25-A19B-489388695DC7}" name="TablaDinámica6" cacheId="42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22:AH28" firstHeaderRow="1" firstDataRow="2" firstDataCol="1"/>
  <pivotFields count="63">
    <pivotField numFmtId="14" showAll="0">
      <items count="370"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x="31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5">
    <dataField name="Suma de PPM HCL" fld="55" baseField="0" baseItem="0" numFmtId="1"/>
    <dataField name="Suma de PPM KURIVERTER" fld="56" baseField="0" baseItem="0" numFmtId="1"/>
    <dataField name="Suma de PPM VITEC" fld="57" baseField="0" baseItem="0" numFmtId="1"/>
    <dataField name="Suma de PPM NaOH" fld="58" baseField="0" baseItem="0" numFmtId="1"/>
    <dataField name="Suma de PPM BISULFITO" fld="59" baseField="0" baseItem="0" numFmtId="1"/>
  </dataFields>
  <formats count="31">
    <format dxfId="525">
      <pivotArea outline="0" collapsedLevelsAreSubtotals="1" fieldPosition="0"/>
    </format>
    <format dxfId="524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523">
      <pivotArea grandCol="1" outline="0" collapsedLevelsAreSubtotals="1" fieldPosition="0"/>
    </format>
    <format dxfId="522">
      <pivotArea type="topRight" dataOnly="0" labelOnly="1" outline="0" offset="B1:AD1" fieldPosition="0"/>
    </format>
    <format dxfId="521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520">
      <pivotArea dataOnly="0" labelOnly="1" grandCol="1" outline="0" fieldPosition="0"/>
    </format>
    <format dxfId="519">
      <pivotArea type="origin" dataOnly="0" labelOnly="1" outline="0" fieldPosition="0"/>
    </format>
    <format dxfId="518">
      <pivotArea field="1" type="button" dataOnly="0" labelOnly="1" outline="0" axis="axisCol" fieldPosition="0"/>
    </format>
    <format dxfId="517">
      <pivotArea type="topRight" dataOnly="0" labelOnly="1" outline="0" fieldPosition="0"/>
    </format>
    <format dxfId="516">
      <pivotArea field="-2" type="button" dataOnly="0" labelOnly="1" outline="0" axis="axisRow" fieldPosition="0"/>
    </format>
    <format dxfId="515">
      <pivotArea dataOnly="0" labelOnly="1" fieldPosition="0">
        <references count="1">
          <reference field="1" count="0"/>
        </references>
      </pivotArea>
    </format>
    <format dxfId="514">
      <pivotArea dataOnly="0" labelOnly="1" grandCol="1" outline="0" fieldPosition="0"/>
    </format>
    <format dxfId="513">
      <pivotArea type="origin" dataOnly="0" labelOnly="1" outline="0" fieldPosition="0"/>
    </format>
    <format dxfId="512">
      <pivotArea field="1" type="button" dataOnly="0" labelOnly="1" outline="0" axis="axisCol" fieldPosition="0"/>
    </format>
    <format dxfId="511">
      <pivotArea type="topRight" dataOnly="0" labelOnly="1" outline="0" fieldPosition="0"/>
    </format>
    <format dxfId="510">
      <pivotArea field="-2" type="button" dataOnly="0" labelOnly="1" outline="0" axis="axisRow" fieldPosition="0"/>
    </format>
    <format dxfId="509">
      <pivotArea dataOnly="0" labelOnly="1" fieldPosition="0">
        <references count="1">
          <reference field="1" count="0"/>
        </references>
      </pivotArea>
    </format>
    <format dxfId="508">
      <pivotArea dataOnly="0" labelOnly="1" grandCol="1" outline="0" fieldPosition="0"/>
    </format>
    <format dxfId="507">
      <pivotArea type="origin" dataOnly="0" labelOnly="1" outline="0" fieldPosition="0"/>
    </format>
    <format dxfId="506">
      <pivotArea field="-2" type="button" dataOnly="0" labelOnly="1" outline="0" axis="axisRow" fieldPosition="0"/>
    </format>
    <format dxfId="505">
      <pivotArea outline="0" collapsedLevelsAreSubtotals="1" fieldPosition="0"/>
    </format>
    <format dxfId="504">
      <pivotArea outline="0" collapsedLevelsAreSubtotals="1" fieldPosition="0"/>
    </format>
    <format dxfId="503">
      <pivotArea dataOnly="0" labelOnly="1" fieldPosition="0">
        <references count="1">
          <reference field="1" count="0"/>
        </references>
      </pivotArea>
    </format>
    <format dxfId="502">
      <pivotArea dataOnly="0" labelOnly="1" grandCol="1" outline="0" fieldPosition="0"/>
    </format>
    <format dxfId="50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00">
      <pivotArea type="origin" dataOnly="0" labelOnly="1" outline="0" fieldPosition="0"/>
    </format>
    <format dxfId="499">
      <pivotArea field="1" type="button" dataOnly="0" labelOnly="1" outline="0" axis="axisCol" fieldPosition="0"/>
    </format>
    <format dxfId="498">
      <pivotArea type="topRight" dataOnly="0" labelOnly="1" outline="0" fieldPosition="0"/>
    </format>
    <format dxfId="497">
      <pivotArea field="-2" type="button" dataOnly="0" labelOnly="1" outline="0" axis="axisRow" fieldPosition="0"/>
    </format>
    <format dxfId="496">
      <pivotArea dataOnly="0" labelOnly="1" fieldPosition="0">
        <references count="1">
          <reference field="1" count="0"/>
        </references>
      </pivotArea>
    </format>
    <format dxfId="49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AB6E4-9458-4CC3-BC1B-3D56527CBA62}" name="TablaDinámica3" cacheId="42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12:AH18" firstHeaderRow="1" firstDataRow="2" firstDataCol="1"/>
  <pivotFields count="63">
    <pivotField numFmtId="14" showAll="0">
      <items count="370"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x="31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numFmtId="1" showAll="0"/>
    <pivotField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5">
    <dataField name=" CONSUMO (Kg) HCL (10%)22" fld="29" baseField="0" baseItem="0"/>
    <dataField name=" CONSUMO (Kg) KURIVERTER IK-220 (Biocida)" fld="30" baseField="0" baseItem="0"/>
    <dataField name=" CONSUMO (Kg) VITEC 7000 (Antiincrustante)" fld="31" baseField="0" baseItem="0"/>
    <dataField name=" CONSUMO (Kg) Hidróxido de Sodio (NaOH)" fld="32" baseField="0" baseItem="0"/>
    <dataField name=" CONSUMO (Kg) Bisulfito de sodio6" fld="33" baseField="0" baseItem="0"/>
  </dataFields>
  <formats count="25">
    <format dxfId="550">
      <pivotArea outline="0" collapsedLevelsAreSubtotals="1" fieldPosition="0"/>
    </format>
    <format dxfId="549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548">
      <pivotArea grandCol="1" outline="0" collapsedLevelsAreSubtotals="1" fieldPosition="0"/>
    </format>
    <format dxfId="547">
      <pivotArea type="topRight" dataOnly="0" labelOnly="1" outline="0" offset="B1:AD1" fieldPosition="0"/>
    </format>
    <format dxfId="546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545">
      <pivotArea dataOnly="0" labelOnly="1" grandCol="1" outline="0" fieldPosition="0"/>
    </format>
    <format dxfId="544">
      <pivotArea type="origin" dataOnly="0" labelOnly="1" outline="0" fieldPosition="0"/>
    </format>
    <format dxfId="543">
      <pivotArea field="1" type="button" dataOnly="0" labelOnly="1" outline="0" axis="axisCol" fieldPosition="0"/>
    </format>
    <format dxfId="542">
      <pivotArea type="topRight" dataOnly="0" labelOnly="1" outline="0" fieldPosition="0"/>
    </format>
    <format dxfId="541">
      <pivotArea field="-2" type="button" dataOnly="0" labelOnly="1" outline="0" axis="axisRow" fieldPosition="0"/>
    </format>
    <format dxfId="540">
      <pivotArea dataOnly="0" labelOnly="1" fieldPosition="0">
        <references count="1">
          <reference field="1" count="0"/>
        </references>
      </pivotArea>
    </format>
    <format dxfId="539">
      <pivotArea dataOnly="0" labelOnly="1" grandCol="1" outline="0" fieldPosition="0"/>
    </format>
    <format dxfId="538">
      <pivotArea type="origin" dataOnly="0" labelOnly="1" outline="0" fieldPosition="0"/>
    </format>
    <format dxfId="537">
      <pivotArea field="1" type="button" dataOnly="0" labelOnly="1" outline="0" axis="axisCol" fieldPosition="0"/>
    </format>
    <format dxfId="536">
      <pivotArea type="topRight" dataOnly="0" labelOnly="1" outline="0" fieldPosition="0"/>
    </format>
    <format dxfId="535">
      <pivotArea field="-2" type="button" dataOnly="0" labelOnly="1" outline="0" axis="axisRow" fieldPosition="0"/>
    </format>
    <format dxfId="534">
      <pivotArea dataOnly="0" labelOnly="1" fieldPosition="0">
        <references count="1">
          <reference field="1" count="0"/>
        </references>
      </pivotArea>
    </format>
    <format dxfId="533">
      <pivotArea dataOnly="0" labelOnly="1" grandCol="1" outline="0" fieldPosition="0"/>
    </format>
    <format dxfId="532">
      <pivotArea type="origin" dataOnly="0" labelOnly="1" outline="0" fieldPosition="0"/>
    </format>
    <format dxfId="531">
      <pivotArea field="-2" type="button" dataOnly="0" labelOnly="1" outline="0" axis="axisRow" fieldPosition="0"/>
    </format>
    <format dxfId="530">
      <pivotArea outline="0" collapsedLevelsAreSubtotals="1" fieldPosition="0"/>
    </format>
    <format dxfId="52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28">
      <pivotArea outline="0" collapsedLevelsAreSubtotals="1" fieldPosition="0"/>
    </format>
    <format dxfId="527">
      <pivotArea dataOnly="0" labelOnly="1" fieldPosition="0">
        <references count="1">
          <reference field="1" count="0"/>
        </references>
      </pivotArea>
    </format>
    <format dxfId="52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74145-0333-4BE7-8194-6B9B120BF838}" name="TablaDinámica2" cacheId="42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3:AH9" firstHeaderRow="1" firstDataRow="2" firstDataCol="1"/>
  <pivotFields count="63">
    <pivotField numFmtId="14" showAll="0">
      <items count="370"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x="31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5">
    <dataField name=" CONSUMO (L) HCL (10%)" fld="19" baseField="0" baseItem="0"/>
    <dataField name=" CONSUMO (L) KURIVERTER IK-220 (Biocida)" fld="20" baseField="0" baseItem="0"/>
    <dataField name="CONSUMO (L) VITEC 7000 (Antiincrustante) " fld="21" baseField="0" baseItem="0"/>
    <dataField name="CONSUMO (L) Hidróxido de Sodio (NaOH) " fld="22" baseField="0" baseItem="0"/>
    <dataField name="CONSUMO (L) Bisulfito de sodio " fld="23" baseField="0" baseItem="0"/>
  </dataFields>
  <formats count="35">
    <format dxfId="585">
      <pivotArea outline="0" collapsedLevelsAreSubtotals="1" fieldPosition="0"/>
    </format>
    <format dxfId="584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583">
      <pivotArea grandCol="1" outline="0" collapsedLevelsAreSubtotals="1" fieldPosition="0"/>
    </format>
    <format dxfId="582">
      <pivotArea type="topRight" dataOnly="0" labelOnly="1" outline="0" offset="B1:AD1" fieldPosition="0"/>
    </format>
    <format dxfId="581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580">
      <pivotArea dataOnly="0" labelOnly="1" grandCol="1" outline="0" fieldPosition="0"/>
    </format>
    <format dxfId="579">
      <pivotArea type="all" dataOnly="0" outline="0" fieldPosition="0"/>
    </format>
    <format dxfId="578">
      <pivotArea field="1" type="button" dataOnly="0" labelOnly="1" outline="0" axis="axisCol" fieldPosition="0"/>
    </format>
    <format dxfId="577">
      <pivotArea type="topRight" dataOnly="0" labelOnly="1" outline="0" fieldPosition="0"/>
    </format>
    <format dxfId="576">
      <pivotArea dataOnly="0" labelOnly="1" fieldPosition="0">
        <references count="1">
          <reference field="1" count="0"/>
        </references>
      </pivotArea>
    </format>
    <format dxfId="575">
      <pivotArea dataOnly="0" labelOnly="1" grandCol="1" outline="0" fieldPosition="0"/>
    </format>
    <format dxfId="574">
      <pivotArea type="origin" dataOnly="0" labelOnly="1" outline="0" fieldPosition="0"/>
    </format>
    <format dxfId="573">
      <pivotArea field="-2" type="button" dataOnly="0" labelOnly="1" outline="0" axis="axisRow" fieldPosition="0"/>
    </format>
    <format dxfId="572">
      <pivotArea field="1" type="button" dataOnly="0" labelOnly="1" outline="0" axis="axisCol" fieldPosition="0"/>
    </format>
    <format dxfId="571">
      <pivotArea type="topRight" dataOnly="0" labelOnly="1" outline="0" fieldPosition="0"/>
    </format>
    <format dxfId="570">
      <pivotArea outline="0" collapsedLevelsAreSubtotals="1" fieldPosition="0"/>
    </format>
    <format dxfId="56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68">
      <pivotArea type="origin" dataOnly="0" labelOnly="1" outline="0" fieldPosition="0"/>
    </format>
    <format dxfId="567">
      <pivotArea field="1" type="button" dataOnly="0" labelOnly="1" outline="0" axis="axisCol" fieldPosition="0"/>
    </format>
    <format dxfId="566">
      <pivotArea type="topRight" dataOnly="0" labelOnly="1" outline="0" fieldPosition="0"/>
    </format>
    <format dxfId="565">
      <pivotArea field="-2" type="button" dataOnly="0" labelOnly="1" outline="0" axis="axisRow" fieldPosition="0"/>
    </format>
    <format dxfId="564">
      <pivotArea dataOnly="0" labelOnly="1" fieldPosition="0">
        <references count="1">
          <reference field="1" count="0"/>
        </references>
      </pivotArea>
    </format>
    <format dxfId="563">
      <pivotArea dataOnly="0" labelOnly="1" grandCol="1" outline="0" fieldPosition="0"/>
    </format>
    <format dxfId="562">
      <pivotArea type="origin" dataOnly="0" labelOnly="1" outline="0" fieldPosition="0"/>
    </format>
    <format dxfId="561">
      <pivotArea field="1" type="button" dataOnly="0" labelOnly="1" outline="0" axis="axisCol" fieldPosition="0"/>
    </format>
    <format dxfId="560">
      <pivotArea type="topRight" dataOnly="0" labelOnly="1" outline="0" fieldPosition="0"/>
    </format>
    <format dxfId="559">
      <pivotArea field="-2" type="button" dataOnly="0" labelOnly="1" outline="0" axis="axisRow" fieldPosition="0"/>
    </format>
    <format dxfId="558">
      <pivotArea dataOnly="0" labelOnly="1" fieldPosition="0">
        <references count="1">
          <reference field="1" count="0"/>
        </references>
      </pivotArea>
    </format>
    <format dxfId="557">
      <pivotArea dataOnly="0" labelOnly="1" grandCol="1" outline="0" fieldPosition="0"/>
    </format>
    <format dxfId="556">
      <pivotArea outline="0" collapsedLevelsAreSubtotals="1" fieldPosition="0"/>
    </format>
    <format dxfId="555">
      <pivotArea dataOnly="0" labelOnly="1" fieldPosition="0">
        <references count="1">
          <reference field="1" count="0"/>
        </references>
      </pivotArea>
    </format>
    <format dxfId="554">
      <pivotArea dataOnly="0" labelOnly="1" grandCol="1" outline="0" fieldPosition="0"/>
    </format>
    <format dxfId="553">
      <pivotArea type="origin" dataOnly="0" labelOnly="1" outline="0" fieldPosition="0"/>
    </format>
    <format dxfId="552">
      <pivotArea field="-2" type="button" dataOnly="0" labelOnly="1" outline="0" axis="axisRow" fieldPosition="0"/>
    </format>
    <format dxfId="55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1" xr10:uid="{09F5C3C2-6238-44A3-885B-CE2ACDF0CD60}" sourceName="FECHA">
  <pivotTables>
    <pivotTable tabId="14" name="TablaDinámica1"/>
    <pivotTable tabId="14" name="TablaDinámica9"/>
    <pivotTable tabId="16" name="TablaDinámica1"/>
    <pivotTable tabId="16" name="TablaDinámica2"/>
    <pivotTable tabId="16" name="TablaDinámica3"/>
    <pivotTable tabId="16" name="TablaDinámica4"/>
    <pivotTable tabId="27" name="TablaDinámica5"/>
    <pivotTable tabId="27" name="TablaDinámica6"/>
    <pivotTable tabId="27" name="TablaDinámica7"/>
    <pivotTable tabId="14" name="TablaDinámica5"/>
    <pivotTable tabId="27" name="TablaDinámica10"/>
  </pivotTables>
  <data>
    <tabular pivotCacheId="1515291395">
      <items count="457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427" s="1" nd="1"/>
        <i x="428" s="1" nd="1"/>
        <i x="429" s="1" nd="1"/>
        <i x="430" s="1" nd="1"/>
        <i x="431" s="1" nd="1"/>
        <i x="432" s="1" nd="1"/>
        <i x="433" s="1" nd="1"/>
        <i x="434" s="1" nd="1"/>
        <i x="435" s="1" nd="1"/>
        <i x="436" s="1" nd="1"/>
        <i x="437" s="1" nd="1"/>
        <i x="438" s="1" nd="1"/>
        <i x="439" s="1" nd="1"/>
        <i x="440" s="1" nd="1"/>
        <i x="441" s="1" nd="1"/>
        <i x="442" s="1" nd="1"/>
        <i x="443" s="1" nd="1"/>
        <i x="444" s="1" nd="1"/>
        <i x="445" s="1" nd="1"/>
        <i x="446" s="1" nd="1"/>
        <i x="447" s="1" nd="1"/>
        <i x="448" s="1" nd="1"/>
        <i x="449" s="1" nd="1"/>
        <i x="450" s="1" nd="1"/>
        <i x="451" s="1" nd="1"/>
        <i x="452" s="1" nd="1"/>
        <i x="453" s="1" nd="1"/>
        <i x="454" s="1" nd="1"/>
        <i x="455" s="1" nd="1"/>
        <i x="456" s="1" nd="1"/>
        <i x="396" s="1" nd="1"/>
        <i x="397" s="1" nd="1"/>
        <i x="398" s="1" nd="1"/>
        <i x="399" s="1" nd="1"/>
        <i x="400" s="1" nd="1"/>
        <i x="401" s="1" nd="1"/>
        <i x="402" s="1" nd="1"/>
        <i x="403" s="1" nd="1"/>
        <i x="404" s="1" nd="1"/>
        <i x="405" s="1" nd="1"/>
        <i x="406" s="1" nd="1"/>
        <i x="407" s="1" nd="1"/>
        <i x="408" s="1" nd="1"/>
        <i x="409" s="1" nd="1"/>
        <i x="410" s="1" nd="1"/>
        <i x="411" s="1" nd="1"/>
        <i x="412" s="1" nd="1"/>
        <i x="413" s="1" nd="1"/>
        <i x="414" s="1" nd="1"/>
        <i x="415" s="1" nd="1"/>
        <i x="416" s="1" nd="1"/>
        <i x="417" s="1" nd="1"/>
        <i x="418" s="1" nd="1"/>
        <i x="419" s="1" nd="1"/>
        <i x="420" s="1" nd="1"/>
        <i x="421" s="1" nd="1"/>
        <i x="422" s="1" nd="1"/>
        <i x="423" s="1" nd="1"/>
        <i x="424" s="1" nd="1"/>
        <i x="425" s="1" nd="1"/>
        <i x="426" s="1" nd="1"/>
        <i x="366" s="1" nd="1"/>
        <i x="367" s="1" nd="1"/>
        <i x="368" s="1" nd="1"/>
        <i x="369" s="1" nd="1"/>
        <i x="370" s="1" nd="1"/>
        <i x="371" s="1" nd="1"/>
        <i x="372" s="1" nd="1"/>
        <i x="373" s="1" nd="1"/>
        <i x="374" s="1" nd="1"/>
        <i x="375" s="1" nd="1"/>
        <i x="376" s="1" nd="1"/>
        <i x="377" s="1" nd="1"/>
        <i x="378" s="1" nd="1"/>
        <i x="379" s="1" nd="1"/>
        <i x="380" s="1" nd="1"/>
        <i x="381" s="1" nd="1"/>
        <i x="382" s="1" nd="1"/>
        <i x="383" s="1" nd="1"/>
        <i x="384" s="1" nd="1"/>
        <i x="385" s="1" nd="1"/>
        <i x="386" s="1" nd="1"/>
        <i x="387" s="1" nd="1"/>
        <i x="388" s="1" nd="1"/>
        <i x="389" s="1" nd="1"/>
        <i x="390" s="1" nd="1"/>
        <i x="391" s="1" nd="1"/>
        <i x="392" s="1" nd="1"/>
        <i x="393" s="1" nd="1"/>
        <i x="394" s="1" nd="1"/>
        <i x="395" s="1" nd="1"/>
        <i x="335" s="1" nd="1"/>
        <i x="336" s="1" nd="1"/>
        <i x="337" s="1" nd="1"/>
        <i x="338" s="1" nd="1"/>
        <i x="339" s="1" nd="1"/>
        <i x="340" s="1" nd="1"/>
        <i x="341" s="1" nd="1"/>
        <i x="342" s="1" nd="1"/>
        <i x="343" s="1" nd="1"/>
        <i x="344" s="1" nd="1"/>
        <i x="345" s="1" nd="1"/>
        <i x="346" s="1" nd="1"/>
        <i x="347" s="1" nd="1"/>
        <i x="348" s="1" nd="1"/>
        <i x="349" s="1" nd="1"/>
        <i x="350" s="1" nd="1"/>
        <i x="351" s="1" nd="1"/>
        <i x="352" s="1" nd="1"/>
        <i x="353" s="1" nd="1"/>
        <i x="354" s="1" nd="1"/>
        <i x="355" s="1" nd="1"/>
        <i x="356" s="1" nd="1"/>
        <i x="357" s="1" nd="1"/>
        <i x="358" s="1" nd="1"/>
        <i x="359" s="1" nd="1"/>
        <i x="360" s="1" nd="1"/>
        <i x="361" s="1" nd="1"/>
        <i x="362" s="1" nd="1"/>
        <i x="363" s="1" nd="1"/>
        <i x="364" s="1" nd="1"/>
        <i x="365" s="1" nd="1"/>
        <i x="304" s="1" nd="1"/>
        <i x="305" s="1" nd="1"/>
        <i x="306" s="1" nd="1"/>
        <i x="307" s="1" nd="1"/>
        <i x="308" s="1" nd="1"/>
        <i x="309" s="1" nd="1"/>
        <i x="310" s="1" nd="1"/>
        <i x="311" s="1" nd="1"/>
        <i x="312" s="1" nd="1"/>
        <i x="313" s="1" nd="1"/>
        <i x="314" s="1" nd="1"/>
        <i x="315" s="1" nd="1"/>
        <i x="316" s="1" nd="1"/>
        <i x="317" s="1" nd="1"/>
        <i x="318" s="1" nd="1"/>
        <i x="319" s="1" nd="1"/>
        <i x="320" s="1" nd="1"/>
        <i x="321" s="1" nd="1"/>
        <i x="322" s="1" nd="1"/>
        <i x="323" s="1" nd="1"/>
        <i x="324" s="1" nd="1"/>
        <i x="325" s="1" nd="1"/>
        <i x="326" s="1" nd="1"/>
        <i x="327" s="1" nd="1"/>
        <i x="328" s="1" nd="1"/>
        <i x="329" s="1" nd="1"/>
        <i x="330" s="1" nd="1"/>
        <i x="331" s="1" nd="1"/>
        <i x="332" s="1" nd="1"/>
        <i x="333" s="1" nd="1"/>
        <i x="334" s="1" nd="1"/>
        <i x="276" s="1" nd="1"/>
        <i x="277" s="1" nd="1"/>
        <i x="278" s="1" nd="1"/>
        <i x="279" s="1" nd="1"/>
        <i x="280" s="1" nd="1"/>
        <i x="281" s="1" nd="1"/>
        <i x="282" s="1" nd="1"/>
        <i x="283" s="1" nd="1"/>
        <i x="284" s="1" nd="1"/>
        <i x="285" s="1" nd="1"/>
        <i x="286" s="1" nd="1"/>
        <i x="287" s="1" nd="1"/>
        <i x="288" s="1" nd="1"/>
        <i x="289" s="1" nd="1"/>
        <i x="290" s="1" nd="1"/>
        <i x="291" s="1" nd="1"/>
        <i x="292" s="1" nd="1"/>
        <i x="293" s="1" nd="1"/>
        <i x="294" s="1" nd="1"/>
        <i x="295" s="1" nd="1"/>
        <i x="296" s="1" nd="1"/>
        <i x="297" s="1" nd="1"/>
        <i x="298" s="1" nd="1"/>
        <i x="299" s="1" nd="1"/>
        <i x="300" s="1" nd="1"/>
        <i x="301" s="1" nd="1"/>
        <i x="302" s="1" nd="1"/>
        <i x="303" s="1" nd="1"/>
        <i x="245" s="1" nd="1"/>
        <i x="246" s="1" nd="1"/>
        <i x="247" s="1" nd="1"/>
        <i x="248" s="1" nd="1"/>
        <i x="249" s="1" nd="1"/>
        <i x="250" s="1" nd="1"/>
        <i x="251" s="1" nd="1"/>
        <i x="252" s="1" nd="1"/>
        <i x="253" s="1" nd="1"/>
        <i x="254" s="1" nd="1"/>
        <i x="255" s="1" nd="1"/>
        <i x="256" s="1" nd="1"/>
        <i x="257" s="1" nd="1"/>
        <i x="258" s="1" nd="1"/>
        <i x="259" s="1" nd="1"/>
        <i x="260" s="1" nd="1"/>
        <i x="261" s="1" nd="1"/>
        <i x="262" s="1" nd="1"/>
        <i x="263" s="1" nd="1"/>
        <i x="264" s="1" nd="1"/>
        <i x="265" s="1" nd="1"/>
        <i x="266" s="1" nd="1"/>
        <i x="267" s="1" nd="1"/>
        <i x="268" s="1" nd="1"/>
        <i x="269" s="1" nd="1"/>
        <i x="270" s="1" nd="1"/>
        <i x="271" s="1" nd="1"/>
        <i x="272" s="1" nd="1"/>
        <i x="273" s="1" nd="1"/>
        <i x="274" s="1" nd="1"/>
        <i x="275" s="1" nd="1"/>
        <i x="215" s="1" nd="1"/>
        <i x="216" s="1" nd="1"/>
        <i x="217" s="1" nd="1"/>
        <i x="218" s="1" nd="1"/>
        <i x="219" s="1" nd="1"/>
        <i x="220" s="1" nd="1"/>
        <i x="221" s="1" nd="1"/>
        <i x="222" s="1" nd="1"/>
        <i x="223" s="1" nd="1"/>
        <i x="224" s="1" nd="1"/>
        <i x="225" s="1" nd="1"/>
        <i x="226" s="1" nd="1"/>
        <i x="227" s="1" nd="1"/>
        <i x="228" s="1" nd="1"/>
        <i x="229" s="1" nd="1"/>
        <i x="230" s="1" nd="1"/>
        <i x="231" s="1" nd="1"/>
        <i x="232" s="1" nd="1"/>
        <i x="233" s="1" nd="1"/>
        <i x="234" s="1" nd="1"/>
        <i x="235" s="1" nd="1"/>
        <i x="236" s="1" nd="1"/>
        <i x="237" s="1" nd="1"/>
        <i x="238" s="1" nd="1"/>
        <i x="239" s="1" nd="1"/>
        <i x="240" s="1" nd="1"/>
        <i x="241" s="1" nd="1"/>
        <i x="242" s="1" nd="1"/>
        <i x="243" s="1" nd="1"/>
        <i x="244" s="1" nd="1"/>
        <i x="184" s="1" nd="1"/>
        <i x="185" s="1" nd="1"/>
        <i x="186" s="1" nd="1"/>
        <i x="187" s="1" nd="1"/>
        <i x="188" s="1" nd="1"/>
        <i x="189" s="1" nd="1"/>
        <i x="190" s="1" nd="1"/>
        <i x="191" s="1" nd="1"/>
        <i x="192" s="1" nd="1"/>
        <i x="193" s="1" nd="1"/>
        <i x="194" s="1" nd="1"/>
        <i x="195" s="1" nd="1"/>
        <i x="196" s="1" nd="1"/>
        <i x="197" s="1" nd="1"/>
        <i x="198" s="1" nd="1"/>
        <i x="199" s="1" nd="1"/>
        <i x="200" s="1" nd="1"/>
        <i x="201" s="1" nd="1"/>
        <i x="202" s="1" nd="1"/>
        <i x="203" s="1" nd="1"/>
        <i x="204" s="1" nd="1"/>
        <i x="205" s="1" nd="1"/>
        <i x="206" s="1" nd="1"/>
        <i x="207" s="1" nd="1"/>
        <i x="208" s="1" nd="1"/>
        <i x="209" s="1" nd="1"/>
        <i x="210" s="1" nd="1"/>
        <i x="211" s="1" nd="1"/>
        <i x="212" s="1" nd="1"/>
        <i x="213" s="1" nd="1"/>
        <i x="214" s="1" nd="1"/>
        <i x="153" s="1" nd="1"/>
        <i x="154" s="1" nd="1"/>
        <i x="155" s="1" nd="1"/>
        <i x="156" s="1" nd="1"/>
        <i x="157" s="1" nd="1"/>
        <i x="158" s="1" nd="1"/>
        <i x="159" s="1" nd="1"/>
        <i x="160" s="1" nd="1"/>
        <i x="161" s="1" nd="1"/>
        <i x="162" s="1" nd="1"/>
        <i x="163" s="1" nd="1"/>
        <i x="164" s="1" nd="1"/>
        <i x="165" s="1" nd="1"/>
        <i x="166" s="1" nd="1"/>
        <i x="167" s="1" nd="1"/>
        <i x="168" s="1" nd="1"/>
        <i x="169" s="1" nd="1"/>
        <i x="170" s="1" nd="1"/>
        <i x="171" s="1" nd="1"/>
        <i x="172" s="1" nd="1"/>
        <i x="173" s="1" nd="1"/>
        <i x="174" s="1" nd="1"/>
        <i x="175" s="1" nd="1"/>
        <i x="176" s="1" nd="1"/>
        <i x="177" s="1" nd="1"/>
        <i x="178" s="1" nd="1"/>
        <i x="179" s="1" nd="1"/>
        <i x="180" s="1" nd="1"/>
        <i x="181" s="1" nd="1"/>
        <i x="182" s="1" nd="1"/>
        <i x="183" s="1" nd="1"/>
        <i x="152" s="1" nd="1"/>
        <i x="123" s="1" nd="1"/>
        <i x="124" s="1" nd="1"/>
        <i x="125" s="1" nd="1"/>
        <i x="126" s="1" nd="1"/>
        <i x="127" s="1" nd="1"/>
        <i x="128" s="1" nd="1"/>
        <i x="129" s="1" nd="1"/>
        <i x="130" s="1" nd="1"/>
        <i x="131" s="1" nd="1"/>
        <i x="132" s="1" nd="1"/>
        <i x="133" s="1" nd="1"/>
        <i x="134" s="1" nd="1"/>
        <i x="135" s="1" nd="1"/>
        <i x="136" s="1" nd="1"/>
        <i x="137" s="1" nd="1"/>
        <i x="138" s="1" nd="1"/>
        <i x="139" s="1" nd="1"/>
        <i x="140" s="1" nd="1"/>
        <i x="141" s="1" nd="1"/>
        <i x="142" s="1" nd="1"/>
        <i x="143" s="1" nd="1"/>
        <i x="144" s="1" nd="1"/>
        <i x="145" s="1" nd="1"/>
        <i x="146" s="1" nd="1"/>
        <i x="147" s="1" nd="1"/>
        <i x="148" s="1" nd="1"/>
        <i x="149" s="1" nd="1"/>
        <i x="150" s="1" nd="1"/>
        <i x="151" s="1" nd="1"/>
        <i x="92" s="1" nd="1"/>
        <i x="93" s="1" nd="1"/>
        <i x="94" s="1" nd="1"/>
        <i x="95" s="1" nd="1"/>
        <i x="96" s="1" nd="1"/>
        <i x="97" s="1" nd="1"/>
        <i x="98" s="1" nd="1"/>
        <i x="99" s="1" nd="1"/>
        <i x="100" s="1" nd="1"/>
        <i x="101" s="1" nd="1"/>
        <i x="102" s="1" nd="1"/>
        <i x="103" s="1" nd="1"/>
        <i x="104" s="1" nd="1"/>
        <i x="105" s="1" nd="1"/>
        <i x="106" s="1" nd="1"/>
        <i x="107" s="1" nd="1"/>
        <i x="108" s="1" nd="1"/>
        <i x="109" s="1" nd="1"/>
        <i x="110" s="1" nd="1"/>
        <i x="111" s="1" nd="1"/>
        <i x="112" s="1" nd="1"/>
        <i x="113" s="1" nd="1"/>
        <i x="114" s="1" nd="1"/>
        <i x="115" s="1" nd="1"/>
        <i x="116" s="1" nd="1"/>
        <i x="117" s="1" nd="1"/>
        <i x="118" s="1" nd="1"/>
        <i x="119" s="1" nd="1"/>
        <i x="120" s="1" nd="1"/>
        <i x="121" s="1" nd="1"/>
        <i x="122" s="1" nd="1"/>
        <i x="62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89" s="1" nd="1"/>
        <i x="90" s="1" nd="1"/>
        <i x="91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  <i x="60" s="1" nd="1"/>
        <i x="6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" xr10:uid="{60F968E0-6B0D-4F1A-B862-937963606172}" sourceName="DIA">
  <pivotTables>
    <pivotTable tabId="27" name="TablaDinámica5"/>
    <pivotTable tabId="16" name="TablaDinámica1"/>
    <pivotTable tabId="16" name="TablaDinámica2"/>
    <pivotTable tabId="16" name="TablaDinámica3"/>
    <pivotTable tabId="16" name="TablaDinámica4"/>
    <pivotTable tabId="14" name="TablaDinámica1"/>
    <pivotTable tabId="27" name="TablaDinámica6"/>
    <pivotTable tabId="27" name="TablaDinámica7"/>
    <pivotTable tabId="14" name="TablaDinámica9"/>
    <pivotTable tabId="14" name="TablaDinámica5"/>
    <pivotTable tabId="27" name="TablaDinámica10"/>
  </pivotTables>
  <data>
    <tabular pivotCacheId="1515291395">
      <items count="3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2" xr10:uid="{D6AE0439-1708-423A-AC33-F16801B78339}" sourceName="FECHA">
  <pivotTables>
    <pivotTable tabId="14" name="TablaDinámica3"/>
    <pivotTable tabId="14" name="TablaDinámica2"/>
    <pivotTable tabId="14" name="TablaDinámica4"/>
  </pivotTables>
  <data>
    <tabular pivotCacheId="140647070">
      <items count="369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/>
        <i x="339" nd="1"/>
        <i x="340" nd="1"/>
        <i x="341" nd="1"/>
        <i x="342" nd="1"/>
        <i x="343" nd="1"/>
        <i x="344" nd="1"/>
        <i x="345" nd="1"/>
        <i x="346" nd="1"/>
        <i x="347" nd="1"/>
        <i x="348" nd="1"/>
        <i x="349" nd="1"/>
        <i x="350" nd="1"/>
        <i x="351" nd="1"/>
        <i x="352" nd="1"/>
        <i x="353" nd="1"/>
        <i x="354" nd="1"/>
        <i x="355" nd="1"/>
        <i x="356" nd="1"/>
        <i x="357" nd="1"/>
        <i x="358" nd="1"/>
        <i x="359" nd="1"/>
        <i x="360" nd="1"/>
        <i x="361" nd="1"/>
        <i x="362" nd="1"/>
        <i x="363" nd="1"/>
        <i x="364" nd="1"/>
        <i x="365" nd="1"/>
        <i x="366" nd="1"/>
        <i x="367" nd="1"/>
        <i x="368" nd="1"/>
        <i x="308" nd="1"/>
        <i x="309" nd="1"/>
        <i x="310" nd="1"/>
        <i x="311" nd="1"/>
        <i x="312" nd="1"/>
        <i x="313" nd="1"/>
        <i x="314" nd="1"/>
        <i x="315" nd="1"/>
        <i x="316" nd="1"/>
        <i x="317" nd="1"/>
        <i x="318" nd="1"/>
        <i x="319" nd="1"/>
        <i x="320" nd="1"/>
        <i x="321" nd="1"/>
        <i x="322" nd="1"/>
        <i x="323" nd="1"/>
        <i x="324" nd="1"/>
        <i x="325" nd="1"/>
        <i x="326" nd="1"/>
        <i x="327" nd="1"/>
        <i x="328" nd="1"/>
        <i x="329" nd="1"/>
        <i x="330" nd="1"/>
        <i x="331" nd="1"/>
        <i x="332" nd="1"/>
        <i x="333" nd="1"/>
        <i x="334" nd="1"/>
        <i x="335" nd="1"/>
        <i x="336" nd="1"/>
        <i x="337" nd="1"/>
        <i x="338" nd="1"/>
        <i x="277" nd="1"/>
        <i x="278" nd="1"/>
        <i x="279" nd="1"/>
        <i x="280" nd="1"/>
        <i x="281" nd="1"/>
        <i x="282" nd="1"/>
        <i x="283" nd="1"/>
        <i x="284" nd="1"/>
        <i x="285" nd="1"/>
        <i x="286" nd="1"/>
        <i x="287" nd="1"/>
        <i x="288" nd="1"/>
        <i x="289" nd="1"/>
        <i x="290" nd="1"/>
        <i x="291" nd="1"/>
        <i x="292" nd="1"/>
        <i x="293" nd="1"/>
        <i x="294" nd="1"/>
        <i x="295" nd="1"/>
        <i x="296" nd="1"/>
        <i x="297" nd="1"/>
        <i x="298" nd="1"/>
        <i x="299" nd="1"/>
        <i x="300" nd="1"/>
        <i x="301" nd="1"/>
        <i x="302" nd="1"/>
        <i x="303" nd="1"/>
        <i x="304" nd="1"/>
        <i x="305" nd="1"/>
        <i x="306" nd="1"/>
        <i x="307" nd="1"/>
        <i x="246" nd="1"/>
        <i x="247" nd="1"/>
        <i x="248" nd="1"/>
        <i x="249" nd="1"/>
        <i x="250" nd="1"/>
        <i x="251" nd="1"/>
        <i x="252" nd="1"/>
        <i x="253" nd="1"/>
        <i x="254" nd="1"/>
        <i x="255" nd="1"/>
        <i x="256" nd="1"/>
        <i x="257" nd="1"/>
        <i x="258" nd="1"/>
        <i x="259" nd="1"/>
        <i x="260" nd="1"/>
        <i x="261" nd="1"/>
        <i x="262" nd="1"/>
        <i x="263" nd="1"/>
        <i x="264" nd="1"/>
        <i x="265" nd="1"/>
        <i x="266" nd="1"/>
        <i x="267" nd="1"/>
        <i x="268" nd="1"/>
        <i x="269" nd="1"/>
        <i x="270" nd="1"/>
        <i x="271" nd="1"/>
        <i x="272" nd="1"/>
        <i x="273" nd="1"/>
        <i x="274" nd="1"/>
        <i x="275" nd="1"/>
        <i x="276" nd="1"/>
        <i x="215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  <i x="234" nd="1"/>
        <i x="235" nd="1"/>
        <i x="236" nd="1"/>
        <i x="237" nd="1"/>
        <i x="238" nd="1"/>
        <i x="239" nd="1"/>
        <i x="240" nd="1"/>
        <i x="241" nd="1"/>
        <i x="242" nd="1"/>
        <i x="243" nd="1"/>
        <i x="244" nd="1"/>
        <i x="245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198" nd="1"/>
        <i x="199" nd="1"/>
        <i x="200" nd="1"/>
        <i x="201" nd="1"/>
        <i x="202" nd="1"/>
        <i x="203" nd="1"/>
        <i x="204" nd="1"/>
        <i x="205" nd="1"/>
        <i x="206" nd="1"/>
        <i x="207" nd="1"/>
        <i x="208" nd="1"/>
        <i x="209" nd="1"/>
        <i x="210" nd="1"/>
        <i x="211" nd="1"/>
        <i x="212" nd="1"/>
        <i x="213" nd="1"/>
        <i x="214" nd="1"/>
        <i x="154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82" nd="1"/>
        <i x="183" nd="1"/>
        <i x="184" nd="1"/>
        <i x="123" nd="1"/>
        <i x="124" nd="1"/>
        <i x="125" nd="1"/>
        <i x="126" nd="1"/>
        <i x="127" nd="1"/>
        <i x="128" nd="1"/>
        <i x="129" nd="1"/>
        <i x="130" nd="1"/>
        <i x="131" nd="1"/>
        <i x="132" nd="1"/>
        <i x="133" nd="1"/>
        <i x="134" nd="1"/>
        <i x="135" nd="1"/>
        <i x="136" nd="1"/>
        <i x="137" nd="1"/>
        <i x="138" nd="1"/>
        <i x="139" nd="1"/>
        <i x="140" nd="1"/>
        <i x="141" nd="1"/>
        <i x="142" nd="1"/>
        <i x="143" nd="1"/>
        <i x="144" nd="1"/>
        <i x="145" nd="1"/>
        <i x="146" nd="1"/>
        <i x="147" nd="1"/>
        <i x="148" nd="1"/>
        <i x="149" nd="1"/>
        <i x="150" nd="1"/>
        <i x="151" nd="1"/>
        <i x="152" nd="1"/>
        <i x="153" nd="1"/>
        <i x="93" nd="1"/>
        <i x="94" nd="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121" nd="1"/>
        <i x="122" nd="1"/>
        <i x="62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90" nd="1"/>
        <i x="91" nd="1"/>
        <i x="92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  <i x="59" nd="1"/>
        <i x="60" nd="1"/>
        <i x="6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1" xr10:uid="{C0CF515C-C34C-4638-A3ED-0E3BB739B0C2}" cache="SegmentaciónDeDatos_FECHA1" caption="FECHA" startItem="24" rowHeight="241300"/>
  <slicer name="DIA 1" xr10:uid="{DFAAB8DA-9D58-4623-BEA0-623A2358A5F3}" cache="SegmentaciónDeDatos_DIA" caption="DIA" rowHeight="234950"/>
  <slicer name="FECHA 2" xr10:uid="{7CEFE6A9-8DD9-441D-9BF7-6AF4C8AF5212}" cache="SegmentaciónDeDatos_FECHA2" caption="FECHA" startItem="24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9B5769E2-C70B-43B3-8FD1-F18507C6336A}" cache="SegmentaciónDeDatos_DIA" caption="DIA" startItem="1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ED39B-8120-48D1-B96B-A8FB2CC5DC7B}" name="Tabla1" displayName="Tabla1" ref="A1:AU95" totalsRowCount="1" headerRowDxfId="1012" dataDxfId="1011">
  <autoFilter ref="A1:AU94" xr:uid="{106ED39B-8120-48D1-B96B-A8FB2CC5DC7B}"/>
  <tableColumns count="47">
    <tableColumn id="1" xr3:uid="{797BBFE9-7BD9-4895-8C65-B12AC56DBD23}" name="FECHA" dataDxfId="1010" totalsRowDxfId="462"/>
    <tableColumn id="47" xr3:uid="{976FC6AF-EAA8-436A-9BA8-AC53AED0CB5E}" name="DIA" dataDxfId="1009" totalsRowDxfId="461"/>
    <tableColumn id="2" xr3:uid="{ED62E89D-C3D6-46F0-9E1B-185F3DF1296E}" name="ANALISIS TURNO" dataDxfId="1008" totalsRowDxfId="460"/>
    <tableColumn id="3" xr3:uid="{BBA60A93-0254-41C3-A7CA-2EDB720B1050}" name="# TURNO" dataDxfId="1007" totalsRowDxfId="459"/>
    <tableColumn id="46" xr3:uid="{4F31C636-F8EB-4A95-8AED-141DEE9C8A6A}" name="DILIGENCIAR BITACORA" dataDxfId="1006" totalsRowDxfId="458"/>
    <tableColumn id="4" xr3:uid="{B73C29EE-3B1E-409E-B889-754B9082C27C}" name="FINAL ACIDO (L)" totalsRowLabel="4.360" dataDxfId="1005" totalsRowDxfId="457"/>
    <tableColumn id="5" xr3:uid="{85CF7F79-52E3-4C53-9B93-560644AE36E3}" name="FINAL COAGULANTE (L)" totalsRowLabel="6.480" dataDxfId="1004" totalsRowDxfId="456"/>
    <tableColumn id="6" xr3:uid="{E77621B2-41A1-4E5F-BE6F-18DDA2810184}" name="FINAL DECOLORANTE (L)" totalsRowLabel="1.510" dataDxfId="1003" totalsRowDxfId="455"/>
    <tableColumn id="7" xr3:uid="{01D1223B-AFC9-473C-B53A-772ED6688370}" name="FINAL POL ANIONICO (KG)" totalsRowLabel="165" dataDxfId="1002" totalsRowDxfId="454"/>
    <tableColumn id="8" xr3:uid="{F3F3A222-444F-40CA-A3E4-91ADFB7EE17C}" name="FINAL POL CATIONICO (KG)" totalsRowLabel="60" dataDxfId="1001" totalsRowDxfId="453"/>
    <tableColumn id="11" xr3:uid="{6CA64394-760F-47F1-A458-077D466340EA}" name="Lectura Horometro INICIAL (06:00)" dataDxfId="1000" totalsRowDxfId="452"/>
    <tableColumn id="12" xr3:uid="{F9E9DE99-0964-4A63-8AB7-0B4C558EB128}" name="CAUDAL TOTAL TRATADO GEM " dataDxfId="999" totalsRowDxfId="451"/>
    <tableColumn id="50" xr3:uid="{836AB61D-51F9-4D81-8D56-EA763E8959D1}" name="CAUDAL DE TRATAMIENTO" dataDxfId="998" totalsRowDxfId="450"/>
    <tableColumn id="13" xr3:uid="{DC31669B-5880-4278-AAEF-DEE832958168}" name="CAUDAL 2" dataDxfId="997" totalsRowDxfId="449">
      <calculatedColumnFormula>+[1]!Tabla1[[#This Row],[CAUDAL DE TRATAMIENTO]]+$M$102</calculatedColumnFormula>
    </tableColumn>
    <tableColumn id="14" xr3:uid="{3F519DC6-C28D-400E-9BAE-FB58AEEC8615}" name="CONSUMO LITROS ACIDO (L)" dataDxfId="996" totalsRowDxfId="448"/>
    <tableColumn id="15" xr3:uid="{0C5F056C-2132-4DCC-8DE0-5EAB91723784}" name="CONSUMO LITROS COAGULANTE (L)" dataDxfId="995" totalsRowDxfId="447"/>
    <tableColumn id="16" xr3:uid="{C474DBB7-9EDF-4C8A-8999-41B9946BC586}" name="CONSUMO LITROS DECOLORANTE (L)" dataDxfId="994" totalsRowDxfId="446"/>
    <tableColumn id="17" xr3:uid="{1537DA41-65B8-4D8C-9F11-D2F984E6D1B1}" name="CONSUMO POL ANIONICO (KG)" dataDxfId="993" totalsRowDxfId="445"/>
    <tableColumn id="18" xr3:uid="{2A63BD78-FAED-4C1C-8047-CB39F8AFDCAC}" name="CONSUMO POL CATIONICO (KG)" dataDxfId="992" totalsRowDxfId="444"/>
    <tableColumn id="19" xr3:uid="{3C33C774-6CF3-4B73-BF30-DBB9172996A9}" name="KG ACIDO" dataDxfId="991" totalsRowDxfId="443">
      <calculatedColumnFormula>(O2*$AD$2)</calculatedColumnFormula>
    </tableColumn>
    <tableColumn id="20" xr3:uid="{CAFA74FF-0418-441A-9326-66074AEC1610}" name="KG COAGULANTE" dataDxfId="990" totalsRowDxfId="442">
      <calculatedColumnFormula>(P2*$AE$2)</calculatedColumnFormula>
    </tableColumn>
    <tableColumn id="21" xr3:uid="{1458EF37-76ED-43B9-8AA8-9F80763A7696}" name="KG DECOLORANTE " dataDxfId="989" totalsRowDxfId="441">
      <calculatedColumnFormula>(Q2*$AF$2)</calculatedColumnFormula>
    </tableColumn>
    <tableColumn id="22" xr3:uid="{300A389A-14FF-4FB7-87C0-417DAACBFC6E}" name="KG POL ANIONICO " dataDxfId="988" totalsRowDxfId="440">
      <calculatedColumnFormula>[1]!Tabla1[[#This Row],[CONSUMO POL ANIONICO (KG)]]</calculatedColumnFormula>
    </tableColumn>
    <tableColumn id="23" xr3:uid="{0E4FFC5C-D7F2-468F-A1A3-EBC3233EC511}" name="KG POL CATIONICO " dataDxfId="987" totalsRowDxfId="439">
      <calculatedColumnFormula>[1]!Tabla1[[#This Row],[CONSUMO POL CATIONICO (KG)]]</calculatedColumnFormula>
    </tableColumn>
    <tableColumn id="24" xr3:uid="{3F435E9F-2B10-453D-AA8A-0FC6772EB018}" name="PPM ACIDO " dataDxfId="986" totalsRowDxfId="438">
      <calculatedColumnFormula>(T2*1000)/L2</calculatedColumnFormula>
    </tableColumn>
    <tableColumn id="25" xr3:uid="{9FE8A120-667D-4F19-816A-5FFF232C1EE7}" name="PPM COAGULANTE " dataDxfId="985" totalsRowDxfId="437">
      <calculatedColumnFormula>(U2*1000)/L2</calculatedColumnFormula>
    </tableColumn>
    <tableColumn id="26" xr3:uid="{39A5A5CD-B186-47FD-AE6C-D0DA41E39382}" name="PPM DECOLORANTE " dataDxfId="984" totalsRowDxfId="436">
      <calculatedColumnFormula>(V2*1000)/L2</calculatedColumnFormula>
    </tableColumn>
    <tableColumn id="27" xr3:uid="{F8AB9DCC-1003-4C35-9BE6-9E37DF927B08}" name="PPM POL ANIONICO " dataDxfId="983" totalsRowDxfId="435">
      <calculatedColumnFormula>(W2*1000)/L2</calculatedColumnFormula>
    </tableColumn>
    <tableColumn id="28" xr3:uid="{CE609211-2FE1-46A8-AF6B-F6AAFA38AC6C}" name="PPM POL CATIONICO" dataDxfId="982" totalsRowDxfId="434">
      <calculatedColumnFormula>(X2*1000)/L2</calculatedColumnFormula>
    </tableColumn>
    <tableColumn id="29" xr3:uid="{26E48531-C8F5-4079-8037-57ED96A4A976}" name="DENSIDAD ACIDO" dataDxfId="981" totalsRowDxfId="433"/>
    <tableColumn id="30" xr3:uid="{CA42BDD6-E35F-4650-A2AD-2B882E2985C0}" name="DENSIDAD COAGULANTE" dataDxfId="980" totalsRowDxfId="432"/>
    <tableColumn id="31" xr3:uid="{213F817F-0E9B-47EF-9F76-E320E6B3052B}" name="DENSIDAD DECOLORANTE" dataDxfId="979" totalsRowDxfId="431"/>
    <tableColumn id="32" xr3:uid="{4BB0F123-E730-4842-BC86-E2064FC88FFF}" name="DENSIDAD ANIONICO" dataDxfId="978" totalsRowDxfId="430"/>
    <tableColumn id="33" xr3:uid="{B2BD1E5E-CBC5-493D-B4B1-9DA910A0C1F1}" name="DENSIDAD CATIONICO" dataDxfId="977" totalsRowDxfId="429"/>
    <tableColumn id="34" xr3:uid="{4972F7E0-8FD1-4EF3-B1FB-369777963AB1}" name="PRECIO (KG) ACIDO" dataDxfId="976" totalsRowDxfId="428"/>
    <tableColumn id="35" xr3:uid="{A844FAF9-9CDA-4E3B-98E2-E766500E3FE0}" name="PRECIO (KG) COAGULANTE" dataDxfId="975" totalsRowDxfId="427"/>
    <tableColumn id="36" xr3:uid="{ECBD8F2B-41C8-484E-B81D-4DA820DAB619}" name="PRECIO (KG) DECOLORANTE" dataDxfId="974" totalsRowDxfId="426"/>
    <tableColumn id="37" xr3:uid="{8EACD521-2BF4-44D1-B345-3B0CA4AB45E0}" name="PRECIO (KG) ANIONICO" dataDxfId="973" totalsRowDxfId="425"/>
    <tableColumn id="51" xr3:uid="{55C56D81-BC85-44D8-B16B-E4FDEEFD2F3C}" name="PRECIO (KG) CATIONICO" dataDxfId="972" totalsRowDxfId="424" dataCellStyle="Millares"/>
    <tableColumn id="38" xr3:uid="{017EFE46-D96A-42E1-8707-878704C5E501}" name="COSTO OPERATIVO ACIDO" dataDxfId="971" totalsRowDxfId="423">
      <calculatedColumnFormula>T2*AI2</calculatedColumnFormula>
    </tableColumn>
    <tableColumn id="39" xr3:uid="{99F19967-E3ED-4C22-BFB3-6A96F4CA9289}" name="COSTO OPERATIVO COAGULANTE" dataDxfId="970" totalsRowDxfId="422">
      <calculatedColumnFormula>U2*AJ2</calculatedColumnFormula>
    </tableColumn>
    <tableColumn id="40" xr3:uid="{07CF8F42-BA08-4C48-A2E4-4DBB283A4E23}" name="COSTO OPERATIVO DECOLORANTE" dataDxfId="969" totalsRowDxfId="421">
      <calculatedColumnFormula>V2*AK2</calculatedColumnFormula>
    </tableColumn>
    <tableColumn id="41" xr3:uid="{FB818BA1-8137-4F90-8B4E-4979316FAB5A}" name="COSTO OPERATIVO ANIONICO" dataDxfId="968" totalsRowDxfId="420">
      <calculatedColumnFormula>W2*AL2</calculatedColumnFormula>
    </tableColumn>
    <tableColumn id="42" xr3:uid="{C925CA67-4C0E-4B28-8CD9-B1CD4B61FBAB}" name="COSTO OPERATIVO CATIONICO" dataDxfId="967" totalsRowDxfId="419">
      <calculatedColumnFormula>X2*AM2</calculatedColumnFormula>
    </tableColumn>
    <tableColumn id="43" xr3:uid="{AD7ED194-6217-4171-9A5E-722504A09916}" name="COSTO QUIMICA " totalsRowFunction="custom" dataDxfId="966" totalsRowDxfId="418">
      <calculatedColumnFormula>SUM([1]!Tabla1[[#This Row],[COSTO OPERATIVO ACIDO]:[COSTO OPERATIVO CATIONICO]])</calculatedColumnFormula>
      <totalsRowFormula>SUM(AS2:AS37)</totalsRowFormula>
    </tableColumn>
    <tableColumn id="45" xr3:uid="{917AA0D6-1159-42C0-BFE1-D283A0204659}" name="LIMITE INDICADOR M3" dataDxfId="965" totalsRowDxfId="417"/>
    <tableColumn id="9" xr3:uid="{9592E80F-E524-4827-91FD-B2ECCB6E9AE9}" name="$ m3" dataDxfId="964" totalsRowDxfId="416">
      <calculatedColumnFormula>AS2/L2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6F41AC-77AF-4386-8D11-23242FAF90E8}" name="Tabla2" displayName="Tabla2" ref="A1:BB96" totalsRowCount="1" headerRowDxfId="693" dataDxfId="691" headerRowBorderDxfId="692" dataCellStyle="Moneda">
  <autoFilter ref="A1:BB95" xr:uid="{1B6F41AC-77AF-4386-8D11-23242FAF90E8}"/>
  <sortState xmlns:xlrd2="http://schemas.microsoft.com/office/spreadsheetml/2017/richdata2" ref="A2:BB95">
    <sortCondition ref="A1:A95"/>
  </sortState>
  <tableColumns count="54">
    <tableColumn id="1" xr3:uid="{CC590991-2A1A-4D5C-B65D-9930977908D8}" name="FECHA" dataDxfId="690" totalsRowDxfId="689"/>
    <tableColumn id="54" xr3:uid="{9A818E5C-5192-4396-A7BC-405EB3227304}" name="DIA" dataDxfId="688" totalsRowDxfId="687">
      <calculatedColumnFormula>DAY(Tabla2[[#This Row],[FECHA]])</calculatedColumnFormula>
    </tableColumn>
    <tableColumn id="2" xr3:uid="{0DF8C586-856D-4C65-B4FB-1FC5DE6691B5}" name="TURNO" dataDxfId="686"/>
    <tableColumn id="3" xr3:uid="{C72CF01B-5D8E-4114-8039-5372DB2EFC73}" name="HCL (10%)" dataDxfId="685" totalsRowDxfId="684"/>
    <tableColumn id="4" xr3:uid="{2856B276-2C23-4389-801C-3F8DE875B88F}" name="KURIVERTER IK-220 (Biocida)" dataDxfId="683" totalsRowDxfId="682"/>
    <tableColumn id="5" xr3:uid="{8EBA9A5D-A07B-43C3-898E-67582DEA4511}" name="VITEC 7000 (Antiincrustante)" dataDxfId="681" totalsRowDxfId="680"/>
    <tableColumn id="6" xr3:uid="{DA0ECB86-EF9A-4745-A19C-F1F06CA6ECCF}" name="Hidróxido de Sodio (NaOH)" dataDxfId="679"/>
    <tableColumn id="7" xr3:uid="{0326820F-4E40-47C1-8F97-879B4E50F2F6}" name="Bisulfito de sodio " dataDxfId="678"/>
    <tableColumn id="55" xr3:uid="{7DF4B77E-F956-4875-A047-7C2F1A1C2B5E}" name="TIEMPO DE OPERACIÓN (minutos)" dataDxfId="677" totalsRowDxfId="676">
      <calculatedColumnFormula>Tabla2[[#This Row],[VOLUMEN ENVIADO A RO (m3)]]/Tabla2[[#This Row],[Q DE OPERACIÓN (m3/h)]]</calculatedColumnFormula>
    </tableColumn>
    <tableColumn id="8" xr3:uid="{5062A74B-BC0E-4E63-BE12-3512AD9515F1}" name="cm HCL (10%)" dataDxfId="675" totalsRowDxfId="674"/>
    <tableColumn id="9" xr3:uid="{8529AFE4-E51B-4C9D-90FF-3CA6BA16A7D7}" name="cm IK-220 (Biocida)" dataDxfId="673" totalsRowDxfId="672"/>
    <tableColumn id="10" xr3:uid="{C27E6998-1AB7-40C5-9872-F136B97B99E8}" name="cm          Vitec 7000" dataDxfId="671" totalsRowDxfId="670"/>
    <tableColumn id="11" xr3:uid="{C8B09375-E483-4508-BC53-B6655E1C7B6A}" name="cm NaOH" dataDxfId="669" totalsRowDxfId="668"/>
    <tableColumn id="12" xr3:uid="{128C444D-DA78-4568-A422-F11D52858461}" name="cm Bisulfito de sodio" dataDxfId="667" totalsRowDxfId="666"/>
    <tableColumn id="13" xr3:uid="{7FBF2940-699F-4035-A510-31AFB65D6411}" name="(INV- L) - HCL (10%)" totalsRowFunction="custom" dataDxfId="665" totalsRowDxfId="664">
      <calculatedColumnFormula>J2*(1000/114)</calculatedColumnFormula>
      <totalsRowFormula>J96*(1000/114)</totalsRowFormula>
    </tableColumn>
    <tableColumn id="14" xr3:uid="{767F6605-A3F2-492F-945E-DDC0CAB2DB84}" name="(INV -L) - KURIVERTER IK-220 (Biocida)" totalsRowFunction="custom" dataDxfId="663" totalsRowDxfId="662">
      <calculatedColumnFormula>K2*(1000/114)</calculatedColumnFormula>
      <totalsRowFormula>K96*(1000/114)</totalsRowFormula>
    </tableColumn>
    <tableColumn id="15" xr3:uid="{96362BE9-7A65-46CD-A85D-EAE9FD4E4A3E}" name="(INV -L) - VITEC 7000 (Antiincrustante)" totalsRowFunction="custom" dataDxfId="661" totalsRowDxfId="660">
      <calculatedColumnFormula>L2*(1000/114)</calculatedColumnFormula>
      <totalsRowFormula>L96*(1000/114)</totalsRowFormula>
    </tableColumn>
    <tableColumn id="16" xr3:uid="{669C88A5-5B67-4E1A-848D-B906D749A1F4}" name="(INV -L) - Hidróxido de Sodio (NaOH)" totalsRowFunction="custom" dataDxfId="659" totalsRowDxfId="658">
      <calculatedColumnFormula>M2*(1000/114)</calculatedColumnFormula>
      <totalsRowFormula>M96*(1000/114)</totalsRowFormula>
    </tableColumn>
    <tableColumn id="17" xr3:uid="{9644B846-08DF-40FB-BA21-D462B2539F82}" name="(INV -L) Bisulfito de sodio " totalsRowFunction="custom" dataDxfId="657" totalsRowDxfId="656">
      <calculatedColumnFormula>N2*(1000/114)</calculatedColumnFormula>
      <totalsRowFormula>N96*(1000/114)</totalsRowFormula>
    </tableColumn>
    <tableColumn id="18" xr3:uid="{53BA0641-3357-40F8-A768-B0970273D359}" name="CONSUMO (L) HCL (10%)2" dataDxfId="655" totalsRowDxfId="654">
      <calculatedColumnFormula>O2-O3</calculatedColumnFormula>
    </tableColumn>
    <tableColumn id="19" xr3:uid="{2741AB60-1BD3-4EB2-97E3-C0905064841C}" name="CONSUMO (L) KURIVERTER IK-220 (Biocida)" dataDxfId="653" totalsRowDxfId="652">
      <calculatedColumnFormula>P2-P3</calculatedColumnFormula>
    </tableColumn>
    <tableColumn id="20" xr3:uid="{9E39C560-B3C5-42C5-A83B-32163ABBC3C2}" name="CONSUMO (L) VITEC 7000 (Antiincrustante)" dataDxfId="651" totalsRowDxfId="650">
      <calculatedColumnFormula>Q2-Q3</calculatedColumnFormula>
    </tableColumn>
    <tableColumn id="21" xr3:uid="{F636A971-349F-44EC-AA4A-D65B46EA4509}" name="CONSUMO (L) Hidróxido de Sodio (NaOH)" dataDxfId="649" totalsRowDxfId="648">
      <calculatedColumnFormula>R2-R3</calculatedColumnFormula>
    </tableColumn>
    <tableColumn id="22" xr3:uid="{7781554F-7B54-4EA7-9016-7A7B8EB508E9}" name="CONSUMO (L) Bisulfito de sodio" dataDxfId="647" totalsRowDxfId="646">
      <calculatedColumnFormula>S2-S3</calculatedColumnFormula>
    </tableColumn>
    <tableColumn id="23" xr3:uid="{F13E2BB3-287E-4571-8E69-9289518AA148}" name="DENSIDAD HCL (10%)" dataDxfId="645" totalsRowDxfId="644"/>
    <tableColumn id="24" xr3:uid="{48AD8845-7C14-4043-8230-B0183351ED07}" name="DENSIDAD KURIVERTER IK-220 (Biocida)" dataDxfId="643" totalsRowDxfId="642"/>
    <tableColumn id="25" xr3:uid="{CF20E6D5-D7BC-4306-8839-F79454AD170E}" name="DENSIDAD VITEC 7000 (Antiincrustante)" dataDxfId="641" totalsRowDxfId="640"/>
    <tableColumn id="26" xr3:uid="{98855FE0-4207-41E8-ADD5-911DF75A035E}" name="DENSIDAD Hidróxido de Sodio (NaOH)" dataDxfId="639" totalsRowDxfId="638"/>
    <tableColumn id="27" xr3:uid="{46CA938B-A3A3-4599-9D37-141EFFA96426}" name="DENSIDAD Bisulfito de sodio " dataDxfId="637" totalsRowDxfId="636"/>
    <tableColumn id="28" xr3:uid="{BB957096-4718-4076-8B2F-A9CEE034434C}" name="CONSUMO (Kg) HCL (10%)22" dataDxfId="635" totalsRowDxfId="634">
      <calculatedColumnFormula>T2*Y2</calculatedColumnFormula>
    </tableColumn>
    <tableColumn id="29" xr3:uid="{52C49479-4664-4FBE-98D2-F00B1BF76CEF}" name="CONSUMO (Kg) KURIVERTER IK-220 (Biocida)" dataDxfId="633" totalsRowDxfId="632">
      <calculatedColumnFormula>U2*Z2</calculatedColumnFormula>
    </tableColumn>
    <tableColumn id="30" xr3:uid="{6B19FE49-AB7C-43BE-9391-EA71817E3452}" name="CONSUMO (Kg) VITEC 7000 (Antiincrustante)" dataDxfId="631" totalsRowDxfId="630">
      <calculatedColumnFormula>V2*AA2</calculatedColumnFormula>
    </tableColumn>
    <tableColumn id="31" xr3:uid="{734CA6A9-E5CE-4779-AA1F-8FA5FC6C53BA}" name="CONSUMO (Kg) Hidróxido de Sodio (NaOH)" dataDxfId="629" totalsRowDxfId="628">
      <calculatedColumnFormula>W2*AB2</calculatedColumnFormula>
    </tableColumn>
    <tableColumn id="32" xr3:uid="{5D0EA3E3-830A-4420-B486-CA1E94B17A6C}" name="CONSUMO (Kg) Bisulfito de sodio6" dataDxfId="627" totalsRowDxfId="626">
      <calculatedColumnFormula>X2*AC2</calculatedColumnFormula>
    </tableColumn>
    <tableColumn id="33" xr3:uid="{E83D2B0F-D3A9-4DD1-9B93-643DDFF1148A}" name="VOLUMEN ENVIADO A RO (m3)" dataDxfId="625" totalsRowDxfId="624"/>
    <tableColumn id="34" xr3:uid="{3CED80EE-F7B2-4B85-A1B1-0053DD535481}" name="Q DE OPERACIÓN (m3/h)" dataDxfId="623" totalsRowDxfId="622"/>
    <tableColumn id="36" xr3:uid="{05276D4B-845D-40F6-BAA9-617D98D8BD04}" name="PPM HCL (10%)" dataDxfId="621" totalsRowDxfId="620">
      <calculatedColumnFormula>(AD2*1000)/$AI2</calculatedColumnFormula>
    </tableColumn>
    <tableColumn id="37" xr3:uid="{75B2E292-4009-4477-A946-4D4298E6F844}" name="PPM  KURIVERTER IK-220 (Biocida)" dataDxfId="619" totalsRowDxfId="618">
      <calculatedColumnFormula>(AE2*1000)/$AI2</calculatedColumnFormula>
    </tableColumn>
    <tableColumn id="38" xr3:uid="{06E157F8-1F10-4C7E-9FC5-774A2972ADFD}" name="PPM  VITEC 7000 (Antiincrustante)" dataDxfId="617" totalsRowDxfId="616">
      <calculatedColumnFormula>(AF2*1000)/$AI2</calculatedColumnFormula>
    </tableColumn>
    <tableColumn id="39" xr3:uid="{8685D8D8-27CE-4650-9824-906C8595A541}" name="PPM  Hidróxido de Sodio (NaOH)" dataDxfId="615" totalsRowDxfId="614">
      <calculatedColumnFormula>(AG2*1000)/$AI2</calculatedColumnFormula>
    </tableColumn>
    <tableColumn id="40" xr3:uid="{D50B03E8-53AC-44DD-9B94-4A31095A3539}" name="PPM Bisulfito de sodio " dataDxfId="613" totalsRowDxfId="612">
      <calculatedColumnFormula>(AH2*1000)/$AI2</calculatedColumnFormula>
    </tableColumn>
    <tableColumn id="41" xr3:uid="{8ACA5EC2-DCCB-42D8-B7AA-9AD08580F95E}" name="PRECIO HCL (10%)" dataDxfId="611" totalsRowDxfId="610" dataCellStyle="Moneda"/>
    <tableColumn id="42" xr3:uid="{8FEBCB0C-D97F-473C-9CBB-5F23546078B2}" name="PRECIO KURIVERTER IK-220 (Biocida)" dataDxfId="609" totalsRowDxfId="608" dataCellStyle="Moneda"/>
    <tableColumn id="43" xr3:uid="{6EF000A7-EA79-49BA-9BF9-404574772CBB}" name="PRECIO VITEC 7000 (Antiincrustante)" dataDxfId="607" totalsRowDxfId="606" dataCellStyle="Moneda"/>
    <tableColumn id="44" xr3:uid="{03B26517-4C1F-4C23-822C-014E2EA3E60C}" name="PRECIO Hidróxido de Sodio (NaOH)" dataDxfId="605" totalsRowDxfId="604" dataCellStyle="Moneda"/>
    <tableColumn id="45" xr3:uid="{2769F69A-BB42-49A8-82F3-638C6F0A80CA}" name="PRECIO Bisulfito de sodio " dataDxfId="603" totalsRowDxfId="602" dataCellStyle="Moneda"/>
    <tableColumn id="46" xr3:uid="{BAAEDBD9-EF26-4E02-81A9-B1D36D645F1E}" name="COSTO OPERATIVO HCL (10%)" dataDxfId="601" totalsRowDxfId="600" dataCellStyle="Moneda">
      <calculatedColumnFormula>AP2*(AE2*0.8)</calculatedColumnFormula>
    </tableColumn>
    <tableColumn id="47" xr3:uid="{B5977102-7103-4418-A127-AF580B742AE8}" name="COSTO OPERATIVO KURIVERTER IK-220 (Biocida)" dataDxfId="599" totalsRowDxfId="598" dataCellStyle="Moneda">
      <calculatedColumnFormula>AQ2*(AF2*0.012)</calculatedColumnFormula>
    </tableColumn>
    <tableColumn id="48" xr3:uid="{9536BE99-8364-49D7-84C0-3FC4CBA7F3A7}" name="COSTO OPERATIVO VITEC 7000 (Antiincrustante)" dataDxfId="597" totalsRowDxfId="596" dataCellStyle="Moneda">
      <calculatedColumnFormula>AR2*(AG2*0.044)</calculatedColumnFormula>
    </tableColumn>
    <tableColumn id="49" xr3:uid="{7386E060-0060-4586-B378-BFC4068453CB}" name="COSTO OPERATIVO Hidróxido de Sodio (NaOH)" dataDxfId="595" totalsRowDxfId="594" dataCellStyle="Moneda">
      <calculatedColumnFormula>AS2*AH2</calculatedColumnFormula>
    </tableColumn>
    <tableColumn id="50" xr3:uid="{8A7A5227-ECD0-4C68-977D-4B6AE2E15060}" name="COSTO OPERATIVO Bisulfito de sodio " dataDxfId="593" totalsRowDxfId="592" dataCellStyle="Moneda">
      <calculatedColumnFormula>AT2*(AI2*0.025)</calculatedColumnFormula>
    </tableColumn>
    <tableColumn id="51" xr3:uid="{EB2B1E33-86A6-442A-A8E9-3128FF18FE4D}" name="COSTO QUIMICA " totalsRowFunction="custom" dataDxfId="591" totalsRowDxfId="590" dataCellStyle="Moneda">
      <calculatedColumnFormula>AU2+AV2+AW2+AX2+AY2</calculatedColumnFormula>
      <totalsRowFormula>SUM(AZ2:AZ94)</totalsRowFormula>
    </tableColumn>
    <tableColumn id="52" xr3:uid="{3F7A5D66-3F1B-4B04-9E57-A68AEC7AB87A}" name="LIMITE INDICADOR M3" dataDxfId="589" totalsRowDxfId="588" dataCellStyle="Moneda"/>
    <tableColumn id="53" xr3:uid="{8E9239AA-01A3-456B-98A2-5FD0E2DF97E7}" name="$m3 ENVIADO A RO (m3)" dataDxfId="587" totalsRowDxfId="586" dataCellStyle="Moneda">
      <calculatedColumnFormula>AZ2/AI2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9" dT="2024-10-04T17:24:30.85" personId="{EE5C7DE3-FA37-4B1A-A8D2-FF232E6C14FC}" id="{A27F0D81-09DF-40D5-AFEC-ED3B60CF163C}">
    <text>Se alimento a reactores y se requirió bajar ph</text>
  </threadedComment>
  <threadedComment ref="AA9" dT="2024-10-04T17:25:31.29" personId="{EE5C7DE3-FA37-4B1A-A8D2-FF232E6C14FC}" id="{B6C8C97C-D3B4-46F6-BAB4-829EB185A586}">
    <text>Por alimentacion a reactores, ara reducir color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microsoft.com/office/2007/relationships/slicer" Target="../slicers/slicer2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4" Type="http://schemas.openxmlformats.org/officeDocument/2006/relationships/pivotTable" Target="../pivotTables/pivotTable1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B944-74FA-420F-B8F8-E5C0DD48C324}">
  <sheetPr>
    <tabColor rgb="FFFFFF00"/>
  </sheetPr>
  <dimension ref="A1:AU105"/>
  <sheetViews>
    <sheetView zoomScale="55" zoomScaleNormal="55" workbookViewId="0">
      <pane xSplit="5" ySplit="1" topLeftCell="F71" activePane="bottomRight" state="frozen"/>
      <selection pane="topRight" activeCell="F1" sqref="F1"/>
      <selection pane="bottomLeft" activeCell="A2" sqref="A2"/>
      <selection pane="bottomRight" activeCell="K99" sqref="K99"/>
    </sheetView>
  </sheetViews>
  <sheetFormatPr baseColWidth="10" defaultRowHeight="14.4" x14ac:dyDescent="0.3"/>
  <cols>
    <col min="2" max="2" width="11.33203125" customWidth="1"/>
    <col min="3" max="3" width="12.21875" customWidth="1"/>
    <col min="4" max="4" width="12.21875" style="70" customWidth="1"/>
    <col min="5" max="5" width="17.109375" style="70" customWidth="1"/>
    <col min="6" max="10" width="16.33203125" style="395" customWidth="1"/>
    <col min="11" max="11" width="19.33203125" style="69" customWidth="1"/>
    <col min="12" max="13" width="17.33203125" style="1" customWidth="1"/>
    <col min="14" max="17" width="19.33203125" customWidth="1"/>
    <col min="18" max="18" width="16.33203125" customWidth="1"/>
    <col min="19" max="21" width="14.109375" customWidth="1"/>
    <col min="22" max="22" width="11.21875" customWidth="1"/>
    <col min="23" max="23" width="13" customWidth="1"/>
    <col min="24" max="28" width="14.109375" customWidth="1"/>
    <col min="29" max="29" width="21" style="71" customWidth="1"/>
    <col min="30" max="30" width="17.88671875" style="71" customWidth="1"/>
    <col min="31" max="31" width="18.6640625" style="71" customWidth="1"/>
    <col min="32" max="32" width="14.88671875" style="71" customWidth="1"/>
    <col min="33" max="33" width="15.6640625" style="71" customWidth="1"/>
    <col min="34" max="34" width="22.77734375" style="71" customWidth="1"/>
    <col min="35" max="35" width="17.88671875" style="71" customWidth="1"/>
    <col min="36" max="36" width="18.6640625" style="71" customWidth="1"/>
    <col min="37" max="38" width="16.33203125" style="71" customWidth="1"/>
    <col min="39" max="39" width="16.33203125" style="522" customWidth="1"/>
    <col min="40" max="45" width="19.33203125" customWidth="1"/>
    <col min="46" max="46" width="14.6640625" style="73" customWidth="1"/>
    <col min="47" max="47" width="17.33203125" style="1" customWidth="1"/>
  </cols>
  <sheetData>
    <row r="1" spans="1:47" s="84" customFormat="1" ht="51.6" customHeight="1" thickBot="1" x14ac:dyDescent="0.35">
      <c r="A1" s="75" t="s">
        <v>27</v>
      </c>
      <c r="B1" s="75" t="s">
        <v>79</v>
      </c>
      <c r="C1" s="87" t="s">
        <v>163</v>
      </c>
      <c r="D1" s="76" t="s">
        <v>122</v>
      </c>
      <c r="E1" s="87" t="s">
        <v>164</v>
      </c>
      <c r="F1" s="401" t="s">
        <v>190</v>
      </c>
      <c r="G1" s="402" t="s">
        <v>191</v>
      </c>
      <c r="H1" s="403" t="s">
        <v>192</v>
      </c>
      <c r="I1" s="402" t="s">
        <v>193</v>
      </c>
      <c r="J1" s="402" t="s">
        <v>194</v>
      </c>
      <c r="K1" s="461" t="s">
        <v>165</v>
      </c>
      <c r="L1" s="407" t="s">
        <v>15</v>
      </c>
      <c r="M1" s="460" t="s">
        <v>223</v>
      </c>
      <c r="N1" s="460" t="s">
        <v>357</v>
      </c>
      <c r="O1" s="391" t="s">
        <v>41</v>
      </c>
      <c r="P1" s="392" t="s">
        <v>42</v>
      </c>
      <c r="Q1" s="392" t="s">
        <v>43</v>
      </c>
      <c r="R1" s="392" t="s">
        <v>44</v>
      </c>
      <c r="S1" s="392" t="s">
        <v>45</v>
      </c>
      <c r="T1" s="77" t="s">
        <v>53</v>
      </c>
      <c r="U1" s="78" t="s">
        <v>57</v>
      </c>
      <c r="V1" s="78" t="s">
        <v>54</v>
      </c>
      <c r="W1" s="78" t="s">
        <v>55</v>
      </c>
      <c r="X1" s="385" t="s">
        <v>56</v>
      </c>
      <c r="Y1" s="546" t="s">
        <v>51</v>
      </c>
      <c r="Z1" s="79" t="s">
        <v>52</v>
      </c>
      <c r="AA1" s="79" t="s">
        <v>58</v>
      </c>
      <c r="AB1" s="79" t="s">
        <v>59</v>
      </c>
      <c r="AC1" s="547" t="s">
        <v>60</v>
      </c>
      <c r="AD1" s="80" t="s">
        <v>50</v>
      </c>
      <c r="AE1" s="81" t="s">
        <v>46</v>
      </c>
      <c r="AF1" s="81" t="s">
        <v>47</v>
      </c>
      <c r="AG1" s="81" t="s">
        <v>48</v>
      </c>
      <c r="AH1" s="81" t="s">
        <v>49</v>
      </c>
      <c r="AI1" s="80" t="s">
        <v>61</v>
      </c>
      <c r="AJ1" s="81" t="s">
        <v>62</v>
      </c>
      <c r="AK1" s="81" t="s">
        <v>63</v>
      </c>
      <c r="AL1" s="81" t="s">
        <v>64</v>
      </c>
      <c r="AM1" s="81" t="s">
        <v>65</v>
      </c>
      <c r="AN1" s="548" t="s">
        <v>66</v>
      </c>
      <c r="AO1" s="549" t="s">
        <v>67</v>
      </c>
      <c r="AP1" s="549" t="s">
        <v>68</v>
      </c>
      <c r="AQ1" s="549" t="s">
        <v>69</v>
      </c>
      <c r="AR1" s="550" t="s">
        <v>70</v>
      </c>
      <c r="AS1" s="82" t="s">
        <v>73</v>
      </c>
      <c r="AT1" s="83" t="s">
        <v>74</v>
      </c>
      <c r="AU1" s="83" t="s">
        <v>71</v>
      </c>
    </row>
    <row r="2" spans="1:47" ht="15" thickBot="1" x14ac:dyDescent="0.35">
      <c r="A2" s="200">
        <v>46023</v>
      </c>
      <c r="B2" s="150">
        <v>1</v>
      </c>
      <c r="C2" s="433" t="s">
        <v>28</v>
      </c>
      <c r="D2" s="434">
        <v>1</v>
      </c>
      <c r="E2" s="434" t="s">
        <v>75</v>
      </c>
      <c r="F2" s="435">
        <v>2160</v>
      </c>
      <c r="G2" s="436">
        <v>2100</v>
      </c>
      <c r="H2" s="436">
        <v>1670</v>
      </c>
      <c r="I2" s="436">
        <v>250</v>
      </c>
      <c r="J2" s="436">
        <v>185</v>
      </c>
      <c r="K2" s="464">
        <v>16502</v>
      </c>
      <c r="L2" s="465">
        <v>0</v>
      </c>
      <c r="M2" s="466">
        <v>80</v>
      </c>
      <c r="N2" s="466">
        <f>+[1]!Tabla1[[#This Row],[CAUDAL DE TRATAMIENTO]]+$M$102</f>
        <v>80</v>
      </c>
      <c r="O2" s="424">
        <f t="shared" ref="O2:S17" si="0">F2-F3</f>
        <v>0</v>
      </c>
      <c r="P2" s="425">
        <f t="shared" si="0"/>
        <v>0</v>
      </c>
      <c r="Q2" s="424">
        <f t="shared" si="0"/>
        <v>0</v>
      </c>
      <c r="R2" s="424">
        <f t="shared" si="0"/>
        <v>0</v>
      </c>
      <c r="S2" s="426">
        <v>0</v>
      </c>
      <c r="T2" s="437">
        <f t="shared" ref="T2:T65" si="1">(O2*$AD$2)</f>
        <v>0</v>
      </c>
      <c r="U2" s="438">
        <f t="shared" ref="U2:U65" si="2">(P2*$AE$2)</f>
        <v>0</v>
      </c>
      <c r="V2" s="438">
        <f t="shared" ref="V2:V65" si="3">(Q2*$AF$2)</f>
        <v>0</v>
      </c>
      <c r="W2" s="438">
        <f>[1]!Tabla1[[#This Row],[CONSUMO POL ANIONICO (KG)]]</f>
        <v>0</v>
      </c>
      <c r="X2" s="426">
        <f>[1]!Tabla1[[#This Row],[CONSUMO POL CATIONICO (KG)]]</f>
        <v>0</v>
      </c>
      <c r="Y2" s="437" t="e">
        <f t="shared" ref="Y2:Y65" si="4">(T2*1000)/L2</f>
        <v>#DIV/0!</v>
      </c>
      <c r="Z2" s="438" t="e">
        <f t="shared" ref="Z2:Z65" si="5">(U2*1000)/L2</f>
        <v>#DIV/0!</v>
      </c>
      <c r="AA2" s="438" t="e">
        <f t="shared" ref="AA2:AA65" si="6">(V2*1000)/L2</f>
        <v>#DIV/0!</v>
      </c>
      <c r="AB2" s="438" t="e">
        <f t="shared" ref="AB2:AB65" si="7">(W2*1000)/L2</f>
        <v>#DIV/0!</v>
      </c>
      <c r="AC2" s="426" t="e">
        <f t="shared" ref="AC2:AC65" si="8">(X2*1000)/L2</f>
        <v>#DIV/0!</v>
      </c>
      <c r="AD2" s="439">
        <v>1.3</v>
      </c>
      <c r="AE2" s="439">
        <v>1.325</v>
      </c>
      <c r="AF2" s="439">
        <v>1.25</v>
      </c>
      <c r="AG2" s="440">
        <v>2500</v>
      </c>
      <c r="AH2" s="441">
        <v>2500</v>
      </c>
      <c r="AI2" s="151">
        <v>830</v>
      </c>
      <c r="AJ2" s="151">
        <v>2900</v>
      </c>
      <c r="AK2" s="151">
        <v>6295</v>
      </c>
      <c r="AL2" s="151">
        <v>19050</v>
      </c>
      <c r="AM2" s="151">
        <v>22050</v>
      </c>
      <c r="AN2" s="442">
        <f t="shared" ref="AN2:AR17" si="9">T2*AI2</f>
        <v>0</v>
      </c>
      <c r="AO2" s="443">
        <f t="shared" si="9"/>
        <v>0</v>
      </c>
      <c r="AP2" s="443">
        <f t="shared" si="9"/>
        <v>0</v>
      </c>
      <c r="AQ2" s="443">
        <f t="shared" si="9"/>
        <v>0</v>
      </c>
      <c r="AR2" s="444">
        <f t="shared" si="9"/>
        <v>0</v>
      </c>
      <c r="AS2" s="442">
        <f>SUM([1]!Tabla1[[#This Row],[COSTO OPERATIVO ACIDO]:[COSTO OPERATIVO CATIONICO]])</f>
        <v>0</v>
      </c>
      <c r="AT2" s="443">
        <v>5250</v>
      </c>
      <c r="AU2" s="445" t="e">
        <f t="shared" ref="AU2:AU65" si="10">AS2/L2</f>
        <v>#DIV/0!</v>
      </c>
    </row>
    <row r="3" spans="1:47" ht="15" thickBot="1" x14ac:dyDescent="0.35">
      <c r="A3" s="446">
        <v>46023</v>
      </c>
      <c r="B3" s="150">
        <v>1</v>
      </c>
      <c r="C3" s="447" t="s">
        <v>29</v>
      </c>
      <c r="D3" s="448">
        <v>2</v>
      </c>
      <c r="E3" s="448" t="s">
        <v>77</v>
      </c>
      <c r="F3" s="449">
        <v>2160</v>
      </c>
      <c r="G3" s="450">
        <v>2100</v>
      </c>
      <c r="H3" s="450">
        <v>1670</v>
      </c>
      <c r="I3" s="450">
        <v>250</v>
      </c>
      <c r="J3" s="450">
        <v>185</v>
      </c>
      <c r="K3" s="467">
        <v>16502</v>
      </c>
      <c r="L3" s="462">
        <v>0</v>
      </c>
      <c r="M3" s="463">
        <v>80</v>
      </c>
      <c r="N3" s="463">
        <f>+[1]!Tabla1[[#This Row],[CAUDAL DE TRATAMIENTO]]+$M$102</f>
        <v>80</v>
      </c>
      <c r="O3" s="427">
        <f t="shared" si="0"/>
        <v>0</v>
      </c>
      <c r="P3" s="428">
        <f t="shared" si="0"/>
        <v>0</v>
      </c>
      <c r="Q3" s="427">
        <f t="shared" si="0"/>
        <v>0</v>
      </c>
      <c r="R3" s="427">
        <f t="shared" si="0"/>
        <v>0</v>
      </c>
      <c r="S3" s="429">
        <v>0</v>
      </c>
      <c r="T3" s="437">
        <f t="shared" si="1"/>
        <v>0</v>
      </c>
      <c r="U3" s="438">
        <f t="shared" si="2"/>
        <v>0</v>
      </c>
      <c r="V3" s="438">
        <f t="shared" si="3"/>
        <v>0</v>
      </c>
      <c r="W3" s="451">
        <f>[1]!Tabla1[[#This Row],[CONSUMO POL ANIONICO (KG)]]</f>
        <v>0</v>
      </c>
      <c r="X3" s="429">
        <f>[1]!Tabla1[[#This Row],[CONSUMO POL CATIONICO (KG)]]</f>
        <v>0</v>
      </c>
      <c r="Y3" s="551" t="e">
        <f t="shared" si="4"/>
        <v>#DIV/0!</v>
      </c>
      <c r="Z3" s="451" t="e">
        <f t="shared" si="5"/>
        <v>#DIV/0!</v>
      </c>
      <c r="AA3" s="451" t="e">
        <f t="shared" si="6"/>
        <v>#DIV/0!</v>
      </c>
      <c r="AB3" s="451" t="e">
        <f t="shared" si="7"/>
        <v>#DIV/0!</v>
      </c>
      <c r="AC3" s="429" t="e">
        <f t="shared" si="8"/>
        <v>#DIV/0!</v>
      </c>
      <c r="AD3" s="439">
        <v>1.3</v>
      </c>
      <c r="AE3" s="439">
        <v>1.325</v>
      </c>
      <c r="AF3" s="439">
        <v>1.25</v>
      </c>
      <c r="AG3" s="440">
        <v>2500</v>
      </c>
      <c r="AH3" s="441">
        <v>2500</v>
      </c>
      <c r="AI3" s="151">
        <v>830</v>
      </c>
      <c r="AJ3" s="151">
        <v>2900</v>
      </c>
      <c r="AK3" s="151">
        <v>6295</v>
      </c>
      <c r="AL3" s="151">
        <v>19050</v>
      </c>
      <c r="AM3" s="151">
        <v>22050</v>
      </c>
      <c r="AN3" s="452">
        <f t="shared" si="9"/>
        <v>0</v>
      </c>
      <c r="AO3" s="445">
        <f t="shared" si="9"/>
        <v>0</v>
      </c>
      <c r="AP3" s="445">
        <f t="shared" si="9"/>
        <v>0</v>
      </c>
      <c r="AQ3" s="445">
        <f t="shared" si="9"/>
        <v>0</v>
      </c>
      <c r="AR3" s="453">
        <f t="shared" si="9"/>
        <v>0</v>
      </c>
      <c r="AS3" s="452">
        <f>SUM([1]!Tabla1[[#This Row],[COSTO OPERATIVO ACIDO]:[COSTO OPERATIVO CATIONICO]])</f>
        <v>0</v>
      </c>
      <c r="AT3" s="445">
        <v>5250</v>
      </c>
      <c r="AU3" s="445" t="e">
        <f t="shared" si="10"/>
        <v>#DIV/0!</v>
      </c>
    </row>
    <row r="4" spans="1:47" ht="15" thickBot="1" x14ac:dyDescent="0.35">
      <c r="A4" s="454">
        <v>46023</v>
      </c>
      <c r="B4" s="150">
        <v>1</v>
      </c>
      <c r="C4" s="455" t="s">
        <v>30</v>
      </c>
      <c r="D4" s="456">
        <v>3</v>
      </c>
      <c r="E4" s="456" t="s">
        <v>76</v>
      </c>
      <c r="F4" s="449">
        <v>2160</v>
      </c>
      <c r="G4" s="450">
        <v>2100</v>
      </c>
      <c r="H4" s="450">
        <v>1670</v>
      </c>
      <c r="I4" s="450">
        <v>250</v>
      </c>
      <c r="J4" s="450">
        <v>185</v>
      </c>
      <c r="K4" s="468">
        <v>16502</v>
      </c>
      <c r="L4" s="469">
        <v>0</v>
      </c>
      <c r="M4" s="470">
        <v>80</v>
      </c>
      <c r="N4" s="470">
        <f>+[1]!Tabla1[[#This Row],[CAUDAL DE TRATAMIENTO]]+$M$102</f>
        <v>80</v>
      </c>
      <c r="O4" s="430">
        <f t="shared" si="0"/>
        <v>0</v>
      </c>
      <c r="P4" s="431">
        <f t="shared" si="0"/>
        <v>0</v>
      </c>
      <c r="Q4" s="430">
        <f t="shared" si="0"/>
        <v>0</v>
      </c>
      <c r="R4" s="430">
        <f t="shared" si="0"/>
        <v>0</v>
      </c>
      <c r="S4" s="432">
        <v>0</v>
      </c>
      <c r="T4" s="437">
        <f t="shared" si="1"/>
        <v>0</v>
      </c>
      <c r="U4" s="438">
        <f t="shared" si="2"/>
        <v>0</v>
      </c>
      <c r="V4" s="438">
        <f t="shared" si="3"/>
        <v>0</v>
      </c>
      <c r="W4" s="457">
        <f>[1]!Tabla1[[#This Row],[CONSUMO POL ANIONICO (KG)]]</f>
        <v>0</v>
      </c>
      <c r="X4" s="432">
        <f>[1]!Tabla1[[#This Row],[CONSUMO POL CATIONICO (KG)]]</f>
        <v>0</v>
      </c>
      <c r="Y4" s="551" t="e">
        <f t="shared" si="4"/>
        <v>#DIV/0!</v>
      </c>
      <c r="Z4" s="457" t="e">
        <f t="shared" si="5"/>
        <v>#DIV/0!</v>
      </c>
      <c r="AA4" s="457" t="e">
        <f t="shared" si="6"/>
        <v>#DIV/0!</v>
      </c>
      <c r="AB4" s="457" t="e">
        <f t="shared" si="7"/>
        <v>#DIV/0!</v>
      </c>
      <c r="AC4" s="432" t="e">
        <f t="shared" si="8"/>
        <v>#DIV/0!</v>
      </c>
      <c r="AD4" s="439">
        <v>1.3</v>
      </c>
      <c r="AE4" s="439">
        <v>1.325</v>
      </c>
      <c r="AF4" s="439">
        <v>1.25</v>
      </c>
      <c r="AG4" s="440">
        <v>2500</v>
      </c>
      <c r="AH4" s="441">
        <v>2500</v>
      </c>
      <c r="AI4" s="151">
        <v>830</v>
      </c>
      <c r="AJ4" s="151">
        <v>2900</v>
      </c>
      <c r="AK4" s="151">
        <v>6295</v>
      </c>
      <c r="AL4" s="151">
        <v>19050</v>
      </c>
      <c r="AM4" s="151">
        <v>22050</v>
      </c>
      <c r="AN4" s="452">
        <f t="shared" si="9"/>
        <v>0</v>
      </c>
      <c r="AO4" s="458">
        <f t="shared" si="9"/>
        <v>0</v>
      </c>
      <c r="AP4" s="458">
        <f t="shared" si="9"/>
        <v>0</v>
      </c>
      <c r="AQ4" s="458">
        <f t="shared" si="9"/>
        <v>0</v>
      </c>
      <c r="AR4" s="459">
        <f t="shared" si="9"/>
        <v>0</v>
      </c>
      <c r="AS4" s="452">
        <f>SUM([1]!Tabla1[[#This Row],[COSTO OPERATIVO ACIDO]:[COSTO OPERATIVO CATIONICO]])</f>
        <v>0</v>
      </c>
      <c r="AT4" s="458">
        <v>5250</v>
      </c>
      <c r="AU4" s="445" t="e">
        <f t="shared" si="10"/>
        <v>#DIV/0!</v>
      </c>
    </row>
    <row r="5" spans="1:47" ht="15" thickBot="1" x14ac:dyDescent="0.35">
      <c r="A5" s="200">
        <v>46024</v>
      </c>
      <c r="B5" s="150">
        <v>2</v>
      </c>
      <c r="C5" s="433" t="s">
        <v>252</v>
      </c>
      <c r="D5" s="434">
        <v>4</v>
      </c>
      <c r="E5" s="434" t="s">
        <v>75</v>
      </c>
      <c r="F5" s="435">
        <v>2160</v>
      </c>
      <c r="G5" s="436">
        <v>2100</v>
      </c>
      <c r="H5" s="436">
        <v>1670</v>
      </c>
      <c r="I5" s="436">
        <v>250</v>
      </c>
      <c r="J5" s="436">
        <v>185</v>
      </c>
      <c r="K5" s="464">
        <v>16502</v>
      </c>
      <c r="L5" s="465">
        <v>0</v>
      </c>
      <c r="M5" s="466">
        <v>80</v>
      </c>
      <c r="N5" s="466">
        <f>+[1]!Tabla1[[#This Row],[CAUDAL DE TRATAMIENTO]]+$M$102</f>
        <v>80</v>
      </c>
      <c r="O5" s="424">
        <f t="shared" si="0"/>
        <v>0</v>
      </c>
      <c r="P5" s="425">
        <f t="shared" si="0"/>
        <v>0</v>
      </c>
      <c r="Q5" s="424">
        <f t="shared" si="0"/>
        <v>0</v>
      </c>
      <c r="R5" s="424">
        <f t="shared" si="0"/>
        <v>0</v>
      </c>
      <c r="S5" s="426">
        <f>J5-J6</f>
        <v>0</v>
      </c>
      <c r="T5" s="437">
        <f t="shared" si="1"/>
        <v>0</v>
      </c>
      <c r="U5" s="438">
        <f t="shared" si="2"/>
        <v>0</v>
      </c>
      <c r="V5" s="438">
        <f t="shared" si="3"/>
        <v>0</v>
      </c>
      <c r="W5" s="438">
        <f>[1]!Tabla1[[#This Row],[CONSUMO POL ANIONICO (KG)]]</f>
        <v>0</v>
      </c>
      <c r="X5" s="426">
        <f>[1]!Tabla1[[#This Row],[CONSUMO POL CATIONICO (KG)]]</f>
        <v>0</v>
      </c>
      <c r="Y5" s="437" t="e">
        <f t="shared" si="4"/>
        <v>#DIV/0!</v>
      </c>
      <c r="Z5" s="438" t="e">
        <f t="shared" si="5"/>
        <v>#DIV/0!</v>
      </c>
      <c r="AA5" s="438" t="e">
        <f t="shared" si="6"/>
        <v>#DIV/0!</v>
      </c>
      <c r="AB5" s="438" t="e">
        <f t="shared" si="7"/>
        <v>#DIV/0!</v>
      </c>
      <c r="AC5" s="426" t="e">
        <f t="shared" si="8"/>
        <v>#DIV/0!</v>
      </c>
      <c r="AD5" s="439">
        <v>1.3</v>
      </c>
      <c r="AE5" s="439">
        <v>1.325</v>
      </c>
      <c r="AF5" s="439">
        <v>1.25</v>
      </c>
      <c r="AG5" s="440">
        <v>2500</v>
      </c>
      <c r="AH5" s="441">
        <v>2500</v>
      </c>
      <c r="AI5" s="151">
        <v>830</v>
      </c>
      <c r="AJ5" s="151">
        <v>2900</v>
      </c>
      <c r="AK5" s="151">
        <v>6295</v>
      </c>
      <c r="AL5" s="151">
        <v>19050</v>
      </c>
      <c r="AM5" s="151">
        <v>22050</v>
      </c>
      <c r="AN5" s="442">
        <f t="shared" si="9"/>
        <v>0</v>
      </c>
      <c r="AO5" s="443">
        <f t="shared" si="9"/>
        <v>0</v>
      </c>
      <c r="AP5" s="443">
        <f t="shared" si="9"/>
        <v>0</v>
      </c>
      <c r="AQ5" s="443">
        <f t="shared" si="9"/>
        <v>0</v>
      </c>
      <c r="AR5" s="444">
        <f t="shared" si="9"/>
        <v>0</v>
      </c>
      <c r="AS5" s="442">
        <f>SUM([1]!Tabla1[[#This Row],[COSTO OPERATIVO ACIDO]:[COSTO OPERATIVO CATIONICO]])</f>
        <v>0</v>
      </c>
      <c r="AT5" s="443">
        <v>5250</v>
      </c>
      <c r="AU5" s="445" t="e">
        <f t="shared" si="10"/>
        <v>#DIV/0!</v>
      </c>
    </row>
    <row r="6" spans="1:47" ht="15" thickBot="1" x14ac:dyDescent="0.35">
      <c r="A6" s="446">
        <v>46024</v>
      </c>
      <c r="B6" s="150">
        <v>2</v>
      </c>
      <c r="C6" s="447" t="s">
        <v>253</v>
      </c>
      <c r="D6" s="448">
        <v>5</v>
      </c>
      <c r="E6" s="448" t="s">
        <v>77</v>
      </c>
      <c r="F6" s="449">
        <v>2160</v>
      </c>
      <c r="G6" s="450">
        <v>2100</v>
      </c>
      <c r="H6" s="450">
        <v>1670</v>
      </c>
      <c r="I6" s="450">
        <v>250</v>
      </c>
      <c r="J6" s="450">
        <v>185</v>
      </c>
      <c r="K6" s="467">
        <v>16502</v>
      </c>
      <c r="L6" s="462">
        <v>640.23880597014931</v>
      </c>
      <c r="M6" s="463">
        <v>83</v>
      </c>
      <c r="N6" s="463">
        <f>+[1]!Tabla1[[#This Row],[CAUDAL DE TRATAMIENTO]]+$M$102</f>
        <v>83</v>
      </c>
      <c r="O6" s="427">
        <f t="shared" si="0"/>
        <v>80</v>
      </c>
      <c r="P6" s="428">
        <f t="shared" si="0"/>
        <v>150</v>
      </c>
      <c r="Q6" s="427">
        <f t="shared" si="0"/>
        <v>70</v>
      </c>
      <c r="R6" s="427">
        <f t="shared" si="0"/>
        <v>5</v>
      </c>
      <c r="S6" s="429">
        <f>J6-J7</f>
        <v>5</v>
      </c>
      <c r="T6" s="437">
        <f t="shared" si="1"/>
        <v>104</v>
      </c>
      <c r="U6" s="438">
        <f t="shared" si="2"/>
        <v>198.75</v>
      </c>
      <c r="V6" s="438">
        <f t="shared" si="3"/>
        <v>87.5</v>
      </c>
      <c r="W6" s="451">
        <f>[1]!Tabla1[[#This Row],[CONSUMO POL ANIONICO (KG)]]</f>
        <v>5</v>
      </c>
      <c r="X6" s="429">
        <f>[1]!Tabla1[[#This Row],[CONSUMO POL CATIONICO (KG)]]</f>
        <v>5</v>
      </c>
      <c r="Y6" s="551">
        <f t="shared" si="4"/>
        <v>162.43938828795226</v>
      </c>
      <c r="Z6" s="451">
        <f t="shared" si="5"/>
        <v>310.43104252144718</v>
      </c>
      <c r="AA6" s="451">
        <f t="shared" si="6"/>
        <v>136.66775456919058</v>
      </c>
      <c r="AB6" s="451">
        <f t="shared" si="7"/>
        <v>7.8095859753823191</v>
      </c>
      <c r="AC6" s="429">
        <f t="shared" si="8"/>
        <v>7.8095859753823191</v>
      </c>
      <c r="AD6" s="439">
        <v>1.3</v>
      </c>
      <c r="AE6" s="439">
        <v>1.325</v>
      </c>
      <c r="AF6" s="439">
        <v>1.25</v>
      </c>
      <c r="AG6" s="440">
        <v>2500</v>
      </c>
      <c r="AH6" s="441">
        <v>2500</v>
      </c>
      <c r="AI6" s="151">
        <v>830</v>
      </c>
      <c r="AJ6" s="151">
        <v>2900</v>
      </c>
      <c r="AK6" s="151">
        <v>6295</v>
      </c>
      <c r="AL6" s="151">
        <v>19050</v>
      </c>
      <c r="AM6" s="151">
        <v>22050</v>
      </c>
      <c r="AN6" s="452">
        <f t="shared" si="9"/>
        <v>86320</v>
      </c>
      <c r="AO6" s="445">
        <f t="shared" si="9"/>
        <v>576375</v>
      </c>
      <c r="AP6" s="445">
        <f t="shared" si="9"/>
        <v>550812.5</v>
      </c>
      <c r="AQ6" s="445">
        <f t="shared" si="9"/>
        <v>95250</v>
      </c>
      <c r="AR6" s="453">
        <f t="shared" si="9"/>
        <v>110250</v>
      </c>
      <c r="AS6" s="452">
        <f>SUM([1]!Tabla1[[#This Row],[COSTO OPERATIVO ACIDO]:[COSTO OPERATIVO CATIONICO]])</f>
        <v>1419007.5</v>
      </c>
      <c r="AT6" s="445">
        <v>5250</v>
      </c>
      <c r="AU6" s="445">
        <f t="shared" si="10"/>
        <v>2216.3722141924654</v>
      </c>
    </row>
    <row r="7" spans="1:47" ht="15" thickBot="1" x14ac:dyDescent="0.35">
      <c r="A7" s="454">
        <v>46024</v>
      </c>
      <c r="B7" s="150">
        <v>2</v>
      </c>
      <c r="C7" s="455" t="s">
        <v>30</v>
      </c>
      <c r="D7" s="456">
        <v>6</v>
      </c>
      <c r="E7" s="456" t="s">
        <v>76</v>
      </c>
      <c r="F7" s="449">
        <v>2080</v>
      </c>
      <c r="G7" s="450">
        <v>1950</v>
      </c>
      <c r="H7" s="450">
        <v>1600</v>
      </c>
      <c r="I7" s="450">
        <v>245</v>
      </c>
      <c r="J7" s="450">
        <v>180</v>
      </c>
      <c r="K7" s="468">
        <v>16509</v>
      </c>
      <c r="L7" s="469">
        <v>174.92537313432837</v>
      </c>
      <c r="M7" s="470">
        <v>79</v>
      </c>
      <c r="N7" s="470">
        <f>+[1]!Tabla1[[#This Row],[CAUDAL DE TRATAMIENTO]]+$M$102</f>
        <v>79</v>
      </c>
      <c r="O7" s="430">
        <f t="shared" si="0"/>
        <v>80</v>
      </c>
      <c r="P7" s="422">
        <f>G7-G8-150</f>
        <v>50</v>
      </c>
      <c r="Q7" s="430">
        <f t="shared" si="0"/>
        <v>50</v>
      </c>
      <c r="R7" s="430">
        <f t="shared" si="0"/>
        <v>5</v>
      </c>
      <c r="S7" s="432">
        <f>J7-J8</f>
        <v>5</v>
      </c>
      <c r="T7" s="437">
        <f t="shared" si="1"/>
        <v>104</v>
      </c>
      <c r="U7" s="438">
        <f t="shared" si="2"/>
        <v>66.25</v>
      </c>
      <c r="V7" s="438">
        <f t="shared" si="3"/>
        <v>62.5</v>
      </c>
      <c r="W7" s="457">
        <f>[1]!Tabla1[[#This Row],[CONSUMO POL ANIONICO (KG)]]</f>
        <v>5</v>
      </c>
      <c r="X7" s="432">
        <f>[1]!Tabla1[[#This Row],[CONSUMO POL CATIONICO (KG)]]</f>
        <v>5</v>
      </c>
      <c r="Y7" s="551">
        <f t="shared" si="4"/>
        <v>594.5392491467577</v>
      </c>
      <c r="Z7" s="457">
        <f t="shared" si="5"/>
        <v>378.73293515358358</v>
      </c>
      <c r="AA7" s="457">
        <f t="shared" si="6"/>
        <v>357.29522184300339</v>
      </c>
      <c r="AB7" s="457">
        <f t="shared" si="7"/>
        <v>28.583617747440272</v>
      </c>
      <c r="AC7" s="432">
        <f t="shared" si="8"/>
        <v>28.583617747440272</v>
      </c>
      <c r="AD7" s="439">
        <v>1.3</v>
      </c>
      <c r="AE7" s="439">
        <v>1.325</v>
      </c>
      <c r="AF7" s="439">
        <v>1.25</v>
      </c>
      <c r="AG7" s="440">
        <v>2500</v>
      </c>
      <c r="AH7" s="441">
        <v>2500</v>
      </c>
      <c r="AI7" s="151">
        <v>830</v>
      </c>
      <c r="AJ7" s="151">
        <v>2900</v>
      </c>
      <c r="AK7" s="151">
        <v>6295</v>
      </c>
      <c r="AL7" s="151">
        <v>19050</v>
      </c>
      <c r="AM7" s="151">
        <v>22050</v>
      </c>
      <c r="AN7" s="452">
        <f t="shared" si="9"/>
        <v>86320</v>
      </c>
      <c r="AO7" s="458">
        <f t="shared" si="9"/>
        <v>192125</v>
      </c>
      <c r="AP7" s="458">
        <f t="shared" si="9"/>
        <v>393437.5</v>
      </c>
      <c r="AQ7" s="458">
        <f t="shared" si="9"/>
        <v>95250</v>
      </c>
      <c r="AR7" s="459">
        <f t="shared" si="9"/>
        <v>110250</v>
      </c>
      <c r="AS7" s="452">
        <f>SUM([1]!Tabla1[[#This Row],[COSTO OPERATIVO ACIDO]:[COSTO OPERATIVO CATIONICO]])</f>
        <v>877382.5</v>
      </c>
      <c r="AT7" s="458">
        <v>5250</v>
      </c>
      <c r="AU7" s="445">
        <f t="shared" si="10"/>
        <v>5015.7531996587031</v>
      </c>
    </row>
    <row r="8" spans="1:47" ht="15" thickBot="1" x14ac:dyDescent="0.35">
      <c r="A8" s="200">
        <v>46025</v>
      </c>
      <c r="B8" s="150">
        <v>3</v>
      </c>
      <c r="C8" s="433" t="s">
        <v>254</v>
      </c>
      <c r="D8" s="434">
        <v>7</v>
      </c>
      <c r="E8" s="434" t="s">
        <v>75</v>
      </c>
      <c r="F8" s="435">
        <v>2000</v>
      </c>
      <c r="G8" s="436">
        <v>1750</v>
      </c>
      <c r="H8" s="436">
        <v>1550</v>
      </c>
      <c r="I8" s="436">
        <v>240</v>
      </c>
      <c r="J8" s="436">
        <v>175</v>
      </c>
      <c r="K8" s="464">
        <v>16511</v>
      </c>
      <c r="L8" s="465">
        <v>0</v>
      </c>
      <c r="M8" s="466">
        <v>0</v>
      </c>
      <c r="N8" s="466">
        <f>+[1]!Tabla1[[#This Row],[CAUDAL DE TRATAMIENTO]]+$M$102</f>
        <v>0</v>
      </c>
      <c r="O8" s="424">
        <f t="shared" si="0"/>
        <v>40</v>
      </c>
      <c r="P8" s="425">
        <f t="shared" si="0"/>
        <v>80</v>
      </c>
      <c r="Q8" s="424">
        <f t="shared" si="0"/>
        <v>25</v>
      </c>
      <c r="R8" s="424">
        <f t="shared" si="0"/>
        <v>0</v>
      </c>
      <c r="S8" s="426">
        <f>J8-J9</f>
        <v>0</v>
      </c>
      <c r="T8" s="437">
        <f t="shared" si="1"/>
        <v>52</v>
      </c>
      <c r="U8" s="438">
        <f t="shared" si="2"/>
        <v>106</v>
      </c>
      <c r="V8" s="438">
        <f t="shared" si="3"/>
        <v>31.25</v>
      </c>
      <c r="W8" s="438">
        <f>[1]!Tabla1[[#This Row],[CONSUMO POL ANIONICO (KG)]]</f>
        <v>0</v>
      </c>
      <c r="X8" s="426">
        <f>[1]!Tabla1[[#This Row],[CONSUMO POL CATIONICO (KG)]]</f>
        <v>0</v>
      </c>
      <c r="Y8" s="437" t="e">
        <f t="shared" si="4"/>
        <v>#DIV/0!</v>
      </c>
      <c r="Z8" s="438" t="e">
        <f t="shared" si="5"/>
        <v>#DIV/0!</v>
      </c>
      <c r="AA8" s="438" t="e">
        <f t="shared" si="6"/>
        <v>#DIV/0!</v>
      </c>
      <c r="AB8" s="438" t="e">
        <f t="shared" si="7"/>
        <v>#DIV/0!</v>
      </c>
      <c r="AC8" s="426" t="e">
        <f t="shared" si="8"/>
        <v>#DIV/0!</v>
      </c>
      <c r="AD8" s="439">
        <v>1.3</v>
      </c>
      <c r="AE8" s="439">
        <v>1.325</v>
      </c>
      <c r="AF8" s="439">
        <v>1.25</v>
      </c>
      <c r="AG8" s="440">
        <v>2500</v>
      </c>
      <c r="AH8" s="441">
        <v>2500</v>
      </c>
      <c r="AI8" s="151">
        <v>830</v>
      </c>
      <c r="AJ8" s="151">
        <v>2900</v>
      </c>
      <c r="AK8" s="151">
        <v>6295</v>
      </c>
      <c r="AL8" s="151">
        <v>19050</v>
      </c>
      <c r="AM8" s="151">
        <v>22050</v>
      </c>
      <c r="AN8" s="442">
        <f t="shared" si="9"/>
        <v>43160</v>
      </c>
      <c r="AO8" s="443">
        <f t="shared" si="9"/>
        <v>307400</v>
      </c>
      <c r="AP8" s="443">
        <f t="shared" si="9"/>
        <v>196718.75</v>
      </c>
      <c r="AQ8" s="443">
        <f t="shared" si="9"/>
        <v>0</v>
      </c>
      <c r="AR8" s="444">
        <f t="shared" si="9"/>
        <v>0</v>
      </c>
      <c r="AS8" s="442">
        <f>SUM([1]!Tabla1[[#This Row],[COSTO OPERATIVO ACIDO]:[COSTO OPERATIVO CATIONICO]])</f>
        <v>547278.75</v>
      </c>
      <c r="AT8" s="443">
        <v>5250</v>
      </c>
      <c r="AU8" s="445" t="e">
        <f t="shared" si="10"/>
        <v>#DIV/0!</v>
      </c>
    </row>
    <row r="9" spans="1:47" ht="15" thickBot="1" x14ac:dyDescent="0.35">
      <c r="A9" s="446">
        <v>46025</v>
      </c>
      <c r="B9" s="150">
        <v>3</v>
      </c>
      <c r="C9" s="447" t="s">
        <v>255</v>
      </c>
      <c r="D9" s="448">
        <v>8</v>
      </c>
      <c r="E9" s="448" t="s">
        <v>77</v>
      </c>
      <c r="F9" s="449">
        <f>+AVERAGE(F8,F10)</f>
        <v>1960</v>
      </c>
      <c r="G9" s="450">
        <f>+AVERAGE(G8,G10)</f>
        <v>1670</v>
      </c>
      <c r="H9" s="450">
        <f>+AVERAGE(H8,H10)</f>
        <v>1525</v>
      </c>
      <c r="I9" s="450">
        <v>240</v>
      </c>
      <c r="J9" s="450">
        <v>175</v>
      </c>
      <c r="K9" s="467">
        <v>16511</v>
      </c>
      <c r="L9" s="462">
        <v>268.38805970149258</v>
      </c>
      <c r="M9" s="463">
        <v>81</v>
      </c>
      <c r="N9" s="463">
        <f>+[1]!Tabla1[[#This Row],[CAUDAL DE TRATAMIENTO]]+$M$102</f>
        <v>81</v>
      </c>
      <c r="O9" s="427">
        <f t="shared" si="0"/>
        <v>40</v>
      </c>
      <c r="P9" s="428">
        <f t="shared" si="0"/>
        <v>80</v>
      </c>
      <c r="Q9" s="427">
        <f t="shared" si="0"/>
        <v>25</v>
      </c>
      <c r="R9" s="427">
        <f t="shared" si="0"/>
        <v>0</v>
      </c>
      <c r="S9" s="429">
        <f>J9-J10</f>
        <v>0</v>
      </c>
      <c r="T9" s="437">
        <f t="shared" si="1"/>
        <v>52</v>
      </c>
      <c r="U9" s="438">
        <f t="shared" si="2"/>
        <v>106</v>
      </c>
      <c r="V9" s="438">
        <f t="shared" si="3"/>
        <v>31.25</v>
      </c>
      <c r="W9" s="451">
        <f>[1]!Tabla1[[#This Row],[CONSUMO POL ANIONICO (KG)]]</f>
        <v>0</v>
      </c>
      <c r="X9" s="429">
        <f>[1]!Tabla1[[#This Row],[CONSUMO POL CATIONICO (KG)]]</f>
        <v>0</v>
      </c>
      <c r="Y9" s="551">
        <f t="shared" si="4"/>
        <v>193.74930486041595</v>
      </c>
      <c r="Z9" s="451">
        <f t="shared" si="5"/>
        <v>394.95050606161709</v>
      </c>
      <c r="AA9" s="451">
        <f t="shared" si="6"/>
        <v>116.4358803247692</v>
      </c>
      <c r="AB9" s="451">
        <f t="shared" si="7"/>
        <v>0</v>
      </c>
      <c r="AC9" s="429">
        <f t="shared" si="8"/>
        <v>0</v>
      </c>
      <c r="AD9" s="439">
        <v>1.3</v>
      </c>
      <c r="AE9" s="439">
        <v>1.325</v>
      </c>
      <c r="AF9" s="439">
        <v>1.25</v>
      </c>
      <c r="AG9" s="440">
        <v>2500</v>
      </c>
      <c r="AH9" s="441">
        <v>2500</v>
      </c>
      <c r="AI9" s="151">
        <v>830</v>
      </c>
      <c r="AJ9" s="151">
        <v>2900</v>
      </c>
      <c r="AK9" s="151">
        <v>6295</v>
      </c>
      <c r="AL9" s="151">
        <v>19050</v>
      </c>
      <c r="AM9" s="151">
        <v>22050</v>
      </c>
      <c r="AN9" s="452">
        <f t="shared" si="9"/>
        <v>43160</v>
      </c>
      <c r="AO9" s="445">
        <f t="shared" si="9"/>
        <v>307400</v>
      </c>
      <c r="AP9" s="445">
        <f t="shared" si="9"/>
        <v>196718.75</v>
      </c>
      <c r="AQ9" s="445">
        <f t="shared" si="9"/>
        <v>0</v>
      </c>
      <c r="AR9" s="453">
        <f t="shared" si="9"/>
        <v>0</v>
      </c>
      <c r="AS9" s="452">
        <f>SUM([1]!Tabla1[[#This Row],[COSTO OPERATIVO ACIDO]:[COSTO OPERATIVO CATIONICO]])</f>
        <v>547278.75</v>
      </c>
      <c r="AT9" s="445">
        <v>5250</v>
      </c>
      <c r="AU9" s="445">
        <f t="shared" si="10"/>
        <v>2039.1322572572569</v>
      </c>
    </row>
    <row r="10" spans="1:47" ht="15" thickBot="1" x14ac:dyDescent="0.35">
      <c r="A10" s="454">
        <v>46025</v>
      </c>
      <c r="B10" s="150">
        <v>3</v>
      </c>
      <c r="C10" s="455" t="s">
        <v>30</v>
      </c>
      <c r="D10" s="456">
        <v>9</v>
      </c>
      <c r="E10" s="456" t="s">
        <v>76</v>
      </c>
      <c r="F10" s="449">
        <v>1920</v>
      </c>
      <c r="G10" s="450">
        <v>1590</v>
      </c>
      <c r="H10" s="450">
        <v>1500</v>
      </c>
      <c r="I10" s="450">
        <v>240</v>
      </c>
      <c r="J10" s="450">
        <v>175</v>
      </c>
      <c r="K10" s="468">
        <v>16514</v>
      </c>
      <c r="L10" s="469">
        <v>0</v>
      </c>
      <c r="M10" s="470">
        <v>0</v>
      </c>
      <c r="N10" s="470">
        <f>+[1]!Tabla1[[#This Row],[CAUDAL DE TRATAMIENTO]]+$M$102</f>
        <v>0</v>
      </c>
      <c r="O10" s="430">
        <f t="shared" si="0"/>
        <v>0</v>
      </c>
      <c r="P10" s="431">
        <f t="shared" si="0"/>
        <v>0</v>
      </c>
      <c r="Q10" s="430">
        <f t="shared" si="0"/>
        <v>0</v>
      </c>
      <c r="R10" s="430">
        <v>0</v>
      </c>
      <c r="S10" s="432">
        <v>0</v>
      </c>
      <c r="T10" s="437">
        <f t="shared" si="1"/>
        <v>0</v>
      </c>
      <c r="U10" s="438">
        <f t="shared" si="2"/>
        <v>0</v>
      </c>
      <c r="V10" s="438">
        <f t="shared" si="3"/>
        <v>0</v>
      </c>
      <c r="W10" s="457">
        <f>[1]!Tabla1[[#This Row],[CONSUMO POL ANIONICO (KG)]]</f>
        <v>0</v>
      </c>
      <c r="X10" s="432">
        <f>[1]!Tabla1[[#This Row],[CONSUMO POL CATIONICO (KG)]]</f>
        <v>0</v>
      </c>
      <c r="Y10" s="551" t="e">
        <f t="shared" si="4"/>
        <v>#DIV/0!</v>
      </c>
      <c r="Z10" s="457" t="e">
        <f t="shared" si="5"/>
        <v>#DIV/0!</v>
      </c>
      <c r="AA10" s="457" t="e">
        <f t="shared" si="6"/>
        <v>#DIV/0!</v>
      </c>
      <c r="AB10" s="457" t="e">
        <f t="shared" si="7"/>
        <v>#DIV/0!</v>
      </c>
      <c r="AC10" s="432" t="e">
        <f t="shared" si="8"/>
        <v>#DIV/0!</v>
      </c>
      <c r="AD10" s="439">
        <v>1.3</v>
      </c>
      <c r="AE10" s="439">
        <v>1.325</v>
      </c>
      <c r="AF10" s="439">
        <v>1.25</v>
      </c>
      <c r="AG10" s="440">
        <v>2500</v>
      </c>
      <c r="AH10" s="441">
        <v>2500</v>
      </c>
      <c r="AI10" s="151">
        <v>830</v>
      </c>
      <c r="AJ10" s="151">
        <v>2900</v>
      </c>
      <c r="AK10" s="151">
        <v>6295</v>
      </c>
      <c r="AL10" s="151">
        <v>19050</v>
      </c>
      <c r="AM10" s="151">
        <v>22050</v>
      </c>
      <c r="AN10" s="452">
        <f t="shared" si="9"/>
        <v>0</v>
      </c>
      <c r="AO10" s="458">
        <f t="shared" si="9"/>
        <v>0</v>
      </c>
      <c r="AP10" s="458">
        <f t="shared" si="9"/>
        <v>0</v>
      </c>
      <c r="AQ10" s="458">
        <f t="shared" si="9"/>
        <v>0</v>
      </c>
      <c r="AR10" s="459">
        <f t="shared" si="9"/>
        <v>0</v>
      </c>
      <c r="AS10" s="452">
        <f>SUM([1]!Tabla1[[#This Row],[COSTO OPERATIVO ACIDO]:[COSTO OPERATIVO CATIONICO]])</f>
        <v>0</v>
      </c>
      <c r="AT10" s="458">
        <v>5250</v>
      </c>
      <c r="AU10" s="445" t="e">
        <f t="shared" si="10"/>
        <v>#DIV/0!</v>
      </c>
    </row>
    <row r="11" spans="1:47" ht="15" thickBot="1" x14ac:dyDescent="0.35">
      <c r="A11" s="200">
        <v>46026</v>
      </c>
      <c r="B11" s="150">
        <v>4</v>
      </c>
      <c r="C11" s="433" t="s">
        <v>256</v>
      </c>
      <c r="D11" s="434">
        <v>10</v>
      </c>
      <c r="E11" s="434" t="s">
        <v>75</v>
      </c>
      <c r="F11" s="435">
        <v>1920</v>
      </c>
      <c r="G11" s="436">
        <v>1590</v>
      </c>
      <c r="H11" s="436">
        <v>1500</v>
      </c>
      <c r="I11" s="436">
        <v>240</v>
      </c>
      <c r="J11" s="436">
        <v>175</v>
      </c>
      <c r="K11" s="464">
        <v>16514</v>
      </c>
      <c r="L11" s="465">
        <v>0</v>
      </c>
      <c r="M11" s="466">
        <v>0</v>
      </c>
      <c r="N11" s="466">
        <f>+[1]!Tabla1[[#This Row],[CAUDAL DE TRATAMIENTO]]+$M$102</f>
        <v>0</v>
      </c>
      <c r="O11" s="424">
        <f t="shared" si="0"/>
        <v>0</v>
      </c>
      <c r="P11" s="425">
        <f t="shared" si="0"/>
        <v>0</v>
      </c>
      <c r="Q11" s="424">
        <f t="shared" si="0"/>
        <v>0</v>
      </c>
      <c r="R11" s="424">
        <v>0</v>
      </c>
      <c r="S11" s="426">
        <v>0</v>
      </c>
      <c r="T11" s="437">
        <f t="shared" si="1"/>
        <v>0</v>
      </c>
      <c r="U11" s="438">
        <f t="shared" si="2"/>
        <v>0</v>
      </c>
      <c r="V11" s="438">
        <f t="shared" si="3"/>
        <v>0</v>
      </c>
      <c r="W11" s="438">
        <f>[1]!Tabla1[[#This Row],[CONSUMO POL ANIONICO (KG)]]</f>
        <v>0</v>
      </c>
      <c r="X11" s="426">
        <f>[1]!Tabla1[[#This Row],[CONSUMO POL CATIONICO (KG)]]</f>
        <v>0</v>
      </c>
      <c r="Y11" s="437" t="e">
        <f t="shared" si="4"/>
        <v>#DIV/0!</v>
      </c>
      <c r="Z11" s="438" t="e">
        <f t="shared" si="5"/>
        <v>#DIV/0!</v>
      </c>
      <c r="AA11" s="438" t="e">
        <f t="shared" si="6"/>
        <v>#DIV/0!</v>
      </c>
      <c r="AB11" s="438" t="e">
        <f t="shared" si="7"/>
        <v>#DIV/0!</v>
      </c>
      <c r="AC11" s="426" t="e">
        <f t="shared" si="8"/>
        <v>#DIV/0!</v>
      </c>
      <c r="AD11" s="439">
        <v>1.3</v>
      </c>
      <c r="AE11" s="439">
        <v>1.325</v>
      </c>
      <c r="AF11" s="439">
        <v>1.25</v>
      </c>
      <c r="AG11" s="440">
        <v>2500</v>
      </c>
      <c r="AH11" s="441">
        <v>2500</v>
      </c>
      <c r="AI11" s="151">
        <v>830</v>
      </c>
      <c r="AJ11" s="151">
        <v>2900</v>
      </c>
      <c r="AK11" s="151">
        <v>6295</v>
      </c>
      <c r="AL11" s="151">
        <v>19050</v>
      </c>
      <c r="AM11" s="151">
        <v>22050</v>
      </c>
      <c r="AN11" s="442">
        <f t="shared" si="9"/>
        <v>0</v>
      </c>
      <c r="AO11" s="443">
        <f t="shared" si="9"/>
        <v>0</v>
      </c>
      <c r="AP11" s="443">
        <f t="shared" si="9"/>
        <v>0</v>
      </c>
      <c r="AQ11" s="443">
        <f t="shared" si="9"/>
        <v>0</v>
      </c>
      <c r="AR11" s="444">
        <f t="shared" si="9"/>
        <v>0</v>
      </c>
      <c r="AS11" s="442">
        <f>SUM([1]!Tabla1[[#This Row],[COSTO OPERATIVO ACIDO]:[COSTO OPERATIVO CATIONICO]])</f>
        <v>0</v>
      </c>
      <c r="AT11" s="443">
        <v>5250</v>
      </c>
      <c r="AU11" s="445" t="e">
        <f t="shared" si="10"/>
        <v>#DIV/0!</v>
      </c>
    </row>
    <row r="12" spans="1:47" ht="15" thickBot="1" x14ac:dyDescent="0.35">
      <c r="A12" s="446">
        <v>46026</v>
      </c>
      <c r="B12" s="150">
        <v>4</v>
      </c>
      <c r="C12" s="447" t="s">
        <v>257</v>
      </c>
      <c r="D12" s="448">
        <v>11</v>
      </c>
      <c r="E12" s="448" t="s">
        <v>77</v>
      </c>
      <c r="F12" s="449">
        <v>1920</v>
      </c>
      <c r="G12" s="450">
        <v>1590</v>
      </c>
      <c r="H12" s="450">
        <v>1500</v>
      </c>
      <c r="I12" s="450">
        <v>240</v>
      </c>
      <c r="J12" s="450">
        <v>175</v>
      </c>
      <c r="K12" s="467">
        <v>16514</v>
      </c>
      <c r="L12" s="462">
        <v>0</v>
      </c>
      <c r="M12" s="463">
        <v>0</v>
      </c>
      <c r="N12" s="463">
        <f>+[1]!Tabla1[[#This Row],[CAUDAL DE TRATAMIENTO]]+$M$102</f>
        <v>0</v>
      </c>
      <c r="O12" s="427">
        <f t="shared" si="0"/>
        <v>0</v>
      </c>
      <c r="P12" s="428">
        <f t="shared" si="0"/>
        <v>0</v>
      </c>
      <c r="Q12" s="427">
        <f t="shared" si="0"/>
        <v>0</v>
      </c>
      <c r="R12" s="427">
        <v>0</v>
      </c>
      <c r="S12" s="429">
        <v>0</v>
      </c>
      <c r="T12" s="437">
        <f t="shared" si="1"/>
        <v>0</v>
      </c>
      <c r="U12" s="438">
        <f t="shared" si="2"/>
        <v>0</v>
      </c>
      <c r="V12" s="438">
        <f t="shared" si="3"/>
        <v>0</v>
      </c>
      <c r="W12" s="451">
        <f>[1]!Tabla1[[#This Row],[CONSUMO POL ANIONICO (KG)]]</f>
        <v>0</v>
      </c>
      <c r="X12" s="429">
        <f>[1]!Tabla1[[#This Row],[CONSUMO POL CATIONICO (KG)]]</f>
        <v>0</v>
      </c>
      <c r="Y12" s="551" t="e">
        <f t="shared" si="4"/>
        <v>#DIV/0!</v>
      </c>
      <c r="Z12" s="451" t="e">
        <f t="shared" si="5"/>
        <v>#DIV/0!</v>
      </c>
      <c r="AA12" s="451" t="e">
        <f t="shared" si="6"/>
        <v>#DIV/0!</v>
      </c>
      <c r="AB12" s="451" t="e">
        <f t="shared" si="7"/>
        <v>#DIV/0!</v>
      </c>
      <c r="AC12" s="429" t="e">
        <f t="shared" si="8"/>
        <v>#DIV/0!</v>
      </c>
      <c r="AD12" s="439">
        <v>1.3</v>
      </c>
      <c r="AE12" s="439">
        <v>1.325</v>
      </c>
      <c r="AF12" s="439">
        <v>1.25</v>
      </c>
      <c r="AG12" s="440">
        <v>2500</v>
      </c>
      <c r="AH12" s="441">
        <v>2500</v>
      </c>
      <c r="AI12" s="151">
        <v>830</v>
      </c>
      <c r="AJ12" s="151">
        <v>2900</v>
      </c>
      <c r="AK12" s="151">
        <v>6295</v>
      </c>
      <c r="AL12" s="151">
        <v>19050</v>
      </c>
      <c r="AM12" s="151">
        <v>22050</v>
      </c>
      <c r="AN12" s="452">
        <f t="shared" si="9"/>
        <v>0</v>
      </c>
      <c r="AO12" s="445">
        <f t="shared" si="9"/>
        <v>0</v>
      </c>
      <c r="AP12" s="445">
        <f t="shared" si="9"/>
        <v>0</v>
      </c>
      <c r="AQ12" s="445">
        <f t="shared" si="9"/>
        <v>0</v>
      </c>
      <c r="AR12" s="453">
        <f t="shared" si="9"/>
        <v>0</v>
      </c>
      <c r="AS12" s="452">
        <f>SUM([1]!Tabla1[[#This Row],[COSTO OPERATIVO ACIDO]:[COSTO OPERATIVO CATIONICO]])</f>
        <v>0</v>
      </c>
      <c r="AT12" s="445">
        <v>5250</v>
      </c>
      <c r="AU12" s="445" t="e">
        <f t="shared" si="10"/>
        <v>#DIV/0!</v>
      </c>
    </row>
    <row r="13" spans="1:47" ht="15" thickBot="1" x14ac:dyDescent="0.35">
      <c r="A13" s="454">
        <v>46026</v>
      </c>
      <c r="B13" s="150">
        <v>4</v>
      </c>
      <c r="C13" s="455" t="s">
        <v>30</v>
      </c>
      <c r="D13" s="456">
        <v>12</v>
      </c>
      <c r="E13" s="456" t="s">
        <v>76</v>
      </c>
      <c r="F13" s="449">
        <v>1920</v>
      </c>
      <c r="G13" s="450">
        <v>1590</v>
      </c>
      <c r="H13" s="450">
        <v>1500</v>
      </c>
      <c r="I13" s="450">
        <v>240</v>
      </c>
      <c r="J13" s="450">
        <v>175</v>
      </c>
      <c r="K13" s="468">
        <v>16514</v>
      </c>
      <c r="L13" s="469">
        <v>0</v>
      </c>
      <c r="M13" s="470">
        <v>0</v>
      </c>
      <c r="N13" s="470">
        <f>+[1]!Tabla1[[#This Row],[CAUDAL DE TRATAMIENTO]]+$M$102</f>
        <v>0</v>
      </c>
      <c r="O13" s="430">
        <f t="shared" si="0"/>
        <v>0</v>
      </c>
      <c r="P13" s="431">
        <f t="shared" si="0"/>
        <v>0</v>
      </c>
      <c r="Q13" s="430">
        <f t="shared" si="0"/>
        <v>0</v>
      </c>
      <c r="R13" s="430">
        <v>0</v>
      </c>
      <c r="S13" s="432">
        <v>0</v>
      </c>
      <c r="T13" s="437">
        <f t="shared" si="1"/>
        <v>0</v>
      </c>
      <c r="U13" s="438">
        <f t="shared" si="2"/>
        <v>0</v>
      </c>
      <c r="V13" s="438">
        <f t="shared" si="3"/>
        <v>0</v>
      </c>
      <c r="W13" s="457">
        <f>[1]!Tabla1[[#This Row],[CONSUMO POL ANIONICO (KG)]]</f>
        <v>0</v>
      </c>
      <c r="X13" s="432">
        <f>[1]!Tabla1[[#This Row],[CONSUMO POL CATIONICO (KG)]]</f>
        <v>0</v>
      </c>
      <c r="Y13" s="551" t="e">
        <f t="shared" si="4"/>
        <v>#DIV/0!</v>
      </c>
      <c r="Z13" s="457" t="e">
        <f t="shared" si="5"/>
        <v>#DIV/0!</v>
      </c>
      <c r="AA13" s="457" t="e">
        <f t="shared" si="6"/>
        <v>#DIV/0!</v>
      </c>
      <c r="AB13" s="457" t="e">
        <f t="shared" si="7"/>
        <v>#DIV/0!</v>
      </c>
      <c r="AC13" s="432" t="e">
        <f t="shared" si="8"/>
        <v>#DIV/0!</v>
      </c>
      <c r="AD13" s="439">
        <v>1.3</v>
      </c>
      <c r="AE13" s="439">
        <v>1.325</v>
      </c>
      <c r="AF13" s="439">
        <v>1.25</v>
      </c>
      <c r="AG13" s="440">
        <v>2500</v>
      </c>
      <c r="AH13" s="441">
        <v>2500</v>
      </c>
      <c r="AI13" s="151">
        <v>830</v>
      </c>
      <c r="AJ13" s="151">
        <v>2900</v>
      </c>
      <c r="AK13" s="151">
        <v>6295</v>
      </c>
      <c r="AL13" s="151">
        <v>19050</v>
      </c>
      <c r="AM13" s="151">
        <v>22050</v>
      </c>
      <c r="AN13" s="452">
        <f t="shared" si="9"/>
        <v>0</v>
      </c>
      <c r="AO13" s="458">
        <f t="shared" si="9"/>
        <v>0</v>
      </c>
      <c r="AP13" s="458">
        <f t="shared" si="9"/>
        <v>0</v>
      </c>
      <c r="AQ13" s="458">
        <f t="shared" si="9"/>
        <v>0</v>
      </c>
      <c r="AR13" s="459">
        <f t="shared" si="9"/>
        <v>0</v>
      </c>
      <c r="AS13" s="452">
        <f>SUM([1]!Tabla1[[#This Row],[COSTO OPERATIVO ACIDO]:[COSTO OPERATIVO CATIONICO]])</f>
        <v>0</v>
      </c>
      <c r="AT13" s="458">
        <v>5250</v>
      </c>
      <c r="AU13" s="445" t="e">
        <f t="shared" si="10"/>
        <v>#DIV/0!</v>
      </c>
    </row>
    <row r="14" spans="1:47" ht="15" thickBot="1" x14ac:dyDescent="0.35">
      <c r="A14" s="200">
        <v>46027</v>
      </c>
      <c r="B14" s="150">
        <v>5</v>
      </c>
      <c r="C14" s="433" t="s">
        <v>258</v>
      </c>
      <c r="D14" s="434">
        <v>13</v>
      </c>
      <c r="E14" s="434" t="s">
        <v>75</v>
      </c>
      <c r="F14" s="435">
        <v>1920</v>
      </c>
      <c r="G14" s="436">
        <v>1590</v>
      </c>
      <c r="H14" s="436">
        <v>1500</v>
      </c>
      <c r="I14" s="436">
        <v>240</v>
      </c>
      <c r="J14" s="436">
        <v>175</v>
      </c>
      <c r="K14" s="464">
        <v>16514</v>
      </c>
      <c r="L14" s="465">
        <v>89.462686567164184</v>
      </c>
      <c r="M14" s="466">
        <v>81</v>
      </c>
      <c r="N14" s="466">
        <f>+[1]!Tabla1[[#This Row],[CAUDAL DE TRATAMIENTO]]+$M$102</f>
        <v>81</v>
      </c>
      <c r="O14" s="424">
        <f t="shared" si="0"/>
        <v>0</v>
      </c>
      <c r="P14" s="478">
        <f>G14-G15-100</f>
        <v>50</v>
      </c>
      <c r="Q14" s="424">
        <f t="shared" si="0"/>
        <v>0</v>
      </c>
      <c r="R14" s="424">
        <v>0</v>
      </c>
      <c r="S14" s="426">
        <v>0</v>
      </c>
      <c r="T14" s="437">
        <f t="shared" si="1"/>
        <v>0</v>
      </c>
      <c r="U14" s="438">
        <f t="shared" si="2"/>
        <v>66.25</v>
      </c>
      <c r="V14" s="438">
        <f t="shared" si="3"/>
        <v>0</v>
      </c>
      <c r="W14" s="438">
        <f>[1]!Tabla1[[#This Row],[CONSUMO POL ANIONICO (KG)]]</f>
        <v>0</v>
      </c>
      <c r="X14" s="426">
        <f>[1]!Tabla1[[#This Row],[CONSUMO POL CATIONICO (KG)]]</f>
        <v>0</v>
      </c>
      <c r="Y14" s="437">
        <f t="shared" si="4"/>
        <v>0</v>
      </c>
      <c r="Z14" s="438">
        <f t="shared" si="5"/>
        <v>740.53219886553211</v>
      </c>
      <c r="AA14" s="438">
        <f t="shared" si="6"/>
        <v>0</v>
      </c>
      <c r="AB14" s="438">
        <f t="shared" si="7"/>
        <v>0</v>
      </c>
      <c r="AC14" s="426">
        <f t="shared" si="8"/>
        <v>0</v>
      </c>
      <c r="AD14" s="439">
        <v>1.3</v>
      </c>
      <c r="AE14" s="439">
        <v>1.325</v>
      </c>
      <c r="AF14" s="439">
        <v>1.25</v>
      </c>
      <c r="AG14" s="440">
        <v>2500</v>
      </c>
      <c r="AH14" s="441">
        <v>2500</v>
      </c>
      <c r="AI14" s="151">
        <v>830</v>
      </c>
      <c r="AJ14" s="151">
        <v>2900</v>
      </c>
      <c r="AK14" s="151">
        <v>6295</v>
      </c>
      <c r="AL14" s="151">
        <v>19050</v>
      </c>
      <c r="AM14" s="151">
        <v>22050</v>
      </c>
      <c r="AN14" s="442">
        <f t="shared" si="9"/>
        <v>0</v>
      </c>
      <c r="AO14" s="443">
        <f t="shared" si="9"/>
        <v>192125</v>
      </c>
      <c r="AP14" s="443">
        <f t="shared" si="9"/>
        <v>0</v>
      </c>
      <c r="AQ14" s="443">
        <f t="shared" si="9"/>
        <v>0</v>
      </c>
      <c r="AR14" s="444">
        <f t="shared" si="9"/>
        <v>0</v>
      </c>
      <c r="AS14" s="442">
        <f>SUM([1]!Tabla1[[#This Row],[COSTO OPERATIVO ACIDO]:[COSTO OPERATIVO CATIONICO]])</f>
        <v>192125</v>
      </c>
      <c r="AT14" s="443">
        <v>5250</v>
      </c>
      <c r="AU14" s="445">
        <f t="shared" si="10"/>
        <v>2147.543376710043</v>
      </c>
    </row>
    <row r="15" spans="1:47" ht="15" thickBot="1" x14ac:dyDescent="0.35">
      <c r="A15" s="446">
        <v>46027</v>
      </c>
      <c r="B15" s="150">
        <v>5</v>
      </c>
      <c r="C15" s="447" t="s">
        <v>259</v>
      </c>
      <c r="D15" s="448">
        <v>14</v>
      </c>
      <c r="E15" s="448" t="s">
        <v>77</v>
      </c>
      <c r="F15" s="449">
        <v>1920</v>
      </c>
      <c r="G15" s="450">
        <v>1440</v>
      </c>
      <c r="H15" s="450">
        <v>1500</v>
      </c>
      <c r="I15" s="450">
        <v>250</v>
      </c>
      <c r="J15" s="450">
        <v>170</v>
      </c>
      <c r="K15" s="467">
        <v>16515</v>
      </c>
      <c r="L15" s="462">
        <v>341.85074626865674</v>
      </c>
      <c r="M15" s="463">
        <v>77</v>
      </c>
      <c r="N15" s="463">
        <f>+[1]!Tabla1[[#This Row],[CAUDAL DE TRATAMIENTO]]+$M$102</f>
        <v>77</v>
      </c>
      <c r="O15" s="427">
        <f t="shared" si="0"/>
        <v>70</v>
      </c>
      <c r="P15" s="428">
        <f>G15-G16</f>
        <v>40</v>
      </c>
      <c r="Q15" s="427">
        <f t="shared" si="0"/>
        <v>50</v>
      </c>
      <c r="R15" s="427">
        <f t="shared" si="0"/>
        <v>0</v>
      </c>
      <c r="S15" s="429">
        <f t="shared" si="0"/>
        <v>5</v>
      </c>
      <c r="T15" s="437">
        <f t="shared" si="1"/>
        <v>91</v>
      </c>
      <c r="U15" s="438">
        <f t="shared" si="2"/>
        <v>53</v>
      </c>
      <c r="V15" s="438">
        <f t="shared" si="3"/>
        <v>62.5</v>
      </c>
      <c r="W15" s="451">
        <f>[1]!Tabla1[[#This Row],[CONSUMO POL ANIONICO (KG)]]</f>
        <v>0</v>
      </c>
      <c r="X15" s="429">
        <f>[1]!Tabla1[[#This Row],[CONSUMO POL CATIONICO (KG)]]</f>
        <v>5</v>
      </c>
      <c r="Y15" s="551">
        <f t="shared" si="4"/>
        <v>266.19804400977995</v>
      </c>
      <c r="Z15" s="451">
        <f t="shared" si="5"/>
        <v>155.03842123646524</v>
      </c>
      <c r="AA15" s="451">
        <f t="shared" si="6"/>
        <v>182.82832692979392</v>
      </c>
      <c r="AB15" s="451">
        <f t="shared" si="7"/>
        <v>0</v>
      </c>
      <c r="AC15" s="429">
        <f t="shared" si="8"/>
        <v>14.626266154383513</v>
      </c>
      <c r="AD15" s="439">
        <v>1.3</v>
      </c>
      <c r="AE15" s="439">
        <v>1.325</v>
      </c>
      <c r="AF15" s="439">
        <v>1.25</v>
      </c>
      <c r="AG15" s="440">
        <v>2500</v>
      </c>
      <c r="AH15" s="441">
        <v>2500</v>
      </c>
      <c r="AI15" s="151">
        <v>830</v>
      </c>
      <c r="AJ15" s="151">
        <v>2900</v>
      </c>
      <c r="AK15" s="151">
        <v>6295</v>
      </c>
      <c r="AL15" s="151">
        <v>19050</v>
      </c>
      <c r="AM15" s="151">
        <v>22050</v>
      </c>
      <c r="AN15" s="452">
        <f t="shared" si="9"/>
        <v>75530</v>
      </c>
      <c r="AO15" s="445">
        <f t="shared" si="9"/>
        <v>153700</v>
      </c>
      <c r="AP15" s="445">
        <f t="shared" si="9"/>
        <v>393437.5</v>
      </c>
      <c r="AQ15" s="445">
        <f t="shared" si="9"/>
        <v>0</v>
      </c>
      <c r="AR15" s="453">
        <f t="shared" si="9"/>
        <v>110250</v>
      </c>
      <c r="AS15" s="452">
        <f>SUM([1]!Tabla1[[#This Row],[COSTO OPERATIVO ACIDO]:[COSTO OPERATIVO CATIONICO]])</f>
        <v>732917.5</v>
      </c>
      <c r="AT15" s="445">
        <v>5250</v>
      </c>
      <c r="AU15" s="445">
        <f t="shared" si="10"/>
        <v>2143.9692848410755</v>
      </c>
    </row>
    <row r="16" spans="1:47" ht="15" thickBot="1" x14ac:dyDescent="0.35">
      <c r="A16" s="454">
        <v>46027</v>
      </c>
      <c r="B16" s="150">
        <v>5</v>
      </c>
      <c r="C16" s="455" t="s">
        <v>30</v>
      </c>
      <c r="D16" s="456">
        <v>15</v>
      </c>
      <c r="E16" s="456" t="s">
        <v>76</v>
      </c>
      <c r="F16" s="449">
        <v>1850</v>
      </c>
      <c r="G16" s="450">
        <v>1400</v>
      </c>
      <c r="H16" s="450">
        <v>1450</v>
      </c>
      <c r="I16" s="450">
        <v>250</v>
      </c>
      <c r="J16" s="450">
        <v>165</v>
      </c>
      <c r="K16" s="468">
        <v>16519</v>
      </c>
      <c r="L16" s="469">
        <v>437.31343283582089</v>
      </c>
      <c r="M16" s="470">
        <v>79</v>
      </c>
      <c r="N16" s="470">
        <f>+[1]!Tabla1[[#This Row],[CAUDAL DE TRATAMIENTO]]+$M$102</f>
        <v>79</v>
      </c>
      <c r="O16" s="423">
        <f>F16-F17-100</f>
        <v>40</v>
      </c>
      <c r="P16" s="431">
        <f>G16-G17</f>
        <v>100</v>
      </c>
      <c r="Q16" s="430">
        <f t="shared" si="0"/>
        <v>50</v>
      </c>
      <c r="R16" s="430">
        <f t="shared" si="0"/>
        <v>0</v>
      </c>
      <c r="S16" s="432">
        <f t="shared" si="0"/>
        <v>5</v>
      </c>
      <c r="T16" s="437">
        <f t="shared" si="1"/>
        <v>52</v>
      </c>
      <c r="U16" s="438">
        <f t="shared" si="2"/>
        <v>132.5</v>
      </c>
      <c r="V16" s="438">
        <f t="shared" si="3"/>
        <v>62.5</v>
      </c>
      <c r="W16" s="457">
        <f>[1]!Tabla1[[#This Row],[CONSUMO POL ANIONICO (KG)]]</f>
        <v>0</v>
      </c>
      <c r="X16" s="432">
        <f>[1]!Tabla1[[#This Row],[CONSUMO POL CATIONICO (KG)]]</f>
        <v>5</v>
      </c>
      <c r="Y16" s="551">
        <f t="shared" si="4"/>
        <v>118.90784982935153</v>
      </c>
      <c r="Z16" s="457">
        <f t="shared" si="5"/>
        <v>302.9863481228669</v>
      </c>
      <c r="AA16" s="457">
        <f t="shared" si="6"/>
        <v>142.91808873720137</v>
      </c>
      <c r="AB16" s="457">
        <f t="shared" si="7"/>
        <v>0</v>
      </c>
      <c r="AC16" s="432">
        <f t="shared" si="8"/>
        <v>11.43344709897611</v>
      </c>
      <c r="AD16" s="439">
        <v>1.3</v>
      </c>
      <c r="AE16" s="439">
        <v>1.325</v>
      </c>
      <c r="AF16" s="439">
        <v>1.25</v>
      </c>
      <c r="AG16" s="440">
        <v>2500</v>
      </c>
      <c r="AH16" s="441">
        <v>2500</v>
      </c>
      <c r="AI16" s="151">
        <v>830</v>
      </c>
      <c r="AJ16" s="151">
        <v>2900</v>
      </c>
      <c r="AK16" s="151">
        <v>6295</v>
      </c>
      <c r="AL16" s="151">
        <v>19050</v>
      </c>
      <c r="AM16" s="151">
        <v>22050</v>
      </c>
      <c r="AN16" s="452">
        <f t="shared" si="9"/>
        <v>43160</v>
      </c>
      <c r="AO16" s="458">
        <f t="shared" si="9"/>
        <v>384250</v>
      </c>
      <c r="AP16" s="458">
        <f t="shared" si="9"/>
        <v>393437.5</v>
      </c>
      <c r="AQ16" s="458">
        <f t="shared" si="9"/>
        <v>0</v>
      </c>
      <c r="AR16" s="459">
        <f t="shared" si="9"/>
        <v>110250</v>
      </c>
      <c r="AS16" s="452">
        <f>SUM([1]!Tabla1[[#This Row],[COSTO OPERATIVO ACIDO]:[COSTO OPERATIVO CATIONICO]])</f>
        <v>931097.5</v>
      </c>
      <c r="AT16" s="458">
        <v>5250</v>
      </c>
      <c r="AU16" s="445">
        <f t="shared" si="10"/>
        <v>2129.1308020477818</v>
      </c>
    </row>
    <row r="17" spans="1:47" ht="15" thickBot="1" x14ac:dyDescent="0.35">
      <c r="A17" s="200">
        <v>46028</v>
      </c>
      <c r="B17" s="150">
        <v>6</v>
      </c>
      <c r="C17" s="433" t="s">
        <v>260</v>
      </c>
      <c r="D17" s="434">
        <v>16</v>
      </c>
      <c r="E17" s="434" t="s">
        <v>75</v>
      </c>
      <c r="F17" s="435">
        <v>1710</v>
      </c>
      <c r="G17" s="436">
        <v>1300</v>
      </c>
      <c r="H17" s="436">
        <v>1400</v>
      </c>
      <c r="I17" s="436">
        <v>250</v>
      </c>
      <c r="J17" s="436">
        <v>160</v>
      </c>
      <c r="K17" s="464">
        <v>16524</v>
      </c>
      <c r="L17" s="465">
        <v>271.38805970149258</v>
      </c>
      <c r="M17" s="466">
        <v>82</v>
      </c>
      <c r="N17" s="466">
        <f>+[1]!Tabla1[[#This Row],[CAUDAL DE TRATAMIENTO]]+$M$102</f>
        <v>82</v>
      </c>
      <c r="O17" s="424">
        <f>F17-F18</f>
        <v>60</v>
      </c>
      <c r="P17" s="478">
        <f>G17-G18-150</f>
        <v>150</v>
      </c>
      <c r="Q17" s="424">
        <f t="shared" si="0"/>
        <v>30</v>
      </c>
      <c r="R17" s="424">
        <f t="shared" si="0"/>
        <v>5</v>
      </c>
      <c r="S17" s="426">
        <f t="shared" si="0"/>
        <v>5</v>
      </c>
      <c r="T17" s="437">
        <f t="shared" si="1"/>
        <v>78</v>
      </c>
      <c r="U17" s="438">
        <f t="shared" si="2"/>
        <v>198.75</v>
      </c>
      <c r="V17" s="438">
        <f t="shared" si="3"/>
        <v>37.5</v>
      </c>
      <c r="W17" s="438">
        <f>[1]!Tabla1[[#This Row],[CONSUMO POL ANIONICO (KG)]]</f>
        <v>5</v>
      </c>
      <c r="X17" s="426">
        <f>[1]!Tabla1[[#This Row],[CONSUMO POL CATIONICO (KG)]]</f>
        <v>5</v>
      </c>
      <c r="Y17" s="437">
        <f t="shared" si="4"/>
        <v>287.4113182643128</v>
      </c>
      <c r="Z17" s="438">
        <f t="shared" si="5"/>
        <v>732.34614750041237</v>
      </c>
      <c r="AA17" s="438">
        <f t="shared" si="6"/>
        <v>138.17851839630421</v>
      </c>
      <c r="AB17" s="438">
        <f t="shared" si="7"/>
        <v>18.423802452840562</v>
      </c>
      <c r="AC17" s="426">
        <f t="shared" si="8"/>
        <v>18.423802452840562</v>
      </c>
      <c r="AD17" s="439">
        <v>1.3</v>
      </c>
      <c r="AE17" s="439">
        <v>1.325</v>
      </c>
      <c r="AF17" s="439">
        <v>1.25</v>
      </c>
      <c r="AG17" s="440">
        <v>2500</v>
      </c>
      <c r="AH17" s="441">
        <v>2500</v>
      </c>
      <c r="AI17" s="151">
        <v>830</v>
      </c>
      <c r="AJ17" s="151">
        <v>2900</v>
      </c>
      <c r="AK17" s="151">
        <v>6295</v>
      </c>
      <c r="AL17" s="151">
        <v>19050</v>
      </c>
      <c r="AM17" s="151">
        <v>22050</v>
      </c>
      <c r="AN17" s="442">
        <f t="shared" si="9"/>
        <v>64740</v>
      </c>
      <c r="AO17" s="443">
        <f t="shared" si="9"/>
        <v>576375</v>
      </c>
      <c r="AP17" s="443">
        <f t="shared" si="9"/>
        <v>236062.5</v>
      </c>
      <c r="AQ17" s="443">
        <f t="shared" si="9"/>
        <v>95250</v>
      </c>
      <c r="AR17" s="444">
        <f t="shared" si="9"/>
        <v>110250</v>
      </c>
      <c r="AS17" s="442">
        <f>SUM([1]!Tabla1[[#This Row],[COSTO OPERATIVO ACIDO]:[COSTO OPERATIVO CATIONICO]])</f>
        <v>1082677.5</v>
      </c>
      <c r="AT17" s="443">
        <v>5250</v>
      </c>
      <c r="AU17" s="445">
        <f t="shared" si="10"/>
        <v>3989.4072760270578</v>
      </c>
    </row>
    <row r="18" spans="1:47" ht="15" thickBot="1" x14ac:dyDescent="0.35">
      <c r="A18" s="446">
        <v>46028</v>
      </c>
      <c r="B18" s="150">
        <v>6</v>
      </c>
      <c r="C18" s="447" t="s">
        <v>261</v>
      </c>
      <c r="D18" s="448">
        <v>17</v>
      </c>
      <c r="E18" s="448" t="s">
        <v>77</v>
      </c>
      <c r="F18" s="449">
        <v>1650</v>
      </c>
      <c r="G18" s="450">
        <v>1000</v>
      </c>
      <c r="H18" s="450">
        <v>1370</v>
      </c>
      <c r="I18" s="450">
        <v>245</v>
      </c>
      <c r="J18" s="450">
        <v>155</v>
      </c>
      <c r="K18" s="467">
        <v>16527</v>
      </c>
      <c r="L18" s="462">
        <v>280.38805970149258</v>
      </c>
      <c r="M18" s="463">
        <v>85</v>
      </c>
      <c r="N18" s="463">
        <f>+[1]!Tabla1[[#This Row],[CAUDAL DE TRATAMIENTO]]+$M$102</f>
        <v>85</v>
      </c>
      <c r="O18" s="427">
        <f>F18-F19</f>
        <v>200</v>
      </c>
      <c r="P18" s="428">
        <f>G18-G19</f>
        <v>200</v>
      </c>
      <c r="Q18" s="427">
        <f t="shared" ref="Q18:S47" si="11">H18-H19</f>
        <v>90</v>
      </c>
      <c r="R18" s="427">
        <f t="shared" si="11"/>
        <v>0</v>
      </c>
      <c r="S18" s="429">
        <f t="shared" si="11"/>
        <v>0</v>
      </c>
      <c r="T18" s="437">
        <f t="shared" si="1"/>
        <v>260</v>
      </c>
      <c r="U18" s="438">
        <f t="shared" si="2"/>
        <v>265</v>
      </c>
      <c r="V18" s="438">
        <f t="shared" si="3"/>
        <v>112.5</v>
      </c>
      <c r="W18" s="451">
        <f>[1]!Tabla1[[#This Row],[CONSUMO POL ANIONICO (KG)]]</f>
        <v>0</v>
      </c>
      <c r="X18" s="429">
        <f>[1]!Tabla1[[#This Row],[CONSUMO POL CATIONICO (KG)]]</f>
        <v>0</v>
      </c>
      <c r="Y18" s="551">
        <f t="shared" si="4"/>
        <v>927.28627701479809</v>
      </c>
      <c r="Z18" s="451">
        <f t="shared" si="5"/>
        <v>945.11870541892881</v>
      </c>
      <c r="AA18" s="451">
        <f t="shared" si="6"/>
        <v>401.22963909294151</v>
      </c>
      <c r="AB18" s="451">
        <f t="shared" si="7"/>
        <v>0</v>
      </c>
      <c r="AC18" s="429">
        <f t="shared" si="8"/>
        <v>0</v>
      </c>
      <c r="AD18" s="439">
        <v>1.3</v>
      </c>
      <c r="AE18" s="439">
        <v>1.325</v>
      </c>
      <c r="AF18" s="439">
        <v>1.25</v>
      </c>
      <c r="AG18" s="440">
        <v>2500</v>
      </c>
      <c r="AH18" s="441">
        <v>2500</v>
      </c>
      <c r="AI18" s="151">
        <v>830</v>
      </c>
      <c r="AJ18" s="151">
        <v>2900</v>
      </c>
      <c r="AK18" s="151">
        <v>6295</v>
      </c>
      <c r="AL18" s="151">
        <v>19050</v>
      </c>
      <c r="AM18" s="151">
        <v>22050</v>
      </c>
      <c r="AN18" s="452">
        <f t="shared" ref="AN18:AR68" si="12">T18*AI18</f>
        <v>215800</v>
      </c>
      <c r="AO18" s="445">
        <f t="shared" si="12"/>
        <v>768500</v>
      </c>
      <c r="AP18" s="445">
        <f t="shared" si="12"/>
        <v>708187.5</v>
      </c>
      <c r="AQ18" s="445">
        <f t="shared" si="12"/>
        <v>0</v>
      </c>
      <c r="AR18" s="453">
        <f t="shared" si="12"/>
        <v>0</v>
      </c>
      <c r="AS18" s="452">
        <f>SUM([1]!Tabla1[[#This Row],[COSTO OPERATIVO ACIDO]:[COSTO OPERATIVO CATIONICO]])</f>
        <v>1692487.5</v>
      </c>
      <c r="AT18" s="445">
        <v>5250</v>
      </c>
      <c r="AU18" s="445">
        <f t="shared" si="10"/>
        <v>6036.232433727243</v>
      </c>
    </row>
    <row r="19" spans="1:47" ht="15" thickBot="1" x14ac:dyDescent="0.35">
      <c r="A19" s="454">
        <v>46028</v>
      </c>
      <c r="B19" s="150">
        <v>6</v>
      </c>
      <c r="C19" s="455" t="s">
        <v>30</v>
      </c>
      <c r="D19" s="456">
        <v>18</v>
      </c>
      <c r="E19" s="456" t="s">
        <v>76</v>
      </c>
      <c r="F19" s="449">
        <v>1450</v>
      </c>
      <c r="G19" s="450">
        <v>800</v>
      </c>
      <c r="H19" s="450">
        <v>1280</v>
      </c>
      <c r="I19" s="450">
        <v>245</v>
      </c>
      <c r="J19" s="450">
        <v>155</v>
      </c>
      <c r="K19" s="468">
        <v>16530</v>
      </c>
      <c r="L19" s="469">
        <v>530.77611940298516</v>
      </c>
      <c r="M19" s="470">
        <v>80</v>
      </c>
      <c r="N19" s="470">
        <f>+[1]!Tabla1[[#This Row],[CAUDAL DE TRATAMIENTO]]+$M$102</f>
        <v>80</v>
      </c>
      <c r="O19" s="487">
        <f>F19-F20+3000</f>
        <v>160</v>
      </c>
      <c r="P19" s="422">
        <f>G19-G20+2000</f>
        <v>150</v>
      </c>
      <c r="Q19" s="430">
        <f t="shared" si="11"/>
        <v>80</v>
      </c>
      <c r="R19" s="430">
        <f t="shared" si="11"/>
        <v>0</v>
      </c>
      <c r="S19" s="489">
        <f>J19-J20+25</f>
        <v>5</v>
      </c>
      <c r="T19" s="437">
        <f t="shared" si="1"/>
        <v>208</v>
      </c>
      <c r="U19" s="438">
        <f t="shared" si="2"/>
        <v>198.75</v>
      </c>
      <c r="V19" s="438">
        <f t="shared" si="3"/>
        <v>100</v>
      </c>
      <c r="W19" s="457">
        <f>[1]!Tabla1[[#This Row],[CONSUMO POL ANIONICO (KG)]]</f>
        <v>0</v>
      </c>
      <c r="X19" s="432">
        <f>[1]!Tabla1[[#This Row],[CONSUMO POL CATIONICO (KG)]]</f>
        <v>5</v>
      </c>
      <c r="Y19" s="551">
        <f t="shared" si="4"/>
        <v>391.87897193633648</v>
      </c>
      <c r="Z19" s="457">
        <f t="shared" si="5"/>
        <v>374.45166188628303</v>
      </c>
      <c r="AA19" s="457">
        <f t="shared" si="6"/>
        <v>188.40335189246946</v>
      </c>
      <c r="AB19" s="457">
        <f t="shared" si="7"/>
        <v>0</v>
      </c>
      <c r="AC19" s="432">
        <f t="shared" si="8"/>
        <v>9.4201675946234733</v>
      </c>
      <c r="AD19" s="439">
        <v>1.3</v>
      </c>
      <c r="AE19" s="439">
        <v>1.325</v>
      </c>
      <c r="AF19" s="439">
        <v>1.25</v>
      </c>
      <c r="AG19" s="440">
        <v>2500</v>
      </c>
      <c r="AH19" s="441">
        <v>2500</v>
      </c>
      <c r="AI19" s="151">
        <v>830</v>
      </c>
      <c r="AJ19" s="151">
        <v>2900</v>
      </c>
      <c r="AK19" s="151">
        <v>6295</v>
      </c>
      <c r="AL19" s="151">
        <v>19050</v>
      </c>
      <c r="AM19" s="151">
        <v>22050</v>
      </c>
      <c r="AN19" s="452">
        <f t="shared" si="12"/>
        <v>172640</v>
      </c>
      <c r="AO19" s="458">
        <f t="shared" si="12"/>
        <v>576375</v>
      </c>
      <c r="AP19" s="458">
        <f t="shared" si="12"/>
        <v>629500</v>
      </c>
      <c r="AQ19" s="458">
        <f t="shared" si="12"/>
        <v>0</v>
      </c>
      <c r="AR19" s="459">
        <f t="shared" si="12"/>
        <v>110250</v>
      </c>
      <c r="AS19" s="452">
        <f>SUM([1]!Tabla1[[#This Row],[COSTO OPERATIVO ACIDO]:[COSTO OPERATIVO CATIONICO]])</f>
        <v>1488765</v>
      </c>
      <c r="AT19" s="458">
        <v>5250</v>
      </c>
      <c r="AU19" s="445">
        <f t="shared" si="10"/>
        <v>2804.8831618019231</v>
      </c>
    </row>
    <row r="20" spans="1:47" ht="15" thickBot="1" x14ac:dyDescent="0.35">
      <c r="A20" s="200">
        <v>46029</v>
      </c>
      <c r="B20" s="150">
        <v>7</v>
      </c>
      <c r="C20" s="433" t="s">
        <v>262</v>
      </c>
      <c r="D20" s="434">
        <v>19</v>
      </c>
      <c r="E20" s="434" t="s">
        <v>75</v>
      </c>
      <c r="F20" s="435">
        <v>4290</v>
      </c>
      <c r="G20" s="436">
        <v>2650</v>
      </c>
      <c r="H20" s="436">
        <v>1200</v>
      </c>
      <c r="I20" s="436">
        <v>245</v>
      </c>
      <c r="J20" s="436">
        <v>175</v>
      </c>
      <c r="K20" s="464">
        <v>16536</v>
      </c>
      <c r="L20" s="465">
        <v>262.38805970149258</v>
      </c>
      <c r="M20" s="466">
        <v>79</v>
      </c>
      <c r="N20" s="466">
        <f>+[1]!Tabla1[[#This Row],[CAUDAL DE TRATAMIENTO]]+$M$102</f>
        <v>79</v>
      </c>
      <c r="O20" s="424">
        <f>F20-F21</f>
        <v>50</v>
      </c>
      <c r="P20" s="425">
        <f>G20-G21</f>
        <v>350</v>
      </c>
      <c r="Q20" s="424">
        <f t="shared" si="11"/>
        <v>50</v>
      </c>
      <c r="R20" s="424">
        <f t="shared" si="11"/>
        <v>5</v>
      </c>
      <c r="S20" s="426">
        <f t="shared" si="11"/>
        <v>5</v>
      </c>
      <c r="T20" s="437">
        <f t="shared" si="1"/>
        <v>65</v>
      </c>
      <c r="U20" s="438">
        <f t="shared" si="2"/>
        <v>463.75</v>
      </c>
      <c r="V20" s="438">
        <f t="shared" si="3"/>
        <v>62.5</v>
      </c>
      <c r="W20" s="438">
        <f>[1]!Tabla1[[#This Row],[CONSUMO POL ANIONICO (KG)]]</f>
        <v>5</v>
      </c>
      <c r="X20" s="426">
        <f>[1]!Tabla1[[#This Row],[CONSUMO POL CATIONICO (KG)]]</f>
        <v>5</v>
      </c>
      <c r="Y20" s="437">
        <f t="shared" si="4"/>
        <v>247.72468714448232</v>
      </c>
      <c r="Z20" s="438">
        <f t="shared" si="5"/>
        <v>1767.4203640500566</v>
      </c>
      <c r="AA20" s="438">
        <f t="shared" si="6"/>
        <v>238.19681456200223</v>
      </c>
      <c r="AB20" s="438">
        <f t="shared" si="7"/>
        <v>19.055745164960179</v>
      </c>
      <c r="AC20" s="426">
        <f t="shared" si="8"/>
        <v>19.055745164960179</v>
      </c>
      <c r="AD20" s="439">
        <v>1.3</v>
      </c>
      <c r="AE20" s="439">
        <v>1.325</v>
      </c>
      <c r="AF20" s="439">
        <v>1.25</v>
      </c>
      <c r="AG20" s="440">
        <v>2500</v>
      </c>
      <c r="AH20" s="441">
        <v>2500</v>
      </c>
      <c r="AI20" s="151">
        <v>830</v>
      </c>
      <c r="AJ20" s="151">
        <v>2900</v>
      </c>
      <c r="AK20" s="151">
        <v>6295</v>
      </c>
      <c r="AL20" s="151">
        <v>19050</v>
      </c>
      <c r="AM20" s="151">
        <v>22050</v>
      </c>
      <c r="AN20" s="442">
        <f t="shared" si="12"/>
        <v>53950</v>
      </c>
      <c r="AO20" s="443">
        <f t="shared" si="12"/>
        <v>1344875</v>
      </c>
      <c r="AP20" s="443">
        <f t="shared" si="12"/>
        <v>393437.5</v>
      </c>
      <c r="AQ20" s="443">
        <f t="shared" si="12"/>
        <v>95250</v>
      </c>
      <c r="AR20" s="444">
        <f t="shared" si="12"/>
        <v>110250</v>
      </c>
      <c r="AS20" s="442">
        <f>SUM([1]!Tabla1[[#This Row],[COSTO OPERATIVO ACIDO]:[COSTO OPERATIVO CATIONICO]])</f>
        <v>1997762.5</v>
      </c>
      <c r="AT20" s="443">
        <v>5250</v>
      </c>
      <c r="AU20" s="445">
        <f t="shared" si="10"/>
        <v>7613.7706200227522</v>
      </c>
    </row>
    <row r="21" spans="1:47" s="165" customFormat="1" ht="15" thickBot="1" x14ac:dyDescent="0.35">
      <c r="A21" s="446">
        <v>46029</v>
      </c>
      <c r="B21" s="471">
        <v>7</v>
      </c>
      <c r="C21" s="472" t="s">
        <v>263</v>
      </c>
      <c r="D21" s="473">
        <v>20</v>
      </c>
      <c r="E21" s="473" t="s">
        <v>77</v>
      </c>
      <c r="F21" s="449">
        <v>4240</v>
      </c>
      <c r="G21" s="450">
        <v>2300</v>
      </c>
      <c r="H21" s="450">
        <v>1150</v>
      </c>
      <c r="I21" s="450">
        <v>240</v>
      </c>
      <c r="J21" s="450">
        <v>170</v>
      </c>
      <c r="K21" s="467">
        <v>16539</v>
      </c>
      <c r="L21" s="462">
        <v>180.92537313432837</v>
      </c>
      <c r="M21" s="463">
        <v>82</v>
      </c>
      <c r="N21" s="463">
        <f>+[1]!Tabla1[[#This Row],[CAUDAL DE TRATAMIENTO]]+$M$102</f>
        <v>82</v>
      </c>
      <c r="O21" s="427">
        <f t="shared" ref="O21:P36" si="13">F21-F22</f>
        <v>90</v>
      </c>
      <c r="P21" s="421">
        <f>G21-G22-150</f>
        <v>150</v>
      </c>
      <c r="Q21" s="427">
        <f t="shared" si="11"/>
        <v>50</v>
      </c>
      <c r="R21" s="427">
        <f t="shared" si="11"/>
        <v>0</v>
      </c>
      <c r="S21" s="429">
        <f t="shared" si="11"/>
        <v>5</v>
      </c>
      <c r="T21" s="437">
        <f t="shared" si="1"/>
        <v>117</v>
      </c>
      <c r="U21" s="438">
        <f>(P21*$AE$2)</f>
        <v>198.75</v>
      </c>
      <c r="V21" s="438">
        <f t="shared" si="3"/>
        <v>62.5</v>
      </c>
      <c r="W21" s="451">
        <f>[1]!Tabla1[[#This Row],[CONSUMO POL ANIONICO (KG)]]</f>
        <v>0</v>
      </c>
      <c r="X21" s="429">
        <f>[1]!Tabla1[[#This Row],[CONSUMO POL CATIONICO (KG)]]</f>
        <v>5</v>
      </c>
      <c r="Y21" s="551">
        <f t="shared" si="4"/>
        <v>646.67546609470378</v>
      </c>
      <c r="Z21" s="451">
        <f t="shared" si="5"/>
        <v>1098.5192212506186</v>
      </c>
      <c r="AA21" s="451">
        <f t="shared" si="6"/>
        <v>345.44629599076058</v>
      </c>
      <c r="AB21" s="451">
        <f t="shared" si="7"/>
        <v>0</v>
      </c>
      <c r="AC21" s="429">
        <f t="shared" si="8"/>
        <v>27.635703679260846</v>
      </c>
      <c r="AD21" s="439">
        <v>1.3</v>
      </c>
      <c r="AE21" s="439">
        <v>1.325</v>
      </c>
      <c r="AF21" s="439">
        <v>1.25</v>
      </c>
      <c r="AG21" s="440">
        <v>2500</v>
      </c>
      <c r="AH21" s="441">
        <v>2500</v>
      </c>
      <c r="AI21" s="151">
        <v>830</v>
      </c>
      <c r="AJ21" s="151">
        <v>2900</v>
      </c>
      <c r="AK21" s="151">
        <v>6295</v>
      </c>
      <c r="AL21" s="151">
        <v>19050</v>
      </c>
      <c r="AM21" s="151">
        <v>22050</v>
      </c>
      <c r="AN21" s="452">
        <f t="shared" si="12"/>
        <v>97110</v>
      </c>
      <c r="AO21" s="445">
        <f t="shared" si="12"/>
        <v>576375</v>
      </c>
      <c r="AP21" s="445">
        <f t="shared" si="12"/>
        <v>393437.5</v>
      </c>
      <c r="AQ21" s="445">
        <f t="shared" si="12"/>
        <v>0</v>
      </c>
      <c r="AR21" s="453">
        <f t="shared" si="12"/>
        <v>110250</v>
      </c>
      <c r="AS21" s="452">
        <f>SUM([1]!Tabla1[[#This Row],[COSTO OPERATIVO ACIDO]:[COSTO OPERATIVO CATIONICO]])</f>
        <v>1177172.5</v>
      </c>
      <c r="AT21" s="445">
        <v>5250</v>
      </c>
      <c r="AU21" s="445">
        <f t="shared" si="10"/>
        <v>6506.3980778749374</v>
      </c>
    </row>
    <row r="22" spans="1:47" s="165" customFormat="1" ht="15" thickBot="1" x14ac:dyDescent="0.35">
      <c r="A22" s="454">
        <v>46029</v>
      </c>
      <c r="B22" s="471">
        <v>7</v>
      </c>
      <c r="C22" s="474" t="s">
        <v>30</v>
      </c>
      <c r="D22" s="475">
        <v>21</v>
      </c>
      <c r="E22" s="475" t="s">
        <v>76</v>
      </c>
      <c r="F22" s="449">
        <v>4150</v>
      </c>
      <c r="G22" s="450">
        <v>2000</v>
      </c>
      <c r="H22" s="450">
        <v>1100</v>
      </c>
      <c r="I22" s="450">
        <v>240</v>
      </c>
      <c r="J22" s="450">
        <v>165</v>
      </c>
      <c r="K22" s="468">
        <v>16541</v>
      </c>
      <c r="L22" s="469">
        <v>432.31343283582089</v>
      </c>
      <c r="M22" s="470">
        <v>78</v>
      </c>
      <c r="N22" s="470">
        <f>+[1]!Tabla1[[#This Row],[CAUDAL DE TRATAMIENTO]]+$M$102</f>
        <v>78</v>
      </c>
      <c r="O22" s="430">
        <f t="shared" si="13"/>
        <v>120</v>
      </c>
      <c r="P22" s="488">
        <f>G22-G23+1000</f>
        <v>200</v>
      </c>
      <c r="Q22" s="430">
        <f t="shared" si="11"/>
        <v>40</v>
      </c>
      <c r="R22" s="430">
        <f t="shared" si="11"/>
        <v>0</v>
      </c>
      <c r="S22" s="432">
        <f t="shared" si="11"/>
        <v>5</v>
      </c>
      <c r="T22" s="437">
        <f t="shared" si="1"/>
        <v>156</v>
      </c>
      <c r="U22" s="438">
        <f t="shared" si="2"/>
        <v>265</v>
      </c>
      <c r="V22" s="438">
        <f t="shared" si="3"/>
        <v>50</v>
      </c>
      <c r="W22" s="457">
        <f>[1]!Tabla1[[#This Row],[CONSUMO POL ANIONICO (KG)]]</f>
        <v>0</v>
      </c>
      <c r="X22" s="432">
        <f>[1]!Tabla1[[#This Row],[CONSUMO POL CATIONICO (KG)]]</f>
        <v>5</v>
      </c>
      <c r="Y22" s="551">
        <f t="shared" si="4"/>
        <v>360.84930088037288</v>
      </c>
      <c r="Z22" s="457">
        <f t="shared" si="5"/>
        <v>612.98118418781291</v>
      </c>
      <c r="AA22" s="457">
        <f t="shared" si="6"/>
        <v>115.65682720524771</v>
      </c>
      <c r="AB22" s="457">
        <f t="shared" si="7"/>
        <v>0</v>
      </c>
      <c r="AC22" s="432">
        <f t="shared" si="8"/>
        <v>11.565682720524771</v>
      </c>
      <c r="AD22" s="439">
        <v>1.3</v>
      </c>
      <c r="AE22" s="439">
        <v>1.325</v>
      </c>
      <c r="AF22" s="439">
        <v>1.25</v>
      </c>
      <c r="AG22" s="440">
        <v>2500</v>
      </c>
      <c r="AH22" s="441">
        <v>2500</v>
      </c>
      <c r="AI22" s="151">
        <v>830</v>
      </c>
      <c r="AJ22" s="151">
        <v>2900</v>
      </c>
      <c r="AK22" s="151">
        <v>6295</v>
      </c>
      <c r="AL22" s="151">
        <v>19050</v>
      </c>
      <c r="AM22" s="151">
        <v>22050</v>
      </c>
      <c r="AN22" s="452">
        <f t="shared" si="12"/>
        <v>129480</v>
      </c>
      <c r="AO22" s="458">
        <f t="shared" si="12"/>
        <v>768500</v>
      </c>
      <c r="AP22" s="458">
        <f t="shared" si="12"/>
        <v>314750</v>
      </c>
      <c r="AQ22" s="458">
        <f t="shared" si="12"/>
        <v>0</v>
      </c>
      <c r="AR22" s="459">
        <f t="shared" si="12"/>
        <v>110250</v>
      </c>
      <c r="AS22" s="452">
        <f>SUM([1]!Tabla1[[#This Row],[COSTO OPERATIVO ACIDO]:[COSTO OPERATIVO CATIONICO]])</f>
        <v>1322980</v>
      </c>
      <c r="AT22" s="458">
        <v>5250</v>
      </c>
      <c r="AU22" s="445">
        <f t="shared" si="10"/>
        <v>3060.2333851199724</v>
      </c>
    </row>
    <row r="23" spans="1:47" s="165" customFormat="1" ht="15" thickBot="1" x14ac:dyDescent="0.35">
      <c r="A23" s="200">
        <v>46030</v>
      </c>
      <c r="B23" s="471">
        <v>8</v>
      </c>
      <c r="C23" s="476" t="s">
        <v>264</v>
      </c>
      <c r="D23" s="477">
        <v>22</v>
      </c>
      <c r="E23" s="477" t="s">
        <v>75</v>
      </c>
      <c r="F23" s="435">
        <v>4030</v>
      </c>
      <c r="G23" s="436">
        <v>2800</v>
      </c>
      <c r="H23" s="436">
        <v>1060</v>
      </c>
      <c r="I23" s="436">
        <v>240</v>
      </c>
      <c r="J23" s="436">
        <v>160</v>
      </c>
      <c r="K23" s="464">
        <v>16546</v>
      </c>
      <c r="L23" s="465">
        <v>217.38805970149255</v>
      </c>
      <c r="M23" s="466">
        <v>64</v>
      </c>
      <c r="N23" s="466">
        <f>+[1]!Tabla1[[#This Row],[CAUDAL DE TRATAMIENTO]]+$M$102</f>
        <v>64</v>
      </c>
      <c r="O23" s="424">
        <f t="shared" si="13"/>
        <v>80</v>
      </c>
      <c r="P23" s="425">
        <f>G23-G24</f>
        <v>260</v>
      </c>
      <c r="Q23" s="424">
        <f t="shared" si="11"/>
        <v>20</v>
      </c>
      <c r="R23" s="424">
        <f t="shared" si="11"/>
        <v>5</v>
      </c>
      <c r="S23" s="426">
        <f t="shared" si="11"/>
        <v>5</v>
      </c>
      <c r="T23" s="437">
        <f t="shared" si="1"/>
        <v>104</v>
      </c>
      <c r="U23" s="438">
        <f t="shared" si="2"/>
        <v>344.5</v>
      </c>
      <c r="V23" s="438">
        <f t="shared" si="3"/>
        <v>25</v>
      </c>
      <c r="W23" s="438">
        <f>[1]!Tabla1[[#This Row],[CONSUMO POL ANIONICO (KG)]]</f>
        <v>5</v>
      </c>
      <c r="X23" s="426">
        <f>[1]!Tabla1[[#This Row],[CONSUMO POL CATIONICO (KG)]]</f>
        <v>5</v>
      </c>
      <c r="Y23" s="437">
        <f t="shared" si="4"/>
        <v>478.40714040508067</v>
      </c>
      <c r="Z23" s="438">
        <f t="shared" si="5"/>
        <v>1584.7236525918297</v>
      </c>
      <c r="AA23" s="438">
        <f t="shared" si="6"/>
        <v>115.00171644352901</v>
      </c>
      <c r="AB23" s="438">
        <f t="shared" si="7"/>
        <v>23.0003432887058</v>
      </c>
      <c r="AC23" s="426">
        <f t="shared" si="8"/>
        <v>23.0003432887058</v>
      </c>
      <c r="AD23" s="439">
        <v>1.3</v>
      </c>
      <c r="AE23" s="439">
        <v>1.325</v>
      </c>
      <c r="AF23" s="439">
        <v>1.25</v>
      </c>
      <c r="AG23" s="440">
        <v>2500</v>
      </c>
      <c r="AH23" s="441">
        <v>2500</v>
      </c>
      <c r="AI23" s="151">
        <v>830</v>
      </c>
      <c r="AJ23" s="151">
        <v>2900</v>
      </c>
      <c r="AK23" s="151">
        <v>6295</v>
      </c>
      <c r="AL23" s="151">
        <v>19050</v>
      </c>
      <c r="AM23" s="151">
        <v>22050</v>
      </c>
      <c r="AN23" s="442">
        <f t="shared" si="12"/>
        <v>86320</v>
      </c>
      <c r="AO23" s="443">
        <f t="shared" si="12"/>
        <v>999050</v>
      </c>
      <c r="AP23" s="443">
        <f t="shared" si="12"/>
        <v>157375</v>
      </c>
      <c r="AQ23" s="443">
        <f t="shared" si="12"/>
        <v>95250</v>
      </c>
      <c r="AR23" s="444">
        <f t="shared" si="12"/>
        <v>110250</v>
      </c>
      <c r="AS23" s="442">
        <f>SUM([1]!Tabla1[[#This Row],[COSTO OPERATIVO ACIDO]:[COSTO OPERATIVO CATIONICO]])</f>
        <v>1448245</v>
      </c>
      <c r="AT23" s="443">
        <v>5250</v>
      </c>
      <c r="AU23" s="445">
        <f t="shared" si="10"/>
        <v>6662.0264332303459</v>
      </c>
    </row>
    <row r="24" spans="1:47" s="165" customFormat="1" ht="15" thickBot="1" x14ac:dyDescent="0.35">
      <c r="A24" s="446">
        <v>46030</v>
      </c>
      <c r="B24" s="471">
        <v>8</v>
      </c>
      <c r="C24" s="472" t="s">
        <v>265</v>
      </c>
      <c r="D24" s="473">
        <v>23</v>
      </c>
      <c r="E24" s="473" t="s">
        <v>77</v>
      </c>
      <c r="F24" s="449">
        <v>3950</v>
      </c>
      <c r="G24" s="450">
        <v>2540</v>
      </c>
      <c r="H24" s="450">
        <v>1040</v>
      </c>
      <c r="I24" s="450">
        <v>235</v>
      </c>
      <c r="J24" s="450">
        <v>155</v>
      </c>
      <c r="K24" s="467">
        <v>16549</v>
      </c>
      <c r="L24" s="462">
        <v>305.85074626865674</v>
      </c>
      <c r="M24" s="463">
        <v>68</v>
      </c>
      <c r="N24" s="463">
        <f>+[1]!Tabla1[[#This Row],[CAUDAL DE TRATAMIENTO]]+$M$102</f>
        <v>68</v>
      </c>
      <c r="O24" s="427">
        <f t="shared" si="13"/>
        <v>220</v>
      </c>
      <c r="P24" s="428">
        <f>G24-G25</f>
        <v>100</v>
      </c>
      <c r="Q24" s="427">
        <f t="shared" si="11"/>
        <v>70</v>
      </c>
      <c r="R24" s="427">
        <f t="shared" si="11"/>
        <v>0</v>
      </c>
      <c r="S24" s="429">
        <f t="shared" si="11"/>
        <v>5</v>
      </c>
      <c r="T24" s="437">
        <f t="shared" si="1"/>
        <v>286</v>
      </c>
      <c r="U24" s="438">
        <f t="shared" si="2"/>
        <v>132.5</v>
      </c>
      <c r="V24" s="438">
        <f t="shared" si="3"/>
        <v>87.5</v>
      </c>
      <c r="W24" s="451">
        <f>[1]!Tabla1[[#This Row],[CONSUMO POL ANIONICO (KG)]]</f>
        <v>0</v>
      </c>
      <c r="X24" s="429">
        <f>[1]!Tabla1[[#This Row],[CONSUMO POL CATIONICO (KG)]]</f>
        <v>5</v>
      </c>
      <c r="Y24" s="551">
        <f t="shared" si="4"/>
        <v>935.09662307241842</v>
      </c>
      <c r="Z24" s="451">
        <f t="shared" si="5"/>
        <v>433.21784110872534</v>
      </c>
      <c r="AA24" s="451">
        <f t="shared" si="6"/>
        <v>286.08725356236579</v>
      </c>
      <c r="AB24" s="451">
        <f t="shared" si="7"/>
        <v>0</v>
      </c>
      <c r="AC24" s="429">
        <f t="shared" si="8"/>
        <v>16.347843060706616</v>
      </c>
      <c r="AD24" s="439">
        <v>1.3</v>
      </c>
      <c r="AE24" s="439">
        <v>1.325</v>
      </c>
      <c r="AF24" s="439">
        <v>1.25</v>
      </c>
      <c r="AG24" s="440">
        <v>2500</v>
      </c>
      <c r="AH24" s="441">
        <v>2500</v>
      </c>
      <c r="AI24" s="151">
        <v>830</v>
      </c>
      <c r="AJ24" s="151">
        <v>2900</v>
      </c>
      <c r="AK24" s="151">
        <v>6295</v>
      </c>
      <c r="AL24" s="151">
        <v>19050</v>
      </c>
      <c r="AM24" s="151">
        <v>22050</v>
      </c>
      <c r="AN24" s="452">
        <f t="shared" si="12"/>
        <v>237380</v>
      </c>
      <c r="AO24" s="445">
        <f t="shared" si="12"/>
        <v>384250</v>
      </c>
      <c r="AP24" s="445">
        <f t="shared" si="12"/>
        <v>550812.5</v>
      </c>
      <c r="AQ24" s="445">
        <f t="shared" si="12"/>
        <v>0</v>
      </c>
      <c r="AR24" s="453">
        <f t="shared" si="12"/>
        <v>110250</v>
      </c>
      <c r="AS24" s="452">
        <f>SUM([1]!Tabla1[[#This Row],[COSTO OPERATIVO ACIDO]:[COSTO OPERATIVO CATIONICO]])</f>
        <v>1282692.5</v>
      </c>
      <c r="AT24" s="445">
        <v>5250</v>
      </c>
      <c r="AU24" s="445">
        <f t="shared" si="10"/>
        <v>4193.8511370290844</v>
      </c>
    </row>
    <row r="25" spans="1:47" s="165" customFormat="1" ht="15" thickBot="1" x14ac:dyDescent="0.35">
      <c r="A25" s="454">
        <v>46030</v>
      </c>
      <c r="B25" s="471">
        <v>8</v>
      </c>
      <c r="C25" s="474" t="s">
        <v>30</v>
      </c>
      <c r="D25" s="475">
        <v>24</v>
      </c>
      <c r="E25" s="475" t="s">
        <v>76</v>
      </c>
      <c r="F25" s="449">
        <v>3730</v>
      </c>
      <c r="G25" s="450">
        <v>2440</v>
      </c>
      <c r="H25" s="450">
        <v>970</v>
      </c>
      <c r="I25" s="450">
        <v>235</v>
      </c>
      <c r="J25" s="450">
        <v>150</v>
      </c>
      <c r="K25" s="468">
        <v>16553</v>
      </c>
      <c r="L25" s="469">
        <v>434.7761194029851</v>
      </c>
      <c r="M25" s="470">
        <v>64</v>
      </c>
      <c r="N25" s="470">
        <f>+[1]!Tabla1[[#This Row],[CAUDAL DE TRATAMIENTO]]+$M$102</f>
        <v>64</v>
      </c>
      <c r="O25" s="430">
        <f t="shared" si="13"/>
        <v>30</v>
      </c>
      <c r="P25" s="422">
        <f>G25-G26-150</f>
        <v>190</v>
      </c>
      <c r="Q25" s="430">
        <f t="shared" si="11"/>
        <v>70</v>
      </c>
      <c r="R25" s="430">
        <f t="shared" si="11"/>
        <v>0</v>
      </c>
      <c r="S25" s="432">
        <f t="shared" si="11"/>
        <v>5</v>
      </c>
      <c r="T25" s="437">
        <f t="shared" si="1"/>
        <v>39</v>
      </c>
      <c r="U25" s="438">
        <f t="shared" si="2"/>
        <v>251.75</v>
      </c>
      <c r="V25" s="438">
        <f t="shared" si="3"/>
        <v>87.5</v>
      </c>
      <c r="W25" s="457">
        <f>[1]!Tabla1[[#This Row],[CONSUMO POL ANIONICO (KG)]]</f>
        <v>0</v>
      </c>
      <c r="X25" s="432">
        <f>[1]!Tabla1[[#This Row],[CONSUMO POL CATIONICO (KG)]]</f>
        <v>5</v>
      </c>
      <c r="Y25" s="551">
        <f t="shared" si="4"/>
        <v>89.701338825952618</v>
      </c>
      <c r="Z25" s="457">
        <f t="shared" si="5"/>
        <v>579.03364229316855</v>
      </c>
      <c r="AA25" s="457">
        <f t="shared" si="6"/>
        <v>201.25300377617575</v>
      </c>
      <c r="AB25" s="457">
        <f t="shared" si="7"/>
        <v>0</v>
      </c>
      <c r="AC25" s="432">
        <f t="shared" si="8"/>
        <v>11.5001716443529</v>
      </c>
      <c r="AD25" s="439">
        <v>1.3</v>
      </c>
      <c r="AE25" s="439">
        <v>1.325</v>
      </c>
      <c r="AF25" s="439">
        <v>1.25</v>
      </c>
      <c r="AG25" s="440">
        <v>2500</v>
      </c>
      <c r="AH25" s="441">
        <v>2500</v>
      </c>
      <c r="AI25" s="151">
        <v>830</v>
      </c>
      <c r="AJ25" s="151">
        <v>2900</v>
      </c>
      <c r="AK25" s="151">
        <v>6295</v>
      </c>
      <c r="AL25" s="151">
        <v>19050</v>
      </c>
      <c r="AM25" s="151">
        <v>22050</v>
      </c>
      <c r="AN25" s="452">
        <f t="shared" si="12"/>
        <v>32370</v>
      </c>
      <c r="AO25" s="458">
        <f t="shared" si="12"/>
        <v>730075</v>
      </c>
      <c r="AP25" s="458">
        <f t="shared" si="12"/>
        <v>550812.5</v>
      </c>
      <c r="AQ25" s="458">
        <f t="shared" si="12"/>
        <v>0</v>
      </c>
      <c r="AR25" s="459">
        <f t="shared" si="12"/>
        <v>110250</v>
      </c>
      <c r="AS25" s="452">
        <f>SUM([1]!Tabla1[[#This Row],[COSTO OPERATIVO ACIDO]:[COSTO OPERATIVO CATIONICO]])</f>
        <v>1423507.5</v>
      </c>
      <c r="AT25" s="458">
        <v>5250</v>
      </c>
      <c r="AU25" s="445">
        <f t="shared" si="10"/>
        <v>3274.116117404737</v>
      </c>
    </row>
    <row r="26" spans="1:47" s="165" customFormat="1" ht="15" thickBot="1" x14ac:dyDescent="0.35">
      <c r="A26" s="200">
        <v>46031</v>
      </c>
      <c r="B26" s="471">
        <v>9</v>
      </c>
      <c r="C26" s="476" t="s">
        <v>266</v>
      </c>
      <c r="D26" s="477">
        <v>25</v>
      </c>
      <c r="E26" s="477" t="s">
        <v>75</v>
      </c>
      <c r="F26" s="435">
        <v>3700</v>
      </c>
      <c r="G26" s="436">
        <v>2100</v>
      </c>
      <c r="H26" s="436">
        <v>900</v>
      </c>
      <c r="I26" s="436">
        <v>235</v>
      </c>
      <c r="J26" s="436">
        <v>145</v>
      </c>
      <c r="K26" s="464">
        <v>16559</v>
      </c>
      <c r="L26" s="465">
        <v>235.38805970149255</v>
      </c>
      <c r="M26" s="466">
        <v>70</v>
      </c>
      <c r="N26" s="466">
        <f>+[1]!Tabla1[[#This Row],[CAUDAL DE TRATAMIENTO]]+$M$102</f>
        <v>70</v>
      </c>
      <c r="O26" s="424">
        <f t="shared" si="13"/>
        <v>60</v>
      </c>
      <c r="P26" s="425">
        <f>G26-G27</f>
        <v>180</v>
      </c>
      <c r="Q26" s="424">
        <f t="shared" si="11"/>
        <v>50</v>
      </c>
      <c r="R26" s="424">
        <f t="shared" si="11"/>
        <v>5</v>
      </c>
      <c r="S26" s="426">
        <f t="shared" si="11"/>
        <v>5</v>
      </c>
      <c r="T26" s="437">
        <f t="shared" si="1"/>
        <v>78</v>
      </c>
      <c r="U26" s="438">
        <f t="shared" si="2"/>
        <v>238.5</v>
      </c>
      <c r="V26" s="438">
        <f t="shared" si="3"/>
        <v>62.5</v>
      </c>
      <c r="W26" s="438">
        <f>[1]!Tabla1[[#This Row],[CONSUMO POL ANIONICO (KG)]]</f>
        <v>5</v>
      </c>
      <c r="X26" s="426">
        <f>[1]!Tabla1[[#This Row],[CONSUMO POL CATIONICO (KG)]]</f>
        <v>5</v>
      </c>
      <c r="Y26" s="437">
        <f t="shared" si="4"/>
        <v>331.36770020924479</v>
      </c>
      <c r="Z26" s="438">
        <f t="shared" si="5"/>
        <v>1013.2204679474985</v>
      </c>
      <c r="AA26" s="438">
        <f t="shared" si="6"/>
        <v>265.51899055227949</v>
      </c>
      <c r="AB26" s="438">
        <f t="shared" si="7"/>
        <v>21.24151924418236</v>
      </c>
      <c r="AC26" s="426">
        <f t="shared" si="8"/>
        <v>21.24151924418236</v>
      </c>
      <c r="AD26" s="439">
        <v>1.3</v>
      </c>
      <c r="AE26" s="439">
        <v>1.325</v>
      </c>
      <c r="AF26" s="439">
        <v>1.25</v>
      </c>
      <c r="AG26" s="440">
        <v>2500</v>
      </c>
      <c r="AH26" s="441">
        <v>2500</v>
      </c>
      <c r="AI26" s="151">
        <v>830</v>
      </c>
      <c r="AJ26" s="151">
        <v>2900</v>
      </c>
      <c r="AK26" s="151">
        <v>6295</v>
      </c>
      <c r="AL26" s="151">
        <v>19050</v>
      </c>
      <c r="AM26" s="151">
        <v>22050</v>
      </c>
      <c r="AN26" s="442">
        <f t="shared" si="12"/>
        <v>64740</v>
      </c>
      <c r="AO26" s="443">
        <f t="shared" si="12"/>
        <v>691650</v>
      </c>
      <c r="AP26" s="443">
        <f t="shared" si="12"/>
        <v>393437.5</v>
      </c>
      <c r="AQ26" s="443">
        <f t="shared" si="12"/>
        <v>95250</v>
      </c>
      <c r="AR26" s="444">
        <f t="shared" si="12"/>
        <v>110250</v>
      </c>
      <c r="AS26" s="442">
        <f>SUM([1]!Tabla1[[#This Row],[COSTO OPERATIVO ACIDO]:[COSTO OPERATIVO CATIONICO]])</f>
        <v>1355327.5</v>
      </c>
      <c r="AT26" s="443">
        <v>5250</v>
      </c>
      <c r="AU26" s="445">
        <f t="shared" si="10"/>
        <v>5757.8430346839132</v>
      </c>
    </row>
    <row r="27" spans="1:47" s="482" customFormat="1" ht="15" thickBot="1" x14ac:dyDescent="0.35">
      <c r="A27" s="446">
        <v>46031</v>
      </c>
      <c r="B27" s="479">
        <v>9</v>
      </c>
      <c r="C27" s="483" t="s">
        <v>267</v>
      </c>
      <c r="D27" s="484">
        <v>26</v>
      </c>
      <c r="E27" s="484" t="s">
        <v>77</v>
      </c>
      <c r="F27" s="449">
        <v>3640</v>
      </c>
      <c r="G27" s="450">
        <v>1920</v>
      </c>
      <c r="H27" s="450">
        <v>850</v>
      </c>
      <c r="I27" s="450">
        <v>230</v>
      </c>
      <c r="J27" s="450">
        <v>140</v>
      </c>
      <c r="K27" s="467">
        <v>16562</v>
      </c>
      <c r="L27" s="462">
        <v>250.38805970149255</v>
      </c>
      <c r="M27" s="463">
        <v>75</v>
      </c>
      <c r="N27" s="463">
        <f>+[1]!Tabla1[[#This Row],[CAUDAL DE TRATAMIENTO]]+$M$102</f>
        <v>75</v>
      </c>
      <c r="O27" s="427">
        <f t="shared" si="13"/>
        <v>75</v>
      </c>
      <c r="P27" s="421">
        <f>G27-G28-150</f>
        <v>105</v>
      </c>
      <c r="Q27" s="427">
        <f t="shared" si="11"/>
        <v>70</v>
      </c>
      <c r="R27" s="427">
        <f t="shared" si="11"/>
        <v>0</v>
      </c>
      <c r="S27" s="429">
        <f t="shared" si="11"/>
        <v>5</v>
      </c>
      <c r="T27" s="437">
        <f t="shared" si="1"/>
        <v>97.5</v>
      </c>
      <c r="U27" s="438">
        <f t="shared" si="2"/>
        <v>139.125</v>
      </c>
      <c r="V27" s="438">
        <f t="shared" si="3"/>
        <v>87.5</v>
      </c>
      <c r="W27" s="451">
        <f>[1]!Tabla1[[#This Row],[CONSUMO POL ANIONICO (KG)]]</f>
        <v>0</v>
      </c>
      <c r="X27" s="429">
        <f>[1]!Tabla1[[#This Row],[CONSUMO POL CATIONICO (KG)]]</f>
        <v>5</v>
      </c>
      <c r="Y27" s="551">
        <f t="shared" si="4"/>
        <v>389.39556509298995</v>
      </c>
      <c r="Z27" s="451">
        <f t="shared" si="5"/>
        <v>555.63751788268951</v>
      </c>
      <c r="AA27" s="451">
        <f t="shared" si="6"/>
        <v>349.45755841678584</v>
      </c>
      <c r="AB27" s="451">
        <f t="shared" si="7"/>
        <v>0</v>
      </c>
      <c r="AC27" s="429">
        <f t="shared" si="8"/>
        <v>19.969003338102048</v>
      </c>
      <c r="AD27" s="439">
        <v>1.3</v>
      </c>
      <c r="AE27" s="439">
        <v>1.325</v>
      </c>
      <c r="AF27" s="439">
        <v>1.25</v>
      </c>
      <c r="AG27" s="440">
        <v>2500</v>
      </c>
      <c r="AH27" s="441">
        <v>2500</v>
      </c>
      <c r="AI27" s="151">
        <v>830</v>
      </c>
      <c r="AJ27" s="151">
        <v>2900</v>
      </c>
      <c r="AK27" s="151">
        <v>6295</v>
      </c>
      <c r="AL27" s="151">
        <v>19050</v>
      </c>
      <c r="AM27" s="151">
        <v>22050</v>
      </c>
      <c r="AN27" s="452">
        <f t="shared" si="12"/>
        <v>80925</v>
      </c>
      <c r="AO27" s="445">
        <f t="shared" si="12"/>
        <v>403462.5</v>
      </c>
      <c r="AP27" s="445">
        <f t="shared" si="12"/>
        <v>550812.5</v>
      </c>
      <c r="AQ27" s="445">
        <f t="shared" si="12"/>
        <v>0</v>
      </c>
      <c r="AR27" s="453">
        <f t="shared" si="12"/>
        <v>110250</v>
      </c>
      <c r="AS27" s="452">
        <f>SUM([1]!Tabla1[[#This Row],[COSTO OPERATIVO ACIDO]:[COSTO OPERATIVO CATIONICO]])</f>
        <v>1145450</v>
      </c>
      <c r="AT27" s="445">
        <v>5250</v>
      </c>
      <c r="AU27" s="445">
        <f t="shared" si="10"/>
        <v>4574.6989747257985</v>
      </c>
    </row>
    <row r="28" spans="1:47" s="482" customFormat="1" ht="15" thickBot="1" x14ac:dyDescent="0.35">
      <c r="A28" s="454">
        <v>46031</v>
      </c>
      <c r="B28" s="479">
        <v>9</v>
      </c>
      <c r="C28" s="485" t="s">
        <v>30</v>
      </c>
      <c r="D28" s="486">
        <v>27</v>
      </c>
      <c r="E28" s="486" t="s">
        <v>76</v>
      </c>
      <c r="F28" s="449">
        <f>+AVERAGE(F27,F29)</f>
        <v>3565</v>
      </c>
      <c r="G28" s="450">
        <f>+AVERAGE(G27,G29)</f>
        <v>1665</v>
      </c>
      <c r="H28" s="450">
        <f>+AVERAGE(H27,H29)</f>
        <v>780</v>
      </c>
      <c r="I28" s="450">
        <v>230</v>
      </c>
      <c r="J28" s="450">
        <v>135</v>
      </c>
      <c r="K28" s="468">
        <v>16565</v>
      </c>
      <c r="L28" s="469">
        <v>488.7761194029851</v>
      </c>
      <c r="M28" s="470">
        <v>73</v>
      </c>
      <c r="N28" s="470">
        <f>+[1]!Tabla1[[#This Row],[CAUDAL DE TRATAMIENTO]]+$M$102</f>
        <v>73</v>
      </c>
      <c r="O28" s="430">
        <f t="shared" si="13"/>
        <v>75</v>
      </c>
      <c r="P28" s="431">
        <f t="shared" si="13"/>
        <v>255</v>
      </c>
      <c r="Q28" s="430">
        <f t="shared" si="11"/>
        <v>70</v>
      </c>
      <c r="R28" s="430">
        <f t="shared" si="11"/>
        <v>0</v>
      </c>
      <c r="S28" s="432">
        <f t="shared" si="11"/>
        <v>5</v>
      </c>
      <c r="T28" s="437">
        <f t="shared" si="1"/>
        <v>97.5</v>
      </c>
      <c r="U28" s="438">
        <f t="shared" si="2"/>
        <v>337.875</v>
      </c>
      <c r="V28" s="438">
        <f t="shared" si="3"/>
        <v>87.5</v>
      </c>
      <c r="W28" s="457">
        <f>[1]!Tabla1[[#This Row],[CONSUMO POL ANIONICO (KG)]]</f>
        <v>0</v>
      </c>
      <c r="X28" s="432">
        <f>[1]!Tabla1[[#This Row],[CONSUMO POL CATIONICO (KG)]]</f>
        <v>5</v>
      </c>
      <c r="Y28" s="551">
        <f t="shared" si="4"/>
        <v>199.47783070721874</v>
      </c>
      <c r="Z28" s="457">
        <f t="shared" si="5"/>
        <v>691.26740564309262</v>
      </c>
      <c r="AA28" s="457">
        <f t="shared" si="6"/>
        <v>179.01856601929887</v>
      </c>
      <c r="AB28" s="457">
        <f t="shared" si="7"/>
        <v>0</v>
      </c>
      <c r="AC28" s="432">
        <f t="shared" si="8"/>
        <v>10.229632343959937</v>
      </c>
      <c r="AD28" s="439">
        <v>1.3</v>
      </c>
      <c r="AE28" s="439">
        <v>1.325</v>
      </c>
      <c r="AF28" s="439">
        <v>1.25</v>
      </c>
      <c r="AG28" s="440">
        <v>2500</v>
      </c>
      <c r="AH28" s="441">
        <v>2500</v>
      </c>
      <c r="AI28" s="151">
        <v>830</v>
      </c>
      <c r="AJ28" s="151">
        <v>2900</v>
      </c>
      <c r="AK28" s="151">
        <v>6295</v>
      </c>
      <c r="AL28" s="151">
        <v>19050</v>
      </c>
      <c r="AM28" s="151">
        <v>22050</v>
      </c>
      <c r="AN28" s="452">
        <f t="shared" si="12"/>
        <v>80925</v>
      </c>
      <c r="AO28" s="458">
        <f t="shared" si="12"/>
        <v>979837.5</v>
      </c>
      <c r="AP28" s="458">
        <f t="shared" si="12"/>
        <v>550812.5</v>
      </c>
      <c r="AQ28" s="458">
        <f t="shared" si="12"/>
        <v>0</v>
      </c>
      <c r="AR28" s="459">
        <f t="shared" si="12"/>
        <v>110250</v>
      </c>
      <c r="AS28" s="452">
        <f>SUM([1]!Tabla1[[#This Row],[COSTO OPERATIVO ACIDO]:[COSTO OPERATIVO CATIONICO]])</f>
        <v>1721825</v>
      </c>
      <c r="AT28" s="458">
        <v>5250</v>
      </c>
      <c r="AU28" s="445">
        <f t="shared" si="10"/>
        <v>3522.7273421277632</v>
      </c>
    </row>
    <row r="29" spans="1:47" s="482" customFormat="1" ht="15" thickBot="1" x14ac:dyDescent="0.35">
      <c r="A29" s="200">
        <v>46032</v>
      </c>
      <c r="B29" s="479">
        <v>10</v>
      </c>
      <c r="C29" s="480" t="s">
        <v>268</v>
      </c>
      <c r="D29" s="481">
        <v>28</v>
      </c>
      <c r="E29" s="481" t="s">
        <v>75</v>
      </c>
      <c r="F29" s="435">
        <v>3490</v>
      </c>
      <c r="G29" s="436">
        <v>1410</v>
      </c>
      <c r="H29" s="436">
        <v>710</v>
      </c>
      <c r="I29" s="436">
        <v>230</v>
      </c>
      <c r="J29" s="436">
        <v>130</v>
      </c>
      <c r="K29" s="464">
        <v>16571</v>
      </c>
      <c r="L29" s="465">
        <v>417.31343283582089</v>
      </c>
      <c r="M29" s="466">
        <v>75</v>
      </c>
      <c r="N29" s="466">
        <f>+[1]!Tabla1[[#This Row],[CAUDAL DE TRATAMIENTO]]+$M$102</f>
        <v>75</v>
      </c>
      <c r="O29" s="544">
        <f>F29-F30-100</f>
        <v>40</v>
      </c>
      <c r="P29" s="425">
        <f t="shared" si="13"/>
        <v>160</v>
      </c>
      <c r="Q29" s="424">
        <f t="shared" si="11"/>
        <v>80</v>
      </c>
      <c r="R29" s="424">
        <f t="shared" si="11"/>
        <v>5</v>
      </c>
      <c r="S29" s="426">
        <f t="shared" si="11"/>
        <v>5</v>
      </c>
      <c r="T29" s="437">
        <f t="shared" si="1"/>
        <v>52</v>
      </c>
      <c r="U29" s="438">
        <f t="shared" si="2"/>
        <v>212</v>
      </c>
      <c r="V29" s="438">
        <f t="shared" si="3"/>
        <v>100</v>
      </c>
      <c r="W29" s="438">
        <f>[1]!Tabla1[[#This Row],[CONSUMO POL ANIONICO (KG)]]</f>
        <v>5</v>
      </c>
      <c r="X29" s="426">
        <f>[1]!Tabla1[[#This Row],[CONSUMO POL CATIONICO (KG)]]</f>
        <v>5</v>
      </c>
      <c r="Y29" s="437">
        <f t="shared" si="4"/>
        <v>124.60658082975679</v>
      </c>
      <c r="Z29" s="438">
        <f t="shared" si="5"/>
        <v>508.01144492131618</v>
      </c>
      <c r="AA29" s="438">
        <f t="shared" si="6"/>
        <v>239.62804005722461</v>
      </c>
      <c r="AB29" s="438">
        <f t="shared" si="7"/>
        <v>11.98140200286123</v>
      </c>
      <c r="AC29" s="426">
        <f t="shared" si="8"/>
        <v>11.98140200286123</v>
      </c>
      <c r="AD29" s="439">
        <v>1.3</v>
      </c>
      <c r="AE29" s="439">
        <v>1.325</v>
      </c>
      <c r="AF29" s="439">
        <v>1.25</v>
      </c>
      <c r="AG29" s="440">
        <v>2500</v>
      </c>
      <c r="AH29" s="441">
        <v>2500</v>
      </c>
      <c r="AI29" s="151">
        <v>830</v>
      </c>
      <c r="AJ29" s="151">
        <v>2900</v>
      </c>
      <c r="AK29" s="151">
        <v>6295</v>
      </c>
      <c r="AL29" s="151">
        <v>19050</v>
      </c>
      <c r="AM29" s="151">
        <v>22050</v>
      </c>
      <c r="AN29" s="442">
        <f t="shared" si="12"/>
        <v>43160</v>
      </c>
      <c r="AO29" s="443">
        <f t="shared" si="12"/>
        <v>614800</v>
      </c>
      <c r="AP29" s="443">
        <f t="shared" si="12"/>
        <v>629500</v>
      </c>
      <c r="AQ29" s="443">
        <f t="shared" si="12"/>
        <v>95250</v>
      </c>
      <c r="AR29" s="444">
        <f t="shared" si="12"/>
        <v>110250</v>
      </c>
      <c r="AS29" s="442">
        <f>SUM([1]!Tabla1[[#This Row],[COSTO OPERATIVO ACIDO]:[COSTO OPERATIVO CATIONICO]])</f>
        <v>1492960</v>
      </c>
      <c r="AT29" s="443">
        <v>5250</v>
      </c>
      <c r="AU29" s="445">
        <f t="shared" si="10"/>
        <v>3577.5507868383406</v>
      </c>
    </row>
    <row r="30" spans="1:47" s="482" customFormat="1" ht="15" thickBot="1" x14ac:dyDescent="0.35">
      <c r="A30" s="446">
        <v>46032</v>
      </c>
      <c r="B30" s="479">
        <v>10</v>
      </c>
      <c r="C30" s="483" t="s">
        <v>269</v>
      </c>
      <c r="D30" s="484">
        <v>29</v>
      </c>
      <c r="E30" s="484" t="s">
        <v>77</v>
      </c>
      <c r="F30" s="449">
        <v>3350</v>
      </c>
      <c r="G30" s="450">
        <v>1250</v>
      </c>
      <c r="H30" s="450">
        <v>630</v>
      </c>
      <c r="I30" s="450">
        <v>225</v>
      </c>
      <c r="J30" s="450">
        <v>125</v>
      </c>
      <c r="K30" s="467">
        <v>16576</v>
      </c>
      <c r="L30" s="462">
        <v>176.92537313432837</v>
      </c>
      <c r="M30" s="463">
        <v>80</v>
      </c>
      <c r="N30" s="463">
        <f>+[1]!Tabla1[[#This Row],[CAUDAL DE TRATAMIENTO]]+$M$102</f>
        <v>80</v>
      </c>
      <c r="O30" s="427">
        <f t="shared" ref="O30:P39" si="14">F30-F31</f>
        <v>0</v>
      </c>
      <c r="P30" s="428">
        <f t="shared" si="13"/>
        <v>0</v>
      </c>
      <c r="Q30" s="427">
        <f t="shared" si="11"/>
        <v>0</v>
      </c>
      <c r="R30" s="427">
        <f t="shared" si="11"/>
        <v>0</v>
      </c>
      <c r="S30" s="429">
        <f t="shared" si="11"/>
        <v>0</v>
      </c>
      <c r="T30" s="437">
        <f t="shared" si="1"/>
        <v>0</v>
      </c>
      <c r="U30" s="438">
        <f t="shared" si="2"/>
        <v>0</v>
      </c>
      <c r="V30" s="438">
        <f t="shared" si="3"/>
        <v>0</v>
      </c>
      <c r="W30" s="451">
        <f>[1]!Tabla1[[#This Row],[CONSUMO POL ANIONICO (KG)]]</f>
        <v>0</v>
      </c>
      <c r="X30" s="429">
        <f>[1]!Tabla1[[#This Row],[CONSUMO POL CATIONICO (KG)]]</f>
        <v>0</v>
      </c>
      <c r="Y30" s="551">
        <f t="shared" si="4"/>
        <v>0</v>
      </c>
      <c r="Z30" s="451">
        <f t="shared" si="5"/>
        <v>0</v>
      </c>
      <c r="AA30" s="451">
        <f t="shared" si="6"/>
        <v>0</v>
      </c>
      <c r="AB30" s="451">
        <f t="shared" si="7"/>
        <v>0</v>
      </c>
      <c r="AC30" s="429">
        <f t="shared" si="8"/>
        <v>0</v>
      </c>
      <c r="AD30" s="439">
        <v>1.3</v>
      </c>
      <c r="AE30" s="439">
        <v>1.325</v>
      </c>
      <c r="AF30" s="439">
        <v>1.25</v>
      </c>
      <c r="AG30" s="440">
        <v>2500</v>
      </c>
      <c r="AH30" s="441">
        <v>2500</v>
      </c>
      <c r="AI30" s="151">
        <v>830</v>
      </c>
      <c r="AJ30" s="151">
        <v>2900</v>
      </c>
      <c r="AK30" s="151">
        <v>6295</v>
      </c>
      <c r="AL30" s="151">
        <v>19050</v>
      </c>
      <c r="AM30" s="151">
        <v>22050</v>
      </c>
      <c r="AN30" s="452">
        <f t="shared" si="12"/>
        <v>0</v>
      </c>
      <c r="AO30" s="445">
        <f t="shared" si="12"/>
        <v>0</v>
      </c>
      <c r="AP30" s="445">
        <f t="shared" si="12"/>
        <v>0</v>
      </c>
      <c r="AQ30" s="445">
        <f t="shared" si="12"/>
        <v>0</v>
      </c>
      <c r="AR30" s="453">
        <f t="shared" si="12"/>
        <v>0</v>
      </c>
      <c r="AS30" s="452">
        <f>SUM([1]!Tabla1[[#This Row],[COSTO OPERATIVO ACIDO]:[COSTO OPERATIVO CATIONICO]])</f>
        <v>0</v>
      </c>
      <c r="AT30" s="445">
        <v>5250</v>
      </c>
      <c r="AU30" s="445">
        <f t="shared" si="10"/>
        <v>0</v>
      </c>
    </row>
    <row r="31" spans="1:47" s="482" customFormat="1" ht="15" thickBot="1" x14ac:dyDescent="0.35">
      <c r="A31" s="454">
        <v>46032</v>
      </c>
      <c r="B31" s="479">
        <v>10</v>
      </c>
      <c r="C31" s="485" t="s">
        <v>30</v>
      </c>
      <c r="D31" s="486">
        <v>30</v>
      </c>
      <c r="E31" s="486" t="s">
        <v>76</v>
      </c>
      <c r="F31" s="449">
        <v>3350</v>
      </c>
      <c r="G31" s="450">
        <v>1250</v>
      </c>
      <c r="H31" s="450">
        <v>630</v>
      </c>
      <c r="I31" s="450">
        <v>225</v>
      </c>
      <c r="J31" s="450">
        <v>125</v>
      </c>
      <c r="K31" s="468">
        <v>16578</v>
      </c>
      <c r="L31" s="469">
        <v>0</v>
      </c>
      <c r="M31" s="470">
        <v>0</v>
      </c>
      <c r="N31" s="470">
        <f>+[1]!Tabla1[[#This Row],[CAUDAL DE TRATAMIENTO]]+$M$102</f>
        <v>0</v>
      </c>
      <c r="O31" s="430">
        <f t="shared" si="14"/>
        <v>0</v>
      </c>
      <c r="P31" s="431">
        <f t="shared" si="13"/>
        <v>0</v>
      </c>
      <c r="Q31" s="430">
        <f t="shared" si="11"/>
        <v>0</v>
      </c>
      <c r="R31" s="430">
        <f t="shared" si="11"/>
        <v>0</v>
      </c>
      <c r="S31" s="432">
        <f t="shared" si="11"/>
        <v>0</v>
      </c>
      <c r="T31" s="437">
        <f t="shared" si="1"/>
        <v>0</v>
      </c>
      <c r="U31" s="438">
        <f t="shared" si="2"/>
        <v>0</v>
      </c>
      <c r="V31" s="438">
        <f t="shared" si="3"/>
        <v>0</v>
      </c>
      <c r="W31" s="457">
        <f>[1]!Tabla1[[#This Row],[CONSUMO POL ANIONICO (KG)]]</f>
        <v>0</v>
      </c>
      <c r="X31" s="432">
        <f>[1]!Tabla1[[#This Row],[CONSUMO POL CATIONICO (KG)]]</f>
        <v>0</v>
      </c>
      <c r="Y31" s="551" t="e">
        <f t="shared" si="4"/>
        <v>#DIV/0!</v>
      </c>
      <c r="Z31" s="457" t="e">
        <f t="shared" si="5"/>
        <v>#DIV/0!</v>
      </c>
      <c r="AA31" s="457" t="e">
        <f t="shared" si="6"/>
        <v>#DIV/0!</v>
      </c>
      <c r="AB31" s="457" t="e">
        <f t="shared" si="7"/>
        <v>#DIV/0!</v>
      </c>
      <c r="AC31" s="432" t="e">
        <f t="shared" si="8"/>
        <v>#DIV/0!</v>
      </c>
      <c r="AD31" s="439">
        <v>1.3</v>
      </c>
      <c r="AE31" s="439">
        <v>1.325</v>
      </c>
      <c r="AF31" s="439">
        <v>1.25</v>
      </c>
      <c r="AG31" s="440">
        <v>2500</v>
      </c>
      <c r="AH31" s="441">
        <v>2500</v>
      </c>
      <c r="AI31" s="151">
        <v>830</v>
      </c>
      <c r="AJ31" s="151">
        <v>2900</v>
      </c>
      <c r="AK31" s="151">
        <v>6295</v>
      </c>
      <c r="AL31" s="151">
        <v>19050</v>
      </c>
      <c r="AM31" s="151">
        <v>22050</v>
      </c>
      <c r="AN31" s="452">
        <f t="shared" si="12"/>
        <v>0</v>
      </c>
      <c r="AO31" s="458">
        <f t="shared" si="12"/>
        <v>0</v>
      </c>
      <c r="AP31" s="458">
        <f t="shared" si="12"/>
        <v>0</v>
      </c>
      <c r="AQ31" s="458">
        <f t="shared" si="12"/>
        <v>0</v>
      </c>
      <c r="AR31" s="459">
        <f t="shared" si="12"/>
        <v>0</v>
      </c>
      <c r="AS31" s="452">
        <f>SUM([1]!Tabla1[[#This Row],[COSTO OPERATIVO ACIDO]:[COSTO OPERATIVO CATIONICO]])</f>
        <v>0</v>
      </c>
      <c r="AT31" s="458">
        <v>5250</v>
      </c>
      <c r="AU31" s="445" t="e">
        <f t="shared" si="10"/>
        <v>#DIV/0!</v>
      </c>
    </row>
    <row r="32" spans="1:47" s="482" customFormat="1" ht="15" thickBot="1" x14ac:dyDescent="0.35">
      <c r="A32" s="200">
        <v>46033</v>
      </c>
      <c r="B32" s="479">
        <v>11</v>
      </c>
      <c r="C32" s="480" t="s">
        <v>270</v>
      </c>
      <c r="D32" s="481">
        <v>31</v>
      </c>
      <c r="E32" s="481" t="s">
        <v>75</v>
      </c>
      <c r="F32" s="435">
        <v>3350</v>
      </c>
      <c r="G32" s="436">
        <v>1250</v>
      </c>
      <c r="H32" s="436">
        <v>630</v>
      </c>
      <c r="I32" s="436">
        <v>225</v>
      </c>
      <c r="J32" s="436">
        <v>125</v>
      </c>
      <c r="K32" s="464">
        <v>16578</v>
      </c>
      <c r="L32" s="465">
        <v>0</v>
      </c>
      <c r="M32" s="466">
        <v>0</v>
      </c>
      <c r="N32" s="466">
        <f>+[1]!Tabla1[[#This Row],[CAUDAL DE TRATAMIENTO]]+$M$102</f>
        <v>0</v>
      </c>
      <c r="O32" s="424">
        <f t="shared" si="14"/>
        <v>0</v>
      </c>
      <c r="P32" s="425">
        <f t="shared" si="13"/>
        <v>0</v>
      </c>
      <c r="Q32" s="424">
        <f t="shared" si="11"/>
        <v>0</v>
      </c>
      <c r="R32" s="424">
        <f t="shared" si="11"/>
        <v>0</v>
      </c>
      <c r="S32" s="426">
        <f t="shared" si="11"/>
        <v>0</v>
      </c>
      <c r="T32" s="437">
        <f t="shared" si="1"/>
        <v>0</v>
      </c>
      <c r="U32" s="438">
        <f t="shared" si="2"/>
        <v>0</v>
      </c>
      <c r="V32" s="438">
        <f t="shared" si="3"/>
        <v>0</v>
      </c>
      <c r="W32" s="438">
        <f>[1]!Tabla1[[#This Row],[CONSUMO POL ANIONICO (KG)]]</f>
        <v>0</v>
      </c>
      <c r="X32" s="426">
        <f>[1]!Tabla1[[#This Row],[CONSUMO POL CATIONICO (KG)]]</f>
        <v>0</v>
      </c>
      <c r="Y32" s="437" t="e">
        <f t="shared" si="4"/>
        <v>#DIV/0!</v>
      </c>
      <c r="Z32" s="438" t="e">
        <f t="shared" si="5"/>
        <v>#DIV/0!</v>
      </c>
      <c r="AA32" s="438" t="e">
        <f t="shared" si="6"/>
        <v>#DIV/0!</v>
      </c>
      <c r="AB32" s="438" t="e">
        <f t="shared" si="7"/>
        <v>#DIV/0!</v>
      </c>
      <c r="AC32" s="426" t="e">
        <f t="shared" si="8"/>
        <v>#DIV/0!</v>
      </c>
      <c r="AD32" s="439">
        <v>1.3</v>
      </c>
      <c r="AE32" s="439">
        <v>1.325</v>
      </c>
      <c r="AF32" s="439">
        <v>1.25</v>
      </c>
      <c r="AG32" s="440">
        <v>2500</v>
      </c>
      <c r="AH32" s="441">
        <v>2500</v>
      </c>
      <c r="AI32" s="151">
        <v>830</v>
      </c>
      <c r="AJ32" s="151">
        <v>2900</v>
      </c>
      <c r="AK32" s="151">
        <v>6295</v>
      </c>
      <c r="AL32" s="151">
        <v>19050</v>
      </c>
      <c r="AM32" s="151">
        <v>22050</v>
      </c>
      <c r="AN32" s="442">
        <f t="shared" si="12"/>
        <v>0</v>
      </c>
      <c r="AO32" s="443">
        <f t="shared" si="12"/>
        <v>0</v>
      </c>
      <c r="AP32" s="443">
        <f t="shared" si="12"/>
        <v>0</v>
      </c>
      <c r="AQ32" s="443">
        <f t="shared" si="12"/>
        <v>0</v>
      </c>
      <c r="AR32" s="444">
        <f t="shared" si="12"/>
        <v>0</v>
      </c>
      <c r="AS32" s="442">
        <f>SUM([1]!Tabla1[[#This Row],[COSTO OPERATIVO ACIDO]:[COSTO OPERATIVO CATIONICO]])</f>
        <v>0</v>
      </c>
      <c r="AT32" s="443">
        <v>5250</v>
      </c>
      <c r="AU32" s="445" t="e">
        <f t="shared" si="10"/>
        <v>#DIV/0!</v>
      </c>
    </row>
    <row r="33" spans="1:47" s="482" customFormat="1" ht="15" thickBot="1" x14ac:dyDescent="0.35">
      <c r="A33" s="446">
        <v>46033</v>
      </c>
      <c r="B33" s="479">
        <v>11</v>
      </c>
      <c r="C33" s="483" t="s">
        <v>271</v>
      </c>
      <c r="D33" s="484">
        <v>32</v>
      </c>
      <c r="E33" s="484" t="s">
        <v>77</v>
      </c>
      <c r="F33" s="449">
        <v>3350</v>
      </c>
      <c r="G33" s="450">
        <v>1250</v>
      </c>
      <c r="H33" s="450">
        <v>630</v>
      </c>
      <c r="I33" s="450">
        <v>225</v>
      </c>
      <c r="J33" s="450">
        <v>125</v>
      </c>
      <c r="K33" s="467">
        <v>16578</v>
      </c>
      <c r="L33" s="462">
        <v>0</v>
      </c>
      <c r="M33" s="463">
        <v>0</v>
      </c>
      <c r="N33" s="463">
        <f>+[1]!Tabla1[[#This Row],[CAUDAL DE TRATAMIENTO]]+$M$102</f>
        <v>0</v>
      </c>
      <c r="O33" s="427">
        <f t="shared" si="14"/>
        <v>0</v>
      </c>
      <c r="P33" s="428">
        <f t="shared" si="13"/>
        <v>0</v>
      </c>
      <c r="Q33" s="427">
        <f t="shared" si="11"/>
        <v>0</v>
      </c>
      <c r="R33" s="427">
        <f t="shared" si="11"/>
        <v>0</v>
      </c>
      <c r="S33" s="429">
        <f t="shared" si="11"/>
        <v>0</v>
      </c>
      <c r="T33" s="437">
        <f t="shared" si="1"/>
        <v>0</v>
      </c>
      <c r="U33" s="438">
        <f t="shared" si="2"/>
        <v>0</v>
      </c>
      <c r="V33" s="438">
        <f t="shared" si="3"/>
        <v>0</v>
      </c>
      <c r="W33" s="451">
        <f>[1]!Tabla1[[#This Row],[CONSUMO POL ANIONICO (KG)]]</f>
        <v>0</v>
      </c>
      <c r="X33" s="429">
        <f>[1]!Tabla1[[#This Row],[CONSUMO POL CATIONICO (KG)]]</f>
        <v>0</v>
      </c>
      <c r="Y33" s="551" t="e">
        <f t="shared" si="4"/>
        <v>#DIV/0!</v>
      </c>
      <c r="Z33" s="451" t="e">
        <f t="shared" si="5"/>
        <v>#DIV/0!</v>
      </c>
      <c r="AA33" s="451" t="e">
        <f t="shared" si="6"/>
        <v>#DIV/0!</v>
      </c>
      <c r="AB33" s="451" t="e">
        <f t="shared" si="7"/>
        <v>#DIV/0!</v>
      </c>
      <c r="AC33" s="429" t="e">
        <f t="shared" si="8"/>
        <v>#DIV/0!</v>
      </c>
      <c r="AD33" s="439">
        <v>1.3</v>
      </c>
      <c r="AE33" s="439">
        <v>1.325</v>
      </c>
      <c r="AF33" s="439">
        <v>1.25</v>
      </c>
      <c r="AG33" s="440">
        <v>2500</v>
      </c>
      <c r="AH33" s="441">
        <v>2500</v>
      </c>
      <c r="AI33" s="151">
        <v>830</v>
      </c>
      <c r="AJ33" s="151">
        <v>2900</v>
      </c>
      <c r="AK33" s="151">
        <v>6295</v>
      </c>
      <c r="AL33" s="151">
        <v>19050</v>
      </c>
      <c r="AM33" s="151">
        <v>22050</v>
      </c>
      <c r="AN33" s="452">
        <f t="shared" si="12"/>
        <v>0</v>
      </c>
      <c r="AO33" s="445">
        <f t="shared" si="12"/>
        <v>0</v>
      </c>
      <c r="AP33" s="445">
        <f t="shared" si="12"/>
        <v>0</v>
      </c>
      <c r="AQ33" s="445">
        <f t="shared" si="12"/>
        <v>0</v>
      </c>
      <c r="AR33" s="453">
        <f t="shared" si="12"/>
        <v>0</v>
      </c>
      <c r="AS33" s="452">
        <f>SUM([1]!Tabla1[[#This Row],[COSTO OPERATIVO ACIDO]:[COSTO OPERATIVO CATIONICO]])</f>
        <v>0</v>
      </c>
      <c r="AT33" s="445">
        <v>5250</v>
      </c>
      <c r="AU33" s="445" t="e">
        <f t="shared" si="10"/>
        <v>#DIV/0!</v>
      </c>
    </row>
    <row r="34" spans="1:47" s="482" customFormat="1" ht="15" thickBot="1" x14ac:dyDescent="0.35">
      <c r="A34" s="454">
        <v>46033</v>
      </c>
      <c r="B34" s="479">
        <v>11</v>
      </c>
      <c r="C34" s="485" t="s">
        <v>30</v>
      </c>
      <c r="D34" s="486">
        <v>33</v>
      </c>
      <c r="E34" s="486" t="s">
        <v>76</v>
      </c>
      <c r="F34" s="449">
        <v>3350</v>
      </c>
      <c r="G34" s="450">
        <v>1250</v>
      </c>
      <c r="H34" s="450">
        <v>630</v>
      </c>
      <c r="I34" s="450">
        <v>225</v>
      </c>
      <c r="J34" s="450">
        <v>125</v>
      </c>
      <c r="K34" s="468">
        <v>16578</v>
      </c>
      <c r="L34" s="469">
        <v>0</v>
      </c>
      <c r="M34" s="470">
        <v>0</v>
      </c>
      <c r="N34" s="470">
        <f>+[1]!Tabla1[[#This Row],[CAUDAL DE TRATAMIENTO]]+$M$102</f>
        <v>0</v>
      </c>
      <c r="O34" s="430">
        <f t="shared" si="14"/>
        <v>0</v>
      </c>
      <c r="P34" s="431">
        <f t="shared" si="13"/>
        <v>0</v>
      </c>
      <c r="Q34" s="430">
        <f t="shared" si="11"/>
        <v>0</v>
      </c>
      <c r="R34" s="430">
        <f t="shared" si="11"/>
        <v>0</v>
      </c>
      <c r="S34" s="432">
        <f t="shared" si="11"/>
        <v>0</v>
      </c>
      <c r="T34" s="437">
        <f t="shared" si="1"/>
        <v>0</v>
      </c>
      <c r="U34" s="438">
        <f t="shared" si="2"/>
        <v>0</v>
      </c>
      <c r="V34" s="438">
        <f t="shared" si="3"/>
        <v>0</v>
      </c>
      <c r="W34" s="457">
        <f>[1]!Tabla1[[#This Row],[CONSUMO POL ANIONICO (KG)]]</f>
        <v>0</v>
      </c>
      <c r="X34" s="432">
        <f>[1]!Tabla1[[#This Row],[CONSUMO POL CATIONICO (KG)]]</f>
        <v>0</v>
      </c>
      <c r="Y34" s="551" t="e">
        <f t="shared" si="4"/>
        <v>#DIV/0!</v>
      </c>
      <c r="Z34" s="457" t="e">
        <f t="shared" si="5"/>
        <v>#DIV/0!</v>
      </c>
      <c r="AA34" s="457" t="e">
        <f t="shared" si="6"/>
        <v>#DIV/0!</v>
      </c>
      <c r="AB34" s="457" t="e">
        <f t="shared" si="7"/>
        <v>#DIV/0!</v>
      </c>
      <c r="AC34" s="432" t="e">
        <f t="shared" si="8"/>
        <v>#DIV/0!</v>
      </c>
      <c r="AD34" s="439">
        <v>1.3</v>
      </c>
      <c r="AE34" s="439">
        <v>1.325</v>
      </c>
      <c r="AF34" s="439">
        <v>1.25</v>
      </c>
      <c r="AG34" s="440">
        <v>2500</v>
      </c>
      <c r="AH34" s="441">
        <v>2500</v>
      </c>
      <c r="AI34" s="151">
        <v>830</v>
      </c>
      <c r="AJ34" s="151">
        <v>2900</v>
      </c>
      <c r="AK34" s="151">
        <v>6295</v>
      </c>
      <c r="AL34" s="151">
        <v>19050</v>
      </c>
      <c r="AM34" s="151">
        <v>22050</v>
      </c>
      <c r="AN34" s="452">
        <f t="shared" si="12"/>
        <v>0</v>
      </c>
      <c r="AO34" s="458">
        <f t="shared" si="12"/>
        <v>0</v>
      </c>
      <c r="AP34" s="458">
        <f t="shared" si="12"/>
        <v>0</v>
      </c>
      <c r="AQ34" s="458">
        <f t="shared" si="12"/>
        <v>0</v>
      </c>
      <c r="AR34" s="459">
        <f t="shared" si="12"/>
        <v>0</v>
      </c>
      <c r="AS34" s="452">
        <f>SUM([1]!Tabla1[[#This Row],[COSTO OPERATIVO ACIDO]:[COSTO OPERATIVO CATIONICO]])</f>
        <v>0</v>
      </c>
      <c r="AT34" s="458">
        <v>5250</v>
      </c>
      <c r="AU34" s="445" t="e">
        <f t="shared" si="10"/>
        <v>#DIV/0!</v>
      </c>
    </row>
    <row r="35" spans="1:47" s="482" customFormat="1" ht="15" thickBot="1" x14ac:dyDescent="0.35">
      <c r="A35" s="200">
        <v>46034</v>
      </c>
      <c r="B35" s="479">
        <v>12</v>
      </c>
      <c r="C35" s="480" t="s">
        <v>272</v>
      </c>
      <c r="D35" s="481">
        <v>34</v>
      </c>
      <c r="E35" s="481" t="s">
        <v>75</v>
      </c>
      <c r="F35" s="435">
        <v>3350</v>
      </c>
      <c r="G35" s="436">
        <v>1250</v>
      </c>
      <c r="H35" s="436">
        <v>630</v>
      </c>
      <c r="I35" s="436">
        <v>225</v>
      </c>
      <c r="J35" s="436">
        <v>125</v>
      </c>
      <c r="K35" s="464">
        <v>16578</v>
      </c>
      <c r="L35" s="465">
        <v>0</v>
      </c>
      <c r="M35" s="466">
        <v>0</v>
      </c>
      <c r="N35" s="466">
        <f>+[1]!Tabla1[[#This Row],[CAUDAL DE TRATAMIENTO]]+$M$102</f>
        <v>0</v>
      </c>
      <c r="O35" s="424">
        <f t="shared" si="14"/>
        <v>0</v>
      </c>
      <c r="P35" s="425">
        <f t="shared" si="13"/>
        <v>0</v>
      </c>
      <c r="Q35" s="424">
        <f t="shared" si="11"/>
        <v>0</v>
      </c>
      <c r="R35" s="424">
        <f t="shared" si="11"/>
        <v>0</v>
      </c>
      <c r="S35" s="426">
        <f t="shared" si="11"/>
        <v>0</v>
      </c>
      <c r="T35" s="437">
        <f t="shared" si="1"/>
        <v>0</v>
      </c>
      <c r="U35" s="438">
        <f t="shared" si="2"/>
        <v>0</v>
      </c>
      <c r="V35" s="438">
        <f t="shared" si="3"/>
        <v>0</v>
      </c>
      <c r="W35" s="438">
        <f>[1]!Tabla1[[#This Row],[CONSUMO POL ANIONICO (KG)]]</f>
        <v>0</v>
      </c>
      <c r="X35" s="426">
        <f>[1]!Tabla1[[#This Row],[CONSUMO POL CATIONICO (KG)]]</f>
        <v>0</v>
      </c>
      <c r="Y35" s="437" t="e">
        <f t="shared" si="4"/>
        <v>#DIV/0!</v>
      </c>
      <c r="Z35" s="438" t="e">
        <f t="shared" si="5"/>
        <v>#DIV/0!</v>
      </c>
      <c r="AA35" s="438" t="e">
        <f t="shared" si="6"/>
        <v>#DIV/0!</v>
      </c>
      <c r="AB35" s="438" t="e">
        <f t="shared" si="7"/>
        <v>#DIV/0!</v>
      </c>
      <c r="AC35" s="426" t="e">
        <f t="shared" si="8"/>
        <v>#DIV/0!</v>
      </c>
      <c r="AD35" s="439">
        <v>1.3</v>
      </c>
      <c r="AE35" s="439">
        <v>1.325</v>
      </c>
      <c r="AF35" s="439">
        <v>1.25</v>
      </c>
      <c r="AG35" s="440">
        <v>2500</v>
      </c>
      <c r="AH35" s="441">
        <v>2500</v>
      </c>
      <c r="AI35" s="151">
        <v>830</v>
      </c>
      <c r="AJ35" s="151">
        <v>2900</v>
      </c>
      <c r="AK35" s="151">
        <v>6295</v>
      </c>
      <c r="AL35" s="151">
        <v>19050</v>
      </c>
      <c r="AM35" s="151">
        <v>22050</v>
      </c>
      <c r="AN35" s="442">
        <f t="shared" si="12"/>
        <v>0</v>
      </c>
      <c r="AO35" s="443">
        <f t="shared" si="12"/>
        <v>0</v>
      </c>
      <c r="AP35" s="443">
        <f t="shared" si="12"/>
        <v>0</v>
      </c>
      <c r="AQ35" s="443">
        <f t="shared" si="12"/>
        <v>0</v>
      </c>
      <c r="AR35" s="444">
        <f t="shared" si="12"/>
        <v>0</v>
      </c>
      <c r="AS35" s="442">
        <f>SUM([1]!Tabla1[[#This Row],[COSTO OPERATIVO ACIDO]:[COSTO OPERATIVO CATIONICO]])</f>
        <v>0</v>
      </c>
      <c r="AT35" s="443">
        <v>5250</v>
      </c>
      <c r="AU35" s="445" t="e">
        <f t="shared" si="10"/>
        <v>#DIV/0!</v>
      </c>
    </row>
    <row r="36" spans="1:47" s="482" customFormat="1" ht="15" thickBot="1" x14ac:dyDescent="0.35">
      <c r="A36" s="446">
        <v>46034</v>
      </c>
      <c r="B36" s="479">
        <v>12</v>
      </c>
      <c r="C36" s="483" t="s">
        <v>273</v>
      </c>
      <c r="D36" s="484">
        <v>35</v>
      </c>
      <c r="E36" s="484" t="s">
        <v>77</v>
      </c>
      <c r="F36" s="449">
        <v>3350</v>
      </c>
      <c r="G36" s="450">
        <v>1250</v>
      </c>
      <c r="H36" s="450">
        <v>630</v>
      </c>
      <c r="I36" s="450">
        <v>225</v>
      </c>
      <c r="J36" s="450">
        <v>125</v>
      </c>
      <c r="K36" s="467">
        <v>16578</v>
      </c>
      <c r="L36" s="462">
        <v>0</v>
      </c>
      <c r="M36" s="463">
        <v>0</v>
      </c>
      <c r="N36" s="463">
        <f>+[1]!Tabla1[[#This Row],[CAUDAL DE TRATAMIENTO]]+$M$102</f>
        <v>0</v>
      </c>
      <c r="O36" s="427">
        <f t="shared" si="14"/>
        <v>0</v>
      </c>
      <c r="P36" s="428">
        <f t="shared" si="13"/>
        <v>0</v>
      </c>
      <c r="Q36" s="427">
        <f t="shared" si="11"/>
        <v>0</v>
      </c>
      <c r="R36" s="427">
        <f t="shared" si="11"/>
        <v>0</v>
      </c>
      <c r="S36" s="429">
        <f t="shared" si="11"/>
        <v>0</v>
      </c>
      <c r="T36" s="437">
        <f t="shared" si="1"/>
        <v>0</v>
      </c>
      <c r="U36" s="438">
        <f t="shared" si="2"/>
        <v>0</v>
      </c>
      <c r="V36" s="438">
        <f t="shared" si="3"/>
        <v>0</v>
      </c>
      <c r="W36" s="451">
        <f>[1]!Tabla1[[#This Row],[CONSUMO POL ANIONICO (KG)]]</f>
        <v>0</v>
      </c>
      <c r="X36" s="429">
        <f>[1]!Tabla1[[#This Row],[CONSUMO POL CATIONICO (KG)]]</f>
        <v>0</v>
      </c>
      <c r="Y36" s="551" t="e">
        <f t="shared" si="4"/>
        <v>#DIV/0!</v>
      </c>
      <c r="Z36" s="451" t="e">
        <f t="shared" si="5"/>
        <v>#DIV/0!</v>
      </c>
      <c r="AA36" s="451" t="e">
        <f t="shared" si="6"/>
        <v>#DIV/0!</v>
      </c>
      <c r="AB36" s="451" t="e">
        <f t="shared" si="7"/>
        <v>#DIV/0!</v>
      </c>
      <c r="AC36" s="429" t="e">
        <f t="shared" si="8"/>
        <v>#DIV/0!</v>
      </c>
      <c r="AD36" s="439">
        <v>1.3</v>
      </c>
      <c r="AE36" s="439">
        <v>1.325</v>
      </c>
      <c r="AF36" s="439">
        <v>1.25</v>
      </c>
      <c r="AG36" s="440">
        <v>2500</v>
      </c>
      <c r="AH36" s="441">
        <v>2500</v>
      </c>
      <c r="AI36" s="151">
        <v>830</v>
      </c>
      <c r="AJ36" s="151">
        <v>2900</v>
      </c>
      <c r="AK36" s="151">
        <v>6295</v>
      </c>
      <c r="AL36" s="151">
        <v>19050</v>
      </c>
      <c r="AM36" s="151">
        <v>22050</v>
      </c>
      <c r="AN36" s="452">
        <f t="shared" si="12"/>
        <v>0</v>
      </c>
      <c r="AO36" s="445">
        <f t="shared" si="12"/>
        <v>0</v>
      </c>
      <c r="AP36" s="445">
        <f t="shared" si="12"/>
        <v>0</v>
      </c>
      <c r="AQ36" s="445">
        <f t="shared" si="12"/>
        <v>0</v>
      </c>
      <c r="AR36" s="453">
        <f t="shared" si="12"/>
        <v>0</v>
      </c>
      <c r="AS36" s="452">
        <f>SUM([1]!Tabla1[[#This Row],[COSTO OPERATIVO ACIDO]:[COSTO OPERATIVO CATIONICO]])</f>
        <v>0</v>
      </c>
      <c r="AT36" s="445">
        <v>5250</v>
      </c>
      <c r="AU36" s="445" t="e">
        <f t="shared" si="10"/>
        <v>#DIV/0!</v>
      </c>
    </row>
    <row r="37" spans="1:47" s="482" customFormat="1" ht="15" thickBot="1" x14ac:dyDescent="0.35">
      <c r="A37" s="454">
        <v>46034</v>
      </c>
      <c r="B37" s="479">
        <v>12</v>
      </c>
      <c r="C37" s="485" t="s">
        <v>30</v>
      </c>
      <c r="D37" s="486">
        <v>36</v>
      </c>
      <c r="E37" s="486" t="s">
        <v>76</v>
      </c>
      <c r="F37" s="449">
        <v>3350</v>
      </c>
      <c r="G37" s="450">
        <v>1250</v>
      </c>
      <c r="H37" s="450">
        <v>630</v>
      </c>
      <c r="I37" s="450">
        <v>225</v>
      </c>
      <c r="J37" s="450">
        <v>125</v>
      </c>
      <c r="K37" s="468">
        <v>16578</v>
      </c>
      <c r="L37" s="469">
        <v>0</v>
      </c>
      <c r="M37" s="470">
        <v>0</v>
      </c>
      <c r="N37" s="470">
        <f>+[1]!Tabla1[[#This Row],[CAUDAL DE TRATAMIENTO]]+$M$102</f>
        <v>0</v>
      </c>
      <c r="O37" s="430">
        <f t="shared" si="14"/>
        <v>0</v>
      </c>
      <c r="P37" s="431">
        <f t="shared" si="14"/>
        <v>0</v>
      </c>
      <c r="Q37" s="430">
        <f t="shared" si="11"/>
        <v>0</v>
      </c>
      <c r="R37" s="430">
        <f t="shared" si="11"/>
        <v>0</v>
      </c>
      <c r="S37" s="432">
        <f t="shared" si="11"/>
        <v>0</v>
      </c>
      <c r="T37" s="437">
        <f t="shared" si="1"/>
        <v>0</v>
      </c>
      <c r="U37" s="438">
        <f t="shared" si="2"/>
        <v>0</v>
      </c>
      <c r="V37" s="438">
        <f t="shared" si="3"/>
        <v>0</v>
      </c>
      <c r="W37" s="457">
        <f>[1]!Tabla1[[#This Row],[CONSUMO POL ANIONICO (KG)]]</f>
        <v>0</v>
      </c>
      <c r="X37" s="432">
        <f>[1]!Tabla1[[#This Row],[CONSUMO POL CATIONICO (KG)]]</f>
        <v>0</v>
      </c>
      <c r="Y37" s="551" t="e">
        <f t="shared" si="4"/>
        <v>#DIV/0!</v>
      </c>
      <c r="Z37" s="457" t="e">
        <f t="shared" si="5"/>
        <v>#DIV/0!</v>
      </c>
      <c r="AA37" s="457" t="e">
        <f t="shared" si="6"/>
        <v>#DIV/0!</v>
      </c>
      <c r="AB37" s="457" t="e">
        <f t="shared" si="7"/>
        <v>#DIV/0!</v>
      </c>
      <c r="AC37" s="432" t="e">
        <f t="shared" si="8"/>
        <v>#DIV/0!</v>
      </c>
      <c r="AD37" s="439">
        <v>1.3</v>
      </c>
      <c r="AE37" s="439">
        <v>1.325</v>
      </c>
      <c r="AF37" s="439">
        <v>1.25</v>
      </c>
      <c r="AG37" s="440">
        <v>2500</v>
      </c>
      <c r="AH37" s="441">
        <v>2500</v>
      </c>
      <c r="AI37" s="151">
        <v>830</v>
      </c>
      <c r="AJ37" s="151">
        <v>2900</v>
      </c>
      <c r="AK37" s="151">
        <v>6295</v>
      </c>
      <c r="AL37" s="151">
        <v>19050</v>
      </c>
      <c r="AM37" s="151">
        <v>22050</v>
      </c>
      <c r="AN37" s="452">
        <f t="shared" si="12"/>
        <v>0</v>
      </c>
      <c r="AO37" s="458">
        <f t="shared" si="12"/>
        <v>0</v>
      </c>
      <c r="AP37" s="458">
        <f t="shared" si="12"/>
        <v>0</v>
      </c>
      <c r="AQ37" s="458">
        <f t="shared" si="12"/>
        <v>0</v>
      </c>
      <c r="AR37" s="459">
        <f t="shared" si="12"/>
        <v>0</v>
      </c>
      <c r="AS37" s="452">
        <f>SUM([1]!Tabla1[[#This Row],[COSTO OPERATIVO ACIDO]:[COSTO OPERATIVO CATIONICO]])</f>
        <v>0</v>
      </c>
      <c r="AT37" s="458">
        <v>5250</v>
      </c>
      <c r="AU37" s="445" t="e">
        <f t="shared" si="10"/>
        <v>#DIV/0!</v>
      </c>
    </row>
    <row r="38" spans="1:47" ht="15" thickBot="1" x14ac:dyDescent="0.35">
      <c r="A38" s="200">
        <v>46035</v>
      </c>
      <c r="B38" s="150">
        <v>13</v>
      </c>
      <c r="C38" s="433" t="s">
        <v>274</v>
      </c>
      <c r="D38" s="434">
        <v>37</v>
      </c>
      <c r="E38" s="434" t="s">
        <v>75</v>
      </c>
      <c r="F38" s="435">
        <v>3350</v>
      </c>
      <c r="G38" s="436">
        <v>1250</v>
      </c>
      <c r="H38" s="436">
        <v>630</v>
      </c>
      <c r="I38" s="436">
        <v>225</v>
      </c>
      <c r="J38" s="436">
        <v>125</v>
      </c>
      <c r="K38" s="464">
        <v>16578</v>
      </c>
      <c r="L38" s="465">
        <v>241.38805970149255</v>
      </c>
      <c r="M38" s="466">
        <v>72</v>
      </c>
      <c r="N38" s="466">
        <f>+[1]!Tabla1[[#This Row],[CAUDAL DE TRATAMIENTO]]+$M$102</f>
        <v>72</v>
      </c>
      <c r="O38" s="424">
        <f t="shared" si="14"/>
        <v>180</v>
      </c>
      <c r="P38" s="478">
        <f>G38-G39+3000-150</f>
        <v>160</v>
      </c>
      <c r="Q38" s="424">
        <f t="shared" si="11"/>
        <v>80</v>
      </c>
      <c r="R38" s="424">
        <f t="shared" si="11"/>
        <v>0</v>
      </c>
      <c r="S38" s="426">
        <f t="shared" si="11"/>
        <v>0</v>
      </c>
      <c r="T38" s="437">
        <f t="shared" si="1"/>
        <v>234</v>
      </c>
      <c r="U38" s="438">
        <f t="shared" si="2"/>
        <v>212</v>
      </c>
      <c r="V38" s="438">
        <f t="shared" si="3"/>
        <v>100</v>
      </c>
      <c r="W38" s="438">
        <f>[1]!Tabla1[[#This Row],[CONSUMO POL ANIONICO (KG)]]</f>
        <v>0</v>
      </c>
      <c r="X38" s="426">
        <f>[1]!Tabla1[[#This Row],[CONSUMO POL CATIONICO (KG)]]</f>
        <v>0</v>
      </c>
      <c r="Y38" s="437">
        <f t="shared" si="4"/>
        <v>969.39343350027821</v>
      </c>
      <c r="Z38" s="438">
        <f t="shared" si="5"/>
        <v>878.25387992332901</v>
      </c>
      <c r="AA38" s="438">
        <f t="shared" si="6"/>
        <v>414.27069807704197</v>
      </c>
      <c r="AB38" s="438">
        <f t="shared" si="7"/>
        <v>0</v>
      </c>
      <c r="AC38" s="426">
        <f t="shared" si="8"/>
        <v>0</v>
      </c>
      <c r="AD38" s="439">
        <v>1.3</v>
      </c>
      <c r="AE38" s="439">
        <v>1.325</v>
      </c>
      <c r="AF38" s="439">
        <v>1.25</v>
      </c>
      <c r="AG38" s="440">
        <v>2500</v>
      </c>
      <c r="AH38" s="441">
        <v>2500</v>
      </c>
      <c r="AI38" s="151">
        <v>830</v>
      </c>
      <c r="AJ38" s="151">
        <v>2900</v>
      </c>
      <c r="AK38" s="151">
        <v>6295</v>
      </c>
      <c r="AL38" s="151">
        <v>19050</v>
      </c>
      <c r="AM38" s="151">
        <v>22050</v>
      </c>
      <c r="AN38" s="442">
        <f t="shared" si="12"/>
        <v>194220</v>
      </c>
      <c r="AO38" s="443">
        <f t="shared" si="12"/>
        <v>614800</v>
      </c>
      <c r="AP38" s="443">
        <f t="shared" si="12"/>
        <v>629500</v>
      </c>
      <c r="AQ38" s="443">
        <f t="shared" si="12"/>
        <v>0</v>
      </c>
      <c r="AR38" s="444">
        <f t="shared" si="12"/>
        <v>0</v>
      </c>
      <c r="AS38" s="442">
        <f>SUM([1]!Tabla1[[#This Row],[COSTO OPERATIVO ACIDO]:[COSTO OPERATIVO CATIONICO]])</f>
        <v>1438520</v>
      </c>
      <c r="AT38" s="443">
        <v>5250</v>
      </c>
      <c r="AU38" s="445">
        <f t="shared" si="10"/>
        <v>5959.3668459778637</v>
      </c>
    </row>
    <row r="39" spans="1:47" ht="15" thickBot="1" x14ac:dyDescent="0.35">
      <c r="A39" s="446">
        <v>46035</v>
      </c>
      <c r="B39" s="150">
        <v>13</v>
      </c>
      <c r="C39" s="447" t="s">
        <v>275</v>
      </c>
      <c r="D39" s="448">
        <v>38</v>
      </c>
      <c r="E39" s="448" t="s">
        <v>77</v>
      </c>
      <c r="F39" s="449">
        <v>3170</v>
      </c>
      <c r="G39" s="450">
        <v>3940</v>
      </c>
      <c r="H39" s="450">
        <v>550</v>
      </c>
      <c r="I39" s="450">
        <v>225</v>
      </c>
      <c r="J39" s="450">
        <v>125</v>
      </c>
      <c r="K39" s="467">
        <v>16581</v>
      </c>
      <c r="L39" s="462">
        <v>530.77611940298516</v>
      </c>
      <c r="M39" s="463">
        <v>80</v>
      </c>
      <c r="N39" s="463">
        <f>+[1]!Tabla1[[#This Row],[CAUDAL DE TRATAMIENTO]]+$M$102</f>
        <v>80</v>
      </c>
      <c r="O39" s="427">
        <f t="shared" si="14"/>
        <v>100</v>
      </c>
      <c r="P39" s="428">
        <f>G39-G40</f>
        <v>170</v>
      </c>
      <c r="Q39" s="427">
        <f t="shared" si="11"/>
        <v>50</v>
      </c>
      <c r="R39" s="427">
        <f t="shared" si="11"/>
        <v>0</v>
      </c>
      <c r="S39" s="429">
        <f t="shared" si="11"/>
        <v>5</v>
      </c>
      <c r="T39" s="437">
        <f t="shared" si="1"/>
        <v>130</v>
      </c>
      <c r="U39" s="438">
        <f t="shared" si="2"/>
        <v>225.25</v>
      </c>
      <c r="V39" s="438">
        <f t="shared" si="3"/>
        <v>62.5</v>
      </c>
      <c r="W39" s="451">
        <f>[1]!Tabla1[[#This Row],[CONSUMO POL ANIONICO (KG)]]</f>
        <v>0</v>
      </c>
      <c r="X39" s="429">
        <f>[1]!Tabla1[[#This Row],[CONSUMO POL CATIONICO (KG)]]</f>
        <v>5</v>
      </c>
      <c r="Y39" s="551">
        <f t="shared" si="4"/>
        <v>244.9243574602103</v>
      </c>
      <c r="Z39" s="451">
        <f t="shared" si="5"/>
        <v>424.37855013778744</v>
      </c>
      <c r="AA39" s="451">
        <f t="shared" si="6"/>
        <v>117.75209493279341</v>
      </c>
      <c r="AB39" s="451">
        <f t="shared" si="7"/>
        <v>0</v>
      </c>
      <c r="AC39" s="429">
        <f t="shared" si="8"/>
        <v>9.4201675946234733</v>
      </c>
      <c r="AD39" s="439">
        <v>1.3</v>
      </c>
      <c r="AE39" s="439">
        <v>1.325</v>
      </c>
      <c r="AF39" s="439">
        <v>1.25</v>
      </c>
      <c r="AG39" s="440">
        <v>2500</v>
      </c>
      <c r="AH39" s="441">
        <v>2500</v>
      </c>
      <c r="AI39" s="151">
        <v>830</v>
      </c>
      <c r="AJ39" s="151">
        <v>2900</v>
      </c>
      <c r="AK39" s="151">
        <v>6295</v>
      </c>
      <c r="AL39" s="151">
        <v>19050</v>
      </c>
      <c r="AM39" s="151">
        <v>22050</v>
      </c>
      <c r="AN39" s="452">
        <f t="shared" si="12"/>
        <v>107900</v>
      </c>
      <c r="AO39" s="445">
        <f t="shared" si="12"/>
        <v>653225</v>
      </c>
      <c r="AP39" s="445">
        <f t="shared" si="12"/>
        <v>393437.5</v>
      </c>
      <c r="AQ39" s="445">
        <f t="shared" si="12"/>
        <v>0</v>
      </c>
      <c r="AR39" s="453">
        <f t="shared" si="12"/>
        <v>110250</v>
      </c>
      <c r="AS39" s="452">
        <f>SUM([1]!Tabla1[[#This Row],[COSTO OPERATIVO ACIDO]:[COSTO OPERATIVO CATIONICO]])</f>
        <v>1264812.5</v>
      </c>
      <c r="AT39" s="445">
        <v>5250</v>
      </c>
      <c r="AU39" s="445">
        <f t="shared" si="10"/>
        <v>2382.9491451549402</v>
      </c>
    </row>
    <row r="40" spans="1:47" ht="15" thickBot="1" x14ac:dyDescent="0.35">
      <c r="A40" s="454">
        <v>46035</v>
      </c>
      <c r="B40" s="150">
        <v>13</v>
      </c>
      <c r="C40" s="455" t="s">
        <v>30</v>
      </c>
      <c r="D40" s="456">
        <v>39</v>
      </c>
      <c r="E40" s="456" t="s">
        <v>76</v>
      </c>
      <c r="F40" s="449">
        <v>3070</v>
      </c>
      <c r="G40" s="450">
        <v>3770</v>
      </c>
      <c r="H40" s="450">
        <v>500</v>
      </c>
      <c r="I40" s="450">
        <v>225</v>
      </c>
      <c r="J40" s="450">
        <v>120</v>
      </c>
      <c r="K40" s="468">
        <v>16587</v>
      </c>
      <c r="L40" s="469">
        <v>707.70149253731347</v>
      </c>
      <c r="M40" s="470">
        <v>80</v>
      </c>
      <c r="N40" s="470">
        <f>+[1]!Tabla1[[#This Row],[CAUDAL DE TRATAMIENTO]]+$M$102</f>
        <v>80</v>
      </c>
      <c r="O40" s="423">
        <f>F40-F41-100</f>
        <v>190</v>
      </c>
      <c r="P40" s="431">
        <f>G40-G41</f>
        <v>320</v>
      </c>
      <c r="Q40" s="487">
        <f>H40-H41+610</f>
        <v>110</v>
      </c>
      <c r="R40" s="430">
        <f t="shared" si="11"/>
        <v>5</v>
      </c>
      <c r="S40" s="432">
        <f t="shared" si="11"/>
        <v>5</v>
      </c>
      <c r="T40" s="437">
        <f t="shared" si="1"/>
        <v>247</v>
      </c>
      <c r="U40" s="438">
        <f t="shared" si="2"/>
        <v>424</v>
      </c>
      <c r="V40" s="438">
        <f t="shared" si="3"/>
        <v>137.5</v>
      </c>
      <c r="W40" s="457">
        <f>[1]!Tabla1[[#This Row],[CONSUMO POL ANIONICO (KG)]]</f>
        <v>5</v>
      </c>
      <c r="X40" s="432">
        <f>[1]!Tabla1[[#This Row],[CONSUMO POL CATIONICO (KG)]]</f>
        <v>5</v>
      </c>
      <c r="Y40" s="551">
        <f t="shared" si="4"/>
        <v>349.01720938079973</v>
      </c>
      <c r="Z40" s="457">
        <f t="shared" si="5"/>
        <v>599.1226590180529</v>
      </c>
      <c r="AA40" s="457">
        <f t="shared" si="6"/>
        <v>194.29095663910914</v>
      </c>
      <c r="AB40" s="457">
        <f t="shared" si="7"/>
        <v>7.0651256959676054</v>
      </c>
      <c r="AC40" s="432">
        <f t="shared" si="8"/>
        <v>7.0651256959676054</v>
      </c>
      <c r="AD40" s="439">
        <v>1.3</v>
      </c>
      <c r="AE40" s="439">
        <v>1.325</v>
      </c>
      <c r="AF40" s="439">
        <v>1.25</v>
      </c>
      <c r="AG40" s="440">
        <v>2500</v>
      </c>
      <c r="AH40" s="441">
        <v>2500</v>
      </c>
      <c r="AI40" s="151">
        <v>830</v>
      </c>
      <c r="AJ40" s="151">
        <v>2900</v>
      </c>
      <c r="AK40" s="151">
        <v>6295</v>
      </c>
      <c r="AL40" s="151">
        <v>19050</v>
      </c>
      <c r="AM40" s="151">
        <v>22050</v>
      </c>
      <c r="AN40" s="452">
        <f t="shared" si="12"/>
        <v>205010</v>
      </c>
      <c r="AO40" s="458">
        <f t="shared" si="12"/>
        <v>1229600</v>
      </c>
      <c r="AP40" s="458">
        <f t="shared" si="12"/>
        <v>865562.5</v>
      </c>
      <c r="AQ40" s="458">
        <f t="shared" si="12"/>
        <v>95250</v>
      </c>
      <c r="AR40" s="459">
        <f t="shared" si="12"/>
        <v>110250</v>
      </c>
      <c r="AS40" s="452">
        <f>SUM([1]!Tabla1[[#This Row],[COSTO OPERATIVO ACIDO]:[COSTO OPERATIVO CATIONICO]])</f>
        <v>2505672.5</v>
      </c>
      <c r="AT40" s="458">
        <v>5250</v>
      </c>
      <c r="AU40" s="445">
        <f t="shared" si="10"/>
        <v>3540.5782330858779</v>
      </c>
    </row>
    <row r="41" spans="1:47" ht="15" thickBot="1" x14ac:dyDescent="0.35">
      <c r="A41" s="200">
        <v>46036</v>
      </c>
      <c r="B41" s="150">
        <v>14</v>
      </c>
      <c r="C41" s="433" t="s">
        <v>276</v>
      </c>
      <c r="D41" s="434">
        <v>40</v>
      </c>
      <c r="E41" s="434" t="s">
        <v>75</v>
      </c>
      <c r="F41" s="435">
        <v>2780</v>
      </c>
      <c r="G41" s="436">
        <v>3450</v>
      </c>
      <c r="H41" s="436">
        <v>1000</v>
      </c>
      <c r="I41" s="436">
        <v>220</v>
      </c>
      <c r="J41" s="436">
        <v>115</v>
      </c>
      <c r="K41" s="464">
        <v>16595</v>
      </c>
      <c r="L41" s="465">
        <v>530.77611940298516</v>
      </c>
      <c r="M41" s="466">
        <v>80</v>
      </c>
      <c r="N41" s="466">
        <f>+[1]!Tabla1[[#This Row],[CAUDAL DE TRATAMIENTO]]+$M$102</f>
        <v>80</v>
      </c>
      <c r="O41" s="424">
        <f t="shared" ref="O41:P50" si="15">F41-F42</f>
        <v>40</v>
      </c>
      <c r="P41" s="425">
        <f>G41-G42</f>
        <v>220</v>
      </c>
      <c r="Q41" s="424">
        <f t="shared" ref="Q41:S51" si="16">H41-H42</f>
        <v>120</v>
      </c>
      <c r="R41" s="424">
        <f t="shared" si="11"/>
        <v>0</v>
      </c>
      <c r="S41" s="426">
        <f t="shared" si="11"/>
        <v>5</v>
      </c>
      <c r="T41" s="437">
        <f t="shared" si="1"/>
        <v>52</v>
      </c>
      <c r="U41" s="438">
        <f t="shared" si="2"/>
        <v>291.5</v>
      </c>
      <c r="V41" s="438">
        <f t="shared" si="3"/>
        <v>150</v>
      </c>
      <c r="W41" s="438">
        <f>[1]!Tabla1[[#This Row],[CONSUMO POL ANIONICO (KG)]]</f>
        <v>0</v>
      </c>
      <c r="X41" s="426">
        <f>[1]!Tabla1[[#This Row],[CONSUMO POL CATIONICO (KG)]]</f>
        <v>5</v>
      </c>
      <c r="Y41" s="437">
        <f t="shared" si="4"/>
        <v>97.969742984084121</v>
      </c>
      <c r="Z41" s="438">
        <f t="shared" si="5"/>
        <v>549.19577076654843</v>
      </c>
      <c r="AA41" s="438">
        <f t="shared" si="6"/>
        <v>282.60502783870419</v>
      </c>
      <c r="AB41" s="438">
        <f t="shared" si="7"/>
        <v>0</v>
      </c>
      <c r="AC41" s="426">
        <f t="shared" si="8"/>
        <v>9.4201675946234733</v>
      </c>
      <c r="AD41" s="439">
        <v>1.3</v>
      </c>
      <c r="AE41" s="439">
        <v>1.325</v>
      </c>
      <c r="AF41" s="439">
        <v>1.25</v>
      </c>
      <c r="AG41" s="440">
        <v>2500</v>
      </c>
      <c r="AH41" s="441">
        <v>2500</v>
      </c>
      <c r="AI41" s="151">
        <v>830</v>
      </c>
      <c r="AJ41" s="151">
        <v>2900</v>
      </c>
      <c r="AK41" s="151">
        <v>6295</v>
      </c>
      <c r="AL41" s="151">
        <v>19050</v>
      </c>
      <c r="AM41" s="151">
        <v>22050</v>
      </c>
      <c r="AN41" s="442">
        <f t="shared" si="12"/>
        <v>43160</v>
      </c>
      <c r="AO41" s="443">
        <f t="shared" si="12"/>
        <v>845350</v>
      </c>
      <c r="AP41" s="443">
        <f t="shared" si="12"/>
        <v>944250</v>
      </c>
      <c r="AQ41" s="443">
        <f t="shared" si="12"/>
        <v>0</v>
      </c>
      <c r="AR41" s="444">
        <f t="shared" si="12"/>
        <v>110250</v>
      </c>
      <c r="AS41" s="442">
        <f>SUM([1]!Tabla1[[#This Row],[COSTO OPERATIVO ACIDO]:[COSTO OPERATIVO CATIONICO]])</f>
        <v>1943010</v>
      </c>
      <c r="AT41" s="443">
        <v>5250</v>
      </c>
      <c r="AU41" s="445">
        <f t="shared" si="10"/>
        <v>3660.6959676058709</v>
      </c>
    </row>
    <row r="42" spans="1:47" ht="15" thickBot="1" x14ac:dyDescent="0.35">
      <c r="A42" s="446">
        <v>46036</v>
      </c>
      <c r="B42" s="150">
        <v>14</v>
      </c>
      <c r="C42" s="447" t="s">
        <v>277</v>
      </c>
      <c r="D42" s="448">
        <v>41</v>
      </c>
      <c r="E42" s="448" t="s">
        <v>77</v>
      </c>
      <c r="F42" s="449">
        <v>2740</v>
      </c>
      <c r="G42" s="450">
        <v>3230</v>
      </c>
      <c r="H42" s="450">
        <v>880</v>
      </c>
      <c r="I42" s="450">
        <v>220</v>
      </c>
      <c r="J42" s="450">
        <v>110</v>
      </c>
      <c r="K42" s="467">
        <v>16601</v>
      </c>
      <c r="L42" s="462">
        <v>530.77611940298516</v>
      </c>
      <c r="M42" s="463">
        <v>80</v>
      </c>
      <c r="N42" s="463">
        <f>+[1]!Tabla1[[#This Row],[CAUDAL DE TRATAMIENTO]]+$M$102</f>
        <v>80</v>
      </c>
      <c r="O42" s="427">
        <f t="shared" si="15"/>
        <v>230</v>
      </c>
      <c r="P42" s="421">
        <f>G42-G43-160</f>
        <v>350</v>
      </c>
      <c r="Q42" s="427">
        <f t="shared" si="16"/>
        <v>160</v>
      </c>
      <c r="R42" s="427">
        <f t="shared" si="11"/>
        <v>0</v>
      </c>
      <c r="S42" s="429">
        <f t="shared" si="11"/>
        <v>5</v>
      </c>
      <c r="T42" s="437">
        <f t="shared" si="1"/>
        <v>299</v>
      </c>
      <c r="U42" s="438">
        <f t="shared" si="2"/>
        <v>463.75</v>
      </c>
      <c r="V42" s="438">
        <f t="shared" si="3"/>
        <v>200</v>
      </c>
      <c r="W42" s="451">
        <f>[1]!Tabla1[[#This Row],[CONSUMO POL ANIONICO (KG)]]</f>
        <v>0</v>
      </c>
      <c r="X42" s="429">
        <f>[1]!Tabla1[[#This Row],[CONSUMO POL CATIONICO (KG)]]</f>
        <v>5</v>
      </c>
      <c r="Y42" s="551">
        <f t="shared" si="4"/>
        <v>563.32602215848374</v>
      </c>
      <c r="Z42" s="451">
        <f t="shared" si="5"/>
        <v>873.72054440132717</v>
      </c>
      <c r="AA42" s="451">
        <f t="shared" si="6"/>
        <v>376.80670378493892</v>
      </c>
      <c r="AB42" s="451">
        <f t="shared" si="7"/>
        <v>0</v>
      </c>
      <c r="AC42" s="429">
        <f t="shared" si="8"/>
        <v>9.4201675946234733</v>
      </c>
      <c r="AD42" s="439">
        <v>1.3</v>
      </c>
      <c r="AE42" s="439">
        <v>1.325</v>
      </c>
      <c r="AF42" s="439">
        <v>1.25</v>
      </c>
      <c r="AG42" s="440">
        <v>2500</v>
      </c>
      <c r="AH42" s="441">
        <v>2500</v>
      </c>
      <c r="AI42" s="151">
        <v>830</v>
      </c>
      <c r="AJ42" s="151">
        <v>2900</v>
      </c>
      <c r="AK42" s="151">
        <v>6295</v>
      </c>
      <c r="AL42" s="151">
        <v>19050</v>
      </c>
      <c r="AM42" s="151">
        <v>22050</v>
      </c>
      <c r="AN42" s="452">
        <f t="shared" si="12"/>
        <v>248170</v>
      </c>
      <c r="AO42" s="445">
        <f t="shared" si="12"/>
        <v>1344875</v>
      </c>
      <c r="AP42" s="445">
        <f t="shared" si="12"/>
        <v>1259000</v>
      </c>
      <c r="AQ42" s="445">
        <f t="shared" si="12"/>
        <v>0</v>
      </c>
      <c r="AR42" s="453">
        <f t="shared" si="12"/>
        <v>110250</v>
      </c>
      <c r="AS42" s="452">
        <f>SUM([1]!Tabla1[[#This Row],[COSTO OPERATIVO ACIDO]:[COSTO OPERATIVO CATIONICO]])</f>
        <v>2962295</v>
      </c>
      <c r="AT42" s="445">
        <v>5250</v>
      </c>
      <c r="AU42" s="445">
        <f t="shared" si="10"/>
        <v>5581.0630729430286</v>
      </c>
    </row>
    <row r="43" spans="1:47" ht="15" thickBot="1" x14ac:dyDescent="0.35">
      <c r="A43" s="454">
        <v>46036</v>
      </c>
      <c r="B43" s="150">
        <v>14</v>
      </c>
      <c r="C43" s="455" t="s">
        <v>30</v>
      </c>
      <c r="D43" s="456">
        <v>42</v>
      </c>
      <c r="E43" s="456" t="s">
        <v>76</v>
      </c>
      <c r="F43" s="449">
        <v>2510</v>
      </c>
      <c r="G43" s="450">
        <v>2720</v>
      </c>
      <c r="H43" s="450">
        <v>720</v>
      </c>
      <c r="I43" s="450">
        <v>220</v>
      </c>
      <c r="J43" s="450">
        <v>105</v>
      </c>
      <c r="K43" s="468">
        <v>16607</v>
      </c>
      <c r="L43" s="469">
        <v>707.70149253731347</v>
      </c>
      <c r="M43" s="470">
        <v>80</v>
      </c>
      <c r="N43" s="470">
        <f>+[1]!Tabla1[[#This Row],[CAUDAL DE TRATAMIENTO]]+$M$102</f>
        <v>80</v>
      </c>
      <c r="O43" s="430">
        <f t="shared" si="15"/>
        <v>10</v>
      </c>
      <c r="P43" s="431">
        <f t="shared" si="15"/>
        <v>110</v>
      </c>
      <c r="Q43" s="430">
        <f t="shared" si="16"/>
        <v>70</v>
      </c>
      <c r="R43" s="430">
        <f t="shared" si="11"/>
        <v>5</v>
      </c>
      <c r="S43" s="432">
        <f t="shared" si="11"/>
        <v>5</v>
      </c>
      <c r="T43" s="437">
        <f t="shared" si="1"/>
        <v>13</v>
      </c>
      <c r="U43" s="438">
        <f t="shared" si="2"/>
        <v>145.75</v>
      </c>
      <c r="V43" s="438">
        <f t="shared" si="3"/>
        <v>87.5</v>
      </c>
      <c r="W43" s="457">
        <f>[1]!Tabla1[[#This Row],[CONSUMO POL ANIONICO (KG)]]</f>
        <v>5</v>
      </c>
      <c r="X43" s="432">
        <f>[1]!Tabla1[[#This Row],[CONSUMO POL CATIONICO (KG)]]</f>
        <v>5</v>
      </c>
      <c r="Y43" s="551">
        <f t="shared" si="4"/>
        <v>18.369326809515773</v>
      </c>
      <c r="Z43" s="457">
        <f t="shared" si="5"/>
        <v>205.94841403745571</v>
      </c>
      <c r="AA43" s="457">
        <f t="shared" si="6"/>
        <v>123.63969967943309</v>
      </c>
      <c r="AB43" s="457">
        <f t="shared" si="7"/>
        <v>7.0651256959676054</v>
      </c>
      <c r="AC43" s="432">
        <f t="shared" si="8"/>
        <v>7.0651256959676054</v>
      </c>
      <c r="AD43" s="439">
        <v>1.3</v>
      </c>
      <c r="AE43" s="439">
        <v>1.325</v>
      </c>
      <c r="AF43" s="439">
        <v>1.25</v>
      </c>
      <c r="AG43" s="440">
        <v>2500</v>
      </c>
      <c r="AH43" s="441">
        <v>2500</v>
      </c>
      <c r="AI43" s="151">
        <v>830</v>
      </c>
      <c r="AJ43" s="151">
        <v>2900</v>
      </c>
      <c r="AK43" s="151">
        <v>6295</v>
      </c>
      <c r="AL43" s="151">
        <v>19050</v>
      </c>
      <c r="AM43" s="151">
        <v>22050</v>
      </c>
      <c r="AN43" s="452">
        <f t="shared" si="12"/>
        <v>10790</v>
      </c>
      <c r="AO43" s="458">
        <f t="shared" si="12"/>
        <v>422675</v>
      </c>
      <c r="AP43" s="458">
        <f t="shared" si="12"/>
        <v>550812.5</v>
      </c>
      <c r="AQ43" s="458">
        <f t="shared" si="12"/>
        <v>95250</v>
      </c>
      <c r="AR43" s="459">
        <f t="shared" si="12"/>
        <v>110250</v>
      </c>
      <c r="AS43" s="452">
        <f>SUM([1]!Tabla1[[#This Row],[COSTO OPERATIVO ACIDO]:[COSTO OPERATIVO CATIONICO]])</f>
        <v>1189777.5</v>
      </c>
      <c r="AT43" s="458">
        <v>5250</v>
      </c>
      <c r="AU43" s="445">
        <f t="shared" si="10"/>
        <v>1681.1855175468195</v>
      </c>
    </row>
    <row r="44" spans="1:47" ht="15" thickBot="1" x14ac:dyDescent="0.35">
      <c r="A44" s="200">
        <v>46037</v>
      </c>
      <c r="B44" s="150">
        <v>15</v>
      </c>
      <c r="C44" s="433" t="s">
        <v>278</v>
      </c>
      <c r="D44" s="434">
        <v>43</v>
      </c>
      <c r="E44" s="434" t="s">
        <v>75</v>
      </c>
      <c r="F44" s="435">
        <v>2500</v>
      </c>
      <c r="G44" s="436">
        <v>2610</v>
      </c>
      <c r="H44" s="436">
        <v>650</v>
      </c>
      <c r="I44" s="436">
        <v>215</v>
      </c>
      <c r="J44" s="436">
        <v>100</v>
      </c>
      <c r="K44" s="464">
        <v>16615</v>
      </c>
      <c r="L44" s="465">
        <v>619.23880597014931</v>
      </c>
      <c r="M44" s="466">
        <v>80</v>
      </c>
      <c r="N44" s="466">
        <f>+[1]!Tabla1[[#This Row],[CAUDAL DE TRATAMIENTO]]+$M$102</f>
        <v>80</v>
      </c>
      <c r="O44" s="424">
        <f t="shared" si="15"/>
        <v>50</v>
      </c>
      <c r="P44" s="425">
        <f t="shared" si="15"/>
        <v>270</v>
      </c>
      <c r="Q44" s="424">
        <f t="shared" si="16"/>
        <v>50</v>
      </c>
      <c r="R44" s="424">
        <f t="shared" si="11"/>
        <v>0</v>
      </c>
      <c r="S44" s="426">
        <f t="shared" si="11"/>
        <v>5</v>
      </c>
      <c r="T44" s="437">
        <f t="shared" si="1"/>
        <v>65</v>
      </c>
      <c r="U44" s="438">
        <f t="shared" si="2"/>
        <v>357.75</v>
      </c>
      <c r="V44" s="438">
        <f t="shared" si="3"/>
        <v>62.5</v>
      </c>
      <c r="W44" s="438">
        <f>[1]!Tabla1[[#This Row],[CONSUMO POL ANIONICO (KG)]]</f>
        <v>0</v>
      </c>
      <c r="X44" s="426">
        <f>[1]!Tabla1[[#This Row],[CONSUMO POL CATIONICO (KG)]]</f>
        <v>5</v>
      </c>
      <c r="Y44" s="437">
        <f t="shared" si="4"/>
        <v>104.96758176866156</v>
      </c>
      <c r="Z44" s="438">
        <f t="shared" si="5"/>
        <v>577.72542119597961</v>
      </c>
      <c r="AA44" s="438">
        <f t="shared" si="6"/>
        <v>100.9303670852515</v>
      </c>
      <c r="AB44" s="438">
        <f t="shared" si="7"/>
        <v>0</v>
      </c>
      <c r="AC44" s="426">
        <f t="shared" si="8"/>
        <v>8.0744293668201195</v>
      </c>
      <c r="AD44" s="439">
        <v>1.3</v>
      </c>
      <c r="AE44" s="439">
        <v>1.325</v>
      </c>
      <c r="AF44" s="439">
        <v>1.25</v>
      </c>
      <c r="AG44" s="440">
        <v>2500</v>
      </c>
      <c r="AH44" s="441">
        <v>2500</v>
      </c>
      <c r="AI44" s="151">
        <v>830</v>
      </c>
      <c r="AJ44" s="151">
        <v>2900</v>
      </c>
      <c r="AK44" s="151">
        <v>6295</v>
      </c>
      <c r="AL44" s="151">
        <v>19050</v>
      </c>
      <c r="AM44" s="151">
        <v>22050</v>
      </c>
      <c r="AN44" s="442">
        <f t="shared" si="12"/>
        <v>53950</v>
      </c>
      <c r="AO44" s="443">
        <f t="shared" si="12"/>
        <v>1037475</v>
      </c>
      <c r="AP44" s="443">
        <f t="shared" si="12"/>
        <v>393437.5</v>
      </c>
      <c r="AQ44" s="443">
        <f t="shared" si="12"/>
        <v>0</v>
      </c>
      <c r="AR44" s="444">
        <f t="shared" si="12"/>
        <v>110250</v>
      </c>
      <c r="AS44" s="442">
        <f>SUM([1]!Tabla1[[#This Row],[COSTO OPERATIVO ACIDO]:[COSTO OPERATIVO CATIONICO]])</f>
        <v>1595112.5</v>
      </c>
      <c r="AT44" s="443">
        <v>5250</v>
      </c>
      <c r="AU44" s="445">
        <f t="shared" si="10"/>
        <v>2575.9246426763716</v>
      </c>
    </row>
    <row r="45" spans="1:47" ht="15" thickBot="1" x14ac:dyDescent="0.35">
      <c r="A45" s="446">
        <v>46037</v>
      </c>
      <c r="B45" s="150">
        <v>15</v>
      </c>
      <c r="C45" s="447" t="s">
        <v>279</v>
      </c>
      <c r="D45" s="448">
        <v>44</v>
      </c>
      <c r="E45" s="448" t="s">
        <v>77</v>
      </c>
      <c r="F45" s="449">
        <v>2450</v>
      </c>
      <c r="G45" s="450">
        <v>2340</v>
      </c>
      <c r="H45" s="450">
        <v>600</v>
      </c>
      <c r="I45" s="450">
        <v>215</v>
      </c>
      <c r="J45" s="450">
        <v>95</v>
      </c>
      <c r="K45" s="467">
        <v>16622</v>
      </c>
      <c r="L45" s="462">
        <v>619.23880597014931</v>
      </c>
      <c r="M45" s="463">
        <v>80</v>
      </c>
      <c r="N45" s="463">
        <f>+[1]!Tabla1[[#This Row],[CAUDAL DE TRATAMIENTO]]+$M$102</f>
        <v>80</v>
      </c>
      <c r="O45" s="427">
        <f t="shared" si="15"/>
        <v>30</v>
      </c>
      <c r="P45" s="428">
        <f t="shared" si="15"/>
        <v>190</v>
      </c>
      <c r="Q45" s="427">
        <f t="shared" si="16"/>
        <v>70</v>
      </c>
      <c r="R45" s="427">
        <f t="shared" si="11"/>
        <v>0</v>
      </c>
      <c r="S45" s="429">
        <f t="shared" si="11"/>
        <v>5</v>
      </c>
      <c r="T45" s="437">
        <f t="shared" si="1"/>
        <v>39</v>
      </c>
      <c r="U45" s="438">
        <f t="shared" si="2"/>
        <v>251.75</v>
      </c>
      <c r="V45" s="438">
        <f t="shared" si="3"/>
        <v>87.5</v>
      </c>
      <c r="W45" s="451">
        <f>[1]!Tabla1[[#This Row],[CONSUMO POL ANIONICO (KG)]]</f>
        <v>0</v>
      </c>
      <c r="X45" s="429">
        <f>[1]!Tabla1[[#This Row],[CONSUMO POL CATIONICO (KG)]]</f>
        <v>5</v>
      </c>
      <c r="Y45" s="551">
        <f t="shared" si="4"/>
        <v>62.980549061196939</v>
      </c>
      <c r="Z45" s="451">
        <f t="shared" si="5"/>
        <v>406.54751861939303</v>
      </c>
      <c r="AA45" s="451">
        <f t="shared" si="6"/>
        <v>141.30251391935209</v>
      </c>
      <c r="AB45" s="451">
        <f t="shared" si="7"/>
        <v>0</v>
      </c>
      <c r="AC45" s="429">
        <f t="shared" si="8"/>
        <v>8.0744293668201195</v>
      </c>
      <c r="AD45" s="439">
        <v>1.3</v>
      </c>
      <c r="AE45" s="439">
        <v>1.325</v>
      </c>
      <c r="AF45" s="439">
        <v>1.25</v>
      </c>
      <c r="AG45" s="440">
        <v>2500</v>
      </c>
      <c r="AH45" s="441">
        <v>2500</v>
      </c>
      <c r="AI45" s="151">
        <v>830</v>
      </c>
      <c r="AJ45" s="151">
        <v>2900</v>
      </c>
      <c r="AK45" s="151">
        <v>6295</v>
      </c>
      <c r="AL45" s="151">
        <v>19050</v>
      </c>
      <c r="AM45" s="151">
        <v>22050</v>
      </c>
      <c r="AN45" s="452">
        <f t="shared" si="12"/>
        <v>32370</v>
      </c>
      <c r="AO45" s="445">
        <f t="shared" si="12"/>
        <v>730075</v>
      </c>
      <c r="AP45" s="445">
        <f t="shared" si="12"/>
        <v>550812.5</v>
      </c>
      <c r="AQ45" s="445">
        <f t="shared" si="12"/>
        <v>0</v>
      </c>
      <c r="AR45" s="453">
        <f t="shared" si="12"/>
        <v>110250</v>
      </c>
      <c r="AS45" s="452">
        <f>SUM([1]!Tabla1[[#This Row],[COSTO OPERATIVO ACIDO]:[COSTO OPERATIVO CATIONICO]])</f>
        <v>1423507.5</v>
      </c>
      <c r="AT45" s="445">
        <v>5250</v>
      </c>
      <c r="AU45" s="445">
        <f t="shared" si="10"/>
        <v>2298.8021523777384</v>
      </c>
    </row>
    <row r="46" spans="1:47" ht="15" thickBot="1" x14ac:dyDescent="0.35">
      <c r="A46" s="454">
        <v>46037</v>
      </c>
      <c r="B46" s="150">
        <v>15</v>
      </c>
      <c r="C46" s="455" t="s">
        <v>30</v>
      </c>
      <c r="D46" s="456">
        <v>45</v>
      </c>
      <c r="E46" s="456" t="s">
        <v>76</v>
      </c>
      <c r="F46" s="449">
        <v>2420</v>
      </c>
      <c r="G46" s="450">
        <v>2150</v>
      </c>
      <c r="H46" s="450">
        <v>530</v>
      </c>
      <c r="I46" s="450">
        <v>215</v>
      </c>
      <c r="J46" s="450">
        <v>90</v>
      </c>
      <c r="K46" s="468">
        <v>16629</v>
      </c>
      <c r="L46" s="469">
        <v>530.77611940298516</v>
      </c>
      <c r="M46" s="470">
        <v>80</v>
      </c>
      <c r="N46" s="470">
        <f>+[1]!Tabla1[[#This Row],[CAUDAL DE TRATAMIENTO]]+$M$102</f>
        <v>80</v>
      </c>
      <c r="O46" s="430">
        <f t="shared" si="15"/>
        <v>120</v>
      </c>
      <c r="P46" s="431">
        <f t="shared" si="15"/>
        <v>150</v>
      </c>
      <c r="Q46" s="430">
        <f t="shared" si="16"/>
        <v>30</v>
      </c>
      <c r="R46" s="430">
        <f t="shared" si="11"/>
        <v>5</v>
      </c>
      <c r="S46" s="432">
        <f t="shared" si="11"/>
        <v>5</v>
      </c>
      <c r="T46" s="437">
        <f t="shared" si="1"/>
        <v>156</v>
      </c>
      <c r="U46" s="438">
        <f t="shared" si="2"/>
        <v>198.75</v>
      </c>
      <c r="V46" s="438">
        <f t="shared" si="3"/>
        <v>37.5</v>
      </c>
      <c r="W46" s="457">
        <f>[1]!Tabla1[[#This Row],[CONSUMO POL ANIONICO (KG)]]</f>
        <v>5</v>
      </c>
      <c r="X46" s="432">
        <f>[1]!Tabla1[[#This Row],[CONSUMO POL CATIONICO (KG)]]</f>
        <v>5</v>
      </c>
      <c r="Y46" s="551">
        <f t="shared" si="4"/>
        <v>293.90922895225236</v>
      </c>
      <c r="Z46" s="457">
        <f t="shared" si="5"/>
        <v>374.45166188628303</v>
      </c>
      <c r="AA46" s="457">
        <f t="shared" si="6"/>
        <v>70.651256959676047</v>
      </c>
      <c r="AB46" s="457">
        <f t="shared" si="7"/>
        <v>9.4201675946234733</v>
      </c>
      <c r="AC46" s="432">
        <f t="shared" si="8"/>
        <v>9.4201675946234733</v>
      </c>
      <c r="AD46" s="439">
        <v>1.3</v>
      </c>
      <c r="AE46" s="439">
        <v>1.325</v>
      </c>
      <c r="AF46" s="439">
        <v>1.25</v>
      </c>
      <c r="AG46" s="440">
        <v>2500</v>
      </c>
      <c r="AH46" s="441">
        <v>2500</v>
      </c>
      <c r="AI46" s="151">
        <v>830</v>
      </c>
      <c r="AJ46" s="151">
        <v>2900</v>
      </c>
      <c r="AK46" s="151">
        <v>6295</v>
      </c>
      <c r="AL46" s="151">
        <v>19050</v>
      </c>
      <c r="AM46" s="151">
        <v>22050</v>
      </c>
      <c r="AN46" s="452">
        <f t="shared" si="12"/>
        <v>129480</v>
      </c>
      <c r="AO46" s="458">
        <f t="shared" si="12"/>
        <v>576375</v>
      </c>
      <c r="AP46" s="458">
        <f t="shared" si="12"/>
        <v>236062.5</v>
      </c>
      <c r="AQ46" s="458">
        <f t="shared" si="12"/>
        <v>95250</v>
      </c>
      <c r="AR46" s="459">
        <f t="shared" si="12"/>
        <v>110250</v>
      </c>
      <c r="AS46" s="452">
        <f>SUM([1]!Tabla1[[#This Row],[COSTO OPERATIVO ACIDO]:[COSTO OPERATIVO CATIONICO]])</f>
        <v>1147417.5</v>
      </c>
      <c r="AT46" s="458">
        <v>5250</v>
      </c>
      <c r="AU46" s="445">
        <f t="shared" si="10"/>
        <v>2161.7730302007758</v>
      </c>
    </row>
    <row r="47" spans="1:47" ht="15" thickBot="1" x14ac:dyDescent="0.35">
      <c r="A47" s="200">
        <v>46038</v>
      </c>
      <c r="B47" s="150">
        <v>16</v>
      </c>
      <c r="C47" s="433" t="s">
        <v>280</v>
      </c>
      <c r="D47" s="434">
        <v>46</v>
      </c>
      <c r="E47" s="434" t="s">
        <v>75</v>
      </c>
      <c r="F47" s="435">
        <v>2300</v>
      </c>
      <c r="G47" s="436">
        <v>2000</v>
      </c>
      <c r="H47" s="436">
        <v>500</v>
      </c>
      <c r="I47" s="436">
        <v>210</v>
      </c>
      <c r="J47" s="436">
        <v>85</v>
      </c>
      <c r="K47" s="464">
        <v>16635</v>
      </c>
      <c r="L47" s="465">
        <v>542.77611940298516</v>
      </c>
      <c r="M47" s="466">
        <v>82</v>
      </c>
      <c r="N47" s="466">
        <f>+[1]!Tabla1[[#This Row],[CAUDAL DE TRATAMIENTO]]+$M$102</f>
        <v>82</v>
      </c>
      <c r="O47" s="544">
        <f>F47-F48-100</f>
        <v>100</v>
      </c>
      <c r="P47" s="425">
        <f t="shared" si="15"/>
        <v>180</v>
      </c>
      <c r="Q47" s="424">
        <f t="shared" si="16"/>
        <v>50</v>
      </c>
      <c r="R47" s="424">
        <f t="shared" si="11"/>
        <v>0</v>
      </c>
      <c r="S47" s="426">
        <f t="shared" si="11"/>
        <v>5</v>
      </c>
      <c r="T47" s="437">
        <f t="shared" si="1"/>
        <v>130</v>
      </c>
      <c r="U47" s="438">
        <f t="shared" si="2"/>
        <v>238.5</v>
      </c>
      <c r="V47" s="438">
        <f t="shared" si="3"/>
        <v>62.5</v>
      </c>
      <c r="W47" s="438">
        <f>[1]!Tabla1[[#This Row],[CONSUMO POL ANIONICO (KG)]]</f>
        <v>0</v>
      </c>
      <c r="X47" s="426">
        <f>[1]!Tabla1[[#This Row],[CONSUMO POL CATIONICO (KG)]]</f>
        <v>5</v>
      </c>
      <c r="Y47" s="437">
        <f t="shared" si="4"/>
        <v>239.5094318869273</v>
      </c>
      <c r="Z47" s="438">
        <f t="shared" si="5"/>
        <v>439.40768850024739</v>
      </c>
      <c r="AA47" s="438">
        <f t="shared" si="6"/>
        <v>115.14876533025351</v>
      </c>
      <c r="AB47" s="438">
        <f t="shared" si="7"/>
        <v>0</v>
      </c>
      <c r="AC47" s="426">
        <f t="shared" si="8"/>
        <v>9.2119012264202809</v>
      </c>
      <c r="AD47" s="439">
        <v>1.3</v>
      </c>
      <c r="AE47" s="439">
        <v>1.325</v>
      </c>
      <c r="AF47" s="439">
        <v>1.25</v>
      </c>
      <c r="AG47" s="440">
        <v>2500</v>
      </c>
      <c r="AH47" s="441">
        <v>2500</v>
      </c>
      <c r="AI47" s="151">
        <v>830</v>
      </c>
      <c r="AJ47" s="151">
        <v>2900</v>
      </c>
      <c r="AK47" s="151">
        <v>6295</v>
      </c>
      <c r="AL47" s="151">
        <v>19050</v>
      </c>
      <c r="AM47" s="151">
        <v>22050</v>
      </c>
      <c r="AN47" s="442">
        <f t="shared" si="12"/>
        <v>107900</v>
      </c>
      <c r="AO47" s="443">
        <f t="shared" si="12"/>
        <v>691650</v>
      </c>
      <c r="AP47" s="443">
        <f t="shared" si="12"/>
        <v>393437.5</v>
      </c>
      <c r="AQ47" s="443">
        <f t="shared" si="12"/>
        <v>0</v>
      </c>
      <c r="AR47" s="444">
        <f t="shared" si="12"/>
        <v>110250</v>
      </c>
      <c r="AS47" s="442">
        <f>SUM([1]!Tabla1[[#This Row],[COSTO OPERATIVO ACIDO]:[COSTO OPERATIVO CATIONICO]])</f>
        <v>1303237.5</v>
      </c>
      <c r="AT47" s="443">
        <v>5250</v>
      </c>
      <c r="AU47" s="445">
        <f t="shared" si="10"/>
        <v>2401.0590249133802</v>
      </c>
    </row>
    <row r="48" spans="1:47" ht="15" thickBot="1" x14ac:dyDescent="0.35">
      <c r="A48" s="446">
        <v>46038</v>
      </c>
      <c r="B48" s="150">
        <v>16</v>
      </c>
      <c r="C48" s="447" t="s">
        <v>281</v>
      </c>
      <c r="D48" s="448">
        <v>47</v>
      </c>
      <c r="E48" s="448" t="s">
        <v>77</v>
      </c>
      <c r="F48" s="449">
        <v>2100</v>
      </c>
      <c r="G48" s="450">
        <v>1820</v>
      </c>
      <c r="H48" s="450">
        <v>450</v>
      </c>
      <c r="I48" s="450">
        <v>210</v>
      </c>
      <c r="J48" s="450">
        <v>80</v>
      </c>
      <c r="K48" s="467">
        <v>16641</v>
      </c>
      <c r="L48" s="462">
        <v>530.77611940298516</v>
      </c>
      <c r="M48" s="463">
        <v>80</v>
      </c>
      <c r="N48" s="463">
        <f>+[1]!Tabla1[[#This Row],[CAUDAL DE TRATAMIENTO]]+$M$102</f>
        <v>80</v>
      </c>
      <c r="O48" s="427">
        <f>F48-F49</f>
        <v>40</v>
      </c>
      <c r="P48" s="428">
        <f t="shared" si="15"/>
        <v>220</v>
      </c>
      <c r="Q48" s="427">
        <f t="shared" si="16"/>
        <v>100</v>
      </c>
      <c r="R48" s="427">
        <f t="shared" si="16"/>
        <v>0</v>
      </c>
      <c r="S48" s="429">
        <f t="shared" si="16"/>
        <v>5</v>
      </c>
      <c r="T48" s="437">
        <f t="shared" si="1"/>
        <v>52</v>
      </c>
      <c r="U48" s="438">
        <f t="shared" si="2"/>
        <v>291.5</v>
      </c>
      <c r="V48" s="438">
        <f t="shared" si="3"/>
        <v>125</v>
      </c>
      <c r="W48" s="451">
        <f>[1]!Tabla1[[#This Row],[CONSUMO POL ANIONICO (KG)]]</f>
        <v>0</v>
      </c>
      <c r="X48" s="429">
        <f>[1]!Tabla1[[#This Row],[CONSUMO POL CATIONICO (KG)]]</f>
        <v>5</v>
      </c>
      <c r="Y48" s="551">
        <f t="shared" si="4"/>
        <v>97.969742984084121</v>
      </c>
      <c r="Z48" s="451">
        <f t="shared" si="5"/>
        <v>549.19577076654843</v>
      </c>
      <c r="AA48" s="451">
        <f t="shared" si="6"/>
        <v>235.50418986558682</v>
      </c>
      <c r="AB48" s="451">
        <f t="shared" si="7"/>
        <v>0</v>
      </c>
      <c r="AC48" s="429">
        <f t="shared" si="8"/>
        <v>9.4201675946234733</v>
      </c>
      <c r="AD48" s="439">
        <v>1.3</v>
      </c>
      <c r="AE48" s="439">
        <v>1.325</v>
      </c>
      <c r="AF48" s="439">
        <v>1.25</v>
      </c>
      <c r="AG48" s="440">
        <v>2500</v>
      </c>
      <c r="AH48" s="441">
        <v>2500</v>
      </c>
      <c r="AI48" s="151">
        <v>830</v>
      </c>
      <c r="AJ48" s="151">
        <v>2900</v>
      </c>
      <c r="AK48" s="151">
        <v>6295</v>
      </c>
      <c r="AL48" s="151">
        <v>19050</v>
      </c>
      <c r="AM48" s="151">
        <v>22050</v>
      </c>
      <c r="AN48" s="452">
        <f t="shared" si="12"/>
        <v>43160</v>
      </c>
      <c r="AO48" s="445">
        <f t="shared" si="12"/>
        <v>845350</v>
      </c>
      <c r="AP48" s="445">
        <f t="shared" si="12"/>
        <v>786875</v>
      </c>
      <c r="AQ48" s="445">
        <f t="shared" si="12"/>
        <v>0</v>
      </c>
      <c r="AR48" s="453">
        <f t="shared" si="12"/>
        <v>110250</v>
      </c>
      <c r="AS48" s="452">
        <f>SUM([1]!Tabla1[[#This Row],[COSTO OPERATIVO ACIDO]:[COSTO OPERATIVO CATIONICO]])</f>
        <v>1785635</v>
      </c>
      <c r="AT48" s="445">
        <v>5250</v>
      </c>
      <c r="AU48" s="445">
        <f t="shared" si="10"/>
        <v>3364.1961925650971</v>
      </c>
    </row>
    <row r="49" spans="1:47" ht="15" thickBot="1" x14ac:dyDescent="0.35">
      <c r="A49" s="454">
        <v>46038</v>
      </c>
      <c r="B49" s="150">
        <v>16</v>
      </c>
      <c r="C49" s="455" t="s">
        <v>30</v>
      </c>
      <c r="D49" s="456">
        <v>48</v>
      </c>
      <c r="E49" s="456" t="s">
        <v>76</v>
      </c>
      <c r="F49" s="449">
        <v>2060</v>
      </c>
      <c r="G49" s="450">
        <v>1600</v>
      </c>
      <c r="H49" s="450">
        <v>350</v>
      </c>
      <c r="I49" s="450">
        <v>210</v>
      </c>
      <c r="J49" s="450">
        <v>75</v>
      </c>
      <c r="K49" s="468">
        <v>16647</v>
      </c>
      <c r="L49" s="469">
        <v>357.85074626865674</v>
      </c>
      <c r="M49" s="470">
        <v>81</v>
      </c>
      <c r="N49" s="470">
        <f>+[1]!Tabla1[[#This Row],[CAUDAL DE TRATAMIENTO]]+$M$102</f>
        <v>81</v>
      </c>
      <c r="O49" s="430">
        <f>F49-F50</f>
        <v>70</v>
      </c>
      <c r="P49" s="431">
        <f t="shared" si="15"/>
        <v>200</v>
      </c>
      <c r="Q49" s="430">
        <f t="shared" si="16"/>
        <v>40</v>
      </c>
      <c r="R49" s="430">
        <f t="shared" si="16"/>
        <v>5</v>
      </c>
      <c r="S49" s="432">
        <f t="shared" si="16"/>
        <v>5</v>
      </c>
      <c r="T49" s="437">
        <f t="shared" si="1"/>
        <v>91</v>
      </c>
      <c r="U49" s="438">
        <f t="shared" si="2"/>
        <v>265</v>
      </c>
      <c r="V49" s="438">
        <f t="shared" si="3"/>
        <v>50</v>
      </c>
      <c r="W49" s="457">
        <f>[1]!Tabla1[[#This Row],[CONSUMO POL ANIONICO (KG)]]</f>
        <v>5</v>
      </c>
      <c r="X49" s="432">
        <f>[1]!Tabla1[[#This Row],[CONSUMO POL CATIONICO (KG)]]</f>
        <v>5</v>
      </c>
      <c r="Y49" s="551">
        <f t="shared" si="4"/>
        <v>254.29596262929596</v>
      </c>
      <c r="Z49" s="457">
        <f t="shared" si="5"/>
        <v>740.53219886553211</v>
      </c>
      <c r="AA49" s="457">
        <f t="shared" si="6"/>
        <v>139.72305638972304</v>
      </c>
      <c r="AB49" s="457">
        <f t="shared" si="7"/>
        <v>13.972305638972305</v>
      </c>
      <c r="AC49" s="432">
        <f t="shared" si="8"/>
        <v>13.972305638972305</v>
      </c>
      <c r="AD49" s="439">
        <v>1.3</v>
      </c>
      <c r="AE49" s="439">
        <v>1.325</v>
      </c>
      <c r="AF49" s="439">
        <v>1.25</v>
      </c>
      <c r="AG49" s="440">
        <v>2500</v>
      </c>
      <c r="AH49" s="441">
        <v>2500</v>
      </c>
      <c r="AI49" s="151">
        <v>830</v>
      </c>
      <c r="AJ49" s="151">
        <v>2900</v>
      </c>
      <c r="AK49" s="151">
        <v>6295</v>
      </c>
      <c r="AL49" s="151">
        <v>19050</v>
      </c>
      <c r="AM49" s="151">
        <v>22050</v>
      </c>
      <c r="AN49" s="452">
        <f t="shared" si="12"/>
        <v>75530</v>
      </c>
      <c r="AO49" s="458">
        <f t="shared" si="12"/>
        <v>768500</v>
      </c>
      <c r="AP49" s="458">
        <f t="shared" si="12"/>
        <v>314750</v>
      </c>
      <c r="AQ49" s="458">
        <f t="shared" si="12"/>
        <v>95250</v>
      </c>
      <c r="AR49" s="459">
        <f t="shared" si="12"/>
        <v>110250</v>
      </c>
      <c r="AS49" s="452">
        <f>SUM([1]!Tabla1[[#This Row],[COSTO OPERATIVO ACIDO]:[COSTO OPERATIVO CATIONICO]])</f>
        <v>1364280</v>
      </c>
      <c r="AT49" s="458">
        <v>5250</v>
      </c>
      <c r="AU49" s="445">
        <f t="shared" si="10"/>
        <v>3812.4274274274271</v>
      </c>
    </row>
    <row r="50" spans="1:47" ht="15" thickBot="1" x14ac:dyDescent="0.35">
      <c r="A50" s="200">
        <v>46039</v>
      </c>
      <c r="B50" s="150">
        <v>17</v>
      </c>
      <c r="C50" s="433" t="s">
        <v>282</v>
      </c>
      <c r="D50" s="434">
        <v>49</v>
      </c>
      <c r="E50" s="434" t="s">
        <v>75</v>
      </c>
      <c r="F50" s="435">
        <v>1990</v>
      </c>
      <c r="G50" s="436">
        <v>1400</v>
      </c>
      <c r="H50" s="436">
        <v>310</v>
      </c>
      <c r="I50" s="436">
        <v>205</v>
      </c>
      <c r="J50" s="436">
        <v>70</v>
      </c>
      <c r="K50" s="464">
        <v>16651</v>
      </c>
      <c r="L50" s="465">
        <v>691.70149253731347</v>
      </c>
      <c r="M50" s="466">
        <v>78</v>
      </c>
      <c r="N50" s="466">
        <f>+[1]!Tabla1[[#This Row],[CAUDAL DE TRATAMIENTO]]+$M$102</f>
        <v>78</v>
      </c>
      <c r="O50" s="424">
        <f>F50-F51</f>
        <v>90</v>
      </c>
      <c r="P50" s="425">
        <f t="shared" si="15"/>
        <v>30</v>
      </c>
      <c r="Q50" s="424">
        <f t="shared" si="16"/>
        <v>20</v>
      </c>
      <c r="R50" s="424">
        <f t="shared" si="16"/>
        <v>0</v>
      </c>
      <c r="S50" s="426">
        <f t="shared" si="16"/>
        <v>5</v>
      </c>
      <c r="T50" s="437">
        <f t="shared" si="1"/>
        <v>117</v>
      </c>
      <c r="U50" s="438">
        <f t="shared" si="2"/>
        <v>39.75</v>
      </c>
      <c r="V50" s="438">
        <f t="shared" si="3"/>
        <v>25</v>
      </c>
      <c r="W50" s="438">
        <f>[1]!Tabla1[[#This Row],[CONSUMO POL ANIONICO (KG)]]</f>
        <v>0</v>
      </c>
      <c r="X50" s="426">
        <f>[1]!Tabla1[[#This Row],[CONSUMO POL CATIONICO (KG)]]</f>
        <v>5</v>
      </c>
      <c r="Y50" s="437">
        <f t="shared" si="4"/>
        <v>169.14810978767477</v>
      </c>
      <c r="Z50" s="438">
        <f t="shared" si="5"/>
        <v>57.466986017607454</v>
      </c>
      <c r="AA50" s="438">
        <f t="shared" si="6"/>
        <v>36.142758501639911</v>
      </c>
      <c r="AB50" s="438">
        <f t="shared" si="7"/>
        <v>0</v>
      </c>
      <c r="AC50" s="426">
        <f t="shared" si="8"/>
        <v>7.2285517003279818</v>
      </c>
      <c r="AD50" s="439">
        <v>1.3</v>
      </c>
      <c r="AE50" s="439">
        <v>1.325</v>
      </c>
      <c r="AF50" s="439">
        <v>1.25</v>
      </c>
      <c r="AG50" s="440">
        <v>2500</v>
      </c>
      <c r="AH50" s="441">
        <v>2500</v>
      </c>
      <c r="AI50" s="151">
        <v>830</v>
      </c>
      <c r="AJ50" s="151">
        <v>2900</v>
      </c>
      <c r="AK50" s="151">
        <v>6295</v>
      </c>
      <c r="AL50" s="151">
        <v>19050</v>
      </c>
      <c r="AM50" s="151">
        <v>22050</v>
      </c>
      <c r="AN50" s="442">
        <f t="shared" si="12"/>
        <v>97110</v>
      </c>
      <c r="AO50" s="443">
        <f t="shared" si="12"/>
        <v>115275</v>
      </c>
      <c r="AP50" s="443">
        <f t="shared" si="12"/>
        <v>157375</v>
      </c>
      <c r="AQ50" s="443">
        <f t="shared" si="12"/>
        <v>0</v>
      </c>
      <c r="AR50" s="444">
        <f t="shared" si="12"/>
        <v>110250</v>
      </c>
      <c r="AS50" s="442">
        <f>SUM([1]!Tabla1[[#This Row],[COSTO OPERATIVO ACIDO]:[COSTO OPERATIVO CATIONICO]])</f>
        <v>480010</v>
      </c>
      <c r="AT50" s="443">
        <v>5250</v>
      </c>
      <c r="AU50" s="445">
        <f t="shared" si="10"/>
        <v>693.95542033488687</v>
      </c>
    </row>
    <row r="51" spans="1:47" ht="15" thickBot="1" x14ac:dyDescent="0.35">
      <c r="A51" s="446">
        <v>46039</v>
      </c>
      <c r="B51" s="150">
        <v>17</v>
      </c>
      <c r="C51" s="447" t="s">
        <v>283</v>
      </c>
      <c r="D51" s="448">
        <v>50</v>
      </c>
      <c r="E51" s="448" t="s">
        <v>77</v>
      </c>
      <c r="F51" s="449">
        <v>1900</v>
      </c>
      <c r="G51" s="450">
        <v>1370</v>
      </c>
      <c r="H51" s="450">
        <v>290</v>
      </c>
      <c r="I51" s="450">
        <v>205</v>
      </c>
      <c r="J51" s="450">
        <v>65</v>
      </c>
      <c r="K51" s="467">
        <v>16659</v>
      </c>
      <c r="L51" s="462">
        <v>353.85074626865674</v>
      </c>
      <c r="M51" s="463">
        <v>80</v>
      </c>
      <c r="N51" s="463">
        <f>+[1]!Tabla1[[#This Row],[CAUDAL DE TRATAMIENTO]]+$M$102</f>
        <v>80</v>
      </c>
      <c r="O51" s="427">
        <f>F51-F52</f>
        <v>80</v>
      </c>
      <c r="P51" s="421">
        <f>G51-G52-180</f>
        <v>110</v>
      </c>
      <c r="Q51" s="427">
        <f t="shared" si="16"/>
        <v>20</v>
      </c>
      <c r="R51" s="427">
        <f t="shared" si="16"/>
        <v>5</v>
      </c>
      <c r="S51" s="429">
        <f t="shared" si="16"/>
        <v>5</v>
      </c>
      <c r="T51" s="437">
        <f t="shared" si="1"/>
        <v>104</v>
      </c>
      <c r="U51" s="438">
        <f t="shared" si="2"/>
        <v>145.75</v>
      </c>
      <c r="V51" s="438">
        <f t="shared" si="3"/>
        <v>25</v>
      </c>
      <c r="W51" s="451">
        <f>[1]!Tabla1[[#This Row],[CONSUMO POL ANIONICO (KG)]]</f>
        <v>5</v>
      </c>
      <c r="X51" s="429">
        <f>[1]!Tabla1[[#This Row],[CONSUMO POL CATIONICO (KG)]]</f>
        <v>5</v>
      </c>
      <c r="Y51" s="551">
        <f t="shared" si="4"/>
        <v>293.90922895225236</v>
      </c>
      <c r="Z51" s="451">
        <f t="shared" si="5"/>
        <v>411.89682807491141</v>
      </c>
      <c r="AA51" s="451">
        <f t="shared" si="6"/>
        <v>70.651256959676061</v>
      </c>
      <c r="AB51" s="451">
        <f t="shared" si="7"/>
        <v>14.130251391935211</v>
      </c>
      <c r="AC51" s="429">
        <f t="shared" si="8"/>
        <v>14.130251391935211</v>
      </c>
      <c r="AD51" s="439">
        <v>1.3</v>
      </c>
      <c r="AE51" s="439">
        <v>1.325</v>
      </c>
      <c r="AF51" s="439">
        <v>1.25</v>
      </c>
      <c r="AG51" s="440">
        <v>2500</v>
      </c>
      <c r="AH51" s="441">
        <v>2500</v>
      </c>
      <c r="AI51" s="151">
        <v>830</v>
      </c>
      <c r="AJ51" s="151">
        <v>2900</v>
      </c>
      <c r="AK51" s="151">
        <v>6295</v>
      </c>
      <c r="AL51" s="151">
        <v>19050</v>
      </c>
      <c r="AM51" s="151">
        <v>22050</v>
      </c>
      <c r="AN51" s="452">
        <f t="shared" si="12"/>
        <v>86320</v>
      </c>
      <c r="AO51" s="445">
        <f t="shared" si="12"/>
        <v>422675</v>
      </c>
      <c r="AP51" s="445">
        <f t="shared" si="12"/>
        <v>157375</v>
      </c>
      <c r="AQ51" s="445">
        <f t="shared" si="12"/>
        <v>95250</v>
      </c>
      <c r="AR51" s="453">
        <f t="shared" si="12"/>
        <v>110250</v>
      </c>
      <c r="AS51" s="452">
        <f>SUM([1]!Tabla1[[#This Row],[COSTO OPERATIVO ACIDO]:[COSTO OPERATIVO CATIONICO]])</f>
        <v>871870</v>
      </c>
      <c r="AT51" s="445">
        <v>5250</v>
      </c>
      <c r="AU51" s="445">
        <f t="shared" si="10"/>
        <v>2463.9484562173106</v>
      </c>
    </row>
    <row r="52" spans="1:47" ht="15" thickBot="1" x14ac:dyDescent="0.35">
      <c r="A52" s="454">
        <v>46039</v>
      </c>
      <c r="B52" s="150">
        <v>17</v>
      </c>
      <c r="C52" s="455" t="s">
        <v>30</v>
      </c>
      <c r="D52" s="456">
        <v>51</v>
      </c>
      <c r="E52" s="456" t="s">
        <v>76</v>
      </c>
      <c r="F52" s="449">
        <v>1820</v>
      </c>
      <c r="G52" s="450">
        <v>1080</v>
      </c>
      <c r="H52" s="450">
        <v>270</v>
      </c>
      <c r="I52" s="450">
        <v>200</v>
      </c>
      <c r="J52" s="450">
        <v>60</v>
      </c>
      <c r="K52" s="468">
        <v>16663</v>
      </c>
      <c r="L52" s="469">
        <v>176.92537313432837</v>
      </c>
      <c r="M52" s="470">
        <v>80</v>
      </c>
      <c r="N52" s="470">
        <f>+[1]!Tabla1[[#This Row],[CAUDAL DE TRATAMIENTO]]+$M$102</f>
        <v>80</v>
      </c>
      <c r="O52" s="487">
        <f>F52-F53+1000</f>
        <v>20</v>
      </c>
      <c r="P52" s="488">
        <f>G52-G53+3000</f>
        <v>20</v>
      </c>
      <c r="Q52" s="487">
        <f>H52-H53+1000</f>
        <v>20</v>
      </c>
      <c r="R52" s="487">
        <f>I52-I53+50</f>
        <v>0</v>
      </c>
      <c r="S52" s="489">
        <f>J52-J53+50</f>
        <v>0</v>
      </c>
      <c r="T52" s="437">
        <f t="shared" si="1"/>
        <v>26</v>
      </c>
      <c r="U52" s="438">
        <f t="shared" si="2"/>
        <v>26.5</v>
      </c>
      <c r="V52" s="438">
        <f t="shared" si="3"/>
        <v>25</v>
      </c>
      <c r="W52" s="457">
        <f>[1]!Tabla1[[#This Row],[CONSUMO POL ANIONICO (KG)]]</f>
        <v>0</v>
      </c>
      <c r="X52" s="432">
        <f>[1]!Tabla1[[#This Row],[CONSUMO POL CATIONICO (KG)]]</f>
        <v>0</v>
      </c>
      <c r="Y52" s="551">
        <f t="shared" si="4"/>
        <v>146.95461447612618</v>
      </c>
      <c r="Z52" s="457">
        <f t="shared" si="5"/>
        <v>149.78066475451323</v>
      </c>
      <c r="AA52" s="457">
        <f t="shared" si="6"/>
        <v>141.30251391935212</v>
      </c>
      <c r="AB52" s="457">
        <f t="shared" si="7"/>
        <v>0</v>
      </c>
      <c r="AC52" s="432">
        <f t="shared" si="8"/>
        <v>0</v>
      </c>
      <c r="AD52" s="439">
        <v>1.3</v>
      </c>
      <c r="AE52" s="439">
        <v>1.325</v>
      </c>
      <c r="AF52" s="439">
        <v>1.25</v>
      </c>
      <c r="AG52" s="440">
        <v>2500</v>
      </c>
      <c r="AH52" s="441">
        <v>2500</v>
      </c>
      <c r="AI52" s="151">
        <v>830</v>
      </c>
      <c r="AJ52" s="151">
        <v>2900</v>
      </c>
      <c r="AK52" s="151">
        <v>6295</v>
      </c>
      <c r="AL52" s="151">
        <v>19050</v>
      </c>
      <c r="AM52" s="151">
        <v>22050</v>
      </c>
      <c r="AN52" s="452">
        <f t="shared" si="12"/>
        <v>21580</v>
      </c>
      <c r="AO52" s="458">
        <f t="shared" si="12"/>
        <v>76850</v>
      </c>
      <c r="AP52" s="458">
        <f t="shared" si="12"/>
        <v>157375</v>
      </c>
      <c r="AQ52" s="458">
        <f t="shared" si="12"/>
        <v>0</v>
      </c>
      <c r="AR52" s="459">
        <f t="shared" si="12"/>
        <v>0</v>
      </c>
      <c r="AS52" s="452">
        <f>SUM([1]!Tabla1[[#This Row],[COSTO OPERATIVO ACIDO]:[COSTO OPERATIVO CATIONICO]])</f>
        <v>255805</v>
      </c>
      <c r="AT52" s="458">
        <v>5250</v>
      </c>
      <c r="AU52" s="445">
        <f t="shared" si="10"/>
        <v>1445.8355829255947</v>
      </c>
    </row>
    <row r="53" spans="1:47" ht="15" thickBot="1" x14ac:dyDescent="0.35">
      <c r="A53" s="200">
        <v>46040</v>
      </c>
      <c r="B53" s="150">
        <v>18</v>
      </c>
      <c r="C53" s="433" t="s">
        <v>284</v>
      </c>
      <c r="D53" s="434">
        <v>52</v>
      </c>
      <c r="E53" s="434" t="s">
        <v>75</v>
      </c>
      <c r="F53" s="435">
        <v>2800</v>
      </c>
      <c r="G53" s="436">
        <v>4060</v>
      </c>
      <c r="H53" s="436">
        <v>1250</v>
      </c>
      <c r="I53" s="436">
        <v>250</v>
      </c>
      <c r="J53" s="436">
        <v>110</v>
      </c>
      <c r="K53" s="464">
        <v>16665</v>
      </c>
      <c r="L53" s="465">
        <v>0</v>
      </c>
      <c r="M53" s="466">
        <v>0</v>
      </c>
      <c r="N53" s="466">
        <f>+[1]!Tabla1[[#This Row],[CAUDAL DE TRATAMIENTO]]+$M$102</f>
        <v>0</v>
      </c>
      <c r="O53" s="424">
        <f t="shared" ref="O53:S68" si="17">F53-F54</f>
        <v>0</v>
      </c>
      <c r="P53" s="425">
        <f t="shared" si="17"/>
        <v>0</v>
      </c>
      <c r="Q53" s="424">
        <f t="shared" si="17"/>
        <v>0</v>
      </c>
      <c r="R53" s="424">
        <f t="shared" si="17"/>
        <v>0</v>
      </c>
      <c r="S53" s="426">
        <f t="shared" si="17"/>
        <v>0</v>
      </c>
      <c r="T53" s="437">
        <f t="shared" si="1"/>
        <v>0</v>
      </c>
      <c r="U53" s="438">
        <f t="shared" si="2"/>
        <v>0</v>
      </c>
      <c r="V53" s="438">
        <f t="shared" si="3"/>
        <v>0</v>
      </c>
      <c r="W53" s="438">
        <f>[1]!Tabla1[[#This Row],[CONSUMO POL ANIONICO (KG)]]</f>
        <v>0</v>
      </c>
      <c r="X53" s="426">
        <f>[1]!Tabla1[[#This Row],[CONSUMO POL CATIONICO (KG)]]</f>
        <v>0</v>
      </c>
      <c r="Y53" s="437" t="e">
        <f t="shared" si="4"/>
        <v>#DIV/0!</v>
      </c>
      <c r="Z53" s="438" t="e">
        <f t="shared" si="5"/>
        <v>#DIV/0!</v>
      </c>
      <c r="AA53" s="438" t="e">
        <f t="shared" si="6"/>
        <v>#DIV/0!</v>
      </c>
      <c r="AB53" s="438" t="e">
        <f t="shared" si="7"/>
        <v>#DIV/0!</v>
      </c>
      <c r="AC53" s="426" t="e">
        <f t="shared" si="8"/>
        <v>#DIV/0!</v>
      </c>
      <c r="AD53" s="439">
        <v>1.3</v>
      </c>
      <c r="AE53" s="439">
        <v>1.325</v>
      </c>
      <c r="AF53" s="439">
        <v>1.25</v>
      </c>
      <c r="AG53" s="440">
        <v>2500</v>
      </c>
      <c r="AH53" s="441">
        <v>2500</v>
      </c>
      <c r="AI53" s="151">
        <v>830</v>
      </c>
      <c r="AJ53" s="151">
        <v>2900</v>
      </c>
      <c r="AK53" s="151">
        <v>6295</v>
      </c>
      <c r="AL53" s="151">
        <v>19050</v>
      </c>
      <c r="AM53" s="151">
        <v>22050</v>
      </c>
      <c r="AN53" s="442">
        <f t="shared" si="12"/>
        <v>0</v>
      </c>
      <c r="AO53" s="443">
        <f t="shared" si="12"/>
        <v>0</v>
      </c>
      <c r="AP53" s="443">
        <f t="shared" si="12"/>
        <v>0</v>
      </c>
      <c r="AQ53" s="443">
        <f t="shared" si="12"/>
        <v>0</v>
      </c>
      <c r="AR53" s="444">
        <f t="shared" si="12"/>
        <v>0</v>
      </c>
      <c r="AS53" s="442">
        <f>SUM([1]!Tabla1[[#This Row],[COSTO OPERATIVO ACIDO]:[COSTO OPERATIVO CATIONICO]])</f>
        <v>0</v>
      </c>
      <c r="AT53" s="443">
        <v>5250</v>
      </c>
      <c r="AU53" s="445" t="e">
        <f t="shared" si="10"/>
        <v>#DIV/0!</v>
      </c>
    </row>
    <row r="54" spans="1:47" ht="15" thickBot="1" x14ac:dyDescent="0.35">
      <c r="A54" s="446">
        <v>46040</v>
      </c>
      <c r="B54" s="150">
        <v>18</v>
      </c>
      <c r="C54" s="447" t="s">
        <v>285</v>
      </c>
      <c r="D54" s="448">
        <v>53</v>
      </c>
      <c r="E54" s="448" t="s">
        <v>77</v>
      </c>
      <c r="F54" s="449">
        <v>2800</v>
      </c>
      <c r="G54" s="450">
        <v>4060</v>
      </c>
      <c r="H54" s="450">
        <v>1250</v>
      </c>
      <c r="I54" s="450">
        <v>250</v>
      </c>
      <c r="J54" s="450">
        <v>110</v>
      </c>
      <c r="K54" s="467">
        <v>16665</v>
      </c>
      <c r="L54" s="462">
        <v>0</v>
      </c>
      <c r="M54" s="463">
        <v>0</v>
      </c>
      <c r="N54" s="463">
        <f>+[1]!Tabla1[[#This Row],[CAUDAL DE TRATAMIENTO]]+$M$102</f>
        <v>0</v>
      </c>
      <c r="O54" s="427">
        <f t="shared" si="17"/>
        <v>0</v>
      </c>
      <c r="P54" s="428">
        <f t="shared" si="17"/>
        <v>0</v>
      </c>
      <c r="Q54" s="427">
        <f t="shared" si="17"/>
        <v>0</v>
      </c>
      <c r="R54" s="427">
        <f t="shared" si="17"/>
        <v>0</v>
      </c>
      <c r="S54" s="429">
        <f t="shared" si="17"/>
        <v>0</v>
      </c>
      <c r="T54" s="437">
        <f t="shared" si="1"/>
        <v>0</v>
      </c>
      <c r="U54" s="438">
        <f t="shared" si="2"/>
        <v>0</v>
      </c>
      <c r="V54" s="438">
        <f t="shared" si="3"/>
        <v>0</v>
      </c>
      <c r="W54" s="451">
        <f>[1]!Tabla1[[#This Row],[CONSUMO POL ANIONICO (KG)]]</f>
        <v>0</v>
      </c>
      <c r="X54" s="429">
        <f>[1]!Tabla1[[#This Row],[CONSUMO POL CATIONICO (KG)]]</f>
        <v>0</v>
      </c>
      <c r="Y54" s="551" t="e">
        <f t="shared" si="4"/>
        <v>#DIV/0!</v>
      </c>
      <c r="Z54" s="451" t="e">
        <f t="shared" si="5"/>
        <v>#DIV/0!</v>
      </c>
      <c r="AA54" s="451" t="e">
        <f t="shared" si="6"/>
        <v>#DIV/0!</v>
      </c>
      <c r="AB54" s="451" t="e">
        <f t="shared" si="7"/>
        <v>#DIV/0!</v>
      </c>
      <c r="AC54" s="429" t="e">
        <f t="shared" si="8"/>
        <v>#DIV/0!</v>
      </c>
      <c r="AD54" s="439">
        <v>1.3</v>
      </c>
      <c r="AE54" s="439">
        <v>1.325</v>
      </c>
      <c r="AF54" s="439">
        <v>1.25</v>
      </c>
      <c r="AG54" s="440">
        <v>2500</v>
      </c>
      <c r="AH54" s="441">
        <v>2500</v>
      </c>
      <c r="AI54" s="151">
        <v>830</v>
      </c>
      <c r="AJ54" s="151">
        <v>2900</v>
      </c>
      <c r="AK54" s="151">
        <v>6295</v>
      </c>
      <c r="AL54" s="151">
        <v>19050</v>
      </c>
      <c r="AM54" s="151">
        <v>22050</v>
      </c>
      <c r="AN54" s="452">
        <f t="shared" si="12"/>
        <v>0</v>
      </c>
      <c r="AO54" s="445">
        <f t="shared" si="12"/>
        <v>0</v>
      </c>
      <c r="AP54" s="445">
        <f t="shared" si="12"/>
        <v>0</v>
      </c>
      <c r="AQ54" s="445">
        <f t="shared" si="12"/>
        <v>0</v>
      </c>
      <c r="AR54" s="453">
        <f t="shared" si="12"/>
        <v>0</v>
      </c>
      <c r="AS54" s="452">
        <f>SUM([1]!Tabla1[[#This Row],[COSTO OPERATIVO ACIDO]:[COSTO OPERATIVO CATIONICO]])</f>
        <v>0</v>
      </c>
      <c r="AT54" s="445">
        <v>5250</v>
      </c>
      <c r="AU54" s="445" t="e">
        <f t="shared" si="10"/>
        <v>#DIV/0!</v>
      </c>
    </row>
    <row r="55" spans="1:47" ht="15" thickBot="1" x14ac:dyDescent="0.35">
      <c r="A55" s="454">
        <v>46040</v>
      </c>
      <c r="B55" s="150">
        <v>18</v>
      </c>
      <c r="C55" s="455" t="s">
        <v>30</v>
      </c>
      <c r="D55" s="456">
        <v>54</v>
      </c>
      <c r="E55" s="456" t="s">
        <v>76</v>
      </c>
      <c r="F55" s="449">
        <v>2800</v>
      </c>
      <c r="G55" s="450">
        <v>4060</v>
      </c>
      <c r="H55" s="450">
        <v>1250</v>
      </c>
      <c r="I55" s="450">
        <v>250</v>
      </c>
      <c r="J55" s="450">
        <v>110</v>
      </c>
      <c r="K55" s="468">
        <v>16665</v>
      </c>
      <c r="L55" s="469">
        <v>0</v>
      </c>
      <c r="M55" s="470">
        <v>0</v>
      </c>
      <c r="N55" s="470">
        <f>+[1]!Tabla1[[#This Row],[CAUDAL DE TRATAMIENTO]]+$M$102</f>
        <v>0</v>
      </c>
      <c r="O55" s="430">
        <f t="shared" si="17"/>
        <v>0</v>
      </c>
      <c r="P55" s="431">
        <f t="shared" si="17"/>
        <v>0</v>
      </c>
      <c r="Q55" s="430">
        <f t="shared" si="17"/>
        <v>0</v>
      </c>
      <c r="R55" s="430">
        <f t="shared" si="17"/>
        <v>0</v>
      </c>
      <c r="S55" s="432">
        <f t="shared" si="17"/>
        <v>0</v>
      </c>
      <c r="T55" s="437">
        <f t="shared" si="1"/>
        <v>0</v>
      </c>
      <c r="U55" s="438">
        <f t="shared" si="2"/>
        <v>0</v>
      </c>
      <c r="V55" s="438">
        <f t="shared" si="3"/>
        <v>0</v>
      </c>
      <c r="W55" s="457">
        <f>[1]!Tabla1[[#This Row],[CONSUMO POL ANIONICO (KG)]]</f>
        <v>0</v>
      </c>
      <c r="X55" s="432">
        <f>[1]!Tabla1[[#This Row],[CONSUMO POL CATIONICO (KG)]]</f>
        <v>0</v>
      </c>
      <c r="Y55" s="551" t="e">
        <f t="shared" si="4"/>
        <v>#DIV/0!</v>
      </c>
      <c r="Z55" s="457" t="e">
        <f t="shared" si="5"/>
        <v>#DIV/0!</v>
      </c>
      <c r="AA55" s="457" t="e">
        <f t="shared" si="6"/>
        <v>#DIV/0!</v>
      </c>
      <c r="AB55" s="457" t="e">
        <f t="shared" si="7"/>
        <v>#DIV/0!</v>
      </c>
      <c r="AC55" s="432" t="e">
        <f t="shared" si="8"/>
        <v>#DIV/0!</v>
      </c>
      <c r="AD55" s="439">
        <v>1.3</v>
      </c>
      <c r="AE55" s="439">
        <v>1.325</v>
      </c>
      <c r="AF55" s="439">
        <v>1.25</v>
      </c>
      <c r="AG55" s="440">
        <v>2500</v>
      </c>
      <c r="AH55" s="441">
        <v>2500</v>
      </c>
      <c r="AI55" s="151">
        <v>830</v>
      </c>
      <c r="AJ55" s="151">
        <v>2900</v>
      </c>
      <c r="AK55" s="151">
        <v>6295</v>
      </c>
      <c r="AL55" s="151">
        <v>19050</v>
      </c>
      <c r="AM55" s="151">
        <v>22050</v>
      </c>
      <c r="AN55" s="452">
        <f t="shared" si="12"/>
        <v>0</v>
      </c>
      <c r="AO55" s="458">
        <f t="shared" si="12"/>
        <v>0</v>
      </c>
      <c r="AP55" s="458">
        <f t="shared" si="12"/>
        <v>0</v>
      </c>
      <c r="AQ55" s="458">
        <f t="shared" si="12"/>
        <v>0</v>
      </c>
      <c r="AR55" s="459">
        <f t="shared" si="12"/>
        <v>0</v>
      </c>
      <c r="AS55" s="452">
        <f>SUM([1]!Tabla1[[#This Row],[COSTO OPERATIVO ACIDO]:[COSTO OPERATIVO CATIONICO]])</f>
        <v>0</v>
      </c>
      <c r="AT55" s="458">
        <v>5250</v>
      </c>
      <c r="AU55" s="445" t="e">
        <f t="shared" si="10"/>
        <v>#DIV/0!</v>
      </c>
    </row>
    <row r="56" spans="1:47" ht="15" thickBot="1" x14ac:dyDescent="0.35">
      <c r="A56" s="200">
        <v>46041</v>
      </c>
      <c r="B56" s="150">
        <v>19</v>
      </c>
      <c r="C56" s="433" t="s">
        <v>286</v>
      </c>
      <c r="D56" s="434">
        <v>55</v>
      </c>
      <c r="E56" s="434" t="s">
        <v>75</v>
      </c>
      <c r="F56" s="435">
        <v>2800</v>
      </c>
      <c r="G56" s="436">
        <v>4060</v>
      </c>
      <c r="H56" s="436">
        <v>1250</v>
      </c>
      <c r="I56" s="436">
        <v>250</v>
      </c>
      <c r="J56" s="436">
        <v>110</v>
      </c>
      <c r="K56" s="464">
        <v>16665</v>
      </c>
      <c r="L56" s="465">
        <v>530.77611940298516</v>
      </c>
      <c r="M56" s="466">
        <v>80</v>
      </c>
      <c r="N56" s="466">
        <f>+[1]!Tabla1[[#This Row],[CAUDAL DE TRATAMIENTO]]+$M$102</f>
        <v>80</v>
      </c>
      <c r="O56" s="424">
        <f t="shared" si="17"/>
        <v>90</v>
      </c>
      <c r="P56" s="425">
        <f t="shared" si="17"/>
        <v>220</v>
      </c>
      <c r="Q56" s="424">
        <f t="shared" si="17"/>
        <v>150</v>
      </c>
      <c r="R56" s="424">
        <f t="shared" si="17"/>
        <v>0</v>
      </c>
      <c r="S56" s="426">
        <f t="shared" si="17"/>
        <v>5</v>
      </c>
      <c r="T56" s="437">
        <f t="shared" si="1"/>
        <v>117</v>
      </c>
      <c r="U56" s="438">
        <f t="shared" si="2"/>
        <v>291.5</v>
      </c>
      <c r="V56" s="438">
        <f t="shared" si="3"/>
        <v>187.5</v>
      </c>
      <c r="W56" s="438">
        <f>[1]!Tabla1[[#This Row],[CONSUMO POL ANIONICO (KG)]]</f>
        <v>0</v>
      </c>
      <c r="X56" s="426">
        <f>[1]!Tabla1[[#This Row],[CONSUMO POL CATIONICO (KG)]]</f>
        <v>5</v>
      </c>
      <c r="Y56" s="437">
        <f t="shared" si="4"/>
        <v>220.43192171418926</v>
      </c>
      <c r="Z56" s="438">
        <f t="shared" si="5"/>
        <v>549.19577076654843</v>
      </c>
      <c r="AA56" s="438">
        <f t="shared" si="6"/>
        <v>353.25628479838025</v>
      </c>
      <c r="AB56" s="438">
        <f t="shared" si="7"/>
        <v>0</v>
      </c>
      <c r="AC56" s="426">
        <f t="shared" si="8"/>
        <v>9.4201675946234733</v>
      </c>
      <c r="AD56" s="439">
        <v>1.3</v>
      </c>
      <c r="AE56" s="439">
        <v>1.325</v>
      </c>
      <c r="AF56" s="439">
        <v>1.25</v>
      </c>
      <c r="AG56" s="440">
        <v>2500</v>
      </c>
      <c r="AH56" s="441">
        <v>2500</v>
      </c>
      <c r="AI56" s="151">
        <v>830</v>
      </c>
      <c r="AJ56" s="151">
        <v>2900</v>
      </c>
      <c r="AK56" s="151">
        <v>6295</v>
      </c>
      <c r="AL56" s="151">
        <v>19050</v>
      </c>
      <c r="AM56" s="151">
        <v>22050</v>
      </c>
      <c r="AN56" s="442">
        <f t="shared" si="12"/>
        <v>97110</v>
      </c>
      <c r="AO56" s="443">
        <f t="shared" si="12"/>
        <v>845350</v>
      </c>
      <c r="AP56" s="443">
        <f t="shared" si="12"/>
        <v>1180312.5</v>
      </c>
      <c r="AQ56" s="443">
        <f t="shared" si="12"/>
        <v>0</v>
      </c>
      <c r="AR56" s="444">
        <f t="shared" si="12"/>
        <v>110250</v>
      </c>
      <c r="AS56" s="442">
        <f>SUM([1]!Tabla1[[#This Row],[COSTO OPERATIVO ACIDO]:[COSTO OPERATIVO CATIONICO]])</f>
        <v>2233022.5</v>
      </c>
      <c r="AT56" s="443">
        <v>5250</v>
      </c>
      <c r="AU56" s="445">
        <f t="shared" si="10"/>
        <v>4207.0892385130192</v>
      </c>
    </row>
    <row r="57" spans="1:47" ht="15" thickBot="1" x14ac:dyDescent="0.35">
      <c r="A57" s="446">
        <v>46041</v>
      </c>
      <c r="B57" s="150">
        <v>19</v>
      </c>
      <c r="C57" s="447" t="s">
        <v>287</v>
      </c>
      <c r="D57" s="448">
        <v>56</v>
      </c>
      <c r="E57" s="448" t="s">
        <v>77</v>
      </c>
      <c r="F57" s="449">
        <v>2710</v>
      </c>
      <c r="G57" s="450">
        <v>3840</v>
      </c>
      <c r="H57" s="450">
        <v>1100</v>
      </c>
      <c r="I57" s="450">
        <v>250</v>
      </c>
      <c r="J57" s="450">
        <v>105</v>
      </c>
      <c r="K57" s="467">
        <v>16671</v>
      </c>
      <c r="L57" s="462">
        <v>619.23880597014931</v>
      </c>
      <c r="M57" s="463">
        <v>80</v>
      </c>
      <c r="N57" s="463">
        <f>+[1]!Tabla1[[#This Row],[CAUDAL DE TRATAMIENTO]]+$M$102</f>
        <v>80</v>
      </c>
      <c r="O57" s="427">
        <f t="shared" si="17"/>
        <v>100</v>
      </c>
      <c r="P57" s="428">
        <f t="shared" si="17"/>
        <v>240</v>
      </c>
      <c r="Q57" s="427">
        <f t="shared" si="17"/>
        <v>10</v>
      </c>
      <c r="R57" s="427">
        <f t="shared" si="17"/>
        <v>0</v>
      </c>
      <c r="S57" s="429">
        <f t="shared" si="17"/>
        <v>5</v>
      </c>
      <c r="T57" s="437">
        <f t="shared" si="1"/>
        <v>130</v>
      </c>
      <c r="U57" s="438">
        <f t="shared" si="2"/>
        <v>318</v>
      </c>
      <c r="V57" s="438">
        <f t="shared" si="3"/>
        <v>12.5</v>
      </c>
      <c r="W57" s="451">
        <f>[1]!Tabla1[[#This Row],[CONSUMO POL ANIONICO (KG)]]</f>
        <v>0</v>
      </c>
      <c r="X57" s="429">
        <f>[1]!Tabla1[[#This Row],[CONSUMO POL CATIONICO (KG)]]</f>
        <v>5</v>
      </c>
      <c r="Y57" s="551">
        <f t="shared" si="4"/>
        <v>209.93516353732312</v>
      </c>
      <c r="Z57" s="451">
        <f t="shared" si="5"/>
        <v>513.53370772975961</v>
      </c>
      <c r="AA57" s="451">
        <f t="shared" si="6"/>
        <v>20.186073417050302</v>
      </c>
      <c r="AB57" s="451">
        <f t="shared" si="7"/>
        <v>0</v>
      </c>
      <c r="AC57" s="429">
        <f t="shared" si="8"/>
        <v>8.0744293668201195</v>
      </c>
      <c r="AD57" s="439">
        <v>1.3</v>
      </c>
      <c r="AE57" s="439">
        <v>1.325</v>
      </c>
      <c r="AF57" s="439">
        <v>1.25</v>
      </c>
      <c r="AG57" s="440">
        <v>2500</v>
      </c>
      <c r="AH57" s="441">
        <v>2500</v>
      </c>
      <c r="AI57" s="151">
        <v>830</v>
      </c>
      <c r="AJ57" s="151">
        <v>2900</v>
      </c>
      <c r="AK57" s="151">
        <v>6295</v>
      </c>
      <c r="AL57" s="151">
        <v>19050</v>
      </c>
      <c r="AM57" s="151">
        <v>22050</v>
      </c>
      <c r="AN57" s="452">
        <f t="shared" si="12"/>
        <v>107900</v>
      </c>
      <c r="AO57" s="445">
        <f t="shared" si="12"/>
        <v>922200</v>
      </c>
      <c r="AP57" s="445">
        <f t="shared" si="12"/>
        <v>78687.5</v>
      </c>
      <c r="AQ57" s="445">
        <f t="shared" si="12"/>
        <v>0</v>
      </c>
      <c r="AR57" s="453">
        <f t="shared" si="12"/>
        <v>110250</v>
      </c>
      <c r="AS57" s="452">
        <f>SUM([1]!Tabla1[[#This Row],[COSTO OPERATIVO ACIDO]:[COSTO OPERATIVO CATIONICO]])</f>
        <v>1219037.5</v>
      </c>
      <c r="AT57" s="445">
        <v>5250</v>
      </c>
      <c r="AU57" s="445">
        <f t="shared" si="10"/>
        <v>1968.6064378509964</v>
      </c>
    </row>
    <row r="58" spans="1:47" ht="15" thickBot="1" x14ac:dyDescent="0.35">
      <c r="A58" s="454">
        <v>46041</v>
      </c>
      <c r="B58" s="150">
        <v>19</v>
      </c>
      <c r="C58" s="455" t="s">
        <v>30</v>
      </c>
      <c r="D58" s="456">
        <v>57</v>
      </c>
      <c r="E58" s="456" t="s">
        <v>76</v>
      </c>
      <c r="F58" s="449">
        <v>2610</v>
      </c>
      <c r="G58" s="450">
        <v>3600</v>
      </c>
      <c r="H58" s="450">
        <v>1090</v>
      </c>
      <c r="I58" s="450">
        <v>250</v>
      </c>
      <c r="J58" s="450">
        <v>100</v>
      </c>
      <c r="K58" s="468">
        <v>16678</v>
      </c>
      <c r="L58" s="469">
        <v>707.70149253731347</v>
      </c>
      <c r="M58" s="470">
        <v>80</v>
      </c>
      <c r="N58" s="470">
        <f>+[1]!Tabla1[[#This Row],[CAUDAL DE TRATAMIENTO]]+$M$102</f>
        <v>80</v>
      </c>
      <c r="O58" s="430">
        <f t="shared" si="17"/>
        <v>110</v>
      </c>
      <c r="P58" s="431">
        <f t="shared" si="17"/>
        <v>150</v>
      </c>
      <c r="Q58" s="430">
        <f t="shared" si="17"/>
        <v>90</v>
      </c>
      <c r="R58" s="430">
        <f t="shared" si="17"/>
        <v>5</v>
      </c>
      <c r="S58" s="432">
        <f t="shared" si="17"/>
        <v>5</v>
      </c>
      <c r="T58" s="437">
        <f t="shared" si="1"/>
        <v>143</v>
      </c>
      <c r="U58" s="438">
        <f t="shared" si="2"/>
        <v>198.75</v>
      </c>
      <c r="V58" s="438">
        <f t="shared" si="3"/>
        <v>112.5</v>
      </c>
      <c r="W58" s="457">
        <f>[1]!Tabla1[[#This Row],[CONSUMO POL ANIONICO (KG)]]</f>
        <v>5</v>
      </c>
      <c r="X58" s="432">
        <f>[1]!Tabla1[[#This Row],[CONSUMO POL CATIONICO (KG)]]</f>
        <v>5</v>
      </c>
      <c r="Y58" s="551">
        <f t="shared" si="4"/>
        <v>202.06259490467352</v>
      </c>
      <c r="Z58" s="457">
        <f t="shared" si="5"/>
        <v>280.83874641471232</v>
      </c>
      <c r="AA58" s="457">
        <f t="shared" si="6"/>
        <v>158.96532815927111</v>
      </c>
      <c r="AB58" s="457">
        <f t="shared" si="7"/>
        <v>7.0651256959676054</v>
      </c>
      <c r="AC58" s="432">
        <f t="shared" si="8"/>
        <v>7.0651256959676054</v>
      </c>
      <c r="AD58" s="439">
        <v>1.3</v>
      </c>
      <c r="AE58" s="439">
        <v>1.325</v>
      </c>
      <c r="AF58" s="439">
        <v>1.25</v>
      </c>
      <c r="AG58" s="440">
        <v>2500</v>
      </c>
      <c r="AH58" s="441">
        <v>2500</v>
      </c>
      <c r="AI58" s="151">
        <v>830</v>
      </c>
      <c r="AJ58" s="151">
        <v>2900</v>
      </c>
      <c r="AK58" s="151">
        <v>6295</v>
      </c>
      <c r="AL58" s="151">
        <v>19050</v>
      </c>
      <c r="AM58" s="151">
        <v>22050</v>
      </c>
      <c r="AN58" s="452">
        <f t="shared" si="12"/>
        <v>118690</v>
      </c>
      <c r="AO58" s="458">
        <f t="shared" si="12"/>
        <v>576375</v>
      </c>
      <c r="AP58" s="458">
        <f t="shared" si="12"/>
        <v>708187.5</v>
      </c>
      <c r="AQ58" s="458">
        <f t="shared" si="12"/>
        <v>95250</v>
      </c>
      <c r="AR58" s="459">
        <f t="shared" si="12"/>
        <v>110250</v>
      </c>
      <c r="AS58" s="452">
        <f>SUM([1]!Tabla1[[#This Row],[COSTO OPERATIVO ACIDO]:[COSTO OPERATIVO CATIONICO]])</f>
        <v>1608752.5</v>
      </c>
      <c r="AT58" s="458">
        <v>5250</v>
      </c>
      <c r="AU58" s="445">
        <f t="shared" si="10"/>
        <v>2273.2077252404251</v>
      </c>
    </row>
    <row r="59" spans="1:47" ht="15" thickBot="1" x14ac:dyDescent="0.35">
      <c r="A59" s="200">
        <v>46042</v>
      </c>
      <c r="B59" s="150">
        <v>20</v>
      </c>
      <c r="C59" s="433" t="s">
        <v>288</v>
      </c>
      <c r="D59" s="434">
        <v>58</v>
      </c>
      <c r="E59" s="434" t="s">
        <v>75</v>
      </c>
      <c r="F59" s="435">
        <v>2500</v>
      </c>
      <c r="G59" s="436">
        <v>3450</v>
      </c>
      <c r="H59" s="436">
        <v>1000</v>
      </c>
      <c r="I59" s="436">
        <v>245</v>
      </c>
      <c r="J59" s="436">
        <v>95</v>
      </c>
      <c r="K59" s="464">
        <v>16686</v>
      </c>
      <c r="L59" s="465">
        <v>707.70149253731347</v>
      </c>
      <c r="M59" s="466">
        <v>80</v>
      </c>
      <c r="N59" s="466">
        <f>+[1]!Tabla1[[#This Row],[CAUDAL DE TRATAMIENTO]]+$M$102</f>
        <v>80</v>
      </c>
      <c r="O59" s="424">
        <f>F59-F60</f>
        <v>100</v>
      </c>
      <c r="P59" s="478">
        <f>G59-G60-200</f>
        <v>250</v>
      </c>
      <c r="Q59" s="424">
        <f t="shared" si="17"/>
        <v>0</v>
      </c>
      <c r="R59" s="424">
        <f t="shared" si="17"/>
        <v>5</v>
      </c>
      <c r="S59" s="426">
        <f t="shared" si="17"/>
        <v>0</v>
      </c>
      <c r="T59" s="437">
        <f t="shared" si="1"/>
        <v>130</v>
      </c>
      <c r="U59" s="438">
        <f t="shared" si="2"/>
        <v>331.25</v>
      </c>
      <c r="V59" s="438">
        <f t="shared" si="3"/>
        <v>0</v>
      </c>
      <c r="W59" s="438">
        <f>[1]!Tabla1[[#This Row],[CONSUMO POL ANIONICO (KG)]]</f>
        <v>5</v>
      </c>
      <c r="X59" s="426">
        <f>[1]!Tabla1[[#This Row],[CONSUMO POL CATIONICO (KG)]]</f>
        <v>0</v>
      </c>
      <c r="Y59" s="437">
        <f t="shared" si="4"/>
        <v>183.69326809515775</v>
      </c>
      <c r="Z59" s="438">
        <f t="shared" si="5"/>
        <v>468.06457735785386</v>
      </c>
      <c r="AA59" s="438">
        <f t="shared" si="6"/>
        <v>0</v>
      </c>
      <c r="AB59" s="438">
        <f t="shared" si="7"/>
        <v>7.0651256959676054</v>
      </c>
      <c r="AC59" s="426">
        <f t="shared" si="8"/>
        <v>0</v>
      </c>
      <c r="AD59" s="439">
        <v>1.3</v>
      </c>
      <c r="AE59" s="439">
        <v>1.325</v>
      </c>
      <c r="AF59" s="439">
        <v>1.25</v>
      </c>
      <c r="AG59" s="440">
        <v>2500</v>
      </c>
      <c r="AH59" s="441">
        <v>2500</v>
      </c>
      <c r="AI59" s="151">
        <v>830</v>
      </c>
      <c r="AJ59" s="151">
        <v>2900</v>
      </c>
      <c r="AK59" s="151">
        <v>6295</v>
      </c>
      <c r="AL59" s="151">
        <v>19050</v>
      </c>
      <c r="AM59" s="151">
        <v>22050</v>
      </c>
      <c r="AN59" s="442">
        <f t="shared" si="12"/>
        <v>107900</v>
      </c>
      <c r="AO59" s="443">
        <f t="shared" si="12"/>
        <v>960625</v>
      </c>
      <c r="AP59" s="443">
        <f t="shared" si="12"/>
        <v>0</v>
      </c>
      <c r="AQ59" s="443">
        <f t="shared" si="12"/>
        <v>95250</v>
      </c>
      <c r="AR59" s="444">
        <f t="shared" si="12"/>
        <v>0</v>
      </c>
      <c r="AS59" s="442">
        <f>SUM([1]!Tabla1[[#This Row],[COSTO OPERATIVO ACIDO]:[COSTO OPERATIVO CATIONICO]])</f>
        <v>1163775</v>
      </c>
      <c r="AT59" s="443">
        <v>5250</v>
      </c>
      <c r="AU59" s="445">
        <f t="shared" si="10"/>
        <v>1644.4433313649399</v>
      </c>
    </row>
    <row r="60" spans="1:47" ht="15" thickBot="1" x14ac:dyDescent="0.35">
      <c r="A60" s="446">
        <v>46042</v>
      </c>
      <c r="B60" s="150">
        <v>20</v>
      </c>
      <c r="C60" s="447" t="s">
        <v>289</v>
      </c>
      <c r="D60" s="448">
        <v>59</v>
      </c>
      <c r="E60" s="448" t="s">
        <v>77</v>
      </c>
      <c r="F60" s="449">
        <v>2400</v>
      </c>
      <c r="G60" s="450">
        <v>3000</v>
      </c>
      <c r="H60" s="450">
        <v>1000</v>
      </c>
      <c r="I60" s="450">
        <v>240</v>
      </c>
      <c r="J60" s="450">
        <v>95</v>
      </c>
      <c r="K60" s="467">
        <v>16694</v>
      </c>
      <c r="L60" s="462">
        <v>353.85074626865674</v>
      </c>
      <c r="M60" s="463">
        <v>80</v>
      </c>
      <c r="N60" s="463">
        <f>+[1]!Tabla1[[#This Row],[CAUDAL DE TRATAMIENTO]]+$M$102</f>
        <v>80</v>
      </c>
      <c r="O60" s="427">
        <f>F60-F61</f>
        <v>100</v>
      </c>
      <c r="P60" s="428">
        <f>G60-G61</f>
        <v>300</v>
      </c>
      <c r="Q60" s="427">
        <f t="shared" si="17"/>
        <v>10</v>
      </c>
      <c r="R60" s="427">
        <f t="shared" si="17"/>
        <v>5</v>
      </c>
      <c r="S60" s="429">
        <f t="shared" si="17"/>
        <v>5</v>
      </c>
      <c r="T60" s="437">
        <f t="shared" si="1"/>
        <v>130</v>
      </c>
      <c r="U60" s="438">
        <f t="shared" si="2"/>
        <v>397.5</v>
      </c>
      <c r="V60" s="438">
        <f t="shared" si="3"/>
        <v>12.5</v>
      </c>
      <c r="W60" s="451">
        <f>[1]!Tabla1[[#This Row],[CONSUMO POL ANIONICO (KG)]]</f>
        <v>5</v>
      </c>
      <c r="X60" s="429">
        <f>[1]!Tabla1[[#This Row],[CONSUMO POL CATIONICO (KG)]]</f>
        <v>5</v>
      </c>
      <c r="Y60" s="551">
        <f t="shared" si="4"/>
        <v>367.3865361903155</v>
      </c>
      <c r="Z60" s="451">
        <f t="shared" si="5"/>
        <v>1123.3549856588493</v>
      </c>
      <c r="AA60" s="451">
        <f t="shared" si="6"/>
        <v>35.325628479838031</v>
      </c>
      <c r="AB60" s="451">
        <f t="shared" si="7"/>
        <v>14.130251391935211</v>
      </c>
      <c r="AC60" s="429">
        <f t="shared" si="8"/>
        <v>14.130251391935211</v>
      </c>
      <c r="AD60" s="439">
        <v>1.3</v>
      </c>
      <c r="AE60" s="439">
        <v>1.325</v>
      </c>
      <c r="AF60" s="439">
        <v>1.25</v>
      </c>
      <c r="AG60" s="440">
        <v>2500</v>
      </c>
      <c r="AH60" s="441">
        <v>2500</v>
      </c>
      <c r="AI60" s="151">
        <v>830</v>
      </c>
      <c r="AJ60" s="151">
        <v>2900</v>
      </c>
      <c r="AK60" s="151">
        <v>6295</v>
      </c>
      <c r="AL60" s="151">
        <v>19050</v>
      </c>
      <c r="AM60" s="151">
        <v>22050</v>
      </c>
      <c r="AN60" s="452">
        <f t="shared" si="12"/>
        <v>107900</v>
      </c>
      <c r="AO60" s="445">
        <f t="shared" si="12"/>
        <v>1152750</v>
      </c>
      <c r="AP60" s="445">
        <f t="shared" si="12"/>
        <v>78687.5</v>
      </c>
      <c r="AQ60" s="445">
        <f t="shared" si="12"/>
        <v>95250</v>
      </c>
      <c r="AR60" s="453">
        <f t="shared" si="12"/>
        <v>110250</v>
      </c>
      <c r="AS60" s="452">
        <f>SUM([1]!Tabla1[[#This Row],[COSTO OPERATIVO ACIDO]:[COSTO OPERATIVO CATIONICO]])</f>
        <v>1544837.5</v>
      </c>
      <c r="AT60" s="445">
        <v>5250</v>
      </c>
      <c r="AU60" s="445">
        <f t="shared" si="10"/>
        <v>4365.7884469377423</v>
      </c>
    </row>
    <row r="61" spans="1:47" ht="15" thickBot="1" x14ac:dyDescent="0.35">
      <c r="A61" s="454">
        <v>46042</v>
      </c>
      <c r="B61" s="150">
        <v>20</v>
      </c>
      <c r="C61" s="455" t="s">
        <v>30</v>
      </c>
      <c r="D61" s="456">
        <v>60</v>
      </c>
      <c r="E61" s="456" t="s">
        <v>76</v>
      </c>
      <c r="F61" s="449">
        <v>2300</v>
      </c>
      <c r="G61" s="450">
        <v>2700</v>
      </c>
      <c r="H61" s="450">
        <v>990</v>
      </c>
      <c r="I61" s="450">
        <v>235</v>
      </c>
      <c r="J61" s="450">
        <v>90</v>
      </c>
      <c r="K61" s="468">
        <v>16698</v>
      </c>
      <c r="L61" s="469">
        <v>530.77611940298516</v>
      </c>
      <c r="M61" s="470">
        <v>80</v>
      </c>
      <c r="N61" s="470">
        <f>+[1]!Tabla1[[#This Row],[CAUDAL DE TRATAMIENTO]]+$M$102</f>
        <v>80</v>
      </c>
      <c r="O61" s="430">
        <f>F61-F62</f>
        <v>100</v>
      </c>
      <c r="P61" s="431">
        <f>G61-G62</f>
        <v>150</v>
      </c>
      <c r="Q61" s="430">
        <f t="shared" si="17"/>
        <v>30</v>
      </c>
      <c r="R61" s="430">
        <f t="shared" si="17"/>
        <v>0</v>
      </c>
      <c r="S61" s="432">
        <f t="shared" si="17"/>
        <v>5</v>
      </c>
      <c r="T61" s="437">
        <f t="shared" si="1"/>
        <v>130</v>
      </c>
      <c r="U61" s="438">
        <f t="shared" si="2"/>
        <v>198.75</v>
      </c>
      <c r="V61" s="438">
        <f t="shared" si="3"/>
        <v>37.5</v>
      </c>
      <c r="W61" s="457">
        <f>[1]!Tabla1[[#This Row],[CONSUMO POL ANIONICO (KG)]]</f>
        <v>0</v>
      </c>
      <c r="X61" s="432">
        <f>[1]!Tabla1[[#This Row],[CONSUMO POL CATIONICO (KG)]]</f>
        <v>5</v>
      </c>
      <c r="Y61" s="551">
        <f t="shared" si="4"/>
        <v>244.9243574602103</v>
      </c>
      <c r="Z61" s="457">
        <f t="shared" si="5"/>
        <v>374.45166188628303</v>
      </c>
      <c r="AA61" s="457">
        <f t="shared" si="6"/>
        <v>70.651256959676047</v>
      </c>
      <c r="AB61" s="457">
        <f t="shared" si="7"/>
        <v>0</v>
      </c>
      <c r="AC61" s="432">
        <f t="shared" si="8"/>
        <v>9.4201675946234733</v>
      </c>
      <c r="AD61" s="439">
        <v>1.3</v>
      </c>
      <c r="AE61" s="439">
        <v>1.325</v>
      </c>
      <c r="AF61" s="439">
        <v>1.25</v>
      </c>
      <c r="AG61" s="440">
        <v>2500</v>
      </c>
      <c r="AH61" s="441">
        <v>2500</v>
      </c>
      <c r="AI61" s="151">
        <v>830</v>
      </c>
      <c r="AJ61" s="151">
        <v>2900</v>
      </c>
      <c r="AK61" s="151">
        <v>6295</v>
      </c>
      <c r="AL61" s="151">
        <v>19050</v>
      </c>
      <c r="AM61" s="151">
        <v>22050</v>
      </c>
      <c r="AN61" s="452">
        <f t="shared" si="12"/>
        <v>107900</v>
      </c>
      <c r="AO61" s="458">
        <f t="shared" si="12"/>
        <v>576375</v>
      </c>
      <c r="AP61" s="458">
        <f t="shared" si="12"/>
        <v>236062.5</v>
      </c>
      <c r="AQ61" s="458">
        <f t="shared" si="12"/>
        <v>0</v>
      </c>
      <c r="AR61" s="459">
        <f t="shared" si="12"/>
        <v>110250</v>
      </c>
      <c r="AS61" s="452">
        <f>SUM([1]!Tabla1[[#This Row],[COSTO OPERATIVO ACIDO]:[COSTO OPERATIVO CATIONICO]])</f>
        <v>1030587.5</v>
      </c>
      <c r="AT61" s="458">
        <v>5250</v>
      </c>
      <c r="AU61" s="445">
        <f t="shared" si="10"/>
        <v>1941.6613941848036</v>
      </c>
    </row>
    <row r="62" spans="1:47" s="494" customFormat="1" ht="15" thickBot="1" x14ac:dyDescent="0.35">
      <c r="A62" s="490">
        <v>46043</v>
      </c>
      <c r="B62" s="491">
        <v>21</v>
      </c>
      <c r="C62" s="492" t="s">
        <v>290</v>
      </c>
      <c r="D62" s="493">
        <v>61</v>
      </c>
      <c r="E62" s="493" t="s">
        <v>75</v>
      </c>
      <c r="F62" s="435">
        <v>2200</v>
      </c>
      <c r="G62" s="436">
        <v>2550</v>
      </c>
      <c r="H62" s="436">
        <v>960</v>
      </c>
      <c r="I62" s="436">
        <v>235</v>
      </c>
      <c r="J62" s="436">
        <v>85</v>
      </c>
      <c r="K62" s="464">
        <v>16704</v>
      </c>
      <c r="L62" s="465">
        <v>619.23880597014931</v>
      </c>
      <c r="M62" s="466">
        <v>80</v>
      </c>
      <c r="N62" s="466">
        <f>+[1]!Tabla1[[#This Row],[CAUDAL DE TRATAMIENTO]]+$M$102</f>
        <v>80</v>
      </c>
      <c r="O62" s="424">
        <f>F62-F63</f>
        <v>100</v>
      </c>
      <c r="P62" s="425">
        <f>G62-G63</f>
        <v>160</v>
      </c>
      <c r="Q62" s="424">
        <f t="shared" si="17"/>
        <v>110</v>
      </c>
      <c r="R62" s="424">
        <f t="shared" si="17"/>
        <v>5</v>
      </c>
      <c r="S62" s="426">
        <f t="shared" si="17"/>
        <v>5</v>
      </c>
      <c r="T62" s="437">
        <f t="shared" si="1"/>
        <v>130</v>
      </c>
      <c r="U62" s="438">
        <f t="shared" si="2"/>
        <v>212</v>
      </c>
      <c r="V62" s="438">
        <f t="shared" si="3"/>
        <v>137.5</v>
      </c>
      <c r="W62" s="438">
        <f>[1]!Tabla1[[#This Row],[CONSUMO POL ANIONICO (KG)]]</f>
        <v>5</v>
      </c>
      <c r="X62" s="426">
        <f>[1]!Tabla1[[#This Row],[CONSUMO POL CATIONICO (KG)]]</f>
        <v>5</v>
      </c>
      <c r="Y62" s="437">
        <f t="shared" si="4"/>
        <v>209.93516353732312</v>
      </c>
      <c r="Z62" s="438">
        <f t="shared" si="5"/>
        <v>342.35580515317309</v>
      </c>
      <c r="AA62" s="438">
        <f t="shared" si="6"/>
        <v>222.0468075875533</v>
      </c>
      <c r="AB62" s="438">
        <f t="shared" si="7"/>
        <v>8.0744293668201195</v>
      </c>
      <c r="AC62" s="426">
        <f t="shared" si="8"/>
        <v>8.0744293668201195</v>
      </c>
      <c r="AD62" s="439">
        <v>1.3</v>
      </c>
      <c r="AE62" s="439">
        <v>1.325</v>
      </c>
      <c r="AF62" s="439">
        <v>1.25</v>
      </c>
      <c r="AG62" s="440">
        <v>2500</v>
      </c>
      <c r="AH62" s="441">
        <v>2500</v>
      </c>
      <c r="AI62" s="151">
        <v>830</v>
      </c>
      <c r="AJ62" s="151">
        <v>2900</v>
      </c>
      <c r="AK62" s="151">
        <v>6295</v>
      </c>
      <c r="AL62" s="151">
        <v>19050</v>
      </c>
      <c r="AM62" s="151">
        <v>22050</v>
      </c>
      <c r="AN62" s="442">
        <f t="shared" si="12"/>
        <v>107900</v>
      </c>
      <c r="AO62" s="443">
        <f t="shared" si="12"/>
        <v>614800</v>
      </c>
      <c r="AP62" s="443">
        <f t="shared" si="12"/>
        <v>865562.5</v>
      </c>
      <c r="AQ62" s="443">
        <f t="shared" si="12"/>
        <v>95250</v>
      </c>
      <c r="AR62" s="444">
        <f t="shared" si="12"/>
        <v>110250</v>
      </c>
      <c r="AS62" s="442">
        <f>SUM([1]!Tabla1[[#This Row],[COSTO OPERATIVO ACIDO]:[COSTO OPERATIVO CATIONICO]])</f>
        <v>1793762.5</v>
      </c>
      <c r="AT62" s="443">
        <v>5250</v>
      </c>
      <c r="AU62" s="445">
        <f t="shared" si="10"/>
        <v>2896.7217214201351</v>
      </c>
    </row>
    <row r="63" spans="1:47" s="494" customFormat="1" ht="15" thickBot="1" x14ac:dyDescent="0.35">
      <c r="A63" s="495">
        <v>46043</v>
      </c>
      <c r="B63" s="491">
        <v>21</v>
      </c>
      <c r="C63" s="496" t="s">
        <v>291</v>
      </c>
      <c r="D63" s="497">
        <v>62</v>
      </c>
      <c r="E63" s="497" t="s">
        <v>77</v>
      </c>
      <c r="F63" s="449">
        <v>2100</v>
      </c>
      <c r="G63" s="450">
        <v>2390</v>
      </c>
      <c r="H63" s="450">
        <v>850</v>
      </c>
      <c r="I63" s="450">
        <v>230</v>
      </c>
      <c r="J63" s="450">
        <v>80</v>
      </c>
      <c r="K63" s="467">
        <v>16711</v>
      </c>
      <c r="L63" s="462">
        <v>530.77611940298516</v>
      </c>
      <c r="M63" s="463">
        <v>80</v>
      </c>
      <c r="N63" s="463">
        <f>+[1]!Tabla1[[#This Row],[CAUDAL DE TRATAMIENTO]]+$M$102</f>
        <v>80</v>
      </c>
      <c r="O63" s="427">
        <f>F63-F64</f>
        <v>20</v>
      </c>
      <c r="P63" s="428">
        <f>G63-G64</f>
        <v>190</v>
      </c>
      <c r="Q63" s="427">
        <f t="shared" si="17"/>
        <v>50</v>
      </c>
      <c r="R63" s="427">
        <f t="shared" si="17"/>
        <v>0</v>
      </c>
      <c r="S63" s="429">
        <f t="shared" si="17"/>
        <v>5</v>
      </c>
      <c r="T63" s="437">
        <f t="shared" si="1"/>
        <v>26</v>
      </c>
      <c r="U63" s="438">
        <f t="shared" si="2"/>
        <v>251.75</v>
      </c>
      <c r="V63" s="438">
        <f t="shared" si="3"/>
        <v>62.5</v>
      </c>
      <c r="W63" s="451">
        <f>[1]!Tabla1[[#This Row],[CONSUMO POL ANIONICO (KG)]]</f>
        <v>0</v>
      </c>
      <c r="X63" s="429">
        <f>[1]!Tabla1[[#This Row],[CONSUMO POL CATIONICO (KG)]]</f>
        <v>5</v>
      </c>
      <c r="Y63" s="551">
        <f t="shared" si="4"/>
        <v>48.98487149204206</v>
      </c>
      <c r="Z63" s="451">
        <f t="shared" si="5"/>
        <v>474.30543838929185</v>
      </c>
      <c r="AA63" s="451">
        <f t="shared" si="6"/>
        <v>117.75209493279341</v>
      </c>
      <c r="AB63" s="451">
        <f t="shared" si="7"/>
        <v>0</v>
      </c>
      <c r="AC63" s="429">
        <f t="shared" si="8"/>
        <v>9.4201675946234733</v>
      </c>
      <c r="AD63" s="439">
        <v>1.3</v>
      </c>
      <c r="AE63" s="439">
        <v>1.325</v>
      </c>
      <c r="AF63" s="439">
        <v>1.25</v>
      </c>
      <c r="AG63" s="440">
        <v>2500</v>
      </c>
      <c r="AH63" s="441">
        <v>2500</v>
      </c>
      <c r="AI63" s="151">
        <v>830</v>
      </c>
      <c r="AJ63" s="151">
        <v>2900</v>
      </c>
      <c r="AK63" s="151">
        <v>6295</v>
      </c>
      <c r="AL63" s="151">
        <v>19050</v>
      </c>
      <c r="AM63" s="151">
        <v>22050</v>
      </c>
      <c r="AN63" s="452">
        <f t="shared" si="12"/>
        <v>21580</v>
      </c>
      <c r="AO63" s="445">
        <f t="shared" si="12"/>
        <v>730075</v>
      </c>
      <c r="AP63" s="445">
        <f t="shared" si="12"/>
        <v>393437.5</v>
      </c>
      <c r="AQ63" s="445">
        <f t="shared" si="12"/>
        <v>0</v>
      </c>
      <c r="AR63" s="453">
        <f t="shared" si="12"/>
        <v>110250</v>
      </c>
      <c r="AS63" s="452">
        <f>SUM([1]!Tabla1[[#This Row],[COSTO OPERATIVO ACIDO]:[COSTO OPERATIVO CATIONICO]])</f>
        <v>1255342.5</v>
      </c>
      <c r="AT63" s="445">
        <v>5250</v>
      </c>
      <c r="AU63" s="445">
        <f t="shared" si="10"/>
        <v>2365.1073477307236</v>
      </c>
    </row>
    <row r="64" spans="1:47" s="494" customFormat="1" ht="15" thickBot="1" x14ac:dyDescent="0.35">
      <c r="A64" s="498">
        <v>46043</v>
      </c>
      <c r="B64" s="491">
        <v>21</v>
      </c>
      <c r="C64" s="499" t="s">
        <v>30</v>
      </c>
      <c r="D64" s="500">
        <v>63</v>
      </c>
      <c r="E64" s="500" t="s">
        <v>76</v>
      </c>
      <c r="F64" s="449">
        <v>2080</v>
      </c>
      <c r="G64" s="450">
        <v>2200</v>
      </c>
      <c r="H64" s="450">
        <v>800</v>
      </c>
      <c r="I64" s="450">
        <v>230</v>
      </c>
      <c r="J64" s="450">
        <v>75</v>
      </c>
      <c r="K64" s="468">
        <v>16717</v>
      </c>
      <c r="L64" s="469">
        <v>442.31343283582089</v>
      </c>
      <c r="M64" s="470">
        <v>80</v>
      </c>
      <c r="N64" s="470">
        <f>+[1]!Tabla1[[#This Row],[CAUDAL DE TRATAMIENTO]]+$M$102</f>
        <v>80</v>
      </c>
      <c r="O64" s="487">
        <f>F64-F65+1000</f>
        <v>80</v>
      </c>
      <c r="P64" s="422">
        <f>G64-G65+3000-150</f>
        <v>150</v>
      </c>
      <c r="Q64" s="487">
        <f>H64-H65+1000</f>
        <v>50</v>
      </c>
      <c r="R64" s="430">
        <f t="shared" si="17"/>
        <v>5</v>
      </c>
      <c r="S64" s="432">
        <f t="shared" si="17"/>
        <v>5</v>
      </c>
      <c r="T64" s="437">
        <f t="shared" si="1"/>
        <v>104</v>
      </c>
      <c r="U64" s="438">
        <f t="shared" si="2"/>
        <v>198.75</v>
      </c>
      <c r="V64" s="438">
        <f t="shared" si="3"/>
        <v>62.5</v>
      </c>
      <c r="W64" s="457">
        <f>[1]!Tabla1[[#This Row],[CONSUMO POL ANIONICO (KG)]]</f>
        <v>5</v>
      </c>
      <c r="X64" s="432">
        <f>[1]!Tabla1[[#This Row],[CONSUMO POL CATIONICO (KG)]]</f>
        <v>5</v>
      </c>
      <c r="Y64" s="551">
        <f t="shared" si="4"/>
        <v>235.12738316180193</v>
      </c>
      <c r="Z64" s="457">
        <f t="shared" si="5"/>
        <v>449.34199426353973</v>
      </c>
      <c r="AA64" s="457">
        <f t="shared" si="6"/>
        <v>141.30251391935212</v>
      </c>
      <c r="AB64" s="457">
        <f t="shared" si="7"/>
        <v>11.304201113548169</v>
      </c>
      <c r="AC64" s="432">
        <f t="shared" si="8"/>
        <v>11.304201113548169</v>
      </c>
      <c r="AD64" s="439">
        <v>1.3</v>
      </c>
      <c r="AE64" s="439">
        <v>1.325</v>
      </c>
      <c r="AF64" s="439">
        <v>1.25</v>
      </c>
      <c r="AG64" s="440">
        <v>2500</v>
      </c>
      <c r="AH64" s="441">
        <v>2500</v>
      </c>
      <c r="AI64" s="151">
        <v>830</v>
      </c>
      <c r="AJ64" s="151">
        <v>2900</v>
      </c>
      <c r="AK64" s="151">
        <v>6295</v>
      </c>
      <c r="AL64" s="151">
        <v>19050</v>
      </c>
      <c r="AM64" s="151">
        <v>22050</v>
      </c>
      <c r="AN64" s="452">
        <f t="shared" si="12"/>
        <v>86320</v>
      </c>
      <c r="AO64" s="458">
        <f t="shared" si="12"/>
        <v>576375</v>
      </c>
      <c r="AP64" s="458">
        <f t="shared" si="12"/>
        <v>393437.5</v>
      </c>
      <c r="AQ64" s="458">
        <f t="shared" si="12"/>
        <v>95250</v>
      </c>
      <c r="AR64" s="459">
        <f t="shared" si="12"/>
        <v>110250</v>
      </c>
      <c r="AS64" s="452">
        <f>SUM([1]!Tabla1[[#This Row],[COSTO OPERATIVO ACIDO]:[COSTO OPERATIVO CATIONICO]])</f>
        <v>1261632.5</v>
      </c>
      <c r="AT64" s="458">
        <v>5250</v>
      </c>
      <c r="AU64" s="445">
        <f t="shared" si="10"/>
        <v>2852.3495022777124</v>
      </c>
    </row>
    <row r="65" spans="1:47" ht="15" thickBot="1" x14ac:dyDescent="0.35">
      <c r="A65" s="200">
        <v>46044</v>
      </c>
      <c r="B65" s="150">
        <v>22</v>
      </c>
      <c r="C65" s="433" t="s">
        <v>292</v>
      </c>
      <c r="D65" s="434">
        <v>64</v>
      </c>
      <c r="E65" s="434" t="s">
        <v>75</v>
      </c>
      <c r="F65" s="435">
        <v>3000</v>
      </c>
      <c r="G65" s="436">
        <v>4900</v>
      </c>
      <c r="H65" s="436">
        <v>1750</v>
      </c>
      <c r="I65" s="436">
        <v>225</v>
      </c>
      <c r="J65" s="436">
        <v>70</v>
      </c>
      <c r="K65" s="464">
        <v>16722</v>
      </c>
      <c r="L65" s="465">
        <v>442.31343283582089</v>
      </c>
      <c r="M65" s="466">
        <v>80</v>
      </c>
      <c r="N65" s="466">
        <f>+[1]!Tabla1[[#This Row],[CAUDAL DE TRATAMIENTO]]+$M$102</f>
        <v>80</v>
      </c>
      <c r="O65" s="544">
        <f>F65-F66-100</f>
        <v>40</v>
      </c>
      <c r="P65" s="425">
        <f t="shared" ref="P65:S80" si="18">G65-G66</f>
        <v>300</v>
      </c>
      <c r="Q65" s="424">
        <f t="shared" si="18"/>
        <v>110</v>
      </c>
      <c r="R65" s="424">
        <f t="shared" si="17"/>
        <v>0</v>
      </c>
      <c r="S65" s="426">
        <f t="shared" si="17"/>
        <v>5</v>
      </c>
      <c r="T65" s="437">
        <f t="shared" si="1"/>
        <v>52</v>
      </c>
      <c r="U65" s="438">
        <f t="shared" si="2"/>
        <v>397.5</v>
      </c>
      <c r="V65" s="438">
        <f t="shared" si="3"/>
        <v>137.5</v>
      </c>
      <c r="W65" s="438">
        <f>[1]!Tabla1[[#This Row],[CONSUMO POL ANIONICO (KG)]]</f>
        <v>0</v>
      </c>
      <c r="X65" s="426">
        <f>[1]!Tabla1[[#This Row],[CONSUMO POL CATIONICO (KG)]]</f>
        <v>5</v>
      </c>
      <c r="Y65" s="437">
        <f t="shared" si="4"/>
        <v>117.56369158090097</v>
      </c>
      <c r="Z65" s="438">
        <f t="shared" si="5"/>
        <v>898.68398852707946</v>
      </c>
      <c r="AA65" s="438">
        <f t="shared" si="6"/>
        <v>310.86553062257468</v>
      </c>
      <c r="AB65" s="438">
        <f t="shared" si="7"/>
        <v>0</v>
      </c>
      <c r="AC65" s="426">
        <f t="shared" si="8"/>
        <v>11.304201113548169</v>
      </c>
      <c r="AD65" s="439">
        <v>1.3</v>
      </c>
      <c r="AE65" s="439">
        <v>1.325</v>
      </c>
      <c r="AF65" s="439">
        <v>1.25</v>
      </c>
      <c r="AG65" s="440">
        <v>2500</v>
      </c>
      <c r="AH65" s="441">
        <v>2500</v>
      </c>
      <c r="AI65" s="151">
        <v>830</v>
      </c>
      <c r="AJ65" s="151">
        <v>2900</v>
      </c>
      <c r="AK65" s="151">
        <v>6295</v>
      </c>
      <c r="AL65" s="151">
        <v>19050</v>
      </c>
      <c r="AM65" s="151">
        <v>22050</v>
      </c>
      <c r="AN65" s="442">
        <f t="shared" si="12"/>
        <v>43160</v>
      </c>
      <c r="AO65" s="443">
        <f t="shared" si="12"/>
        <v>1152750</v>
      </c>
      <c r="AP65" s="443">
        <f t="shared" si="12"/>
        <v>865562.5</v>
      </c>
      <c r="AQ65" s="443">
        <f t="shared" si="12"/>
        <v>0</v>
      </c>
      <c r="AR65" s="444">
        <f t="shared" si="12"/>
        <v>110250</v>
      </c>
      <c r="AS65" s="442">
        <f>SUM([1]!Tabla1[[#This Row],[COSTO OPERATIVO ACIDO]:[COSTO OPERATIVO CATIONICO]])</f>
        <v>2171722.5</v>
      </c>
      <c r="AT65" s="443">
        <v>5250</v>
      </c>
      <c r="AU65" s="445">
        <f t="shared" si="10"/>
        <v>4909.9175805635232</v>
      </c>
    </row>
    <row r="66" spans="1:47" ht="15" thickBot="1" x14ac:dyDescent="0.35">
      <c r="A66" s="446">
        <v>46044</v>
      </c>
      <c r="B66" s="150">
        <v>22</v>
      </c>
      <c r="C66" s="447" t="s">
        <v>293</v>
      </c>
      <c r="D66" s="448">
        <v>65</v>
      </c>
      <c r="E66" s="448" t="s">
        <v>77</v>
      </c>
      <c r="F66" s="449">
        <v>2860</v>
      </c>
      <c r="G66" s="450">
        <v>4600</v>
      </c>
      <c r="H66" s="450">
        <v>1640</v>
      </c>
      <c r="I66" s="450">
        <v>225</v>
      </c>
      <c r="J66" s="450">
        <v>65</v>
      </c>
      <c r="K66" s="467">
        <v>16727</v>
      </c>
      <c r="L66" s="462">
        <v>619.23880597014931</v>
      </c>
      <c r="M66" s="463">
        <v>80</v>
      </c>
      <c r="N66" s="463">
        <f>+[1]!Tabla1[[#This Row],[CAUDAL DE TRATAMIENTO]]+$M$102</f>
        <v>80</v>
      </c>
      <c r="O66" s="427">
        <f t="shared" ref="O66:S81" si="19">F66-F67</f>
        <v>100</v>
      </c>
      <c r="P66" s="428">
        <f t="shared" si="18"/>
        <v>220</v>
      </c>
      <c r="Q66" s="427">
        <f t="shared" si="18"/>
        <v>70</v>
      </c>
      <c r="R66" s="427">
        <f t="shared" si="17"/>
        <v>5</v>
      </c>
      <c r="S66" s="429">
        <f t="shared" si="17"/>
        <v>5</v>
      </c>
      <c r="T66" s="437">
        <f t="shared" ref="T66:T94" si="20">(O66*$AD$2)</f>
        <v>130</v>
      </c>
      <c r="U66" s="438">
        <f t="shared" ref="U66:U94" si="21">(P66*$AE$2)</f>
        <v>291.5</v>
      </c>
      <c r="V66" s="438">
        <f t="shared" ref="V66:V94" si="22">(Q66*$AF$2)</f>
        <v>87.5</v>
      </c>
      <c r="W66" s="451">
        <f>[1]!Tabla1[[#This Row],[CONSUMO POL ANIONICO (KG)]]</f>
        <v>5</v>
      </c>
      <c r="X66" s="429">
        <f>[1]!Tabla1[[#This Row],[CONSUMO POL CATIONICO (KG)]]</f>
        <v>5</v>
      </c>
      <c r="Y66" s="551">
        <f t="shared" ref="Y66:Y94" si="23">(T66*1000)/L66</f>
        <v>209.93516353732312</v>
      </c>
      <c r="Z66" s="451">
        <f t="shared" ref="Z66:Z94" si="24">(U66*1000)/L66</f>
        <v>470.73923208561303</v>
      </c>
      <c r="AA66" s="451">
        <f t="shared" ref="AA66:AA94" si="25">(V66*1000)/L66</f>
        <v>141.30251391935209</v>
      </c>
      <c r="AB66" s="451">
        <f t="shared" ref="AB66:AB94" si="26">(W66*1000)/L66</f>
        <v>8.0744293668201195</v>
      </c>
      <c r="AC66" s="429">
        <f t="shared" ref="AC66:AC94" si="27">(X66*1000)/L66</f>
        <v>8.0744293668201195</v>
      </c>
      <c r="AD66" s="439">
        <v>1.3</v>
      </c>
      <c r="AE66" s="439">
        <v>1.325</v>
      </c>
      <c r="AF66" s="439">
        <v>1.25</v>
      </c>
      <c r="AG66" s="440">
        <v>2500</v>
      </c>
      <c r="AH66" s="441">
        <v>2500</v>
      </c>
      <c r="AI66" s="151">
        <v>830</v>
      </c>
      <c r="AJ66" s="151">
        <v>2900</v>
      </c>
      <c r="AK66" s="151">
        <v>6295</v>
      </c>
      <c r="AL66" s="151">
        <v>19050</v>
      </c>
      <c r="AM66" s="151">
        <v>22050</v>
      </c>
      <c r="AN66" s="452">
        <f t="shared" si="12"/>
        <v>107900</v>
      </c>
      <c r="AO66" s="445">
        <f t="shared" si="12"/>
        <v>845350</v>
      </c>
      <c r="AP66" s="445">
        <f t="shared" si="12"/>
        <v>550812.5</v>
      </c>
      <c r="AQ66" s="445">
        <f t="shared" si="12"/>
        <v>95250</v>
      </c>
      <c r="AR66" s="453">
        <f t="shared" si="12"/>
        <v>110250</v>
      </c>
      <c r="AS66" s="452">
        <f>SUM([1]!Tabla1[[#This Row],[COSTO OPERATIVO ACIDO]:[COSTO OPERATIVO CATIONICO]])</f>
        <v>1709562.5</v>
      </c>
      <c r="AT66" s="445">
        <v>5250</v>
      </c>
      <c r="AU66" s="445">
        <f t="shared" ref="AU66:AU94" si="28">AS66/L66</f>
        <v>2760.7483308828841</v>
      </c>
    </row>
    <row r="67" spans="1:47" ht="15" thickBot="1" x14ac:dyDescent="0.35">
      <c r="A67" s="454">
        <v>46044</v>
      </c>
      <c r="B67" s="150">
        <v>22</v>
      </c>
      <c r="C67" s="455" t="s">
        <v>30</v>
      </c>
      <c r="D67" s="456">
        <v>66</v>
      </c>
      <c r="E67" s="456" t="s">
        <v>76</v>
      </c>
      <c r="F67" s="449">
        <v>2760</v>
      </c>
      <c r="G67" s="450">
        <v>4380</v>
      </c>
      <c r="H67" s="450">
        <v>1570</v>
      </c>
      <c r="I67" s="450">
        <v>220</v>
      </c>
      <c r="J67" s="450">
        <v>60</v>
      </c>
      <c r="K67" s="468">
        <v>16734</v>
      </c>
      <c r="L67" s="469">
        <v>530.77611940298516</v>
      </c>
      <c r="M67" s="470">
        <v>80</v>
      </c>
      <c r="N67" s="470">
        <f>+[1]!Tabla1[[#This Row],[CAUDAL DE TRATAMIENTO]]+$M$102</f>
        <v>80</v>
      </c>
      <c r="O67" s="430">
        <f t="shared" si="19"/>
        <v>20</v>
      </c>
      <c r="P67" s="431">
        <f t="shared" si="18"/>
        <v>280</v>
      </c>
      <c r="Q67" s="430">
        <f t="shared" si="18"/>
        <v>60</v>
      </c>
      <c r="R67" s="430">
        <f t="shared" si="17"/>
        <v>0</v>
      </c>
      <c r="S67" s="432">
        <f t="shared" si="17"/>
        <v>5</v>
      </c>
      <c r="T67" s="437">
        <f t="shared" si="20"/>
        <v>26</v>
      </c>
      <c r="U67" s="438">
        <f t="shared" si="21"/>
        <v>371</v>
      </c>
      <c r="V67" s="438">
        <f t="shared" si="22"/>
        <v>75</v>
      </c>
      <c r="W67" s="457">
        <f>[1]!Tabla1[[#This Row],[CONSUMO POL ANIONICO (KG)]]</f>
        <v>0</v>
      </c>
      <c r="X67" s="432">
        <f>[1]!Tabla1[[#This Row],[CONSUMO POL CATIONICO (KG)]]</f>
        <v>5</v>
      </c>
      <c r="Y67" s="551">
        <f t="shared" si="23"/>
        <v>48.98487149204206</v>
      </c>
      <c r="Z67" s="457">
        <f t="shared" si="24"/>
        <v>698.97643552106172</v>
      </c>
      <c r="AA67" s="457">
        <f t="shared" si="25"/>
        <v>141.30251391935209</v>
      </c>
      <c r="AB67" s="457">
        <f t="shared" si="26"/>
        <v>0</v>
      </c>
      <c r="AC67" s="432">
        <f t="shared" si="27"/>
        <v>9.4201675946234733</v>
      </c>
      <c r="AD67" s="439">
        <v>1.3</v>
      </c>
      <c r="AE67" s="439">
        <v>1.325</v>
      </c>
      <c r="AF67" s="439">
        <v>1.25</v>
      </c>
      <c r="AG67" s="440">
        <v>2500</v>
      </c>
      <c r="AH67" s="441">
        <v>2500</v>
      </c>
      <c r="AI67" s="151">
        <v>830</v>
      </c>
      <c r="AJ67" s="151">
        <v>2900</v>
      </c>
      <c r="AK67" s="151">
        <v>6295</v>
      </c>
      <c r="AL67" s="151">
        <v>19050</v>
      </c>
      <c r="AM67" s="151">
        <v>22050</v>
      </c>
      <c r="AN67" s="452">
        <f t="shared" si="12"/>
        <v>21580</v>
      </c>
      <c r="AO67" s="458">
        <f t="shared" si="12"/>
        <v>1075900</v>
      </c>
      <c r="AP67" s="458">
        <f t="shared" si="12"/>
        <v>472125</v>
      </c>
      <c r="AQ67" s="458">
        <f t="shared" si="12"/>
        <v>0</v>
      </c>
      <c r="AR67" s="459">
        <f t="shared" si="12"/>
        <v>110250</v>
      </c>
      <c r="AS67" s="452">
        <f>SUM([1]!Tabla1[[#This Row],[COSTO OPERATIVO ACIDO]:[COSTO OPERATIVO CATIONICO]])</f>
        <v>1679855</v>
      </c>
      <c r="AT67" s="458">
        <v>5250</v>
      </c>
      <c r="AU67" s="445">
        <f t="shared" si="28"/>
        <v>3164.9031269332427</v>
      </c>
    </row>
    <row r="68" spans="1:47" ht="15" thickBot="1" x14ac:dyDescent="0.35">
      <c r="A68" s="200">
        <v>46045</v>
      </c>
      <c r="B68" s="150">
        <v>23</v>
      </c>
      <c r="C68" s="433" t="s">
        <v>294</v>
      </c>
      <c r="D68" s="434">
        <v>67</v>
      </c>
      <c r="E68" s="434" t="s">
        <v>75</v>
      </c>
      <c r="F68" s="435">
        <v>2740</v>
      </c>
      <c r="G68" s="436">
        <v>4100</v>
      </c>
      <c r="H68" s="436">
        <v>1510</v>
      </c>
      <c r="I68" s="436">
        <v>220</v>
      </c>
      <c r="J68" s="436">
        <v>55</v>
      </c>
      <c r="K68" s="464">
        <v>16740</v>
      </c>
      <c r="L68" s="465">
        <v>265.38805970149258</v>
      </c>
      <c r="M68" s="466">
        <v>80</v>
      </c>
      <c r="N68" s="466">
        <f>+[1]!Tabla1[[#This Row],[CAUDAL DE TRATAMIENTO]]+$M$102</f>
        <v>80</v>
      </c>
      <c r="O68" s="424">
        <f t="shared" si="19"/>
        <v>0</v>
      </c>
      <c r="P68" s="425">
        <f t="shared" si="18"/>
        <v>190</v>
      </c>
      <c r="Q68" s="424">
        <f t="shared" si="18"/>
        <v>10</v>
      </c>
      <c r="R68" s="424">
        <f t="shared" si="17"/>
        <v>5</v>
      </c>
      <c r="S68" s="426">
        <f t="shared" si="17"/>
        <v>5</v>
      </c>
      <c r="T68" s="437">
        <f t="shared" si="20"/>
        <v>0</v>
      </c>
      <c r="U68" s="438">
        <f t="shared" si="21"/>
        <v>251.75</v>
      </c>
      <c r="V68" s="438">
        <f t="shared" si="22"/>
        <v>12.5</v>
      </c>
      <c r="W68" s="438">
        <f>[1]!Tabla1[[#This Row],[CONSUMO POL ANIONICO (KG)]]</f>
        <v>5</v>
      </c>
      <c r="X68" s="426">
        <f>[1]!Tabla1[[#This Row],[CONSUMO POL CATIONICO (KG)]]</f>
        <v>5</v>
      </c>
      <c r="Y68" s="437">
        <f t="shared" si="23"/>
        <v>0</v>
      </c>
      <c r="Z68" s="438">
        <f t="shared" si="24"/>
        <v>948.6108767785837</v>
      </c>
      <c r="AA68" s="438">
        <f t="shared" si="25"/>
        <v>47.100837973117365</v>
      </c>
      <c r="AB68" s="438">
        <f t="shared" si="26"/>
        <v>18.840335189246947</v>
      </c>
      <c r="AC68" s="426">
        <f t="shared" si="27"/>
        <v>18.840335189246947</v>
      </c>
      <c r="AD68" s="439">
        <v>1.3</v>
      </c>
      <c r="AE68" s="439">
        <v>1.325</v>
      </c>
      <c r="AF68" s="439">
        <v>1.25</v>
      </c>
      <c r="AG68" s="440">
        <v>2500</v>
      </c>
      <c r="AH68" s="441">
        <v>2500</v>
      </c>
      <c r="AI68" s="151">
        <v>830</v>
      </c>
      <c r="AJ68" s="151">
        <v>2900</v>
      </c>
      <c r="AK68" s="151">
        <v>6295</v>
      </c>
      <c r="AL68" s="151">
        <v>19050</v>
      </c>
      <c r="AM68" s="151">
        <v>22050</v>
      </c>
      <c r="AN68" s="442">
        <f t="shared" si="12"/>
        <v>0</v>
      </c>
      <c r="AO68" s="443">
        <f t="shared" si="12"/>
        <v>730075</v>
      </c>
      <c r="AP68" s="443">
        <f t="shared" si="12"/>
        <v>78687.5</v>
      </c>
      <c r="AQ68" s="443">
        <f t="shared" si="12"/>
        <v>95250</v>
      </c>
      <c r="AR68" s="444">
        <f t="shared" si="12"/>
        <v>110250</v>
      </c>
      <c r="AS68" s="442">
        <f>SUM([1]!Tabla1[[#This Row],[COSTO OPERATIVO ACIDO]:[COSTO OPERATIVO CATIONICO]])</f>
        <v>1014262.5</v>
      </c>
      <c r="AT68" s="443">
        <v>5250</v>
      </c>
      <c r="AU68" s="445">
        <f t="shared" si="28"/>
        <v>3821.8090939767162</v>
      </c>
    </row>
    <row r="69" spans="1:47" ht="15" thickBot="1" x14ac:dyDescent="0.35">
      <c r="A69" s="446">
        <v>46045</v>
      </c>
      <c r="B69" s="150">
        <v>23</v>
      </c>
      <c r="C69" s="447" t="s">
        <v>295</v>
      </c>
      <c r="D69" s="448">
        <v>68</v>
      </c>
      <c r="E69" s="448" t="s">
        <v>77</v>
      </c>
      <c r="F69" s="449">
        <v>2740</v>
      </c>
      <c r="G69" s="450">
        <v>3910</v>
      </c>
      <c r="H69" s="450">
        <v>1500</v>
      </c>
      <c r="I69" s="450">
        <v>215</v>
      </c>
      <c r="J69" s="450">
        <v>50</v>
      </c>
      <c r="K69" s="467">
        <v>16743</v>
      </c>
      <c r="L69" s="462">
        <v>176.92537313432837</v>
      </c>
      <c r="M69" s="463">
        <v>80</v>
      </c>
      <c r="N69" s="463">
        <f>+[1]!Tabla1[[#This Row],[CAUDAL DE TRATAMIENTO]]+$M$102</f>
        <v>80</v>
      </c>
      <c r="O69" s="427">
        <f t="shared" si="19"/>
        <v>0</v>
      </c>
      <c r="P69" s="428">
        <f t="shared" si="18"/>
        <v>90</v>
      </c>
      <c r="Q69" s="427">
        <f t="shared" si="18"/>
        <v>20</v>
      </c>
      <c r="R69" s="427">
        <f t="shared" si="18"/>
        <v>0</v>
      </c>
      <c r="S69" s="429">
        <f t="shared" si="18"/>
        <v>5</v>
      </c>
      <c r="T69" s="437">
        <f t="shared" si="20"/>
        <v>0</v>
      </c>
      <c r="U69" s="438">
        <f t="shared" si="21"/>
        <v>119.25</v>
      </c>
      <c r="V69" s="438">
        <f t="shared" si="22"/>
        <v>25</v>
      </c>
      <c r="W69" s="451">
        <f>[1]!Tabla1[[#This Row],[CONSUMO POL ANIONICO (KG)]]</f>
        <v>0</v>
      </c>
      <c r="X69" s="429">
        <f>[1]!Tabla1[[#This Row],[CONSUMO POL CATIONICO (KG)]]</f>
        <v>5</v>
      </c>
      <c r="Y69" s="551">
        <f t="shared" si="23"/>
        <v>0</v>
      </c>
      <c r="Z69" s="451">
        <f t="shared" si="24"/>
        <v>674.01299139530954</v>
      </c>
      <c r="AA69" s="451">
        <f t="shared" si="25"/>
        <v>141.30251391935212</v>
      </c>
      <c r="AB69" s="451">
        <f t="shared" si="26"/>
        <v>0</v>
      </c>
      <c r="AC69" s="429">
        <f t="shared" si="27"/>
        <v>28.260502783870422</v>
      </c>
      <c r="AD69" s="439">
        <v>1.3</v>
      </c>
      <c r="AE69" s="439">
        <v>1.325</v>
      </c>
      <c r="AF69" s="439">
        <v>1.25</v>
      </c>
      <c r="AG69" s="440">
        <v>2500</v>
      </c>
      <c r="AH69" s="441">
        <v>2500</v>
      </c>
      <c r="AI69" s="151">
        <v>830</v>
      </c>
      <c r="AJ69" s="151">
        <v>2900</v>
      </c>
      <c r="AK69" s="151">
        <v>6295</v>
      </c>
      <c r="AL69" s="151">
        <v>19050</v>
      </c>
      <c r="AM69" s="151">
        <v>22050</v>
      </c>
      <c r="AN69" s="452">
        <f t="shared" ref="AN69:AR94" si="29">T69*AI69</f>
        <v>0</v>
      </c>
      <c r="AO69" s="445">
        <f t="shared" si="29"/>
        <v>345825</v>
      </c>
      <c r="AP69" s="445">
        <f t="shared" si="29"/>
        <v>157375</v>
      </c>
      <c r="AQ69" s="445">
        <f t="shared" si="29"/>
        <v>0</v>
      </c>
      <c r="AR69" s="453">
        <f t="shared" si="29"/>
        <v>110250</v>
      </c>
      <c r="AS69" s="452">
        <f>SUM([1]!Tabla1[[#This Row],[COSTO OPERATIVO ACIDO]:[COSTO OPERATIVO CATIONICO]])</f>
        <v>613450</v>
      </c>
      <c r="AT69" s="445">
        <v>5250</v>
      </c>
      <c r="AU69" s="445">
        <f t="shared" si="28"/>
        <v>3467.2810865530619</v>
      </c>
    </row>
    <row r="70" spans="1:47" ht="15" thickBot="1" x14ac:dyDescent="0.35">
      <c r="A70" s="454">
        <v>46045</v>
      </c>
      <c r="B70" s="150">
        <v>23</v>
      </c>
      <c r="C70" s="455" t="s">
        <v>30</v>
      </c>
      <c r="D70" s="456">
        <v>69</v>
      </c>
      <c r="E70" s="456" t="s">
        <v>76</v>
      </c>
      <c r="F70" s="449">
        <v>2740</v>
      </c>
      <c r="G70" s="450">
        <v>3820</v>
      </c>
      <c r="H70" s="450">
        <v>1480</v>
      </c>
      <c r="I70" s="450">
        <v>215</v>
      </c>
      <c r="J70" s="450">
        <v>45</v>
      </c>
      <c r="K70" s="468">
        <v>16745</v>
      </c>
      <c r="L70" s="469">
        <v>530.77611940298516</v>
      </c>
      <c r="M70" s="470">
        <v>80</v>
      </c>
      <c r="N70" s="470">
        <f>+[1]!Tabla1[[#This Row],[CAUDAL DE TRATAMIENTO]]+$M$102</f>
        <v>80</v>
      </c>
      <c r="O70" s="430">
        <f t="shared" si="19"/>
        <v>20</v>
      </c>
      <c r="P70" s="431">
        <f t="shared" si="18"/>
        <v>420</v>
      </c>
      <c r="Q70" s="430">
        <f t="shared" si="18"/>
        <v>80</v>
      </c>
      <c r="R70" s="430">
        <f t="shared" si="18"/>
        <v>5</v>
      </c>
      <c r="S70" s="432">
        <f t="shared" si="18"/>
        <v>5</v>
      </c>
      <c r="T70" s="437">
        <f t="shared" si="20"/>
        <v>26</v>
      </c>
      <c r="U70" s="438">
        <f t="shared" si="21"/>
        <v>556.5</v>
      </c>
      <c r="V70" s="438">
        <f t="shared" si="22"/>
        <v>100</v>
      </c>
      <c r="W70" s="457">
        <f>[1]!Tabla1[[#This Row],[CONSUMO POL ANIONICO (KG)]]</f>
        <v>5</v>
      </c>
      <c r="X70" s="432">
        <f>[1]!Tabla1[[#This Row],[CONSUMO POL CATIONICO (KG)]]</f>
        <v>5</v>
      </c>
      <c r="Y70" s="551">
        <f t="shared" si="23"/>
        <v>48.98487149204206</v>
      </c>
      <c r="Z70" s="457">
        <f t="shared" si="24"/>
        <v>1048.4646532815925</v>
      </c>
      <c r="AA70" s="457">
        <f t="shared" si="25"/>
        <v>188.40335189246946</v>
      </c>
      <c r="AB70" s="457">
        <f t="shared" si="26"/>
        <v>9.4201675946234733</v>
      </c>
      <c r="AC70" s="432">
        <f t="shared" si="27"/>
        <v>9.4201675946234733</v>
      </c>
      <c r="AD70" s="439">
        <v>1.3</v>
      </c>
      <c r="AE70" s="439">
        <v>1.325</v>
      </c>
      <c r="AF70" s="439">
        <v>1.25</v>
      </c>
      <c r="AG70" s="440">
        <v>2500</v>
      </c>
      <c r="AH70" s="441">
        <v>2500</v>
      </c>
      <c r="AI70" s="151">
        <v>830</v>
      </c>
      <c r="AJ70" s="151">
        <v>2900</v>
      </c>
      <c r="AK70" s="151">
        <v>6295</v>
      </c>
      <c r="AL70" s="151">
        <v>19050</v>
      </c>
      <c r="AM70" s="151">
        <v>22050</v>
      </c>
      <c r="AN70" s="452">
        <f t="shared" si="29"/>
        <v>21580</v>
      </c>
      <c r="AO70" s="458">
        <f t="shared" si="29"/>
        <v>1613850</v>
      </c>
      <c r="AP70" s="458">
        <f t="shared" si="29"/>
        <v>629500</v>
      </c>
      <c r="AQ70" s="458">
        <f t="shared" si="29"/>
        <v>95250</v>
      </c>
      <c r="AR70" s="459">
        <f t="shared" si="29"/>
        <v>110250</v>
      </c>
      <c r="AS70" s="452">
        <f>SUM([1]!Tabla1[[#This Row],[COSTO OPERATIVO ACIDO]:[COSTO OPERATIVO CATIONICO]])</f>
        <v>2470430</v>
      </c>
      <c r="AT70" s="458">
        <v>5250</v>
      </c>
      <c r="AU70" s="445">
        <f t="shared" si="28"/>
        <v>4654.3729261571334</v>
      </c>
    </row>
    <row r="71" spans="1:47" ht="15" thickBot="1" x14ac:dyDescent="0.35">
      <c r="A71" s="200">
        <v>46046</v>
      </c>
      <c r="B71" s="150">
        <v>24</v>
      </c>
      <c r="C71" s="433" t="s">
        <v>296</v>
      </c>
      <c r="D71" s="434">
        <v>70</v>
      </c>
      <c r="E71" s="434" t="s">
        <v>75</v>
      </c>
      <c r="F71" s="435">
        <v>2720</v>
      </c>
      <c r="G71" s="436">
        <v>3400</v>
      </c>
      <c r="H71" s="436">
        <v>1400</v>
      </c>
      <c r="I71" s="436">
        <v>210</v>
      </c>
      <c r="J71" s="436">
        <v>40</v>
      </c>
      <c r="K71" s="464">
        <v>16751</v>
      </c>
      <c r="L71" s="465">
        <v>442.31343283582089</v>
      </c>
      <c r="M71" s="466">
        <v>80</v>
      </c>
      <c r="N71" s="466">
        <f>+[1]!Tabla1[[#This Row],[CAUDAL DE TRATAMIENTO]]+$M$102</f>
        <v>80</v>
      </c>
      <c r="O71" s="424">
        <f t="shared" si="19"/>
        <v>20</v>
      </c>
      <c r="P71" s="425">
        <f t="shared" si="18"/>
        <v>120</v>
      </c>
      <c r="Q71" s="424">
        <f>H71-H72</f>
        <v>30</v>
      </c>
      <c r="R71" s="424">
        <f t="shared" si="18"/>
        <v>0</v>
      </c>
      <c r="S71" s="426">
        <f t="shared" si="18"/>
        <v>5</v>
      </c>
      <c r="T71" s="437">
        <f t="shared" si="20"/>
        <v>26</v>
      </c>
      <c r="U71" s="438">
        <f t="shared" si="21"/>
        <v>159</v>
      </c>
      <c r="V71" s="438">
        <f t="shared" si="22"/>
        <v>37.5</v>
      </c>
      <c r="W71" s="438">
        <f>[1]!Tabla1[[#This Row],[CONSUMO POL ANIONICO (KG)]]</f>
        <v>0</v>
      </c>
      <c r="X71" s="426">
        <f>[1]!Tabla1[[#This Row],[CONSUMO POL CATIONICO (KG)]]</f>
        <v>5</v>
      </c>
      <c r="Y71" s="437">
        <f t="shared" si="23"/>
        <v>58.781845790450483</v>
      </c>
      <c r="Z71" s="438">
        <f t="shared" si="24"/>
        <v>359.47359541083176</v>
      </c>
      <c r="AA71" s="438">
        <f t="shared" si="25"/>
        <v>84.781508351611265</v>
      </c>
      <c r="AB71" s="438">
        <f t="shared" si="26"/>
        <v>0</v>
      </c>
      <c r="AC71" s="426">
        <f t="shared" si="27"/>
        <v>11.304201113548169</v>
      </c>
      <c r="AD71" s="439">
        <v>1.3</v>
      </c>
      <c r="AE71" s="439">
        <v>1.325</v>
      </c>
      <c r="AF71" s="439">
        <v>1.25</v>
      </c>
      <c r="AG71" s="440">
        <v>2500</v>
      </c>
      <c r="AH71" s="441">
        <v>2500</v>
      </c>
      <c r="AI71" s="151">
        <v>830</v>
      </c>
      <c r="AJ71" s="151">
        <v>2900</v>
      </c>
      <c r="AK71" s="151">
        <v>6295</v>
      </c>
      <c r="AL71" s="151">
        <v>19050</v>
      </c>
      <c r="AM71" s="151">
        <v>22050</v>
      </c>
      <c r="AN71" s="442">
        <f t="shared" si="29"/>
        <v>21580</v>
      </c>
      <c r="AO71" s="443">
        <f t="shared" si="29"/>
        <v>461100</v>
      </c>
      <c r="AP71" s="443">
        <f t="shared" si="29"/>
        <v>236062.5</v>
      </c>
      <c r="AQ71" s="443">
        <f t="shared" si="29"/>
        <v>0</v>
      </c>
      <c r="AR71" s="444">
        <f t="shared" si="29"/>
        <v>110250</v>
      </c>
      <c r="AS71" s="442">
        <f>SUM([1]!Tabla1[[#This Row],[COSTO OPERATIVO ACIDO]:[COSTO OPERATIVO CATIONICO]])</f>
        <v>828992.5</v>
      </c>
      <c r="AT71" s="443">
        <v>5250</v>
      </c>
      <c r="AU71" s="445">
        <f t="shared" si="28"/>
        <v>1874.2195883246161</v>
      </c>
    </row>
    <row r="72" spans="1:47" ht="15" thickBot="1" x14ac:dyDescent="0.35">
      <c r="A72" s="446">
        <v>46046</v>
      </c>
      <c r="B72" s="150">
        <v>24</v>
      </c>
      <c r="C72" s="447" t="s">
        <v>297</v>
      </c>
      <c r="D72" s="448">
        <v>71</v>
      </c>
      <c r="E72" s="448" t="s">
        <v>77</v>
      </c>
      <c r="F72" s="449">
        <v>2700</v>
      </c>
      <c r="G72" s="450">
        <v>3280</v>
      </c>
      <c r="H72" s="450">
        <v>1370</v>
      </c>
      <c r="I72" s="450">
        <v>210</v>
      </c>
      <c r="J72" s="450">
        <v>35</v>
      </c>
      <c r="K72" s="467">
        <v>16756</v>
      </c>
      <c r="L72" s="462">
        <v>176.92537313432837</v>
      </c>
      <c r="M72" s="463">
        <v>80</v>
      </c>
      <c r="N72" s="463">
        <f>+[1]!Tabla1[[#This Row],[CAUDAL DE TRATAMIENTO]]+$M$102</f>
        <v>80</v>
      </c>
      <c r="O72" s="427">
        <f t="shared" si="19"/>
        <v>10</v>
      </c>
      <c r="P72" s="428">
        <f t="shared" si="18"/>
        <v>30</v>
      </c>
      <c r="Q72" s="427">
        <f>H72-H73</f>
        <v>10</v>
      </c>
      <c r="R72" s="427">
        <f t="shared" si="18"/>
        <v>5</v>
      </c>
      <c r="S72" s="429">
        <f t="shared" si="18"/>
        <v>0</v>
      </c>
      <c r="T72" s="437">
        <f t="shared" si="20"/>
        <v>13</v>
      </c>
      <c r="U72" s="438">
        <f t="shared" si="21"/>
        <v>39.75</v>
      </c>
      <c r="V72" s="438">
        <f t="shared" si="22"/>
        <v>12.5</v>
      </c>
      <c r="W72" s="451">
        <f>[1]!Tabla1[[#This Row],[CONSUMO POL ANIONICO (KG)]]</f>
        <v>5</v>
      </c>
      <c r="X72" s="429">
        <f>[1]!Tabla1[[#This Row],[CONSUMO POL CATIONICO (KG)]]</f>
        <v>0</v>
      </c>
      <c r="Y72" s="551">
        <f t="shared" si="23"/>
        <v>73.477307238063091</v>
      </c>
      <c r="Z72" s="451">
        <f t="shared" si="24"/>
        <v>224.67099713176987</v>
      </c>
      <c r="AA72" s="451">
        <f t="shared" si="25"/>
        <v>70.651256959676061</v>
      </c>
      <c r="AB72" s="451">
        <f t="shared" si="26"/>
        <v>28.260502783870422</v>
      </c>
      <c r="AC72" s="429">
        <f t="shared" si="27"/>
        <v>0</v>
      </c>
      <c r="AD72" s="439">
        <v>1.3</v>
      </c>
      <c r="AE72" s="439">
        <v>1.325</v>
      </c>
      <c r="AF72" s="439">
        <v>1.25</v>
      </c>
      <c r="AG72" s="440">
        <v>2500</v>
      </c>
      <c r="AH72" s="441">
        <v>2500</v>
      </c>
      <c r="AI72" s="151">
        <v>830</v>
      </c>
      <c r="AJ72" s="151">
        <v>2900</v>
      </c>
      <c r="AK72" s="151">
        <v>6295</v>
      </c>
      <c r="AL72" s="151">
        <v>19050</v>
      </c>
      <c r="AM72" s="151">
        <v>22050</v>
      </c>
      <c r="AN72" s="452">
        <f t="shared" si="29"/>
        <v>10790</v>
      </c>
      <c r="AO72" s="445">
        <f t="shared" si="29"/>
        <v>115275</v>
      </c>
      <c r="AP72" s="445">
        <f t="shared" si="29"/>
        <v>78687.5</v>
      </c>
      <c r="AQ72" s="445">
        <f t="shared" si="29"/>
        <v>95250</v>
      </c>
      <c r="AR72" s="453">
        <f t="shared" si="29"/>
        <v>0</v>
      </c>
      <c r="AS72" s="452">
        <f>SUM([1]!Tabla1[[#This Row],[COSTO OPERATIVO ACIDO]:[COSTO OPERATIVO CATIONICO]])</f>
        <v>300002.5</v>
      </c>
      <c r="AT72" s="445">
        <v>5250</v>
      </c>
      <c r="AU72" s="445">
        <f t="shared" si="28"/>
        <v>1695.6442972836173</v>
      </c>
    </row>
    <row r="73" spans="1:47" s="494" customFormat="1" ht="15" thickBot="1" x14ac:dyDescent="0.35">
      <c r="A73" s="498">
        <v>46046</v>
      </c>
      <c r="B73" s="491">
        <v>24</v>
      </c>
      <c r="C73" s="499" t="s">
        <v>30</v>
      </c>
      <c r="D73" s="500">
        <v>72</v>
      </c>
      <c r="E73" s="500" t="s">
        <v>76</v>
      </c>
      <c r="F73" s="449">
        <v>2690</v>
      </c>
      <c r="G73" s="450">
        <v>3250</v>
      </c>
      <c r="H73" s="450">
        <v>1360</v>
      </c>
      <c r="I73" s="450">
        <v>205</v>
      </c>
      <c r="J73" s="450">
        <v>35</v>
      </c>
      <c r="K73" s="468">
        <v>16758</v>
      </c>
      <c r="L73" s="469">
        <v>176.92537313432837</v>
      </c>
      <c r="M73" s="470">
        <v>80</v>
      </c>
      <c r="N73" s="470">
        <f>+[1]!Tabla1[[#This Row],[CAUDAL DE TRATAMIENTO]]+$M$102</f>
        <v>80</v>
      </c>
      <c r="O73" s="430">
        <f t="shared" si="19"/>
        <v>0</v>
      </c>
      <c r="P73" s="431">
        <f t="shared" si="18"/>
        <v>0</v>
      </c>
      <c r="Q73" s="430">
        <f>H73-H74</f>
        <v>0</v>
      </c>
      <c r="R73" s="430">
        <f t="shared" si="18"/>
        <v>0</v>
      </c>
      <c r="S73" s="432">
        <f t="shared" si="18"/>
        <v>0</v>
      </c>
      <c r="T73" s="437">
        <f t="shared" si="20"/>
        <v>0</v>
      </c>
      <c r="U73" s="438">
        <f t="shared" si="21"/>
        <v>0</v>
      </c>
      <c r="V73" s="438">
        <f t="shared" si="22"/>
        <v>0</v>
      </c>
      <c r="W73" s="457">
        <f>[1]!Tabla1[[#This Row],[CONSUMO POL ANIONICO (KG)]]</f>
        <v>0</v>
      </c>
      <c r="X73" s="432">
        <f>[1]!Tabla1[[#This Row],[CONSUMO POL CATIONICO (KG)]]</f>
        <v>0</v>
      </c>
      <c r="Y73" s="551">
        <f t="shared" si="23"/>
        <v>0</v>
      </c>
      <c r="Z73" s="457">
        <f t="shared" si="24"/>
        <v>0</v>
      </c>
      <c r="AA73" s="457">
        <f t="shared" si="25"/>
        <v>0</v>
      </c>
      <c r="AB73" s="457">
        <f t="shared" si="26"/>
        <v>0</v>
      </c>
      <c r="AC73" s="432">
        <f t="shared" si="27"/>
        <v>0</v>
      </c>
      <c r="AD73" s="439">
        <v>1.3</v>
      </c>
      <c r="AE73" s="439">
        <v>1.325</v>
      </c>
      <c r="AF73" s="439">
        <v>1.25</v>
      </c>
      <c r="AG73" s="440">
        <v>2500</v>
      </c>
      <c r="AH73" s="441">
        <v>2500</v>
      </c>
      <c r="AI73" s="151">
        <v>830</v>
      </c>
      <c r="AJ73" s="151">
        <v>2900</v>
      </c>
      <c r="AK73" s="151">
        <v>6295</v>
      </c>
      <c r="AL73" s="151">
        <v>19050</v>
      </c>
      <c r="AM73" s="151">
        <v>22050</v>
      </c>
      <c r="AN73" s="452">
        <f t="shared" si="29"/>
        <v>0</v>
      </c>
      <c r="AO73" s="458">
        <f t="shared" si="29"/>
        <v>0</v>
      </c>
      <c r="AP73" s="458">
        <f t="shared" si="29"/>
        <v>0</v>
      </c>
      <c r="AQ73" s="458">
        <f t="shared" si="29"/>
        <v>0</v>
      </c>
      <c r="AR73" s="459">
        <f t="shared" si="29"/>
        <v>0</v>
      </c>
      <c r="AS73" s="452">
        <f>SUM([1]!Tabla1[[#This Row],[COSTO OPERATIVO ACIDO]:[COSTO OPERATIVO CATIONICO]])</f>
        <v>0</v>
      </c>
      <c r="AT73" s="458">
        <v>5250</v>
      </c>
      <c r="AU73" s="445">
        <f t="shared" si="28"/>
        <v>0</v>
      </c>
    </row>
    <row r="74" spans="1:47" s="494" customFormat="1" ht="15" thickBot="1" x14ac:dyDescent="0.35">
      <c r="A74" s="490">
        <v>46047</v>
      </c>
      <c r="B74" s="491">
        <v>25</v>
      </c>
      <c r="C74" s="492" t="s">
        <v>298</v>
      </c>
      <c r="D74" s="493">
        <v>73</v>
      </c>
      <c r="E74" s="493" t="s">
        <v>75</v>
      </c>
      <c r="F74" s="435">
        <v>2690</v>
      </c>
      <c r="G74" s="436">
        <v>3250</v>
      </c>
      <c r="H74" s="436">
        <v>1360</v>
      </c>
      <c r="I74" s="436">
        <v>205</v>
      </c>
      <c r="J74" s="436">
        <v>35</v>
      </c>
      <c r="K74" s="464">
        <v>16760</v>
      </c>
      <c r="L74" s="465">
        <v>0</v>
      </c>
      <c r="M74" s="466">
        <v>80</v>
      </c>
      <c r="N74" s="466">
        <f>+[1]!Tabla1[[#This Row],[CAUDAL DE TRATAMIENTO]]+$M$102</f>
        <v>80</v>
      </c>
      <c r="O74" s="424">
        <f t="shared" si="19"/>
        <v>0</v>
      </c>
      <c r="P74" s="425">
        <f t="shared" si="19"/>
        <v>0</v>
      </c>
      <c r="Q74" s="424">
        <f t="shared" si="19"/>
        <v>0</v>
      </c>
      <c r="R74" s="424">
        <f t="shared" si="18"/>
        <v>0</v>
      </c>
      <c r="S74" s="426">
        <f t="shared" si="18"/>
        <v>0</v>
      </c>
      <c r="T74" s="437">
        <f t="shared" si="20"/>
        <v>0</v>
      </c>
      <c r="U74" s="438">
        <f t="shared" si="21"/>
        <v>0</v>
      </c>
      <c r="V74" s="438">
        <f t="shared" si="22"/>
        <v>0</v>
      </c>
      <c r="W74" s="438">
        <f>[1]!Tabla1[[#This Row],[CONSUMO POL ANIONICO (KG)]]</f>
        <v>0</v>
      </c>
      <c r="X74" s="426">
        <f>[1]!Tabla1[[#This Row],[CONSUMO POL CATIONICO (KG)]]</f>
        <v>0</v>
      </c>
      <c r="Y74" s="437" t="e">
        <f t="shared" si="23"/>
        <v>#DIV/0!</v>
      </c>
      <c r="Z74" s="438" t="e">
        <f t="shared" si="24"/>
        <v>#DIV/0!</v>
      </c>
      <c r="AA74" s="438" t="e">
        <f t="shared" si="25"/>
        <v>#DIV/0!</v>
      </c>
      <c r="AB74" s="438" t="e">
        <f t="shared" si="26"/>
        <v>#DIV/0!</v>
      </c>
      <c r="AC74" s="426" t="e">
        <f t="shared" si="27"/>
        <v>#DIV/0!</v>
      </c>
      <c r="AD74" s="439">
        <v>1.3</v>
      </c>
      <c r="AE74" s="439">
        <v>1.325</v>
      </c>
      <c r="AF74" s="439">
        <v>1.25</v>
      </c>
      <c r="AG74" s="440">
        <v>2500</v>
      </c>
      <c r="AH74" s="441">
        <v>2500</v>
      </c>
      <c r="AI74" s="151">
        <v>830</v>
      </c>
      <c r="AJ74" s="151">
        <v>2900</v>
      </c>
      <c r="AK74" s="151">
        <v>6295</v>
      </c>
      <c r="AL74" s="151">
        <v>19050</v>
      </c>
      <c r="AM74" s="151">
        <v>22050</v>
      </c>
      <c r="AN74" s="442">
        <f t="shared" si="29"/>
        <v>0</v>
      </c>
      <c r="AO74" s="443">
        <f t="shared" si="29"/>
        <v>0</v>
      </c>
      <c r="AP74" s="443">
        <f t="shared" si="29"/>
        <v>0</v>
      </c>
      <c r="AQ74" s="443">
        <f t="shared" si="29"/>
        <v>0</v>
      </c>
      <c r="AR74" s="444">
        <f t="shared" si="29"/>
        <v>0</v>
      </c>
      <c r="AS74" s="442">
        <f>SUM([1]!Tabla1[[#This Row],[COSTO OPERATIVO ACIDO]:[COSTO OPERATIVO CATIONICO]])</f>
        <v>0</v>
      </c>
      <c r="AT74" s="443">
        <v>5250</v>
      </c>
      <c r="AU74" s="445" t="e">
        <f t="shared" si="28"/>
        <v>#DIV/0!</v>
      </c>
    </row>
    <row r="75" spans="1:47" s="494" customFormat="1" ht="15" thickBot="1" x14ac:dyDescent="0.35">
      <c r="A75" s="495">
        <v>46047</v>
      </c>
      <c r="B75" s="491">
        <v>25</v>
      </c>
      <c r="C75" s="496" t="s">
        <v>299</v>
      </c>
      <c r="D75" s="497">
        <v>74</v>
      </c>
      <c r="E75" s="497" t="s">
        <v>77</v>
      </c>
      <c r="F75" s="449">
        <v>2690</v>
      </c>
      <c r="G75" s="450">
        <v>3250</v>
      </c>
      <c r="H75" s="450">
        <v>1360</v>
      </c>
      <c r="I75" s="450">
        <v>205</v>
      </c>
      <c r="J75" s="450">
        <v>35</v>
      </c>
      <c r="K75" s="467">
        <v>16760</v>
      </c>
      <c r="L75" s="462">
        <v>0</v>
      </c>
      <c r="M75" s="463">
        <v>80</v>
      </c>
      <c r="N75" s="463">
        <f>+[1]!Tabla1[[#This Row],[CAUDAL DE TRATAMIENTO]]+$M$102</f>
        <v>80</v>
      </c>
      <c r="O75" s="427">
        <f t="shared" si="19"/>
        <v>0</v>
      </c>
      <c r="P75" s="428">
        <f t="shared" si="19"/>
        <v>0</v>
      </c>
      <c r="Q75" s="427">
        <f t="shared" si="19"/>
        <v>0</v>
      </c>
      <c r="R75" s="427">
        <f t="shared" si="18"/>
        <v>0</v>
      </c>
      <c r="S75" s="429">
        <f t="shared" si="18"/>
        <v>0</v>
      </c>
      <c r="T75" s="437">
        <f t="shared" si="20"/>
        <v>0</v>
      </c>
      <c r="U75" s="438">
        <f t="shared" si="21"/>
        <v>0</v>
      </c>
      <c r="V75" s="438">
        <f t="shared" si="22"/>
        <v>0</v>
      </c>
      <c r="W75" s="451">
        <f>[1]!Tabla1[[#This Row],[CONSUMO POL ANIONICO (KG)]]</f>
        <v>0</v>
      </c>
      <c r="X75" s="429">
        <f>[1]!Tabla1[[#This Row],[CONSUMO POL CATIONICO (KG)]]</f>
        <v>0</v>
      </c>
      <c r="Y75" s="551" t="e">
        <f t="shared" si="23"/>
        <v>#DIV/0!</v>
      </c>
      <c r="Z75" s="451" t="e">
        <f t="shared" si="24"/>
        <v>#DIV/0!</v>
      </c>
      <c r="AA75" s="451" t="e">
        <f t="shared" si="25"/>
        <v>#DIV/0!</v>
      </c>
      <c r="AB75" s="451" t="e">
        <f t="shared" si="26"/>
        <v>#DIV/0!</v>
      </c>
      <c r="AC75" s="429" t="e">
        <f t="shared" si="27"/>
        <v>#DIV/0!</v>
      </c>
      <c r="AD75" s="439">
        <v>1.3</v>
      </c>
      <c r="AE75" s="439">
        <v>1.325</v>
      </c>
      <c r="AF75" s="439">
        <v>1.25</v>
      </c>
      <c r="AG75" s="440">
        <v>2500</v>
      </c>
      <c r="AH75" s="441">
        <v>2500</v>
      </c>
      <c r="AI75" s="151">
        <v>830</v>
      </c>
      <c r="AJ75" s="151">
        <v>2900</v>
      </c>
      <c r="AK75" s="151">
        <v>6295</v>
      </c>
      <c r="AL75" s="151">
        <v>19050</v>
      </c>
      <c r="AM75" s="151">
        <v>22050</v>
      </c>
      <c r="AN75" s="452">
        <f t="shared" si="29"/>
        <v>0</v>
      </c>
      <c r="AO75" s="445">
        <f t="shared" si="29"/>
        <v>0</v>
      </c>
      <c r="AP75" s="445">
        <f t="shared" si="29"/>
        <v>0</v>
      </c>
      <c r="AQ75" s="445">
        <f t="shared" si="29"/>
        <v>0</v>
      </c>
      <c r="AR75" s="453">
        <f t="shared" si="29"/>
        <v>0</v>
      </c>
      <c r="AS75" s="452">
        <f>SUM([1]!Tabla1[[#This Row],[COSTO OPERATIVO ACIDO]:[COSTO OPERATIVO CATIONICO]])</f>
        <v>0</v>
      </c>
      <c r="AT75" s="445">
        <v>5250</v>
      </c>
      <c r="AU75" s="445" t="e">
        <f t="shared" si="28"/>
        <v>#DIV/0!</v>
      </c>
    </row>
    <row r="76" spans="1:47" s="494" customFormat="1" ht="15" thickBot="1" x14ac:dyDescent="0.35">
      <c r="A76" s="498">
        <v>46047</v>
      </c>
      <c r="B76" s="491">
        <v>25</v>
      </c>
      <c r="C76" s="499" t="s">
        <v>30</v>
      </c>
      <c r="D76" s="500">
        <v>75</v>
      </c>
      <c r="E76" s="500" t="s">
        <v>76</v>
      </c>
      <c r="F76" s="449">
        <v>2690</v>
      </c>
      <c r="G76" s="450">
        <v>3250</v>
      </c>
      <c r="H76" s="450">
        <v>1360</v>
      </c>
      <c r="I76" s="450">
        <v>205</v>
      </c>
      <c r="J76" s="450">
        <v>35</v>
      </c>
      <c r="K76" s="468">
        <v>16760</v>
      </c>
      <c r="L76" s="469">
        <v>0</v>
      </c>
      <c r="M76" s="470">
        <v>80</v>
      </c>
      <c r="N76" s="470">
        <f>+[1]!Tabla1[[#This Row],[CAUDAL DE TRATAMIENTO]]+$M$102</f>
        <v>80</v>
      </c>
      <c r="O76" s="430">
        <f t="shared" si="19"/>
        <v>0</v>
      </c>
      <c r="P76" s="431">
        <f t="shared" si="19"/>
        <v>0</v>
      </c>
      <c r="Q76" s="430">
        <f t="shared" si="19"/>
        <v>0</v>
      </c>
      <c r="R76" s="430">
        <f t="shared" si="18"/>
        <v>0</v>
      </c>
      <c r="S76" s="432">
        <f t="shared" si="18"/>
        <v>0</v>
      </c>
      <c r="T76" s="437">
        <f t="shared" si="20"/>
        <v>0</v>
      </c>
      <c r="U76" s="438">
        <f t="shared" si="21"/>
        <v>0</v>
      </c>
      <c r="V76" s="438">
        <f t="shared" si="22"/>
        <v>0</v>
      </c>
      <c r="W76" s="457">
        <f>[1]!Tabla1[[#This Row],[CONSUMO POL ANIONICO (KG)]]</f>
        <v>0</v>
      </c>
      <c r="X76" s="432">
        <f>[1]!Tabla1[[#This Row],[CONSUMO POL CATIONICO (KG)]]</f>
        <v>0</v>
      </c>
      <c r="Y76" s="551" t="e">
        <f t="shared" si="23"/>
        <v>#DIV/0!</v>
      </c>
      <c r="Z76" s="457" t="e">
        <f t="shared" si="24"/>
        <v>#DIV/0!</v>
      </c>
      <c r="AA76" s="457" t="e">
        <f t="shared" si="25"/>
        <v>#DIV/0!</v>
      </c>
      <c r="AB76" s="457" t="e">
        <f t="shared" si="26"/>
        <v>#DIV/0!</v>
      </c>
      <c r="AC76" s="432" t="e">
        <f t="shared" si="27"/>
        <v>#DIV/0!</v>
      </c>
      <c r="AD76" s="439">
        <v>1.3</v>
      </c>
      <c r="AE76" s="439">
        <v>1.325</v>
      </c>
      <c r="AF76" s="439">
        <v>1.25</v>
      </c>
      <c r="AG76" s="440">
        <v>2500</v>
      </c>
      <c r="AH76" s="441">
        <v>2500</v>
      </c>
      <c r="AI76" s="151">
        <v>830</v>
      </c>
      <c r="AJ76" s="151">
        <v>2900</v>
      </c>
      <c r="AK76" s="151">
        <v>6295</v>
      </c>
      <c r="AL76" s="151">
        <v>19050</v>
      </c>
      <c r="AM76" s="151">
        <v>22050</v>
      </c>
      <c r="AN76" s="452">
        <f t="shared" si="29"/>
        <v>0</v>
      </c>
      <c r="AO76" s="458">
        <f t="shared" si="29"/>
        <v>0</v>
      </c>
      <c r="AP76" s="458">
        <f t="shared" si="29"/>
        <v>0</v>
      </c>
      <c r="AQ76" s="458">
        <f t="shared" si="29"/>
        <v>0</v>
      </c>
      <c r="AR76" s="459">
        <f t="shared" si="29"/>
        <v>0</v>
      </c>
      <c r="AS76" s="452">
        <f>SUM([1]!Tabla1[[#This Row],[COSTO OPERATIVO ACIDO]:[COSTO OPERATIVO CATIONICO]])</f>
        <v>0</v>
      </c>
      <c r="AT76" s="458">
        <v>5250</v>
      </c>
      <c r="AU76" s="445" t="e">
        <f t="shared" si="28"/>
        <v>#DIV/0!</v>
      </c>
    </row>
    <row r="77" spans="1:47" ht="15" thickBot="1" x14ac:dyDescent="0.35">
      <c r="A77" s="200">
        <v>46048</v>
      </c>
      <c r="B77" s="150">
        <v>26</v>
      </c>
      <c r="C77" s="433" t="s">
        <v>300</v>
      </c>
      <c r="D77" s="434">
        <v>76</v>
      </c>
      <c r="E77" s="434" t="s">
        <v>75</v>
      </c>
      <c r="F77" s="435">
        <v>2690</v>
      </c>
      <c r="G77" s="436">
        <v>3250</v>
      </c>
      <c r="H77" s="436">
        <v>1360</v>
      </c>
      <c r="I77" s="436">
        <v>205</v>
      </c>
      <c r="J77" s="436">
        <v>35</v>
      </c>
      <c r="K77" s="464">
        <v>16760</v>
      </c>
      <c r="L77" s="465">
        <v>176.92537313432837</v>
      </c>
      <c r="M77" s="466">
        <v>80</v>
      </c>
      <c r="N77" s="466">
        <f>+[1]!Tabla1[[#This Row],[CAUDAL DE TRATAMIENTO]]+$M$102</f>
        <v>80</v>
      </c>
      <c r="O77" s="424">
        <f t="shared" si="19"/>
        <v>70</v>
      </c>
      <c r="P77" s="478">
        <f>G77-G78-150</f>
        <v>100</v>
      </c>
      <c r="Q77" s="424">
        <f>H77-H78</f>
        <v>40</v>
      </c>
      <c r="R77" s="424">
        <f t="shared" si="18"/>
        <v>5</v>
      </c>
      <c r="S77" s="426">
        <f t="shared" si="18"/>
        <v>5</v>
      </c>
      <c r="T77" s="437">
        <f t="shared" si="20"/>
        <v>91</v>
      </c>
      <c r="U77" s="438">
        <f t="shared" si="21"/>
        <v>132.5</v>
      </c>
      <c r="V77" s="438">
        <f t="shared" si="22"/>
        <v>50</v>
      </c>
      <c r="W77" s="438">
        <f>[1]!Tabla1[[#This Row],[CONSUMO POL ANIONICO (KG)]]</f>
        <v>5</v>
      </c>
      <c r="X77" s="426">
        <f>[1]!Tabla1[[#This Row],[CONSUMO POL CATIONICO (KG)]]</f>
        <v>5</v>
      </c>
      <c r="Y77" s="437">
        <f t="shared" si="23"/>
        <v>514.34115066644165</v>
      </c>
      <c r="Z77" s="438">
        <f t="shared" si="24"/>
        <v>748.90332377256618</v>
      </c>
      <c r="AA77" s="438">
        <f t="shared" si="25"/>
        <v>282.60502783870425</v>
      </c>
      <c r="AB77" s="438">
        <f t="shared" si="26"/>
        <v>28.260502783870422</v>
      </c>
      <c r="AC77" s="426">
        <f t="shared" si="27"/>
        <v>28.260502783870422</v>
      </c>
      <c r="AD77" s="439">
        <v>1.3</v>
      </c>
      <c r="AE77" s="439">
        <v>1.325</v>
      </c>
      <c r="AF77" s="439">
        <v>1.25</v>
      </c>
      <c r="AG77" s="440">
        <v>2500</v>
      </c>
      <c r="AH77" s="441">
        <v>2500</v>
      </c>
      <c r="AI77" s="151">
        <v>830</v>
      </c>
      <c r="AJ77" s="151">
        <v>2900</v>
      </c>
      <c r="AK77" s="151">
        <v>6295</v>
      </c>
      <c r="AL77" s="151">
        <v>19050</v>
      </c>
      <c r="AM77" s="151">
        <v>22050</v>
      </c>
      <c r="AN77" s="442">
        <f t="shared" si="29"/>
        <v>75530</v>
      </c>
      <c r="AO77" s="443">
        <f t="shared" si="29"/>
        <v>384250</v>
      </c>
      <c r="AP77" s="443">
        <f t="shared" si="29"/>
        <v>314750</v>
      </c>
      <c r="AQ77" s="443">
        <f t="shared" si="29"/>
        <v>95250</v>
      </c>
      <c r="AR77" s="444">
        <f t="shared" si="29"/>
        <v>110250</v>
      </c>
      <c r="AS77" s="442">
        <f>SUM([1]!Tabla1[[#This Row],[COSTO OPERATIVO ACIDO]:[COSTO OPERATIVO CATIONICO]])</f>
        <v>980030</v>
      </c>
      <c r="AT77" s="443">
        <v>5250</v>
      </c>
      <c r="AU77" s="445">
        <f t="shared" si="28"/>
        <v>5539.2281086553057</v>
      </c>
    </row>
    <row r="78" spans="1:47" ht="15" thickBot="1" x14ac:dyDescent="0.35">
      <c r="A78" s="446">
        <v>46048</v>
      </c>
      <c r="B78" s="150">
        <v>26</v>
      </c>
      <c r="C78" s="447" t="s">
        <v>301</v>
      </c>
      <c r="D78" s="448">
        <v>77</v>
      </c>
      <c r="E78" s="448" t="s">
        <v>77</v>
      </c>
      <c r="F78" s="449">
        <v>2620</v>
      </c>
      <c r="G78" s="450">
        <v>3000</v>
      </c>
      <c r="H78" s="450">
        <v>1320</v>
      </c>
      <c r="I78" s="450">
        <v>200</v>
      </c>
      <c r="J78" s="450">
        <v>30</v>
      </c>
      <c r="K78" s="467">
        <v>16762</v>
      </c>
      <c r="L78" s="462">
        <v>442.31343283582089</v>
      </c>
      <c r="M78" s="463">
        <v>80</v>
      </c>
      <c r="N78" s="463">
        <f>+[1]!Tabla1[[#This Row],[CAUDAL DE TRATAMIENTO]]+$M$102</f>
        <v>80</v>
      </c>
      <c r="O78" s="427">
        <f t="shared" si="19"/>
        <v>70</v>
      </c>
      <c r="P78" s="428">
        <f t="shared" si="18"/>
        <v>150</v>
      </c>
      <c r="Q78" s="427">
        <f>H78-H79</f>
        <v>70</v>
      </c>
      <c r="R78" s="427">
        <f t="shared" si="18"/>
        <v>0</v>
      </c>
      <c r="S78" s="429">
        <f t="shared" si="18"/>
        <v>5</v>
      </c>
      <c r="T78" s="437">
        <f t="shared" si="20"/>
        <v>91</v>
      </c>
      <c r="U78" s="438">
        <f t="shared" si="21"/>
        <v>198.75</v>
      </c>
      <c r="V78" s="438">
        <f t="shared" si="22"/>
        <v>87.5</v>
      </c>
      <c r="W78" s="451">
        <f>[1]!Tabla1[[#This Row],[CONSUMO POL ANIONICO (KG)]]</f>
        <v>0</v>
      </c>
      <c r="X78" s="429">
        <f>[1]!Tabla1[[#This Row],[CONSUMO POL CATIONICO (KG)]]</f>
        <v>5</v>
      </c>
      <c r="Y78" s="551">
        <f t="shared" si="23"/>
        <v>205.7364602665767</v>
      </c>
      <c r="Z78" s="451">
        <f t="shared" si="24"/>
        <v>449.34199426353973</v>
      </c>
      <c r="AA78" s="451">
        <f t="shared" si="25"/>
        <v>197.82351948709297</v>
      </c>
      <c r="AB78" s="451">
        <f t="shared" si="26"/>
        <v>0</v>
      </c>
      <c r="AC78" s="429">
        <f t="shared" si="27"/>
        <v>11.304201113548169</v>
      </c>
      <c r="AD78" s="439">
        <v>1.3</v>
      </c>
      <c r="AE78" s="439">
        <v>1.325</v>
      </c>
      <c r="AF78" s="439">
        <v>1.25</v>
      </c>
      <c r="AG78" s="440">
        <v>2500</v>
      </c>
      <c r="AH78" s="441">
        <v>2500</v>
      </c>
      <c r="AI78" s="151">
        <v>830</v>
      </c>
      <c r="AJ78" s="151">
        <v>2900</v>
      </c>
      <c r="AK78" s="151">
        <v>6295</v>
      </c>
      <c r="AL78" s="151">
        <v>19050</v>
      </c>
      <c r="AM78" s="151">
        <v>22050</v>
      </c>
      <c r="AN78" s="452">
        <f t="shared" si="29"/>
        <v>75530</v>
      </c>
      <c r="AO78" s="445">
        <f t="shared" si="29"/>
        <v>576375</v>
      </c>
      <c r="AP78" s="445">
        <f t="shared" si="29"/>
        <v>550812.5</v>
      </c>
      <c r="AQ78" s="445">
        <f t="shared" si="29"/>
        <v>0</v>
      </c>
      <c r="AR78" s="453">
        <f t="shared" si="29"/>
        <v>110250</v>
      </c>
      <c r="AS78" s="452">
        <f>SUM([1]!Tabla1[[#This Row],[COSTO OPERATIVO ACIDO]:[COSTO OPERATIVO CATIONICO]])</f>
        <v>1312967.5</v>
      </c>
      <c r="AT78" s="445">
        <v>5250</v>
      </c>
      <c r="AU78" s="445">
        <f t="shared" si="28"/>
        <v>2968.4097351105111</v>
      </c>
    </row>
    <row r="79" spans="1:47" ht="15" thickBot="1" x14ac:dyDescent="0.35">
      <c r="A79" s="454">
        <v>46048</v>
      </c>
      <c r="B79" s="150">
        <v>26</v>
      </c>
      <c r="C79" s="455" t="s">
        <v>30</v>
      </c>
      <c r="D79" s="456">
        <v>78</v>
      </c>
      <c r="E79" s="456" t="s">
        <v>76</v>
      </c>
      <c r="F79" s="449">
        <v>2550</v>
      </c>
      <c r="G79" s="450">
        <v>2850</v>
      </c>
      <c r="H79" s="450">
        <v>1250</v>
      </c>
      <c r="I79" s="450">
        <v>200</v>
      </c>
      <c r="J79" s="450">
        <v>25</v>
      </c>
      <c r="K79" s="468">
        <v>16767</v>
      </c>
      <c r="L79" s="469">
        <v>265.38805970149258</v>
      </c>
      <c r="M79" s="470">
        <v>80</v>
      </c>
      <c r="N79" s="470">
        <f>+[1]!Tabla1[[#This Row],[CAUDAL DE TRATAMIENTO]]+$M$102</f>
        <v>80</v>
      </c>
      <c r="O79" s="487">
        <f>F79-F80+2000</f>
        <v>0</v>
      </c>
      <c r="P79" s="488">
        <f>G79-G80+2000</f>
        <v>140</v>
      </c>
      <c r="Q79" s="487">
        <f>H79-H80+1000</f>
        <v>50</v>
      </c>
      <c r="R79" s="430">
        <f t="shared" si="18"/>
        <v>0</v>
      </c>
      <c r="S79" s="489">
        <f>J79-J80+100</f>
        <v>0</v>
      </c>
      <c r="T79" s="437">
        <f t="shared" si="20"/>
        <v>0</v>
      </c>
      <c r="U79" s="438">
        <f t="shared" si="21"/>
        <v>185.5</v>
      </c>
      <c r="V79" s="438">
        <f t="shared" si="22"/>
        <v>62.5</v>
      </c>
      <c r="W79" s="457">
        <f>[1]!Tabla1[[#This Row],[CONSUMO POL ANIONICO (KG)]]</f>
        <v>0</v>
      </c>
      <c r="X79" s="432">
        <f>[1]!Tabla1[[#This Row],[CONSUMO POL CATIONICO (KG)]]</f>
        <v>0</v>
      </c>
      <c r="Y79" s="551">
        <f t="shared" si="23"/>
        <v>0</v>
      </c>
      <c r="Z79" s="457">
        <f t="shared" si="24"/>
        <v>698.97643552106172</v>
      </c>
      <c r="AA79" s="457">
        <f t="shared" si="25"/>
        <v>235.50418986558682</v>
      </c>
      <c r="AB79" s="457">
        <f t="shared" si="26"/>
        <v>0</v>
      </c>
      <c r="AC79" s="432">
        <f t="shared" si="27"/>
        <v>0</v>
      </c>
      <c r="AD79" s="439">
        <v>1.3</v>
      </c>
      <c r="AE79" s="439">
        <v>1.325</v>
      </c>
      <c r="AF79" s="439">
        <v>1.25</v>
      </c>
      <c r="AG79" s="440">
        <v>2500</v>
      </c>
      <c r="AH79" s="441">
        <v>2500</v>
      </c>
      <c r="AI79" s="151">
        <v>830</v>
      </c>
      <c r="AJ79" s="151">
        <v>2900</v>
      </c>
      <c r="AK79" s="151">
        <v>6295</v>
      </c>
      <c r="AL79" s="151">
        <v>19050</v>
      </c>
      <c r="AM79" s="151">
        <v>22050</v>
      </c>
      <c r="AN79" s="452">
        <f t="shared" si="29"/>
        <v>0</v>
      </c>
      <c r="AO79" s="458">
        <f t="shared" si="29"/>
        <v>537950</v>
      </c>
      <c r="AP79" s="458">
        <f t="shared" si="29"/>
        <v>393437.5</v>
      </c>
      <c r="AQ79" s="458">
        <f t="shared" si="29"/>
        <v>0</v>
      </c>
      <c r="AR79" s="459">
        <f t="shared" si="29"/>
        <v>0</v>
      </c>
      <c r="AS79" s="452">
        <f>SUM([1]!Tabla1[[#This Row],[COSTO OPERATIVO ACIDO]:[COSTO OPERATIVO CATIONICO]])</f>
        <v>931387.5</v>
      </c>
      <c r="AT79" s="458">
        <v>5250</v>
      </c>
      <c r="AU79" s="445">
        <f t="shared" si="28"/>
        <v>3509.5305382149481</v>
      </c>
    </row>
    <row r="80" spans="1:47" ht="15" thickBot="1" x14ac:dyDescent="0.35">
      <c r="A80" s="200">
        <v>46049</v>
      </c>
      <c r="B80" s="150">
        <v>27</v>
      </c>
      <c r="C80" s="433" t="s">
        <v>302</v>
      </c>
      <c r="D80" s="434">
        <v>79</v>
      </c>
      <c r="E80" s="434" t="s">
        <v>75</v>
      </c>
      <c r="F80" s="435">
        <v>4550</v>
      </c>
      <c r="G80" s="436">
        <v>4710</v>
      </c>
      <c r="H80" s="436">
        <v>2200</v>
      </c>
      <c r="I80" s="436">
        <v>200</v>
      </c>
      <c r="J80" s="436">
        <v>125</v>
      </c>
      <c r="K80" s="464">
        <v>16770</v>
      </c>
      <c r="L80" s="465">
        <v>353.85074626865674</v>
      </c>
      <c r="M80" s="466">
        <v>80</v>
      </c>
      <c r="N80" s="466">
        <f>+[1]!Tabla1[[#This Row],[CAUDAL DE TRATAMIENTO]]+$M$102</f>
        <v>80</v>
      </c>
      <c r="O80" s="424">
        <f t="shared" si="19"/>
        <v>50</v>
      </c>
      <c r="P80" s="425">
        <f t="shared" si="18"/>
        <v>160</v>
      </c>
      <c r="Q80" s="424">
        <f t="shared" si="18"/>
        <v>80</v>
      </c>
      <c r="R80" s="424">
        <f t="shared" si="18"/>
        <v>5</v>
      </c>
      <c r="S80" s="426">
        <f t="shared" si="18"/>
        <v>5</v>
      </c>
      <c r="T80" s="437">
        <f t="shared" si="20"/>
        <v>65</v>
      </c>
      <c r="U80" s="438">
        <f t="shared" si="21"/>
        <v>212</v>
      </c>
      <c r="V80" s="438">
        <f t="shared" si="22"/>
        <v>100</v>
      </c>
      <c r="W80" s="438">
        <f>[1]!Tabla1[[#This Row],[CONSUMO POL ANIONICO (KG)]]</f>
        <v>5</v>
      </c>
      <c r="X80" s="426">
        <f>[1]!Tabla1[[#This Row],[CONSUMO POL CATIONICO (KG)]]</f>
        <v>5</v>
      </c>
      <c r="Y80" s="437">
        <f t="shared" si="23"/>
        <v>183.69326809515775</v>
      </c>
      <c r="Z80" s="438">
        <f t="shared" si="24"/>
        <v>599.1226590180529</v>
      </c>
      <c r="AA80" s="438">
        <f t="shared" si="25"/>
        <v>282.60502783870425</v>
      </c>
      <c r="AB80" s="438">
        <f t="shared" si="26"/>
        <v>14.130251391935211</v>
      </c>
      <c r="AC80" s="426">
        <f t="shared" si="27"/>
        <v>14.130251391935211</v>
      </c>
      <c r="AD80" s="439">
        <v>1.3</v>
      </c>
      <c r="AE80" s="439">
        <v>1.325</v>
      </c>
      <c r="AF80" s="439">
        <v>1.25</v>
      </c>
      <c r="AG80" s="440">
        <v>2500</v>
      </c>
      <c r="AH80" s="441">
        <v>2500</v>
      </c>
      <c r="AI80" s="151">
        <v>830</v>
      </c>
      <c r="AJ80" s="151">
        <v>2900</v>
      </c>
      <c r="AK80" s="151">
        <v>6295</v>
      </c>
      <c r="AL80" s="151">
        <v>19050</v>
      </c>
      <c r="AM80" s="151">
        <v>22050</v>
      </c>
      <c r="AN80" s="442">
        <f t="shared" si="29"/>
        <v>53950</v>
      </c>
      <c r="AO80" s="443">
        <f t="shared" si="29"/>
        <v>614800</v>
      </c>
      <c r="AP80" s="443">
        <f t="shared" si="29"/>
        <v>629500</v>
      </c>
      <c r="AQ80" s="443">
        <f t="shared" si="29"/>
        <v>95250</v>
      </c>
      <c r="AR80" s="444">
        <f t="shared" si="29"/>
        <v>110250</v>
      </c>
      <c r="AS80" s="442">
        <f>SUM([1]!Tabla1[[#This Row],[COSTO OPERATIVO ACIDO]:[COSTO OPERATIVO CATIONICO]])</f>
        <v>1503750</v>
      </c>
      <c r="AT80" s="443">
        <v>5250</v>
      </c>
      <c r="AU80" s="445">
        <f t="shared" si="28"/>
        <v>4249.6731061245146</v>
      </c>
    </row>
    <row r="81" spans="1:47" ht="15" thickBot="1" x14ac:dyDescent="0.35">
      <c r="A81" s="446">
        <v>46049</v>
      </c>
      <c r="B81" s="150">
        <v>27</v>
      </c>
      <c r="C81" s="447" t="s">
        <v>303</v>
      </c>
      <c r="D81" s="448">
        <v>80</v>
      </c>
      <c r="E81" s="448" t="s">
        <v>77</v>
      </c>
      <c r="F81" s="449">
        <v>4500</v>
      </c>
      <c r="G81" s="450">
        <v>4550</v>
      </c>
      <c r="H81" s="450">
        <v>2120</v>
      </c>
      <c r="I81" s="450">
        <v>195</v>
      </c>
      <c r="J81" s="450">
        <v>120</v>
      </c>
      <c r="K81" s="467">
        <v>16774</v>
      </c>
      <c r="L81" s="462">
        <v>353.85074626865674</v>
      </c>
      <c r="M81" s="463">
        <v>80</v>
      </c>
      <c r="N81" s="463">
        <f>+[1]!Tabla1[[#This Row],[CAUDAL DE TRATAMIENTO]]+$M$102</f>
        <v>80</v>
      </c>
      <c r="O81" s="427">
        <f t="shared" si="19"/>
        <v>40</v>
      </c>
      <c r="P81" s="428">
        <f t="shared" si="19"/>
        <v>50</v>
      </c>
      <c r="Q81" s="427">
        <f t="shared" si="19"/>
        <v>20</v>
      </c>
      <c r="R81" s="427">
        <f t="shared" si="19"/>
        <v>0</v>
      </c>
      <c r="S81" s="429">
        <f t="shared" si="19"/>
        <v>5</v>
      </c>
      <c r="T81" s="437">
        <f t="shared" si="20"/>
        <v>52</v>
      </c>
      <c r="U81" s="438">
        <f t="shared" si="21"/>
        <v>66.25</v>
      </c>
      <c r="V81" s="438">
        <f t="shared" si="22"/>
        <v>25</v>
      </c>
      <c r="W81" s="451">
        <f>[1]!Tabla1[[#This Row],[CONSUMO POL ANIONICO (KG)]]</f>
        <v>0</v>
      </c>
      <c r="X81" s="429">
        <f>[1]!Tabla1[[#This Row],[CONSUMO POL CATIONICO (KG)]]</f>
        <v>5</v>
      </c>
      <c r="Y81" s="551">
        <f t="shared" si="23"/>
        <v>146.95461447612618</v>
      </c>
      <c r="Z81" s="451">
        <f t="shared" si="24"/>
        <v>187.22583094314155</v>
      </c>
      <c r="AA81" s="451">
        <f t="shared" si="25"/>
        <v>70.651256959676061</v>
      </c>
      <c r="AB81" s="451">
        <f t="shared" si="26"/>
        <v>0</v>
      </c>
      <c r="AC81" s="429">
        <f t="shared" si="27"/>
        <v>14.130251391935211</v>
      </c>
      <c r="AD81" s="439">
        <v>1.3</v>
      </c>
      <c r="AE81" s="439">
        <v>1.325</v>
      </c>
      <c r="AF81" s="439">
        <v>1.25</v>
      </c>
      <c r="AG81" s="440">
        <v>2500</v>
      </c>
      <c r="AH81" s="441">
        <v>2500</v>
      </c>
      <c r="AI81" s="151">
        <v>830</v>
      </c>
      <c r="AJ81" s="151">
        <v>2900</v>
      </c>
      <c r="AK81" s="151">
        <v>6295</v>
      </c>
      <c r="AL81" s="151">
        <v>19050</v>
      </c>
      <c r="AM81" s="151">
        <v>22050</v>
      </c>
      <c r="AN81" s="452">
        <f t="shared" si="29"/>
        <v>43160</v>
      </c>
      <c r="AO81" s="445">
        <f t="shared" si="29"/>
        <v>192125</v>
      </c>
      <c r="AP81" s="445">
        <f t="shared" si="29"/>
        <v>157375</v>
      </c>
      <c r="AQ81" s="445">
        <f t="shared" si="29"/>
        <v>0</v>
      </c>
      <c r="AR81" s="453">
        <f t="shared" si="29"/>
        <v>110250</v>
      </c>
      <c r="AS81" s="452">
        <f>SUM([1]!Tabla1[[#This Row],[COSTO OPERATIVO ACIDO]:[COSTO OPERATIVO CATIONICO]])</f>
        <v>502910</v>
      </c>
      <c r="AT81" s="445">
        <v>5250</v>
      </c>
      <c r="AU81" s="445">
        <f t="shared" si="28"/>
        <v>1421.2489455036273</v>
      </c>
    </row>
    <row r="82" spans="1:47" ht="15" thickBot="1" x14ac:dyDescent="0.35">
      <c r="A82" s="454">
        <v>46049</v>
      </c>
      <c r="B82" s="150">
        <v>27</v>
      </c>
      <c r="C82" s="455" t="s">
        <v>30</v>
      </c>
      <c r="D82" s="456">
        <v>81</v>
      </c>
      <c r="E82" s="456" t="s">
        <v>76</v>
      </c>
      <c r="F82" s="449">
        <v>4460</v>
      </c>
      <c r="G82" s="450">
        <v>4500</v>
      </c>
      <c r="H82" s="450">
        <v>2100</v>
      </c>
      <c r="I82" s="450">
        <v>195</v>
      </c>
      <c r="J82" s="450">
        <v>115</v>
      </c>
      <c r="K82" s="468">
        <v>16778</v>
      </c>
      <c r="L82" s="469">
        <v>353.85074626865674</v>
      </c>
      <c r="M82" s="470">
        <v>80</v>
      </c>
      <c r="N82" s="470">
        <f>+[1]!Tabla1[[#This Row],[CAUDAL DE TRATAMIENTO]]+$M$102</f>
        <v>80</v>
      </c>
      <c r="O82" s="430">
        <f t="shared" ref="O82:S94" si="30">F82-F83</f>
        <v>30</v>
      </c>
      <c r="P82" s="431">
        <f t="shared" si="30"/>
        <v>150</v>
      </c>
      <c r="Q82" s="430">
        <f t="shared" si="30"/>
        <v>20</v>
      </c>
      <c r="R82" s="430">
        <f t="shared" si="30"/>
        <v>5</v>
      </c>
      <c r="S82" s="432">
        <f t="shared" si="30"/>
        <v>5</v>
      </c>
      <c r="T82" s="437">
        <f t="shared" si="20"/>
        <v>39</v>
      </c>
      <c r="U82" s="438">
        <f t="shared" si="21"/>
        <v>198.75</v>
      </c>
      <c r="V82" s="438">
        <f t="shared" si="22"/>
        <v>25</v>
      </c>
      <c r="W82" s="457">
        <f>[1]!Tabla1[[#This Row],[CONSUMO POL ANIONICO (KG)]]</f>
        <v>5</v>
      </c>
      <c r="X82" s="432">
        <f>[1]!Tabla1[[#This Row],[CONSUMO POL CATIONICO (KG)]]</f>
        <v>5</v>
      </c>
      <c r="Y82" s="551">
        <f t="shared" si="23"/>
        <v>110.21596085709464</v>
      </c>
      <c r="Z82" s="457">
        <f t="shared" si="24"/>
        <v>561.67749282942464</v>
      </c>
      <c r="AA82" s="457">
        <f t="shared" si="25"/>
        <v>70.651256959676061</v>
      </c>
      <c r="AB82" s="457">
        <f t="shared" si="26"/>
        <v>14.130251391935211</v>
      </c>
      <c r="AC82" s="432">
        <f t="shared" si="27"/>
        <v>14.130251391935211</v>
      </c>
      <c r="AD82" s="439">
        <v>1.3</v>
      </c>
      <c r="AE82" s="439">
        <v>1.325</v>
      </c>
      <c r="AF82" s="439">
        <v>1.25</v>
      </c>
      <c r="AG82" s="440">
        <v>2500</v>
      </c>
      <c r="AH82" s="441">
        <v>2500</v>
      </c>
      <c r="AI82" s="151">
        <v>830</v>
      </c>
      <c r="AJ82" s="151">
        <v>2900</v>
      </c>
      <c r="AK82" s="151">
        <v>6295</v>
      </c>
      <c r="AL82" s="151">
        <v>19050</v>
      </c>
      <c r="AM82" s="151">
        <v>22050</v>
      </c>
      <c r="AN82" s="452">
        <f t="shared" si="29"/>
        <v>32370</v>
      </c>
      <c r="AO82" s="458">
        <f t="shared" si="29"/>
        <v>576375</v>
      </c>
      <c r="AP82" s="458">
        <f t="shared" si="29"/>
        <v>157375</v>
      </c>
      <c r="AQ82" s="458">
        <f t="shared" si="29"/>
        <v>95250</v>
      </c>
      <c r="AR82" s="459">
        <f t="shared" si="29"/>
        <v>110250</v>
      </c>
      <c r="AS82" s="452">
        <f>SUM([1]!Tabla1[[#This Row],[COSTO OPERATIVO ACIDO]:[COSTO OPERATIVO CATIONICO]])</f>
        <v>971620</v>
      </c>
      <c r="AT82" s="458">
        <v>5250</v>
      </c>
      <c r="AU82" s="445">
        <f t="shared" si="28"/>
        <v>2745.8469714864177</v>
      </c>
    </row>
    <row r="83" spans="1:47" ht="14.25" customHeight="1" thickBot="1" x14ac:dyDescent="0.35">
      <c r="A83" s="200">
        <v>46050</v>
      </c>
      <c r="B83" s="150">
        <v>28</v>
      </c>
      <c r="C83" s="433" t="s">
        <v>304</v>
      </c>
      <c r="D83" s="434">
        <v>82</v>
      </c>
      <c r="E83" s="434" t="s">
        <v>75</v>
      </c>
      <c r="F83" s="435">
        <v>4430</v>
      </c>
      <c r="G83" s="436">
        <v>4350</v>
      </c>
      <c r="H83" s="436">
        <v>2080</v>
      </c>
      <c r="I83" s="436">
        <v>190</v>
      </c>
      <c r="J83" s="436">
        <v>110</v>
      </c>
      <c r="K83" s="464">
        <v>16782</v>
      </c>
      <c r="L83" s="465">
        <v>619.23880597014931</v>
      </c>
      <c r="M83" s="466">
        <v>80</v>
      </c>
      <c r="N83" s="466">
        <f>+[1]!Tabla1[[#This Row],[CAUDAL DE TRATAMIENTO]]+$M$102</f>
        <v>80</v>
      </c>
      <c r="O83" s="544">
        <f>F83-F84-100</f>
        <v>30</v>
      </c>
      <c r="P83" s="425">
        <f t="shared" si="30"/>
        <v>50</v>
      </c>
      <c r="Q83" s="424">
        <f t="shared" si="30"/>
        <v>30</v>
      </c>
      <c r="R83" s="424">
        <f t="shared" si="30"/>
        <v>0</v>
      </c>
      <c r="S83" s="426">
        <f t="shared" si="30"/>
        <v>5</v>
      </c>
      <c r="T83" s="437">
        <f t="shared" si="20"/>
        <v>39</v>
      </c>
      <c r="U83" s="438">
        <f t="shared" si="21"/>
        <v>66.25</v>
      </c>
      <c r="V83" s="438">
        <f t="shared" si="22"/>
        <v>37.5</v>
      </c>
      <c r="W83" s="438">
        <f>[1]!Tabla1[[#This Row],[CONSUMO POL ANIONICO (KG)]]</f>
        <v>0</v>
      </c>
      <c r="X83" s="426">
        <f>[1]!Tabla1[[#This Row],[CONSUMO POL CATIONICO (KG)]]</f>
        <v>5</v>
      </c>
      <c r="Y83" s="437">
        <f t="shared" si="23"/>
        <v>62.980549061196939</v>
      </c>
      <c r="Z83" s="438">
        <f t="shared" si="24"/>
        <v>106.9861891103666</v>
      </c>
      <c r="AA83" s="438">
        <f t="shared" si="25"/>
        <v>60.5582202511509</v>
      </c>
      <c r="AB83" s="438">
        <f t="shared" si="26"/>
        <v>0</v>
      </c>
      <c r="AC83" s="426">
        <f t="shared" si="27"/>
        <v>8.0744293668201195</v>
      </c>
      <c r="AD83" s="439">
        <v>1.3</v>
      </c>
      <c r="AE83" s="439">
        <v>1.325</v>
      </c>
      <c r="AF83" s="439">
        <v>1.25</v>
      </c>
      <c r="AG83" s="440">
        <v>2500</v>
      </c>
      <c r="AH83" s="441">
        <v>2500</v>
      </c>
      <c r="AI83" s="151">
        <v>830</v>
      </c>
      <c r="AJ83" s="151">
        <v>2900</v>
      </c>
      <c r="AK83" s="151">
        <v>6295</v>
      </c>
      <c r="AL83" s="151">
        <v>19050</v>
      </c>
      <c r="AM83" s="151">
        <v>22050</v>
      </c>
      <c r="AN83" s="442">
        <f t="shared" si="29"/>
        <v>32370</v>
      </c>
      <c r="AO83" s="443">
        <f t="shared" si="29"/>
        <v>192125</v>
      </c>
      <c r="AP83" s="443">
        <f t="shared" si="29"/>
        <v>236062.5</v>
      </c>
      <c r="AQ83" s="443">
        <f t="shared" si="29"/>
        <v>0</v>
      </c>
      <c r="AR83" s="444">
        <f t="shared" si="29"/>
        <v>110250</v>
      </c>
      <c r="AS83" s="442">
        <f>SUM([1]!Tabla1[[#This Row],[COSTO OPERATIVO ACIDO]:[COSTO OPERATIVO CATIONICO]])</f>
        <v>570807.5</v>
      </c>
      <c r="AT83" s="443">
        <v>5250</v>
      </c>
      <c r="AU83" s="445">
        <f t="shared" si="28"/>
        <v>921.78896816023519</v>
      </c>
    </row>
    <row r="84" spans="1:47" s="494" customFormat="1" ht="15" thickBot="1" x14ac:dyDescent="0.35">
      <c r="A84" s="495">
        <v>46050</v>
      </c>
      <c r="B84" s="491">
        <v>28</v>
      </c>
      <c r="C84" s="496" t="s">
        <v>305</v>
      </c>
      <c r="D84" s="497">
        <v>83</v>
      </c>
      <c r="E84" s="497" t="s">
        <v>77</v>
      </c>
      <c r="F84" s="449">
        <v>4300</v>
      </c>
      <c r="G84" s="450">
        <v>4300</v>
      </c>
      <c r="H84" s="450">
        <v>2050</v>
      </c>
      <c r="I84" s="450">
        <v>190</v>
      </c>
      <c r="J84" s="450">
        <v>105</v>
      </c>
      <c r="K84" s="467">
        <v>16789</v>
      </c>
      <c r="L84" s="462">
        <v>176.92537313432837</v>
      </c>
      <c r="M84" s="463">
        <v>80</v>
      </c>
      <c r="N84" s="463">
        <f>+[1]!Tabla1[[#This Row],[CAUDAL DE TRATAMIENTO]]+$M$102</f>
        <v>80</v>
      </c>
      <c r="O84" s="427">
        <f t="shared" si="30"/>
        <v>50</v>
      </c>
      <c r="P84" s="428">
        <f t="shared" si="30"/>
        <v>50</v>
      </c>
      <c r="Q84" s="427">
        <f t="shared" si="30"/>
        <v>30</v>
      </c>
      <c r="R84" s="427">
        <f t="shared" si="30"/>
        <v>0</v>
      </c>
      <c r="S84" s="429">
        <f t="shared" si="30"/>
        <v>5</v>
      </c>
      <c r="T84" s="437">
        <f t="shared" si="20"/>
        <v>65</v>
      </c>
      <c r="U84" s="438">
        <f t="shared" si="21"/>
        <v>66.25</v>
      </c>
      <c r="V84" s="438">
        <f t="shared" si="22"/>
        <v>37.5</v>
      </c>
      <c r="W84" s="451">
        <f>[1]!Tabla1[[#This Row],[CONSUMO POL ANIONICO (KG)]]</f>
        <v>0</v>
      </c>
      <c r="X84" s="429">
        <f>[1]!Tabla1[[#This Row],[CONSUMO POL CATIONICO (KG)]]</f>
        <v>5</v>
      </c>
      <c r="Y84" s="551">
        <f t="shared" si="23"/>
        <v>367.3865361903155</v>
      </c>
      <c r="Z84" s="451">
        <f t="shared" si="24"/>
        <v>374.45166188628309</v>
      </c>
      <c r="AA84" s="451">
        <f t="shared" si="25"/>
        <v>211.95377087902816</v>
      </c>
      <c r="AB84" s="451">
        <f t="shared" si="26"/>
        <v>0</v>
      </c>
      <c r="AC84" s="429">
        <f t="shared" si="27"/>
        <v>28.260502783870422</v>
      </c>
      <c r="AD84" s="439">
        <v>1.3</v>
      </c>
      <c r="AE84" s="439">
        <v>1.325</v>
      </c>
      <c r="AF84" s="439">
        <v>1.25</v>
      </c>
      <c r="AG84" s="440">
        <v>2500</v>
      </c>
      <c r="AH84" s="441">
        <v>2500</v>
      </c>
      <c r="AI84" s="151">
        <v>830</v>
      </c>
      <c r="AJ84" s="151">
        <v>2900</v>
      </c>
      <c r="AK84" s="151">
        <v>6295</v>
      </c>
      <c r="AL84" s="151">
        <v>19050</v>
      </c>
      <c r="AM84" s="151">
        <v>22050</v>
      </c>
      <c r="AN84" s="452">
        <f t="shared" si="29"/>
        <v>53950</v>
      </c>
      <c r="AO84" s="445">
        <f t="shared" si="29"/>
        <v>192125</v>
      </c>
      <c r="AP84" s="445">
        <f t="shared" si="29"/>
        <v>236062.5</v>
      </c>
      <c r="AQ84" s="445">
        <f t="shared" si="29"/>
        <v>0</v>
      </c>
      <c r="AR84" s="453">
        <f t="shared" si="29"/>
        <v>110250</v>
      </c>
      <c r="AS84" s="452">
        <f>SUM([1]!Tabla1[[#This Row],[COSTO OPERATIVO ACIDO]:[COSTO OPERATIVO CATIONICO]])</f>
        <v>592387.5</v>
      </c>
      <c r="AT84" s="445">
        <v>5250</v>
      </c>
      <c r="AU84" s="445">
        <f t="shared" si="28"/>
        <v>3348.233718576008</v>
      </c>
    </row>
    <row r="85" spans="1:47" s="494" customFormat="1" ht="15" thickBot="1" x14ac:dyDescent="0.35">
      <c r="A85" s="498">
        <v>46050</v>
      </c>
      <c r="B85" s="491">
        <v>28</v>
      </c>
      <c r="C85" s="499" t="s">
        <v>30</v>
      </c>
      <c r="D85" s="500">
        <v>84</v>
      </c>
      <c r="E85" s="500" t="s">
        <v>76</v>
      </c>
      <c r="F85" s="449">
        <v>4250</v>
      </c>
      <c r="G85" s="450">
        <v>4250</v>
      </c>
      <c r="H85" s="450">
        <v>2020</v>
      </c>
      <c r="I85" s="450">
        <v>190</v>
      </c>
      <c r="J85" s="450">
        <v>100</v>
      </c>
      <c r="K85" s="468">
        <v>16791</v>
      </c>
      <c r="L85" s="469">
        <v>442.31343283582089</v>
      </c>
      <c r="M85" s="470">
        <v>80</v>
      </c>
      <c r="N85" s="470">
        <f>+[1]!Tabla1[[#This Row],[CAUDAL DE TRATAMIENTO]]+$M$102</f>
        <v>80</v>
      </c>
      <c r="O85" s="430">
        <f t="shared" si="30"/>
        <v>50</v>
      </c>
      <c r="P85" s="431">
        <f t="shared" si="30"/>
        <v>50</v>
      </c>
      <c r="Q85" s="430">
        <f t="shared" si="30"/>
        <v>20</v>
      </c>
      <c r="R85" s="430">
        <f t="shared" si="30"/>
        <v>5</v>
      </c>
      <c r="S85" s="432">
        <f t="shared" si="30"/>
        <v>5</v>
      </c>
      <c r="T85" s="437">
        <f t="shared" si="20"/>
        <v>65</v>
      </c>
      <c r="U85" s="438">
        <f t="shared" si="21"/>
        <v>66.25</v>
      </c>
      <c r="V85" s="438">
        <f t="shared" si="22"/>
        <v>25</v>
      </c>
      <c r="W85" s="457">
        <f>[1]!Tabla1[[#This Row],[CONSUMO POL ANIONICO (KG)]]</f>
        <v>5</v>
      </c>
      <c r="X85" s="432">
        <f>[1]!Tabla1[[#This Row],[CONSUMO POL CATIONICO (KG)]]</f>
        <v>5</v>
      </c>
      <c r="Y85" s="551">
        <f t="shared" si="23"/>
        <v>146.95461447612621</v>
      </c>
      <c r="Z85" s="457">
        <f t="shared" si="24"/>
        <v>149.78066475451325</v>
      </c>
      <c r="AA85" s="457">
        <f t="shared" si="25"/>
        <v>56.52100556774085</v>
      </c>
      <c r="AB85" s="457">
        <f t="shared" si="26"/>
        <v>11.304201113548169</v>
      </c>
      <c r="AC85" s="432">
        <f t="shared" si="27"/>
        <v>11.304201113548169</v>
      </c>
      <c r="AD85" s="439">
        <v>1.3</v>
      </c>
      <c r="AE85" s="439">
        <v>1.325</v>
      </c>
      <c r="AF85" s="439">
        <v>1.25</v>
      </c>
      <c r="AG85" s="440">
        <v>2500</v>
      </c>
      <c r="AH85" s="441">
        <v>2500</v>
      </c>
      <c r="AI85" s="151">
        <v>830</v>
      </c>
      <c r="AJ85" s="151">
        <v>2900</v>
      </c>
      <c r="AK85" s="151">
        <v>6295</v>
      </c>
      <c r="AL85" s="151">
        <v>19050</v>
      </c>
      <c r="AM85" s="151">
        <v>22050</v>
      </c>
      <c r="AN85" s="452">
        <f t="shared" si="29"/>
        <v>53950</v>
      </c>
      <c r="AO85" s="458">
        <f t="shared" si="29"/>
        <v>192125</v>
      </c>
      <c r="AP85" s="458">
        <f t="shared" si="29"/>
        <v>157375</v>
      </c>
      <c r="AQ85" s="458">
        <f t="shared" si="29"/>
        <v>95250</v>
      </c>
      <c r="AR85" s="459">
        <f t="shared" si="29"/>
        <v>110250</v>
      </c>
      <c r="AS85" s="452">
        <f>SUM([1]!Tabla1[[#This Row],[COSTO OPERATIVO ACIDO]:[COSTO OPERATIVO CATIONICO]])</f>
        <v>608950</v>
      </c>
      <c r="AT85" s="458">
        <v>5250</v>
      </c>
      <c r="AU85" s="445">
        <f t="shared" si="28"/>
        <v>1376.7386536190315</v>
      </c>
    </row>
    <row r="86" spans="1:47" ht="15" thickBot="1" x14ac:dyDescent="0.35">
      <c r="A86" s="200">
        <v>46051</v>
      </c>
      <c r="B86" s="150">
        <v>29</v>
      </c>
      <c r="C86" s="433" t="s">
        <v>306</v>
      </c>
      <c r="D86" s="434">
        <v>85</v>
      </c>
      <c r="E86" s="434" t="s">
        <v>75</v>
      </c>
      <c r="F86" s="435">
        <v>4200</v>
      </c>
      <c r="G86" s="436">
        <v>4200</v>
      </c>
      <c r="H86" s="436">
        <v>2000</v>
      </c>
      <c r="I86" s="436">
        <v>185</v>
      </c>
      <c r="J86" s="436">
        <v>95</v>
      </c>
      <c r="K86" s="464">
        <v>16796</v>
      </c>
      <c r="L86" s="465">
        <v>530.77611940298516</v>
      </c>
      <c r="M86" s="466">
        <v>80</v>
      </c>
      <c r="N86" s="466">
        <f>+[1]!Tabla1[[#This Row],[CAUDAL DE TRATAMIENTO]]+$M$102</f>
        <v>80</v>
      </c>
      <c r="O86" s="424">
        <f t="shared" si="30"/>
        <v>80</v>
      </c>
      <c r="P86" s="478">
        <f>G86-G87-150</f>
        <v>200</v>
      </c>
      <c r="Q86" s="424">
        <f t="shared" si="30"/>
        <v>20</v>
      </c>
      <c r="R86" s="424">
        <f t="shared" si="30"/>
        <v>0</v>
      </c>
      <c r="S86" s="426">
        <f t="shared" si="30"/>
        <v>5</v>
      </c>
      <c r="T86" s="437">
        <f t="shared" si="20"/>
        <v>104</v>
      </c>
      <c r="U86" s="438">
        <f t="shared" si="21"/>
        <v>265</v>
      </c>
      <c r="V86" s="438">
        <f t="shared" si="22"/>
        <v>25</v>
      </c>
      <c r="W86" s="438">
        <f>[1]!Tabla1[[#This Row],[CONSUMO POL ANIONICO (KG)]]</f>
        <v>0</v>
      </c>
      <c r="X86" s="426">
        <f>[1]!Tabla1[[#This Row],[CONSUMO POL CATIONICO (KG)]]</f>
        <v>5</v>
      </c>
      <c r="Y86" s="437">
        <f t="shared" si="23"/>
        <v>195.93948596816824</v>
      </c>
      <c r="Z86" s="438">
        <f t="shared" si="24"/>
        <v>499.26888251504408</v>
      </c>
      <c r="AA86" s="438">
        <f t="shared" si="25"/>
        <v>47.100837973117365</v>
      </c>
      <c r="AB86" s="438">
        <f t="shared" si="26"/>
        <v>0</v>
      </c>
      <c r="AC86" s="426">
        <f t="shared" si="27"/>
        <v>9.4201675946234733</v>
      </c>
      <c r="AD86" s="439">
        <v>1.3</v>
      </c>
      <c r="AE86" s="439">
        <v>1.325</v>
      </c>
      <c r="AF86" s="439">
        <v>1.25</v>
      </c>
      <c r="AG86" s="440">
        <v>2500</v>
      </c>
      <c r="AH86" s="441">
        <v>2500</v>
      </c>
      <c r="AI86" s="151">
        <v>830</v>
      </c>
      <c r="AJ86" s="151">
        <v>2900</v>
      </c>
      <c r="AK86" s="151">
        <v>6295</v>
      </c>
      <c r="AL86" s="151">
        <v>19050</v>
      </c>
      <c r="AM86" s="151">
        <v>22050</v>
      </c>
      <c r="AN86" s="442">
        <f t="shared" si="29"/>
        <v>86320</v>
      </c>
      <c r="AO86" s="443">
        <f t="shared" si="29"/>
        <v>768500</v>
      </c>
      <c r="AP86" s="443">
        <f t="shared" si="29"/>
        <v>157375</v>
      </c>
      <c r="AQ86" s="443">
        <f t="shared" si="29"/>
        <v>0</v>
      </c>
      <c r="AR86" s="444">
        <f t="shared" si="29"/>
        <v>110250</v>
      </c>
      <c r="AS86" s="442">
        <f>SUM([1]!Tabla1[[#This Row],[COSTO OPERATIVO ACIDO]:[COSTO OPERATIVO CATIONICO]])</f>
        <v>1122445</v>
      </c>
      <c r="AT86" s="443">
        <v>5250</v>
      </c>
      <c r="AU86" s="445">
        <f t="shared" si="28"/>
        <v>2114.7240031494289</v>
      </c>
    </row>
    <row r="87" spans="1:47" ht="15" thickBot="1" x14ac:dyDescent="0.35">
      <c r="A87" s="446">
        <v>46051</v>
      </c>
      <c r="B87" s="150">
        <v>29</v>
      </c>
      <c r="C87" s="447" t="s">
        <v>307</v>
      </c>
      <c r="D87" s="448">
        <v>86</v>
      </c>
      <c r="E87" s="448" t="s">
        <v>77</v>
      </c>
      <c r="F87" s="449">
        <v>4120</v>
      </c>
      <c r="G87" s="450">
        <v>3850</v>
      </c>
      <c r="H87" s="450">
        <v>1980</v>
      </c>
      <c r="I87" s="450">
        <v>185</v>
      </c>
      <c r="J87" s="450">
        <v>90</v>
      </c>
      <c r="K87" s="467">
        <v>16802</v>
      </c>
      <c r="L87" s="462">
        <v>353.85074626865674</v>
      </c>
      <c r="M87" s="463">
        <v>80</v>
      </c>
      <c r="N87" s="463">
        <f>+[1]!Tabla1[[#This Row],[CAUDAL DE TRATAMIENTO]]+$M$102</f>
        <v>80</v>
      </c>
      <c r="O87" s="427">
        <f t="shared" si="30"/>
        <v>120</v>
      </c>
      <c r="P87" s="428">
        <f t="shared" si="30"/>
        <v>150</v>
      </c>
      <c r="Q87" s="427">
        <f t="shared" si="30"/>
        <v>30</v>
      </c>
      <c r="R87" s="427">
        <f t="shared" si="30"/>
        <v>5</v>
      </c>
      <c r="S87" s="429">
        <f t="shared" si="30"/>
        <v>5</v>
      </c>
      <c r="T87" s="437">
        <f t="shared" si="20"/>
        <v>156</v>
      </c>
      <c r="U87" s="438">
        <f t="shared" si="21"/>
        <v>198.75</v>
      </c>
      <c r="V87" s="438">
        <f t="shared" si="22"/>
        <v>37.5</v>
      </c>
      <c r="W87" s="451">
        <f>[1]!Tabla1[[#This Row],[CONSUMO POL ANIONICO (KG)]]</f>
        <v>5</v>
      </c>
      <c r="X87" s="429">
        <f>[1]!Tabla1[[#This Row],[CONSUMO POL CATIONICO (KG)]]</f>
        <v>5</v>
      </c>
      <c r="Y87" s="551">
        <f t="shared" si="23"/>
        <v>440.86384342837857</v>
      </c>
      <c r="Z87" s="451">
        <f t="shared" si="24"/>
        <v>561.67749282942464</v>
      </c>
      <c r="AA87" s="451">
        <f t="shared" si="25"/>
        <v>105.97688543951408</v>
      </c>
      <c r="AB87" s="451">
        <f t="shared" si="26"/>
        <v>14.130251391935211</v>
      </c>
      <c r="AC87" s="429">
        <f t="shared" si="27"/>
        <v>14.130251391935211</v>
      </c>
      <c r="AD87" s="439">
        <v>1.3</v>
      </c>
      <c r="AE87" s="439">
        <v>1.325</v>
      </c>
      <c r="AF87" s="439">
        <v>1.25</v>
      </c>
      <c r="AG87" s="440">
        <v>2500</v>
      </c>
      <c r="AH87" s="441">
        <v>2500</v>
      </c>
      <c r="AI87" s="151">
        <v>830</v>
      </c>
      <c r="AJ87" s="151">
        <v>2900</v>
      </c>
      <c r="AK87" s="151">
        <v>6295</v>
      </c>
      <c r="AL87" s="151">
        <v>19050</v>
      </c>
      <c r="AM87" s="151">
        <v>22050</v>
      </c>
      <c r="AN87" s="452">
        <f t="shared" si="29"/>
        <v>129480</v>
      </c>
      <c r="AO87" s="445">
        <f t="shared" si="29"/>
        <v>576375</v>
      </c>
      <c r="AP87" s="445">
        <f t="shared" si="29"/>
        <v>236062.5</v>
      </c>
      <c r="AQ87" s="445">
        <f t="shared" si="29"/>
        <v>95250</v>
      </c>
      <c r="AR87" s="453">
        <f t="shared" si="29"/>
        <v>110250</v>
      </c>
      <c r="AS87" s="452">
        <f>SUM([1]!Tabla1[[#This Row],[COSTO OPERATIVO ACIDO]:[COSTO OPERATIVO CATIONICO]])</f>
        <v>1147417.5</v>
      </c>
      <c r="AT87" s="445">
        <v>5250</v>
      </c>
      <c r="AU87" s="445">
        <f t="shared" si="28"/>
        <v>3242.6595453011641</v>
      </c>
    </row>
    <row r="88" spans="1:47" ht="15" thickBot="1" x14ac:dyDescent="0.35">
      <c r="A88" s="454">
        <v>46051</v>
      </c>
      <c r="B88" s="150">
        <v>29</v>
      </c>
      <c r="C88" s="455" t="s">
        <v>30</v>
      </c>
      <c r="D88" s="456">
        <v>87</v>
      </c>
      <c r="E88" s="456" t="s">
        <v>76</v>
      </c>
      <c r="F88" s="449">
        <v>4000</v>
      </c>
      <c r="G88" s="450">
        <v>3700</v>
      </c>
      <c r="H88" s="450">
        <v>1950</v>
      </c>
      <c r="I88" s="450">
        <v>180</v>
      </c>
      <c r="J88" s="450">
        <v>85</v>
      </c>
      <c r="K88" s="468">
        <v>16806</v>
      </c>
      <c r="L88" s="469">
        <v>442.31343283582089</v>
      </c>
      <c r="M88" s="470">
        <v>80</v>
      </c>
      <c r="N88" s="470">
        <f>+[1]!Tabla1[[#This Row],[CAUDAL DE TRATAMIENTO]]+$M$102</f>
        <v>80</v>
      </c>
      <c r="O88" s="430">
        <f t="shared" si="30"/>
        <v>80</v>
      </c>
      <c r="P88" s="431">
        <f t="shared" si="30"/>
        <v>290</v>
      </c>
      <c r="Q88" s="430">
        <f t="shared" si="30"/>
        <v>70</v>
      </c>
      <c r="R88" s="430">
        <f t="shared" si="30"/>
        <v>0</v>
      </c>
      <c r="S88" s="432">
        <f t="shared" si="30"/>
        <v>5</v>
      </c>
      <c r="T88" s="437">
        <f t="shared" si="20"/>
        <v>104</v>
      </c>
      <c r="U88" s="438">
        <f t="shared" si="21"/>
        <v>384.25</v>
      </c>
      <c r="V88" s="438">
        <f t="shared" si="22"/>
        <v>87.5</v>
      </c>
      <c r="W88" s="457">
        <f>[1]!Tabla1[[#This Row],[CONSUMO POL ANIONICO (KG)]]</f>
        <v>0</v>
      </c>
      <c r="X88" s="432">
        <f>[1]!Tabla1[[#This Row],[CONSUMO POL CATIONICO (KG)]]</f>
        <v>5</v>
      </c>
      <c r="Y88" s="551">
        <f t="shared" si="23"/>
        <v>235.12738316180193</v>
      </c>
      <c r="Z88" s="457">
        <f t="shared" si="24"/>
        <v>868.72785557617681</v>
      </c>
      <c r="AA88" s="457">
        <f t="shared" si="25"/>
        <v>197.82351948709297</v>
      </c>
      <c r="AB88" s="457">
        <f t="shared" si="26"/>
        <v>0</v>
      </c>
      <c r="AC88" s="432">
        <f t="shared" si="27"/>
        <v>11.304201113548169</v>
      </c>
      <c r="AD88" s="439">
        <v>1.3</v>
      </c>
      <c r="AE88" s="439">
        <v>1.325</v>
      </c>
      <c r="AF88" s="439">
        <v>1.25</v>
      </c>
      <c r="AG88" s="440">
        <v>2500</v>
      </c>
      <c r="AH88" s="441">
        <v>2500</v>
      </c>
      <c r="AI88" s="151">
        <v>830</v>
      </c>
      <c r="AJ88" s="151">
        <v>2900</v>
      </c>
      <c r="AK88" s="151">
        <v>6295</v>
      </c>
      <c r="AL88" s="151">
        <v>19050</v>
      </c>
      <c r="AM88" s="151">
        <v>22050</v>
      </c>
      <c r="AN88" s="452">
        <f t="shared" si="29"/>
        <v>86320</v>
      </c>
      <c r="AO88" s="458">
        <f t="shared" si="29"/>
        <v>1114325</v>
      </c>
      <c r="AP88" s="458">
        <f t="shared" si="29"/>
        <v>550812.5</v>
      </c>
      <c r="AQ88" s="458">
        <f t="shared" si="29"/>
        <v>0</v>
      </c>
      <c r="AR88" s="459">
        <f t="shared" si="29"/>
        <v>110250</v>
      </c>
      <c r="AS88" s="452">
        <f>SUM([1]!Tabla1[[#This Row],[COSTO OPERATIVO ACIDO]:[COSTO OPERATIVO CATIONICO]])</f>
        <v>1861707.5</v>
      </c>
      <c r="AT88" s="458">
        <v>5250</v>
      </c>
      <c r="AU88" s="445">
        <f t="shared" si="28"/>
        <v>4209.0231989201957</v>
      </c>
    </row>
    <row r="89" spans="1:47" ht="15" thickBot="1" x14ac:dyDescent="0.35">
      <c r="A89" s="200">
        <v>46052</v>
      </c>
      <c r="B89" s="150">
        <v>30</v>
      </c>
      <c r="C89" s="433" t="s">
        <v>308</v>
      </c>
      <c r="D89" s="434">
        <v>88</v>
      </c>
      <c r="E89" s="434" t="s">
        <v>75</v>
      </c>
      <c r="F89" s="435">
        <v>3920</v>
      </c>
      <c r="G89" s="436">
        <v>3410</v>
      </c>
      <c r="H89" s="436">
        <v>1880</v>
      </c>
      <c r="I89" s="436">
        <v>180</v>
      </c>
      <c r="J89" s="436">
        <v>80</v>
      </c>
      <c r="K89" s="464">
        <v>16811</v>
      </c>
      <c r="L89" s="465">
        <v>530.77611940298516</v>
      </c>
      <c r="M89" s="466">
        <v>80</v>
      </c>
      <c r="N89" s="466">
        <f>+[1]!Tabla1[[#This Row],[CAUDAL DE TRATAMIENTO]]+$M$102</f>
        <v>80</v>
      </c>
      <c r="O89" s="424">
        <f t="shared" si="30"/>
        <v>100</v>
      </c>
      <c r="P89" s="425">
        <f t="shared" si="30"/>
        <v>170</v>
      </c>
      <c r="Q89" s="424">
        <f t="shared" si="30"/>
        <v>70</v>
      </c>
      <c r="R89" s="424">
        <f t="shared" si="30"/>
        <v>5</v>
      </c>
      <c r="S89" s="426">
        <f t="shared" si="30"/>
        <v>5</v>
      </c>
      <c r="T89" s="437">
        <f t="shared" si="20"/>
        <v>130</v>
      </c>
      <c r="U89" s="438">
        <f t="shared" si="21"/>
        <v>225.25</v>
      </c>
      <c r="V89" s="438">
        <f t="shared" si="22"/>
        <v>87.5</v>
      </c>
      <c r="W89" s="438">
        <f>[1]!Tabla1[[#This Row],[CONSUMO POL ANIONICO (KG)]]</f>
        <v>5</v>
      </c>
      <c r="X89" s="426">
        <f>[1]!Tabla1[[#This Row],[CONSUMO POL CATIONICO (KG)]]</f>
        <v>5</v>
      </c>
      <c r="Y89" s="437">
        <f t="shared" si="23"/>
        <v>244.9243574602103</v>
      </c>
      <c r="Z89" s="438">
        <f t="shared" si="24"/>
        <v>424.37855013778744</v>
      </c>
      <c r="AA89" s="438">
        <f t="shared" si="25"/>
        <v>164.85293290591079</v>
      </c>
      <c r="AB89" s="438">
        <f t="shared" si="26"/>
        <v>9.4201675946234733</v>
      </c>
      <c r="AC89" s="426">
        <f t="shared" si="27"/>
        <v>9.4201675946234733</v>
      </c>
      <c r="AD89" s="439">
        <v>1.3</v>
      </c>
      <c r="AE89" s="439">
        <v>1.325</v>
      </c>
      <c r="AF89" s="439">
        <v>1.25</v>
      </c>
      <c r="AG89" s="440">
        <v>2500</v>
      </c>
      <c r="AH89" s="441">
        <v>2500</v>
      </c>
      <c r="AI89" s="151">
        <v>830</v>
      </c>
      <c r="AJ89" s="151">
        <v>2900</v>
      </c>
      <c r="AK89" s="151">
        <v>6295</v>
      </c>
      <c r="AL89" s="151">
        <v>19050</v>
      </c>
      <c r="AM89" s="151">
        <v>22050</v>
      </c>
      <c r="AN89" s="442">
        <f t="shared" si="29"/>
        <v>107900</v>
      </c>
      <c r="AO89" s="443">
        <f t="shared" si="29"/>
        <v>653225</v>
      </c>
      <c r="AP89" s="443">
        <f t="shared" si="29"/>
        <v>550812.5</v>
      </c>
      <c r="AQ89" s="443">
        <f t="shared" si="29"/>
        <v>95250</v>
      </c>
      <c r="AR89" s="444">
        <f t="shared" si="29"/>
        <v>110250</v>
      </c>
      <c r="AS89" s="442">
        <f>SUM([1]!Tabla1[[#This Row],[COSTO OPERATIVO ACIDO]:[COSTO OPERATIVO CATIONICO]])</f>
        <v>1517437.5</v>
      </c>
      <c r="AT89" s="443">
        <v>5250</v>
      </c>
      <c r="AU89" s="445">
        <f t="shared" si="28"/>
        <v>2858.9031128732913</v>
      </c>
    </row>
    <row r="90" spans="1:47" ht="15" thickBot="1" x14ac:dyDescent="0.35">
      <c r="A90" s="446">
        <v>46052</v>
      </c>
      <c r="B90" s="150">
        <v>30</v>
      </c>
      <c r="C90" s="447" t="s">
        <v>309</v>
      </c>
      <c r="D90" s="448">
        <v>89</v>
      </c>
      <c r="E90" s="448" t="s">
        <v>77</v>
      </c>
      <c r="F90" s="449">
        <v>3820</v>
      </c>
      <c r="G90" s="450">
        <v>3240</v>
      </c>
      <c r="H90" s="450">
        <v>1810</v>
      </c>
      <c r="I90" s="450">
        <v>175</v>
      </c>
      <c r="J90" s="450">
        <v>75</v>
      </c>
      <c r="K90" s="467">
        <v>16817</v>
      </c>
      <c r="L90" s="462">
        <v>353.85074626865674</v>
      </c>
      <c r="M90" s="463">
        <v>80</v>
      </c>
      <c r="N90" s="463">
        <f>+[1]!Tabla1[[#This Row],[CAUDAL DE TRATAMIENTO]]+$M$102</f>
        <v>80</v>
      </c>
      <c r="O90" s="427">
        <f t="shared" si="30"/>
        <v>40</v>
      </c>
      <c r="P90" s="428">
        <f t="shared" si="30"/>
        <v>140</v>
      </c>
      <c r="Q90" s="427">
        <f t="shared" si="30"/>
        <v>20</v>
      </c>
      <c r="R90" s="427">
        <f t="shared" si="30"/>
        <v>0</v>
      </c>
      <c r="S90" s="429">
        <f t="shared" si="30"/>
        <v>5</v>
      </c>
      <c r="T90" s="437">
        <f t="shared" si="20"/>
        <v>52</v>
      </c>
      <c r="U90" s="438">
        <f t="shared" si="21"/>
        <v>185.5</v>
      </c>
      <c r="V90" s="438">
        <f t="shared" si="22"/>
        <v>25</v>
      </c>
      <c r="W90" s="451">
        <f>[1]!Tabla1[[#This Row],[CONSUMO POL ANIONICO (KG)]]</f>
        <v>0</v>
      </c>
      <c r="X90" s="429">
        <f>[1]!Tabla1[[#This Row],[CONSUMO POL CATIONICO (KG)]]</f>
        <v>5</v>
      </c>
      <c r="Y90" s="551">
        <f t="shared" si="23"/>
        <v>146.95461447612618</v>
      </c>
      <c r="Z90" s="451">
        <f t="shared" si="24"/>
        <v>524.23232664079637</v>
      </c>
      <c r="AA90" s="451">
        <f t="shared" si="25"/>
        <v>70.651256959676061</v>
      </c>
      <c r="AB90" s="451">
        <f t="shared" si="26"/>
        <v>0</v>
      </c>
      <c r="AC90" s="429">
        <f t="shared" si="27"/>
        <v>14.130251391935211</v>
      </c>
      <c r="AD90" s="439">
        <v>1.3</v>
      </c>
      <c r="AE90" s="439">
        <v>1.325</v>
      </c>
      <c r="AF90" s="439">
        <v>1.25</v>
      </c>
      <c r="AG90" s="440">
        <v>2500</v>
      </c>
      <c r="AH90" s="441">
        <v>2500</v>
      </c>
      <c r="AI90" s="151">
        <v>830</v>
      </c>
      <c r="AJ90" s="151">
        <v>2900</v>
      </c>
      <c r="AK90" s="151">
        <v>6295</v>
      </c>
      <c r="AL90" s="151">
        <v>19050</v>
      </c>
      <c r="AM90" s="151">
        <v>22050</v>
      </c>
      <c r="AN90" s="452">
        <f t="shared" si="29"/>
        <v>43160</v>
      </c>
      <c r="AO90" s="445">
        <f t="shared" si="29"/>
        <v>537950</v>
      </c>
      <c r="AP90" s="445">
        <f t="shared" si="29"/>
        <v>157375</v>
      </c>
      <c r="AQ90" s="445">
        <f t="shared" si="29"/>
        <v>0</v>
      </c>
      <c r="AR90" s="453">
        <f t="shared" si="29"/>
        <v>110250</v>
      </c>
      <c r="AS90" s="452">
        <f>SUM([1]!Tabla1[[#This Row],[COSTO OPERATIVO ACIDO]:[COSTO OPERATIVO CATIONICO]])</f>
        <v>848735</v>
      </c>
      <c r="AT90" s="445">
        <v>5250</v>
      </c>
      <c r="AU90" s="445">
        <f t="shared" si="28"/>
        <v>2398.5677830268264</v>
      </c>
    </row>
    <row r="91" spans="1:47" ht="15" thickBot="1" x14ac:dyDescent="0.35">
      <c r="A91" s="454">
        <v>46052</v>
      </c>
      <c r="B91" s="150">
        <v>30</v>
      </c>
      <c r="C91" s="455" t="s">
        <v>30</v>
      </c>
      <c r="D91" s="456">
        <v>90</v>
      </c>
      <c r="E91" s="456" t="s">
        <v>76</v>
      </c>
      <c r="F91" s="449">
        <v>3780</v>
      </c>
      <c r="G91" s="450">
        <v>3100</v>
      </c>
      <c r="H91" s="450">
        <v>1790</v>
      </c>
      <c r="I91" s="450">
        <v>175</v>
      </c>
      <c r="J91" s="450">
        <v>70</v>
      </c>
      <c r="K91" s="468">
        <v>16821</v>
      </c>
      <c r="L91" s="469">
        <v>442.31343283582089</v>
      </c>
      <c r="M91" s="470">
        <v>80</v>
      </c>
      <c r="N91" s="470">
        <f>+[1]!Tabla1[[#This Row],[CAUDAL DE TRATAMIENTO]]+$M$102</f>
        <v>80</v>
      </c>
      <c r="O91" s="430">
        <f>F91-F92+1000</f>
        <v>150</v>
      </c>
      <c r="P91" s="431">
        <f>G91-G92+4000</f>
        <v>200</v>
      </c>
      <c r="Q91" s="430">
        <f t="shared" si="30"/>
        <v>80</v>
      </c>
      <c r="R91" s="430">
        <f t="shared" si="30"/>
        <v>5</v>
      </c>
      <c r="S91" s="432">
        <f t="shared" si="30"/>
        <v>5</v>
      </c>
      <c r="T91" s="437">
        <f t="shared" si="20"/>
        <v>195</v>
      </c>
      <c r="U91" s="438">
        <f t="shared" si="21"/>
        <v>265</v>
      </c>
      <c r="V91" s="438">
        <f t="shared" si="22"/>
        <v>100</v>
      </c>
      <c r="W91" s="457">
        <f>[1]!Tabla1[[#This Row],[CONSUMO POL ANIONICO (KG)]]</f>
        <v>5</v>
      </c>
      <c r="X91" s="432">
        <f>[1]!Tabla1[[#This Row],[CONSUMO POL CATIONICO (KG)]]</f>
        <v>5</v>
      </c>
      <c r="Y91" s="551">
        <f t="shared" si="23"/>
        <v>440.86384342837863</v>
      </c>
      <c r="Z91" s="457">
        <f t="shared" si="24"/>
        <v>599.12265901805301</v>
      </c>
      <c r="AA91" s="457">
        <f t="shared" si="25"/>
        <v>226.0840222709634</v>
      </c>
      <c r="AB91" s="457">
        <f t="shared" si="26"/>
        <v>11.304201113548169</v>
      </c>
      <c r="AC91" s="432">
        <f t="shared" si="27"/>
        <v>11.304201113548169</v>
      </c>
      <c r="AD91" s="439">
        <v>1.3</v>
      </c>
      <c r="AE91" s="439">
        <v>1.325</v>
      </c>
      <c r="AF91" s="439">
        <v>1.25</v>
      </c>
      <c r="AG91" s="440">
        <v>2500</v>
      </c>
      <c r="AH91" s="441">
        <v>2500</v>
      </c>
      <c r="AI91" s="151">
        <v>830</v>
      </c>
      <c r="AJ91" s="151">
        <v>2900</v>
      </c>
      <c r="AK91" s="151">
        <v>6295</v>
      </c>
      <c r="AL91" s="151">
        <v>19050</v>
      </c>
      <c r="AM91" s="151">
        <v>22050</v>
      </c>
      <c r="AN91" s="452">
        <f t="shared" si="29"/>
        <v>161850</v>
      </c>
      <c r="AO91" s="458">
        <f t="shared" si="29"/>
        <v>768500</v>
      </c>
      <c r="AP91" s="458">
        <f t="shared" si="29"/>
        <v>629500</v>
      </c>
      <c r="AQ91" s="458">
        <f t="shared" si="29"/>
        <v>95250</v>
      </c>
      <c r="AR91" s="459">
        <f t="shared" si="29"/>
        <v>110250</v>
      </c>
      <c r="AS91" s="452">
        <f>SUM([1]!Tabla1[[#This Row],[COSTO OPERATIVO ACIDO]:[COSTO OPERATIVO CATIONICO]])</f>
        <v>1765350</v>
      </c>
      <c r="AT91" s="458">
        <v>5250</v>
      </c>
      <c r="AU91" s="445">
        <f t="shared" si="28"/>
        <v>3991.1742871604524</v>
      </c>
    </row>
    <row r="92" spans="1:47" ht="15" thickBot="1" x14ac:dyDescent="0.35">
      <c r="A92" s="200">
        <v>46053</v>
      </c>
      <c r="B92" s="150">
        <v>31</v>
      </c>
      <c r="C92" s="433" t="s">
        <v>310</v>
      </c>
      <c r="D92" s="434">
        <v>91</v>
      </c>
      <c r="E92" s="434" t="s">
        <v>75</v>
      </c>
      <c r="F92" s="435">
        <v>4630</v>
      </c>
      <c r="G92" s="436">
        <v>6900</v>
      </c>
      <c r="H92" s="436">
        <v>1710</v>
      </c>
      <c r="I92" s="436">
        <v>170</v>
      </c>
      <c r="J92" s="436">
        <v>65</v>
      </c>
      <c r="K92" s="464">
        <v>16826</v>
      </c>
      <c r="L92" s="465">
        <v>619.23880597014931</v>
      </c>
      <c r="M92" s="466">
        <v>80</v>
      </c>
      <c r="N92" s="466">
        <f>+[1]!Tabla1[[#This Row],[CAUDAL DE TRATAMIENTO]]+$M$102</f>
        <v>80</v>
      </c>
      <c r="O92" s="554">
        <f t="shared" si="30"/>
        <v>30</v>
      </c>
      <c r="P92" s="555">
        <f t="shared" si="30"/>
        <v>280</v>
      </c>
      <c r="Q92" s="424">
        <f t="shared" si="30"/>
        <v>110</v>
      </c>
      <c r="R92" s="424">
        <f t="shared" si="30"/>
        <v>0</v>
      </c>
      <c r="S92" s="426">
        <f t="shared" si="30"/>
        <v>5</v>
      </c>
      <c r="T92" s="437">
        <f t="shared" si="20"/>
        <v>39</v>
      </c>
      <c r="U92" s="438">
        <f t="shared" si="21"/>
        <v>371</v>
      </c>
      <c r="V92" s="438">
        <f t="shared" si="22"/>
        <v>137.5</v>
      </c>
      <c r="W92" s="438">
        <f>[1]!Tabla1[[#This Row],[CONSUMO POL ANIONICO (KG)]]</f>
        <v>0</v>
      </c>
      <c r="X92" s="426">
        <f>[1]!Tabla1[[#This Row],[CONSUMO POL CATIONICO (KG)]]</f>
        <v>5</v>
      </c>
      <c r="Y92" s="437">
        <f t="shared" si="23"/>
        <v>62.980549061196939</v>
      </c>
      <c r="Z92" s="438">
        <f t="shared" si="24"/>
        <v>599.1226590180529</v>
      </c>
      <c r="AA92" s="438">
        <f t="shared" si="25"/>
        <v>222.0468075875533</v>
      </c>
      <c r="AB92" s="438">
        <f t="shared" si="26"/>
        <v>0</v>
      </c>
      <c r="AC92" s="426">
        <f t="shared" si="27"/>
        <v>8.0744293668201195</v>
      </c>
      <c r="AD92" s="439">
        <v>1.3</v>
      </c>
      <c r="AE92" s="439">
        <v>1.325</v>
      </c>
      <c r="AF92" s="439">
        <v>1.25</v>
      </c>
      <c r="AG92" s="440">
        <v>2500</v>
      </c>
      <c r="AH92" s="441">
        <v>2500</v>
      </c>
      <c r="AI92" s="151">
        <v>830</v>
      </c>
      <c r="AJ92" s="151">
        <v>2900</v>
      </c>
      <c r="AK92" s="151">
        <v>6295</v>
      </c>
      <c r="AL92" s="151">
        <v>19050</v>
      </c>
      <c r="AM92" s="151">
        <v>22050</v>
      </c>
      <c r="AN92" s="442">
        <f t="shared" si="29"/>
        <v>32370</v>
      </c>
      <c r="AO92" s="443">
        <f t="shared" si="29"/>
        <v>1075900</v>
      </c>
      <c r="AP92" s="443">
        <f t="shared" si="29"/>
        <v>865562.5</v>
      </c>
      <c r="AQ92" s="443">
        <f t="shared" si="29"/>
        <v>0</v>
      </c>
      <c r="AR92" s="444">
        <f t="shared" si="29"/>
        <v>110250</v>
      </c>
      <c r="AS92" s="442">
        <f>SUM([1]!Tabla1[[#This Row],[COSTO OPERATIVO ACIDO]:[COSTO OPERATIVO CATIONICO]])</f>
        <v>2084082.5</v>
      </c>
      <c r="AT92" s="443">
        <v>5250</v>
      </c>
      <c r="AU92" s="445">
        <f t="shared" si="28"/>
        <v>3365.5553881751785</v>
      </c>
    </row>
    <row r="93" spans="1:47" ht="15" thickBot="1" x14ac:dyDescent="0.35">
      <c r="A93" s="446">
        <v>46053</v>
      </c>
      <c r="B93" s="150">
        <v>31</v>
      </c>
      <c r="C93" s="447" t="s">
        <v>311</v>
      </c>
      <c r="D93" s="448">
        <v>92</v>
      </c>
      <c r="E93" s="448" t="s">
        <v>77</v>
      </c>
      <c r="F93" s="449">
        <v>4600</v>
      </c>
      <c r="G93" s="450">
        <v>6620</v>
      </c>
      <c r="H93" s="450">
        <v>1600</v>
      </c>
      <c r="I93" s="450">
        <v>170</v>
      </c>
      <c r="J93" s="450">
        <v>60</v>
      </c>
      <c r="K93" s="467">
        <v>16833</v>
      </c>
      <c r="L93" s="462">
        <v>353.85074626865674</v>
      </c>
      <c r="M93" s="463">
        <v>80</v>
      </c>
      <c r="N93" s="463">
        <f>+[1]!Tabla1[[#This Row],[CAUDAL DE TRATAMIENTO]]+$M$102</f>
        <v>80</v>
      </c>
      <c r="O93" s="427">
        <f t="shared" si="30"/>
        <v>230</v>
      </c>
      <c r="P93" s="428">
        <f t="shared" si="30"/>
        <v>130</v>
      </c>
      <c r="Q93" s="427">
        <f t="shared" si="30"/>
        <v>80</v>
      </c>
      <c r="R93" s="427">
        <f t="shared" si="30"/>
        <v>5</v>
      </c>
      <c r="S93" s="429">
        <f t="shared" si="30"/>
        <v>0</v>
      </c>
      <c r="T93" s="437">
        <f t="shared" si="20"/>
        <v>299</v>
      </c>
      <c r="U93" s="438">
        <f t="shared" si="21"/>
        <v>172.25</v>
      </c>
      <c r="V93" s="438">
        <f t="shared" si="22"/>
        <v>100</v>
      </c>
      <c r="W93" s="451">
        <f>[1]!Tabla1[[#This Row],[CONSUMO POL ANIONICO (KG)]]</f>
        <v>5</v>
      </c>
      <c r="X93" s="429">
        <f>[1]!Tabla1[[#This Row],[CONSUMO POL CATIONICO (KG)]]</f>
        <v>0</v>
      </c>
      <c r="Y93" s="551">
        <f t="shared" si="23"/>
        <v>844.98903323772561</v>
      </c>
      <c r="Z93" s="451">
        <f t="shared" si="24"/>
        <v>486.787160452168</v>
      </c>
      <c r="AA93" s="451">
        <f t="shared" si="25"/>
        <v>282.60502783870425</v>
      </c>
      <c r="AB93" s="451">
        <f t="shared" si="26"/>
        <v>14.130251391935211</v>
      </c>
      <c r="AC93" s="429">
        <f t="shared" si="27"/>
        <v>0</v>
      </c>
      <c r="AD93" s="439">
        <v>1.3</v>
      </c>
      <c r="AE93" s="439">
        <v>1.325</v>
      </c>
      <c r="AF93" s="439">
        <v>1.25</v>
      </c>
      <c r="AG93" s="440">
        <v>2500</v>
      </c>
      <c r="AH93" s="441">
        <v>2500</v>
      </c>
      <c r="AI93" s="151">
        <v>830</v>
      </c>
      <c r="AJ93" s="151">
        <v>2900</v>
      </c>
      <c r="AK93" s="151">
        <v>6295</v>
      </c>
      <c r="AL93" s="151">
        <v>19050</v>
      </c>
      <c r="AM93" s="151">
        <v>22050</v>
      </c>
      <c r="AN93" s="452">
        <f t="shared" si="29"/>
        <v>248170</v>
      </c>
      <c r="AO93" s="445">
        <f t="shared" si="29"/>
        <v>499525</v>
      </c>
      <c r="AP93" s="445">
        <f t="shared" si="29"/>
        <v>629500</v>
      </c>
      <c r="AQ93" s="445">
        <f t="shared" si="29"/>
        <v>95250</v>
      </c>
      <c r="AR93" s="453">
        <f t="shared" si="29"/>
        <v>0</v>
      </c>
      <c r="AS93" s="452">
        <f>SUM([1]!Tabla1[[#This Row],[COSTO OPERATIVO ACIDO]:[COSTO OPERATIVO CATIONICO]])</f>
        <v>1472445</v>
      </c>
      <c r="AT93" s="445">
        <v>5250</v>
      </c>
      <c r="AU93" s="445">
        <f t="shared" si="28"/>
        <v>4161.2036021596086</v>
      </c>
    </row>
    <row r="94" spans="1:47" s="494" customFormat="1" ht="15" thickBot="1" x14ac:dyDescent="0.35">
      <c r="A94" s="498">
        <v>46053</v>
      </c>
      <c r="B94" s="491">
        <v>31</v>
      </c>
      <c r="C94" s="499" t="s">
        <v>30</v>
      </c>
      <c r="D94" s="500">
        <v>93</v>
      </c>
      <c r="E94" s="500" t="s">
        <v>76</v>
      </c>
      <c r="F94" s="449">
        <v>4370</v>
      </c>
      <c r="G94" s="450">
        <v>6490</v>
      </c>
      <c r="H94" s="450">
        <v>1520</v>
      </c>
      <c r="I94" s="450">
        <v>165</v>
      </c>
      <c r="J94" s="450">
        <v>60</v>
      </c>
      <c r="K94" s="468">
        <v>16837</v>
      </c>
      <c r="L94" s="469">
        <v>0</v>
      </c>
      <c r="M94" s="470">
        <v>0</v>
      </c>
      <c r="N94" s="470">
        <f>+[1]!Tabla1[[#This Row],[CAUDAL DE TRATAMIENTO]]+$M$102</f>
        <v>0</v>
      </c>
      <c r="O94" s="430">
        <f>F94-F95</f>
        <v>10</v>
      </c>
      <c r="P94" s="430">
        <f t="shared" si="30"/>
        <v>10</v>
      </c>
      <c r="Q94" s="430">
        <f t="shared" si="30"/>
        <v>10</v>
      </c>
      <c r="R94" s="430">
        <f t="shared" si="30"/>
        <v>0</v>
      </c>
      <c r="S94" s="430">
        <f t="shared" si="30"/>
        <v>0</v>
      </c>
      <c r="T94" s="437">
        <f t="shared" si="20"/>
        <v>13</v>
      </c>
      <c r="U94" s="438">
        <f t="shared" si="21"/>
        <v>13.25</v>
      </c>
      <c r="V94" s="438">
        <f t="shared" si="22"/>
        <v>12.5</v>
      </c>
      <c r="W94" s="457">
        <f>[1]!Tabla1[[#This Row],[CONSUMO POL ANIONICO (KG)]]</f>
        <v>0</v>
      </c>
      <c r="X94" s="432">
        <f>[1]!Tabla1[[#This Row],[CONSUMO POL CATIONICO (KG)]]</f>
        <v>0</v>
      </c>
      <c r="Y94" s="551" t="e">
        <f t="shared" si="23"/>
        <v>#DIV/0!</v>
      </c>
      <c r="Z94" s="457" t="e">
        <f t="shared" si="24"/>
        <v>#DIV/0!</v>
      </c>
      <c r="AA94" s="457" t="e">
        <f t="shared" si="25"/>
        <v>#DIV/0!</v>
      </c>
      <c r="AB94" s="457" t="e">
        <f t="shared" si="26"/>
        <v>#DIV/0!</v>
      </c>
      <c r="AC94" s="432" t="e">
        <f t="shared" si="27"/>
        <v>#DIV/0!</v>
      </c>
      <c r="AD94" s="439">
        <v>1.3</v>
      </c>
      <c r="AE94" s="439">
        <v>1.325</v>
      </c>
      <c r="AF94" s="439">
        <v>1.25</v>
      </c>
      <c r="AG94" s="440">
        <v>2500</v>
      </c>
      <c r="AH94" s="441">
        <v>2500</v>
      </c>
      <c r="AI94" s="151">
        <v>830</v>
      </c>
      <c r="AJ94" s="151">
        <v>2900</v>
      </c>
      <c r="AK94" s="151">
        <v>6295</v>
      </c>
      <c r="AL94" s="151">
        <v>19050</v>
      </c>
      <c r="AM94" s="151">
        <v>22050</v>
      </c>
      <c r="AN94" s="452">
        <f t="shared" si="29"/>
        <v>10790</v>
      </c>
      <c r="AO94" s="458">
        <f t="shared" si="29"/>
        <v>38425</v>
      </c>
      <c r="AP94" s="458">
        <f t="shared" si="29"/>
        <v>78687.5</v>
      </c>
      <c r="AQ94" s="458">
        <f t="shared" si="29"/>
        <v>0</v>
      </c>
      <c r="AR94" s="459">
        <f t="shared" si="29"/>
        <v>0</v>
      </c>
      <c r="AS94" s="452">
        <f>SUM([1]!Tabla1[[#This Row],[COSTO OPERATIVO ACIDO]:[COSTO OPERATIVO CATIONICO]])</f>
        <v>127902.5</v>
      </c>
      <c r="AT94" s="458">
        <v>5250</v>
      </c>
      <c r="AU94" s="445" t="e">
        <f t="shared" si="28"/>
        <v>#DIV/0!</v>
      </c>
    </row>
    <row r="95" spans="1:47" x14ac:dyDescent="0.3">
      <c r="A95" s="39"/>
      <c r="B95" s="171"/>
      <c r="C95" s="38"/>
      <c r="D95" s="67"/>
      <c r="E95" s="67"/>
      <c r="F95" s="393" t="s">
        <v>358</v>
      </c>
      <c r="G95" s="393" t="s">
        <v>359</v>
      </c>
      <c r="H95" s="393" t="s">
        <v>360</v>
      </c>
      <c r="I95" s="393" t="s">
        <v>361</v>
      </c>
      <c r="J95" s="393" t="s">
        <v>362</v>
      </c>
      <c r="K95" s="74"/>
      <c r="L95" s="406"/>
      <c r="M95" s="406"/>
      <c r="N95" s="38"/>
      <c r="O95" s="38"/>
      <c r="P95" s="38"/>
      <c r="Q95" s="38"/>
      <c r="R95" s="38"/>
      <c r="S95" s="172"/>
      <c r="T95" s="173"/>
      <c r="U95" s="173"/>
      <c r="V95" s="38"/>
      <c r="W95" s="38"/>
      <c r="X95" s="174"/>
      <c r="Y95" s="174"/>
      <c r="Z95" s="174"/>
      <c r="AA95" s="174"/>
      <c r="AB95" s="174"/>
      <c r="AC95" s="175"/>
      <c r="AD95" s="175"/>
      <c r="AE95" s="175"/>
      <c r="AF95" s="175"/>
      <c r="AG95" s="175"/>
      <c r="AH95" s="72"/>
      <c r="AI95" s="72"/>
      <c r="AJ95" s="72"/>
      <c r="AK95" s="72"/>
      <c r="AL95" s="72"/>
      <c r="AM95" s="545"/>
      <c r="AN95" s="176"/>
      <c r="AO95" s="176"/>
      <c r="AP95" s="176"/>
      <c r="AQ95" s="176"/>
      <c r="AR95" s="176"/>
      <c r="AS95" s="176">
        <f>SUM(AS2:AS37)</f>
        <v>23878940</v>
      </c>
      <c r="AT95" s="176"/>
      <c r="AU95" s="406"/>
    </row>
    <row r="96" spans="1:47" x14ac:dyDescent="0.3">
      <c r="A96" s="39"/>
      <c r="B96" s="39"/>
      <c r="C96" s="38"/>
      <c r="D96" s="67"/>
      <c r="E96" s="67"/>
      <c r="F96" s="394"/>
      <c r="H96" s="394"/>
      <c r="I96" s="394"/>
      <c r="J96" s="394"/>
      <c r="K96" s="74"/>
      <c r="L96" s="406">
        <f>+SUM(L2:L13)</f>
        <v>1083.5522388059703</v>
      </c>
      <c r="M96" s="406"/>
      <c r="N96" s="96">
        <f>+SUM(N2:N88)</f>
        <v>5688</v>
      </c>
      <c r="O96" s="96">
        <f>+SUM(O2:O88)</f>
        <v>4640</v>
      </c>
      <c r="P96" s="96">
        <f>+SUM(P2:P87)</f>
        <v>10410</v>
      </c>
      <c r="Q96" s="96">
        <f>+SUM(Q2:Q87)</f>
        <v>3330</v>
      </c>
      <c r="R96" s="96">
        <f>+SUM(R2:R87)</f>
        <v>130</v>
      </c>
      <c r="S96" s="410">
        <f>+SUM(S2:S93)</f>
        <v>295</v>
      </c>
      <c r="T96" s="410">
        <f>+SUM(T2:T93)</f>
        <v>6747</v>
      </c>
      <c r="U96" s="410">
        <f>+SUM(U2:U93)</f>
        <v>15396.5</v>
      </c>
      <c r="V96" s="410">
        <f>+SUM(V2:V93)</f>
        <v>4700</v>
      </c>
      <c r="W96" s="410">
        <f>+SUM(W2:W93)</f>
        <v>145</v>
      </c>
      <c r="X96" s="38"/>
      <c r="Y96" s="38"/>
      <c r="Z96" s="38"/>
      <c r="AA96" s="38"/>
      <c r="AB96" s="38"/>
      <c r="AN96" s="151">
        <f>+SUM(AN2:AN94)</f>
        <v>5610800</v>
      </c>
      <c r="AO96" s="151">
        <f>+SUM(AO2:AO94)</f>
        <v>44688275</v>
      </c>
      <c r="AP96" s="151">
        <f>+SUM(AP2:AP94)</f>
        <v>29665187.5</v>
      </c>
      <c r="AQ96" s="151">
        <f>+SUM(AQ2:AQ94)</f>
        <v>2762250</v>
      </c>
      <c r="AR96" s="151">
        <f>+SUM(AR2:AR94)</f>
        <v>6504750</v>
      </c>
      <c r="AS96" s="151"/>
      <c r="AU96" s="406"/>
    </row>
    <row r="97" spans="1:47" x14ac:dyDescent="0.3">
      <c r="A97" s="39"/>
      <c r="B97" s="39"/>
      <c r="C97" s="38"/>
      <c r="D97" s="67"/>
      <c r="E97" s="67"/>
      <c r="F97" s="394"/>
      <c r="G97" s="394"/>
      <c r="H97" s="394"/>
      <c r="I97" s="394"/>
      <c r="J97" s="394"/>
      <c r="K97" s="74"/>
      <c r="L97" s="406">
        <f>+SUM(L2:L13)</f>
        <v>1083.5522388059703</v>
      </c>
      <c r="M97" s="406"/>
      <c r="N97" s="38"/>
      <c r="O97" s="38"/>
      <c r="P97" s="96">
        <f>+MEDIAN(P2:P78)+2000</f>
        <v>2120</v>
      </c>
      <c r="Q97" s="38"/>
      <c r="R97" s="38"/>
      <c r="S97" s="68"/>
      <c r="T97" s="38"/>
      <c r="U97" s="38"/>
      <c r="V97" s="38"/>
      <c r="W97" s="38"/>
      <c r="X97" s="38"/>
      <c r="Y97" s="38"/>
      <c r="Z97" s="38"/>
      <c r="AA97" s="38"/>
      <c r="AB97" s="38"/>
      <c r="AS97">
        <f>+SUM(AS2:AS13)</f>
        <v>3390947.5</v>
      </c>
      <c r="AU97" s="406"/>
    </row>
    <row r="98" spans="1:47" x14ac:dyDescent="0.3">
      <c r="A98" s="39"/>
      <c r="B98" s="39"/>
      <c r="C98" s="38"/>
      <c r="D98" s="67"/>
      <c r="E98" s="67"/>
      <c r="F98" s="394"/>
      <c r="G98" s="394"/>
      <c r="H98" s="394"/>
      <c r="I98" s="394"/>
      <c r="J98" s="394"/>
      <c r="K98" s="74"/>
      <c r="L98" s="396"/>
      <c r="M98" s="396"/>
      <c r="N98" s="38">
        <f>+N96*1.3</f>
        <v>7394.4000000000005</v>
      </c>
      <c r="O98" s="38">
        <f>+O96*1.325</f>
        <v>6148</v>
      </c>
      <c r="P98" s="38">
        <f>+P96*1.25</f>
        <v>13012.5</v>
      </c>
      <c r="Q98" s="38"/>
      <c r="R98" s="38"/>
      <c r="S98" s="68"/>
      <c r="T98" s="38"/>
      <c r="U98" s="38"/>
      <c r="V98" s="38"/>
      <c r="W98" s="38"/>
      <c r="X98" s="38"/>
      <c r="Y98" s="38"/>
      <c r="Z98" s="38"/>
      <c r="AA98" s="38"/>
      <c r="AB98" s="38"/>
      <c r="AU98" s="396"/>
    </row>
    <row r="99" spans="1:47" x14ac:dyDescent="0.3">
      <c r="S99" s="86">
        <f>+SUM(S2:S82)</f>
        <v>245</v>
      </c>
      <c r="T99" s="86">
        <f>+SUM(T2:T82)</f>
        <v>5499</v>
      </c>
      <c r="U99" s="86">
        <f>+SUM(U2:U82)</f>
        <v>13130.75</v>
      </c>
      <c r="V99" s="86">
        <f>+SUM(V2:V82)</f>
        <v>4000</v>
      </c>
      <c r="W99" s="86">
        <f>+SUM(W2:W82)</f>
        <v>120</v>
      </c>
    </row>
    <row r="100" spans="1:47" x14ac:dyDescent="0.3">
      <c r="L100" s="1">
        <v>29757</v>
      </c>
    </row>
    <row r="101" spans="1:47" x14ac:dyDescent="0.3">
      <c r="L101" s="412">
        <f>+L97-L100</f>
        <v>-28673.447761194031</v>
      </c>
      <c r="M101" s="412"/>
      <c r="T101">
        <v>1882</v>
      </c>
      <c r="AU101" s="412"/>
    </row>
    <row r="102" spans="1:47" x14ac:dyDescent="0.3">
      <c r="L102" s="1">
        <v>2860</v>
      </c>
      <c r="T102" s="86">
        <f>+SUM(T99:T101)</f>
        <v>7381</v>
      </c>
    </row>
    <row r="103" spans="1:47" x14ac:dyDescent="0.3">
      <c r="L103" s="412">
        <f>+L101-L102</f>
        <v>-31533.447761194031</v>
      </c>
      <c r="M103" s="412"/>
      <c r="AU103" s="412"/>
    </row>
    <row r="104" spans="1:47" x14ac:dyDescent="0.3">
      <c r="A104" t="s">
        <v>200</v>
      </c>
      <c r="B104">
        <v>71</v>
      </c>
    </row>
    <row r="105" spans="1:47" x14ac:dyDescent="0.3">
      <c r="P105">
        <f>80*3</f>
        <v>240</v>
      </c>
    </row>
  </sheetData>
  <protectedRanges>
    <protectedRange sqref="K1:N1" name="Rango1_3_1_1_2"/>
  </protectedRanges>
  <phoneticPr fontId="14" type="noConversion"/>
  <conditionalFormatting sqref="N95:W1048576">
    <cfRule type="cellIs" dxfId="471" priority="32" operator="lessThan">
      <formula>0</formula>
    </cfRule>
  </conditionalFormatting>
  <conditionalFormatting sqref="O1:X94 AU2:AU94">
    <cfRule type="cellIs" dxfId="470" priority="6" operator="lessThan">
      <formula>0</formula>
    </cfRule>
  </conditionalFormatting>
  <conditionalFormatting sqref="AN2:AR94">
    <cfRule type="cellIs" dxfId="469" priority="4" operator="lessThan">
      <formula>0</formula>
    </cfRule>
  </conditionalFormatting>
  <conditionalFormatting sqref="AS2:AS3 AS5:AS6 AS8:AS9 AS11:AS12 AS14:AS15 AS17:AS18 AS20:AS21 AS23:AS24 AS26:AS27 AS29:AS30 AS32:AS33 AS35:AS36 AS38:AS39 AS41:AS42 AS44:AS45 AS47:AS48 AS50:AS51 AS53:AS54 AS56:AS57 AS59:AS60 AS62:AS63 AS65:AS66 AS68:AS69 AS71:AS72 AS74:AS75 AS77:AS78 AS80:AS81 AS83:AS84 AS86:AS87 AS89:AS90 AS92:AS93">
    <cfRule type="cellIs" dxfId="468" priority="3" operator="lessThan">
      <formula>0</formula>
    </cfRule>
  </conditionalFormatting>
  <conditionalFormatting sqref="AS4:AT4 AS7:AT7 AS10:AT10 AS13:AT13 AS16:AT16 AS19:AT19 AS22:AT22 AS25:AT25 AS28:AT28 AS31:AT31 AS34:AT34 AS37:AT37 AS40:AT40 AS43:AT43 AS46:AT46 AS49:AT49 AS52:AT52 AS55:AT55 AS58:AT58 AS61:AT61 AS64:AT64 AS67:AT67 AS70:AT70 AS73:AT73 AS76:AT76 AS79:AT79 AS82:AT82 AS85:AT85 AS88:AT88 AS91:AT91 AS94:AT94">
    <cfRule type="cellIs" dxfId="467" priority="2" operator="lessThan">
      <formula>0</formula>
    </cfRule>
  </conditionalFormatting>
  <conditionalFormatting sqref="AT2:AT3 AT5:AT6 AT8:AT9 AT11:AT12 AT14:AT15 AT17:AT18 AT20:AT21 AT23:AT24 AT26:AT27 AT29:AT30 AT32:AT33 AT35:AT36 AT38:AT39 AT41:AT42 AT44:AT45 AT47:AT48 AT50:AT51 AT53:AT54 AT56:AT57 AT59:AT60 AT62:AT63 AT65:AT66 AT68:AT69 AT71:AT72 AT74:AT75 AT77:AT78 AT80:AT81 AT83:AT84 AT86:AT87 AT89:AT90 AT92:AT93">
    <cfRule type="cellIs" dxfId="466" priority="1" operator="lessThan">
      <formula>0</formula>
    </cfRule>
  </conditionalFormatting>
  <conditionalFormatting sqref="AU1:AU94">
    <cfRule type="cellIs" dxfId="465" priority="5" operator="greaterThan">
      <formula>5250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827C-0458-43BA-AB3D-24D549B11DB3}">
  <sheetPr>
    <tabColor rgb="FF00B050"/>
  </sheetPr>
  <dimension ref="A1:BV108"/>
  <sheetViews>
    <sheetView topLeftCell="X1" zoomScale="55" zoomScaleNormal="55" workbookViewId="0">
      <selection activeCell="Z6" sqref="Z6:AD8"/>
    </sheetView>
  </sheetViews>
  <sheetFormatPr baseColWidth="10" defaultRowHeight="14.4" x14ac:dyDescent="0.3"/>
  <cols>
    <col min="1" max="25" width="21" style="165" customWidth="1"/>
    <col min="26" max="26" width="30.6640625" style="165" customWidth="1"/>
    <col min="27" max="28" width="19.44140625" style="165" customWidth="1"/>
    <col min="29" max="29" width="29.88671875" style="165" customWidth="1"/>
    <col min="30" max="30" width="25.5546875" style="165" customWidth="1"/>
    <col min="31" max="31" width="19.44140625" style="165" customWidth="1"/>
    <col min="32" max="32" width="21" style="165" customWidth="1"/>
    <col min="33" max="33" width="11.33203125" customWidth="1"/>
    <col min="34" max="34" width="30.88671875" customWidth="1"/>
    <col min="35" max="35" width="11.33203125" style="166"/>
    <col min="36" max="36" width="16.44140625" style="167" bestFit="1" customWidth="1"/>
    <col min="37" max="37" width="23.5546875" style="167" bestFit="1" customWidth="1"/>
    <col min="38" max="38" width="15.6640625" style="168" bestFit="1" customWidth="1"/>
    <col min="39" max="39" width="12" style="168" bestFit="1" customWidth="1"/>
    <col min="40" max="40" width="14.44140625" style="168" bestFit="1" customWidth="1"/>
    <col min="41" max="41" width="11.6640625" style="168" customWidth="1"/>
    <col min="42" max="42" width="16.44140625" style="168" bestFit="1" customWidth="1"/>
    <col min="43" max="43" width="37.109375" style="168" bestFit="1" customWidth="1"/>
    <col min="44" max="44" width="28.77734375" style="168" bestFit="1" customWidth="1"/>
    <col min="45" max="45" width="12.6640625" style="168" customWidth="1"/>
    <col min="46" max="46" width="16.77734375" bestFit="1" customWidth="1"/>
    <col min="47" max="47" width="24.21875" bestFit="1" customWidth="1"/>
    <col min="48" max="48" width="18.6640625" bestFit="1" customWidth="1"/>
    <col min="49" max="49" width="29" style="341" customWidth="1"/>
    <col min="50" max="50" width="12.88671875" style="166" bestFit="1" customWidth="1"/>
    <col min="51" max="51" width="24" style="166" bestFit="1" customWidth="1"/>
    <col min="52" max="52" width="36.88671875" style="166" bestFit="1" customWidth="1"/>
    <col min="53" max="53" width="28.5546875" style="166" bestFit="1" customWidth="1"/>
    <col min="55" max="55" width="24" bestFit="1" customWidth="1"/>
    <col min="56" max="56" width="36.88671875" bestFit="1" customWidth="1"/>
    <col min="57" max="57" width="28.5546875" bestFit="1" customWidth="1"/>
    <col min="58" max="58" width="21.77734375" bestFit="1" customWidth="1"/>
    <col min="60" max="60" width="16.44140625" bestFit="1" customWidth="1"/>
    <col min="61" max="61" width="25" bestFit="1" customWidth="1"/>
    <col min="62" max="62" width="27" bestFit="1" customWidth="1"/>
    <col min="63" max="63" width="38.77734375" bestFit="1" customWidth="1"/>
    <col min="65" max="65" width="16.44140625" bestFit="1" customWidth="1"/>
    <col min="66" max="66" width="19.88671875" bestFit="1" customWidth="1"/>
    <col min="67" max="67" width="14.44140625" bestFit="1" customWidth="1"/>
    <col min="68" max="68" width="15.109375" bestFit="1" customWidth="1"/>
    <col min="69" max="69" width="19.109375" bestFit="1" customWidth="1"/>
    <col min="70" max="70" width="17.6640625" bestFit="1" customWidth="1"/>
    <col min="71" max="72" width="19.88671875" bestFit="1" customWidth="1"/>
  </cols>
  <sheetData>
    <row r="1" spans="1:74" ht="28.5" customHeight="1" x14ac:dyDescent="0.3">
      <c r="A1" s="611" t="s">
        <v>116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  <c r="P1" s="611"/>
      <c r="Q1" s="611"/>
      <c r="R1" s="611"/>
      <c r="S1" s="611"/>
      <c r="T1" s="611"/>
      <c r="U1" s="611"/>
      <c r="V1" s="611"/>
      <c r="W1" s="611"/>
      <c r="X1" s="611"/>
      <c r="Y1" s="611"/>
      <c r="Z1" s="611"/>
      <c r="AA1" s="611"/>
      <c r="AB1" s="611"/>
      <c r="AC1" s="611"/>
      <c r="AD1" s="611"/>
      <c r="AE1" s="611"/>
      <c r="AF1" s="611"/>
      <c r="AG1" s="166"/>
      <c r="AH1" s="166"/>
      <c r="AJ1" s="610" t="s">
        <v>176</v>
      </c>
      <c r="AK1" s="610"/>
      <c r="AL1" s="610"/>
      <c r="AM1" s="610"/>
      <c r="AN1" s="166"/>
      <c r="AO1" s="166"/>
      <c r="AP1" s="166"/>
      <c r="AQ1" s="166"/>
      <c r="AR1" s="166"/>
      <c r="AS1" s="166"/>
      <c r="AT1" s="610" t="s">
        <v>177</v>
      </c>
      <c r="AU1" s="610"/>
      <c r="AV1" s="610"/>
      <c r="AW1" s="610"/>
      <c r="BB1" s="166"/>
      <c r="BC1" s="166"/>
      <c r="BD1" s="166"/>
      <c r="BE1" s="166"/>
      <c r="BF1" s="166"/>
      <c r="BG1" s="166"/>
      <c r="BH1" s="166"/>
      <c r="BI1" s="166"/>
      <c r="BJ1" s="166"/>
      <c r="BK1" s="166"/>
      <c r="BL1" s="166"/>
      <c r="BM1" s="166"/>
      <c r="BN1" s="166"/>
      <c r="BO1" s="166"/>
      <c r="BP1" s="166"/>
      <c r="BQ1" s="166"/>
      <c r="BR1" s="166"/>
      <c r="BS1" s="166"/>
      <c r="BT1" s="166"/>
      <c r="BU1" s="166"/>
      <c r="BV1" s="166"/>
    </row>
    <row r="2" spans="1:74" ht="25.8" x14ac:dyDescent="0.5">
      <c r="A2" s="343" t="s">
        <v>123</v>
      </c>
      <c r="B2" s="170" t="s">
        <v>119</v>
      </c>
      <c r="AG2" s="166"/>
      <c r="AH2" s="166"/>
      <c r="AS2" s="166"/>
      <c r="AT2" s="167"/>
      <c r="AU2" s="167"/>
      <c r="AV2" s="168"/>
      <c r="AW2" s="168"/>
      <c r="AX2" s="166" t="s">
        <v>178</v>
      </c>
      <c r="BB2" s="166"/>
      <c r="BC2" s="166"/>
      <c r="BD2" s="166"/>
      <c r="BE2" s="166"/>
      <c r="BF2" s="166"/>
      <c r="BG2" s="166"/>
      <c r="BH2" s="166"/>
      <c r="BI2" s="166"/>
      <c r="BJ2" s="166"/>
      <c r="BK2" s="166"/>
      <c r="BL2" s="166"/>
      <c r="BM2" s="166"/>
      <c r="BN2" s="166"/>
      <c r="BO2" s="166"/>
      <c r="BP2" s="166"/>
      <c r="BQ2" s="166"/>
      <c r="BR2" s="166"/>
      <c r="BS2" s="166"/>
      <c r="BT2" s="166"/>
      <c r="BU2" s="166"/>
      <c r="BV2" s="166"/>
    </row>
    <row r="3" spans="1:74" ht="21" x14ac:dyDescent="0.3">
      <c r="B3" s="612"/>
      <c r="C3" s="612"/>
      <c r="AG3" s="166"/>
      <c r="AH3" s="166"/>
      <c r="AS3" s="166"/>
      <c r="AT3" s="167"/>
      <c r="AU3" s="167"/>
      <c r="AV3" s="168"/>
      <c r="AW3" s="168"/>
      <c r="BB3" s="166"/>
      <c r="BC3" s="166"/>
      <c r="BD3" s="166"/>
      <c r="BE3" s="166"/>
      <c r="BF3" s="166"/>
      <c r="BG3" s="166"/>
      <c r="BH3" s="166"/>
      <c r="BI3" s="166"/>
      <c r="BJ3" s="166"/>
      <c r="BK3" s="166"/>
      <c r="BL3" s="166"/>
      <c r="BM3" s="166"/>
      <c r="BN3" s="166"/>
      <c r="BO3" s="166"/>
      <c r="BP3" s="166"/>
      <c r="BQ3" s="166"/>
      <c r="BR3" s="166"/>
      <c r="BS3" s="166"/>
      <c r="BT3" s="166"/>
      <c r="BU3" s="166"/>
      <c r="BV3" s="166"/>
    </row>
    <row r="4" spans="1:74" ht="28.8" x14ac:dyDescent="0.3">
      <c r="Z4" s="170" t="s">
        <v>120</v>
      </c>
      <c r="AA4" s="170"/>
      <c r="AG4" s="166"/>
      <c r="AH4" s="166"/>
      <c r="AJ4" s="169" t="s">
        <v>79</v>
      </c>
      <c r="AK4" s="340" t="s">
        <v>117</v>
      </c>
      <c r="AL4" s="340" t="s">
        <v>118</v>
      </c>
      <c r="AM4" s="342" t="s">
        <v>356</v>
      </c>
      <c r="AN4"/>
      <c r="AP4" s="169" t="s">
        <v>79</v>
      </c>
      <c r="AQ4" s="538" t="s">
        <v>322</v>
      </c>
      <c r="AR4"/>
      <c r="AS4" s="166"/>
      <c r="AT4" s="316" t="s">
        <v>175</v>
      </c>
      <c r="AU4" t="s">
        <v>172</v>
      </c>
      <c r="AV4" t="s">
        <v>173</v>
      </c>
      <c r="AW4" t="s">
        <v>174</v>
      </c>
      <c r="AY4" s="507" t="s">
        <v>329</v>
      </c>
      <c r="AZ4" t="s">
        <v>327</v>
      </c>
      <c r="BA4" t="s">
        <v>328</v>
      </c>
      <c r="BB4" s="166"/>
      <c r="BC4" s="507" t="s">
        <v>329</v>
      </c>
      <c r="BD4" t="s">
        <v>327</v>
      </c>
      <c r="BE4" t="s">
        <v>328</v>
      </c>
      <c r="BF4" t="s">
        <v>333</v>
      </c>
      <c r="BG4" s="166"/>
      <c r="BH4" s="704" t="s">
        <v>79</v>
      </c>
      <c r="BI4" s="527" t="s">
        <v>322</v>
      </c>
      <c r="BJ4" s="538" t="s">
        <v>334</v>
      </c>
      <c r="BL4" s="166"/>
      <c r="BU4" s="166"/>
      <c r="BV4" s="166"/>
    </row>
    <row r="5" spans="1:74" ht="23.4" x14ac:dyDescent="0.3">
      <c r="AG5" s="166"/>
      <c r="AH5" s="166"/>
      <c r="AJ5" s="503">
        <v>1</v>
      </c>
      <c r="AK5" s="504">
        <v>0</v>
      </c>
      <c r="AL5" s="504">
        <v>0</v>
      </c>
      <c r="AM5" s="405">
        <v>5250</v>
      </c>
      <c r="AN5"/>
      <c r="AP5" s="503">
        <v>1</v>
      </c>
      <c r="AQ5" s="504">
        <v>0</v>
      </c>
      <c r="AR5"/>
      <c r="AS5" s="166"/>
      <c r="AT5" s="361">
        <v>1</v>
      </c>
      <c r="AU5" s="702">
        <v>0</v>
      </c>
      <c r="AV5" s="362">
        <v>1000</v>
      </c>
      <c r="AW5" s="73">
        <v>0</v>
      </c>
      <c r="AY5" s="361">
        <v>1</v>
      </c>
      <c r="AZ5" s="702">
        <v>0</v>
      </c>
      <c r="BA5" s="526">
        <v>0</v>
      </c>
      <c r="BB5" s="166"/>
      <c r="BC5" s="361">
        <v>1</v>
      </c>
      <c r="BD5" s="702">
        <v>0</v>
      </c>
      <c r="BE5" s="526">
        <v>0</v>
      </c>
      <c r="BF5" s="364">
        <v>0</v>
      </c>
      <c r="BG5" s="166"/>
      <c r="BH5" s="503">
        <v>1</v>
      </c>
      <c r="BI5" s="504">
        <v>0</v>
      </c>
      <c r="BJ5" s="703">
        <v>0</v>
      </c>
      <c r="BL5" s="166"/>
      <c r="BU5" s="166"/>
      <c r="BV5" s="166"/>
    </row>
    <row r="6" spans="1:74" ht="23.4" x14ac:dyDescent="0.3">
      <c r="Z6" s="609" t="s">
        <v>325</v>
      </c>
      <c r="AA6" s="609"/>
      <c r="AB6" s="609"/>
      <c r="AC6" s="609"/>
      <c r="AD6" s="609"/>
      <c r="AG6" s="166"/>
      <c r="AH6" s="166"/>
      <c r="AJ6" s="503">
        <v>2</v>
      </c>
      <c r="AK6" s="504">
        <v>815.16417910447763</v>
      </c>
      <c r="AL6" s="504">
        <v>2817.0889482935404</v>
      </c>
      <c r="AM6" s="405">
        <v>5250</v>
      </c>
      <c r="AN6"/>
      <c r="AP6" s="503">
        <v>2</v>
      </c>
      <c r="AQ6" s="504">
        <v>815.16417910447763</v>
      </c>
      <c r="AR6"/>
      <c r="AS6" s="166"/>
      <c r="AT6" s="361">
        <v>2</v>
      </c>
      <c r="AU6" s="702">
        <v>257.44900000000001</v>
      </c>
      <c r="AV6" s="362">
        <v>1000</v>
      </c>
      <c r="AW6" s="73">
        <v>91</v>
      </c>
      <c r="AY6" s="361">
        <v>2</v>
      </c>
      <c r="AZ6" s="702">
        <v>257.44900000000001</v>
      </c>
      <c r="BA6" s="526">
        <v>4.680890909090909</v>
      </c>
      <c r="BB6" s="166"/>
      <c r="BC6" s="361">
        <v>2</v>
      </c>
      <c r="BD6" s="702">
        <v>257.44900000000001</v>
      </c>
      <c r="BE6" s="526">
        <v>4.680890909090909</v>
      </c>
      <c r="BF6" s="364">
        <v>23427.859</v>
      </c>
      <c r="BG6" s="166"/>
      <c r="BH6" s="503">
        <v>2</v>
      </c>
      <c r="BI6" s="504">
        <v>815.16417910447763</v>
      </c>
      <c r="BJ6" s="504">
        <v>2296390</v>
      </c>
      <c r="BL6" s="166"/>
      <c r="BU6" s="166"/>
      <c r="BV6" s="166"/>
    </row>
    <row r="7" spans="1:74" ht="36" x14ac:dyDescent="0.3">
      <c r="Z7" s="523" t="s">
        <v>324</v>
      </c>
      <c r="AA7" s="523" t="s">
        <v>121</v>
      </c>
      <c r="AB7" s="523" t="s">
        <v>323</v>
      </c>
      <c r="AC7" s="523" t="s">
        <v>332</v>
      </c>
      <c r="AD7" s="523" t="s">
        <v>312</v>
      </c>
      <c r="AG7" s="166"/>
      <c r="AH7" s="166"/>
      <c r="AJ7" s="503">
        <v>3</v>
      </c>
      <c r="AK7" s="504">
        <v>268.38805970149258</v>
      </c>
      <c r="AL7" s="504">
        <v>4078.2645145145138</v>
      </c>
      <c r="AM7" s="405">
        <v>5250</v>
      </c>
      <c r="AN7"/>
      <c r="AP7" s="503">
        <v>3</v>
      </c>
      <c r="AQ7" s="504">
        <v>268.38805970149258</v>
      </c>
      <c r="AR7"/>
      <c r="AS7" s="166"/>
      <c r="AT7" s="361">
        <v>3</v>
      </c>
      <c r="AU7" s="702">
        <v>0</v>
      </c>
      <c r="AV7" s="362">
        <v>1000</v>
      </c>
      <c r="AW7" s="73">
        <v>0</v>
      </c>
      <c r="AY7" s="361">
        <v>3</v>
      </c>
      <c r="AZ7" s="702">
        <v>0</v>
      </c>
      <c r="BA7" s="526">
        <v>0</v>
      </c>
      <c r="BB7" s="166"/>
      <c r="BC7" s="361">
        <v>3</v>
      </c>
      <c r="BD7" s="702">
        <v>0</v>
      </c>
      <c r="BE7" s="526">
        <v>0</v>
      </c>
      <c r="BF7" s="364">
        <v>0</v>
      </c>
      <c r="BG7" s="166"/>
      <c r="BH7" s="503">
        <v>3</v>
      </c>
      <c r="BI7" s="504">
        <v>268.38805970149258</v>
      </c>
      <c r="BJ7" s="504">
        <v>1094557.5</v>
      </c>
      <c r="BL7" s="166"/>
      <c r="BU7" s="166"/>
      <c r="BV7" s="166"/>
    </row>
    <row r="8" spans="1:74" ht="23.4" x14ac:dyDescent="0.45">
      <c r="Z8" s="178">
        <f>GETPIVOTDATA("  CAUDAL TOTAL TRATADO GEM ",$AJ$4)</f>
        <v>29324.999999999996</v>
      </c>
      <c r="AA8" s="179">
        <f>AD8/Z8</f>
        <v>3042.8393009377669</v>
      </c>
      <c r="AB8" s="178">
        <f>Z8/80</f>
        <v>366.56249999999994</v>
      </c>
      <c r="AC8" s="524">
        <f>AD8/AB8</f>
        <v>243427.14407502135</v>
      </c>
      <c r="AD8" s="179">
        <f>GETPIVOTDATA("COSTO QUIMICA  GEM",$BH$4)</f>
        <v>89231262.5</v>
      </c>
      <c r="AG8" s="166"/>
      <c r="AH8" s="166"/>
      <c r="AJ8" s="503">
        <v>4</v>
      </c>
      <c r="AK8" s="504">
        <v>0</v>
      </c>
      <c r="AL8" s="504">
        <v>0</v>
      </c>
      <c r="AM8" s="405">
        <v>5250</v>
      </c>
      <c r="AN8"/>
      <c r="AP8" s="503">
        <v>4</v>
      </c>
      <c r="AQ8" s="504">
        <v>0</v>
      </c>
      <c r="AR8"/>
      <c r="AS8" s="166"/>
      <c r="AT8" s="361">
        <v>4</v>
      </c>
      <c r="AU8" s="702">
        <v>0</v>
      </c>
      <c r="AV8" s="362">
        <v>1000</v>
      </c>
      <c r="AW8" s="73">
        <v>0</v>
      </c>
      <c r="AY8" s="361">
        <v>4</v>
      </c>
      <c r="AZ8" s="702">
        <v>0</v>
      </c>
      <c r="BA8" s="526">
        <v>0</v>
      </c>
      <c r="BB8" s="166"/>
      <c r="BC8" s="361">
        <v>4</v>
      </c>
      <c r="BD8" s="702">
        <v>0</v>
      </c>
      <c r="BE8" s="526">
        <v>0</v>
      </c>
      <c r="BF8" s="364">
        <v>0</v>
      </c>
      <c r="BG8" s="166"/>
      <c r="BH8" s="503">
        <v>4</v>
      </c>
      <c r="BI8" s="504">
        <v>0</v>
      </c>
      <c r="BJ8" s="504">
        <v>0</v>
      </c>
      <c r="BL8" s="166"/>
      <c r="BU8" s="166"/>
      <c r="BV8" s="166"/>
    </row>
    <row r="9" spans="1:74" ht="23.4" x14ac:dyDescent="0.3">
      <c r="AG9" s="166"/>
      <c r="AH9" s="166"/>
      <c r="AJ9" s="503">
        <v>5</v>
      </c>
      <c r="AK9" s="504">
        <v>868.62686567164178</v>
      </c>
      <c r="AL9" s="504">
        <v>2136.8669026427024</v>
      </c>
      <c r="AM9" s="405">
        <v>5250</v>
      </c>
      <c r="AN9"/>
      <c r="AP9" s="503">
        <v>5</v>
      </c>
      <c r="AQ9" s="504">
        <v>868.62686567164178</v>
      </c>
      <c r="AR9"/>
      <c r="AS9" s="166"/>
      <c r="AT9" s="361">
        <v>5</v>
      </c>
      <c r="AU9" s="702">
        <v>278.22300000000001</v>
      </c>
      <c r="AV9" s="362">
        <v>1000</v>
      </c>
      <c r="AW9" s="73">
        <v>91</v>
      </c>
      <c r="AY9" s="361">
        <v>5</v>
      </c>
      <c r="AZ9" s="702">
        <v>278.22300000000001</v>
      </c>
      <c r="BA9" s="526">
        <v>5.0586000000000002</v>
      </c>
      <c r="BB9" s="166"/>
      <c r="BC9" s="361">
        <v>5</v>
      </c>
      <c r="BD9" s="702">
        <v>278.22300000000001</v>
      </c>
      <c r="BE9" s="526">
        <v>5.0586000000000002</v>
      </c>
      <c r="BF9" s="364">
        <v>25318.293000000001</v>
      </c>
      <c r="BG9" s="166"/>
      <c r="BH9" s="503">
        <v>5</v>
      </c>
      <c r="BI9" s="504">
        <v>868.62686567164178</v>
      </c>
      <c r="BJ9" s="504">
        <v>1856140</v>
      </c>
      <c r="BL9" s="166"/>
      <c r="BU9" s="166"/>
      <c r="BV9" s="166"/>
    </row>
    <row r="10" spans="1:74" ht="23.4" x14ac:dyDescent="0.3">
      <c r="AG10" s="166"/>
      <c r="AH10" s="166"/>
      <c r="AJ10" s="503">
        <v>6</v>
      </c>
      <c r="AK10" s="504">
        <v>1082.5522388059703</v>
      </c>
      <c r="AL10" s="504">
        <v>3938.7752822930879</v>
      </c>
      <c r="AM10" s="405">
        <v>5250</v>
      </c>
      <c r="AN10"/>
      <c r="AP10" s="503">
        <v>6</v>
      </c>
      <c r="AQ10" s="504">
        <v>1082.5522388059703</v>
      </c>
      <c r="AR10"/>
      <c r="AS10" s="166"/>
      <c r="AT10" s="361">
        <v>6</v>
      </c>
      <c r="AU10" s="702">
        <v>579.81899999999996</v>
      </c>
      <c r="AV10" s="362">
        <v>1000</v>
      </c>
      <c r="AW10" s="73">
        <v>139.02466637879704</v>
      </c>
      <c r="AY10" s="361">
        <v>6</v>
      </c>
      <c r="AZ10" s="702">
        <v>579.81899999999996</v>
      </c>
      <c r="BA10" s="526">
        <v>10.542163636363636</v>
      </c>
      <c r="BB10" s="166"/>
      <c r="BC10" s="361">
        <v>6</v>
      </c>
      <c r="BD10" s="702">
        <v>579.81899999999996</v>
      </c>
      <c r="BE10" s="526">
        <v>10.542163636363636</v>
      </c>
      <c r="BF10" s="364">
        <v>80609.143035087705</v>
      </c>
      <c r="BG10" s="166"/>
      <c r="BH10" s="503">
        <v>6</v>
      </c>
      <c r="BI10" s="504">
        <v>1082.5522388059703</v>
      </c>
      <c r="BJ10" s="504">
        <v>4263930</v>
      </c>
      <c r="BL10" s="166"/>
      <c r="BU10" s="166"/>
      <c r="BV10" s="166"/>
    </row>
    <row r="11" spans="1:74" ht="23.4" x14ac:dyDescent="0.3">
      <c r="AG11" s="166"/>
      <c r="AH11" s="166"/>
      <c r="AJ11" s="503">
        <v>7</v>
      </c>
      <c r="AK11" s="504">
        <v>875.62686567164178</v>
      </c>
      <c r="AL11" s="504">
        <v>5136.7941943511687</v>
      </c>
      <c r="AM11" s="405">
        <v>5250</v>
      </c>
      <c r="AN11"/>
      <c r="AP11" s="503">
        <v>7</v>
      </c>
      <c r="AQ11" s="504">
        <v>875.62686567164178</v>
      </c>
      <c r="AR11"/>
      <c r="AS11" s="166"/>
      <c r="AT11" s="361">
        <v>7</v>
      </c>
      <c r="AU11" s="702">
        <v>293.51900000000001</v>
      </c>
      <c r="AV11" s="362">
        <v>1000</v>
      </c>
      <c r="AW11" s="73">
        <v>539.15153662009277</v>
      </c>
      <c r="AY11" s="361">
        <v>7</v>
      </c>
      <c r="AZ11" s="702">
        <v>293.51900000000001</v>
      </c>
      <c r="BA11" s="526">
        <v>5.3367090909090908</v>
      </c>
      <c r="BB11" s="166"/>
      <c r="BC11" s="361">
        <v>7</v>
      </c>
      <c r="BD11" s="702">
        <v>293.51900000000001</v>
      </c>
      <c r="BE11" s="526">
        <v>5.3367090909090908</v>
      </c>
      <c r="BF11" s="364">
        <v>158251.21987719301</v>
      </c>
      <c r="BG11" s="166"/>
      <c r="BH11" s="503">
        <v>7</v>
      </c>
      <c r="BI11" s="504">
        <v>875.62686567164178</v>
      </c>
      <c r="BJ11" s="504">
        <v>4497915</v>
      </c>
      <c r="BL11" s="166"/>
      <c r="BU11" s="166"/>
      <c r="BV11" s="166"/>
    </row>
    <row r="12" spans="1:74" ht="23.4" x14ac:dyDescent="0.3">
      <c r="AG12" s="166"/>
      <c r="AH12" s="166"/>
      <c r="AJ12" s="503">
        <v>8</v>
      </c>
      <c r="AK12" s="504">
        <v>958.01492537313447</v>
      </c>
      <c r="AL12" s="504">
        <v>4336.5138579463128</v>
      </c>
      <c r="AM12" s="405">
        <v>5250</v>
      </c>
      <c r="AN12"/>
      <c r="AP12" s="503">
        <v>8</v>
      </c>
      <c r="AQ12" s="504">
        <v>958.01492537313447</v>
      </c>
      <c r="AR12"/>
      <c r="AS12" s="166"/>
      <c r="AT12" s="361">
        <v>8</v>
      </c>
      <c r="AU12" s="702">
        <v>560.61800000000005</v>
      </c>
      <c r="AV12" s="362">
        <v>1000</v>
      </c>
      <c r="AW12" s="73">
        <v>158.20983916683917</v>
      </c>
      <c r="AY12" s="361">
        <v>8</v>
      </c>
      <c r="AZ12" s="702">
        <v>560.61800000000005</v>
      </c>
      <c r="BA12" s="526">
        <v>10.193054545454546</v>
      </c>
      <c r="BB12" s="166"/>
      <c r="BC12" s="361">
        <v>8</v>
      </c>
      <c r="BD12" s="702">
        <v>560.61800000000005</v>
      </c>
      <c r="BE12" s="526">
        <v>10.193054545454546</v>
      </c>
      <c r="BF12" s="364">
        <v>88695.283614035056</v>
      </c>
      <c r="BG12" s="166"/>
      <c r="BH12" s="503">
        <v>8</v>
      </c>
      <c r="BI12" s="504">
        <v>958.01492537313447</v>
      </c>
      <c r="BJ12" s="504">
        <v>4154445</v>
      </c>
      <c r="BL12" s="166"/>
      <c r="BU12" s="166"/>
      <c r="BV12" s="166"/>
    </row>
    <row r="13" spans="1:74" ht="23.4" x14ac:dyDescent="0.3">
      <c r="AG13" s="166"/>
      <c r="AH13" s="166"/>
      <c r="AJ13" s="503">
        <v>9</v>
      </c>
      <c r="AK13" s="504">
        <v>974.55223880597021</v>
      </c>
      <c r="AL13" s="504">
        <v>4332.8641932766668</v>
      </c>
      <c r="AM13" s="405">
        <v>5250</v>
      </c>
      <c r="AN13"/>
      <c r="AP13" s="503">
        <v>9</v>
      </c>
      <c r="AQ13" s="504">
        <v>974.55223880597021</v>
      </c>
      <c r="AR13"/>
      <c r="AS13" s="166"/>
      <c r="AT13" s="361">
        <v>9</v>
      </c>
      <c r="AU13" s="702">
        <v>346.26900000000001</v>
      </c>
      <c r="AV13" s="362">
        <v>1000</v>
      </c>
      <c r="AW13" s="73">
        <v>1512.4814534466234</v>
      </c>
      <c r="AY13" s="361">
        <v>9</v>
      </c>
      <c r="AZ13" s="702">
        <v>346.26900000000001</v>
      </c>
      <c r="BA13" s="526">
        <v>6.2957999999999998</v>
      </c>
      <c r="BB13" s="166"/>
      <c r="BC13" s="361">
        <v>9</v>
      </c>
      <c r="BD13" s="702">
        <v>346.26900000000001</v>
      </c>
      <c r="BE13" s="526">
        <v>6.2957999999999998</v>
      </c>
      <c r="BF13" s="364">
        <v>523725.44040350884</v>
      </c>
      <c r="BG13" s="166"/>
      <c r="BH13" s="503">
        <v>9</v>
      </c>
      <c r="BI13" s="504">
        <v>974.55223880597021</v>
      </c>
      <c r="BJ13" s="504">
        <v>4222602.5</v>
      </c>
      <c r="BL13" s="166"/>
      <c r="BU13" s="166"/>
      <c r="BV13" s="166"/>
    </row>
    <row r="14" spans="1:74" ht="23.4" x14ac:dyDescent="0.3">
      <c r="AG14" s="166"/>
      <c r="AH14" s="166"/>
      <c r="AJ14" s="503">
        <v>10</v>
      </c>
      <c r="AK14" s="504">
        <v>594.23880597014931</v>
      </c>
      <c r="AL14" s="504">
        <v>2512.3906163661022</v>
      </c>
      <c r="AM14" s="405">
        <v>5250</v>
      </c>
      <c r="AN14"/>
      <c r="AP14" s="503">
        <v>10</v>
      </c>
      <c r="AQ14" s="504">
        <v>594.23880597014931</v>
      </c>
      <c r="AR14"/>
      <c r="AS14" s="166"/>
      <c r="AT14" s="361">
        <v>10</v>
      </c>
      <c r="AU14" s="702">
        <v>256.66700000000003</v>
      </c>
      <c r="AV14" s="362">
        <v>1000</v>
      </c>
      <c r="AW14" s="73">
        <v>129.31202133093603</v>
      </c>
      <c r="AY14" s="361">
        <v>10</v>
      </c>
      <c r="AZ14" s="702">
        <v>256.66700000000003</v>
      </c>
      <c r="BA14" s="526">
        <v>4.6666727272727275</v>
      </c>
      <c r="BB14" s="166"/>
      <c r="BC14" s="361">
        <v>10</v>
      </c>
      <c r="BD14" s="702">
        <v>256.66700000000003</v>
      </c>
      <c r="BE14" s="526">
        <v>4.6666727272727275</v>
      </c>
      <c r="BF14" s="364">
        <v>33190.128578947362</v>
      </c>
      <c r="BG14" s="166"/>
      <c r="BH14" s="503">
        <v>10</v>
      </c>
      <c r="BI14" s="504">
        <v>594.23880597014931</v>
      </c>
      <c r="BJ14" s="504">
        <v>1492960</v>
      </c>
      <c r="BL14" s="166"/>
      <c r="BU14" s="166"/>
      <c r="BV14" s="166"/>
    </row>
    <row r="15" spans="1:74" ht="23.4" x14ac:dyDescent="0.3">
      <c r="AG15" s="166"/>
      <c r="AH15" s="166"/>
      <c r="AJ15" s="503">
        <v>11</v>
      </c>
      <c r="AK15" s="504">
        <v>0</v>
      </c>
      <c r="AL15" s="504">
        <v>0</v>
      </c>
      <c r="AM15" s="405">
        <v>5250</v>
      </c>
      <c r="AN15"/>
      <c r="AP15" s="503">
        <v>11</v>
      </c>
      <c r="AQ15" s="504">
        <v>0</v>
      </c>
      <c r="AR15"/>
      <c r="AS15" s="166"/>
      <c r="AT15" s="361">
        <v>11</v>
      </c>
      <c r="AU15" s="702">
        <v>0</v>
      </c>
      <c r="AV15" s="362">
        <v>1000</v>
      </c>
      <c r="AW15" s="73">
        <v>0</v>
      </c>
      <c r="AY15" s="361">
        <v>11</v>
      </c>
      <c r="AZ15" s="702">
        <v>0</v>
      </c>
      <c r="BA15" s="526">
        <v>0</v>
      </c>
      <c r="BB15" s="166"/>
      <c r="BC15" s="361">
        <v>11</v>
      </c>
      <c r="BD15" s="702">
        <v>0</v>
      </c>
      <c r="BE15" s="526">
        <v>0</v>
      </c>
      <c r="BF15" s="364">
        <v>105709.3894736842</v>
      </c>
      <c r="BG15" s="166"/>
      <c r="BH15" s="705">
        <v>11</v>
      </c>
      <c r="BI15" s="504">
        <v>0</v>
      </c>
      <c r="BJ15" s="504">
        <v>0</v>
      </c>
      <c r="BL15" s="166"/>
      <c r="BU15" s="166"/>
      <c r="BV15" s="166"/>
    </row>
    <row r="16" spans="1:74" ht="23.4" x14ac:dyDescent="0.3">
      <c r="AG16" s="166"/>
      <c r="AH16" s="166"/>
      <c r="AJ16" s="503">
        <v>12</v>
      </c>
      <c r="AK16" s="504">
        <v>0</v>
      </c>
      <c r="AL16" s="504">
        <v>0</v>
      </c>
      <c r="AM16" s="405">
        <v>5250</v>
      </c>
      <c r="AN16"/>
      <c r="AP16" s="503">
        <v>12</v>
      </c>
      <c r="AQ16" s="504">
        <v>0</v>
      </c>
      <c r="AR16"/>
      <c r="AS16" s="166"/>
      <c r="AT16" s="361">
        <v>12</v>
      </c>
      <c r="AU16" s="702">
        <v>0</v>
      </c>
      <c r="AV16" s="362">
        <v>1000</v>
      </c>
      <c r="AW16" s="73">
        <v>0</v>
      </c>
      <c r="AY16" s="361">
        <v>12</v>
      </c>
      <c r="AZ16" s="702">
        <v>0</v>
      </c>
      <c r="BA16" s="526">
        <v>0</v>
      </c>
      <c r="BB16" s="166"/>
      <c r="BC16" s="361">
        <v>12</v>
      </c>
      <c r="BD16" s="702">
        <v>0</v>
      </c>
      <c r="BE16" s="526">
        <v>0</v>
      </c>
      <c r="BF16" s="364">
        <v>40151.58400000001</v>
      </c>
      <c r="BG16" s="166"/>
      <c r="BH16" s="503">
        <v>12</v>
      </c>
      <c r="BI16" s="504">
        <v>0</v>
      </c>
      <c r="BJ16" s="504">
        <v>0</v>
      </c>
      <c r="BL16" s="166"/>
      <c r="BU16" s="166"/>
      <c r="BV16" s="166"/>
    </row>
    <row r="17" spans="1:74" ht="23.4" x14ac:dyDescent="0.3">
      <c r="AG17" s="166"/>
      <c r="AH17" s="166"/>
      <c r="AJ17" s="503">
        <v>13</v>
      </c>
      <c r="AK17" s="504">
        <v>1479.8656716417913</v>
      </c>
      <c r="AL17" s="504">
        <v>3519.9174491432254</v>
      </c>
      <c r="AM17" s="405">
        <v>5250</v>
      </c>
      <c r="AN17"/>
      <c r="AP17" s="503">
        <v>13</v>
      </c>
      <c r="AQ17" s="504">
        <v>1479.8656716417913</v>
      </c>
      <c r="AR17"/>
      <c r="AS17" s="166"/>
      <c r="AT17" s="361">
        <v>13</v>
      </c>
      <c r="AU17" s="702">
        <v>153.40199999999999</v>
      </c>
      <c r="AV17" s="362">
        <v>1000</v>
      </c>
      <c r="AW17" s="73">
        <v>945.28690172387246</v>
      </c>
      <c r="AY17" s="361">
        <v>13</v>
      </c>
      <c r="AZ17" s="702">
        <v>153.40199999999999</v>
      </c>
      <c r="BA17" s="526">
        <v>2.7891272727272725</v>
      </c>
      <c r="BB17" s="166"/>
      <c r="BC17" s="361">
        <v>13</v>
      </c>
      <c r="BD17" s="702">
        <v>153.40199999999999</v>
      </c>
      <c r="BE17" s="526">
        <v>2.7891272727272725</v>
      </c>
      <c r="BF17" s="364">
        <v>145008.90129824547</v>
      </c>
      <c r="BG17" s="166"/>
      <c r="BH17" s="503">
        <v>13</v>
      </c>
      <c r="BI17" s="504">
        <v>1479.8656716417913</v>
      </c>
      <c r="BJ17" s="504">
        <v>5209005</v>
      </c>
      <c r="BL17" s="166"/>
      <c r="BU17" s="166"/>
      <c r="BV17" s="166"/>
    </row>
    <row r="18" spans="1:74" ht="23.4" x14ac:dyDescent="0.3">
      <c r="AG18" s="166"/>
      <c r="AH18" s="166"/>
      <c r="AJ18" s="503">
        <v>14</v>
      </c>
      <c r="AK18" s="504">
        <v>1769.2537313432838</v>
      </c>
      <c r="AL18" s="504">
        <v>3445.0019191833976</v>
      </c>
      <c r="AM18" s="405">
        <v>5250</v>
      </c>
      <c r="AN18"/>
      <c r="AO18" s="166"/>
      <c r="AP18" s="503">
        <v>14</v>
      </c>
      <c r="AQ18" s="504">
        <v>1769.2537313432838</v>
      </c>
      <c r="AR18"/>
      <c r="AS18" s="166"/>
      <c r="AT18" s="361">
        <v>14</v>
      </c>
      <c r="AU18" s="702">
        <v>933.47800000000007</v>
      </c>
      <c r="AV18" s="362">
        <v>1000</v>
      </c>
      <c r="AW18" s="73">
        <v>332.63944814117724</v>
      </c>
      <c r="AY18" s="361">
        <v>14</v>
      </c>
      <c r="AZ18" s="702">
        <v>933.47800000000007</v>
      </c>
      <c r="BA18" s="526">
        <v>16.972327272727274</v>
      </c>
      <c r="BB18" s="166"/>
      <c r="BC18" s="361">
        <v>14</v>
      </c>
      <c r="BD18" s="702">
        <v>933.47800000000007</v>
      </c>
      <c r="BE18" s="526">
        <v>16.972327272727274</v>
      </c>
      <c r="BF18" s="364">
        <v>310511.60677192989</v>
      </c>
      <c r="BG18" s="166"/>
      <c r="BH18" s="503">
        <v>14</v>
      </c>
      <c r="BI18" s="504">
        <v>1769.2537313432838</v>
      </c>
      <c r="BJ18" s="504">
        <v>6095082.5</v>
      </c>
      <c r="BL18" s="166"/>
      <c r="BT18" s="166"/>
      <c r="BU18" s="166"/>
      <c r="BV18" s="166"/>
    </row>
    <row r="19" spans="1:74" ht="25.8" x14ac:dyDescent="0.5">
      <c r="A19" s="608" t="s">
        <v>179</v>
      </c>
      <c r="B19" s="608"/>
      <c r="C19" s="525"/>
      <c r="D19" s="525"/>
      <c r="E19" s="525"/>
      <c r="F19" s="525"/>
      <c r="G19" s="525"/>
      <c r="H19" s="525"/>
      <c r="I19" s="525"/>
      <c r="J19" s="525"/>
      <c r="K19" s="525"/>
      <c r="L19" s="525"/>
      <c r="M19" s="525"/>
      <c r="N19" s="525"/>
      <c r="O19" s="525"/>
      <c r="P19" s="525"/>
      <c r="Q19" s="525"/>
      <c r="R19" s="525"/>
      <c r="S19" s="525"/>
      <c r="T19" s="525"/>
      <c r="U19" s="525"/>
      <c r="V19" s="525"/>
      <c r="W19" s="525"/>
      <c r="AG19" s="166"/>
      <c r="AH19" s="166"/>
      <c r="AJ19" s="503">
        <v>15</v>
      </c>
      <c r="AK19" s="504">
        <v>1769.2537313432838</v>
      </c>
      <c r="AL19" s="504">
        <v>2354.6862873291711</v>
      </c>
      <c r="AM19" s="405">
        <v>5250</v>
      </c>
      <c r="AN19"/>
      <c r="AO19" s="166"/>
      <c r="AP19" s="503">
        <v>15</v>
      </c>
      <c r="AQ19" s="504">
        <v>1769.2537313432838</v>
      </c>
      <c r="AR19"/>
      <c r="AS19" s="166"/>
      <c r="AT19" s="361">
        <v>15</v>
      </c>
      <c r="AU19" s="702">
        <v>1344.463</v>
      </c>
      <c r="AV19" s="362">
        <v>1000</v>
      </c>
      <c r="AW19" s="73">
        <v>234.16839028576615</v>
      </c>
      <c r="AY19" s="361">
        <v>15</v>
      </c>
      <c r="AZ19" s="702">
        <v>1344.463</v>
      </c>
      <c r="BA19" s="526">
        <v>24.44478181818182</v>
      </c>
      <c r="BB19" s="166"/>
      <c r="BC19" s="361">
        <v>15</v>
      </c>
      <c r="BD19" s="702">
        <v>1344.463</v>
      </c>
      <c r="BE19" s="526">
        <v>24.44478181818182</v>
      </c>
      <c r="BF19" s="364">
        <v>314830.73650877201</v>
      </c>
      <c r="BG19" s="166"/>
      <c r="BH19" s="503">
        <v>15</v>
      </c>
      <c r="BI19" s="504">
        <v>1769.2537313432838</v>
      </c>
      <c r="BJ19" s="504">
        <v>4166037.5</v>
      </c>
      <c r="BL19" s="166"/>
      <c r="BT19" s="166"/>
      <c r="BU19" s="166"/>
      <c r="BV19" s="166"/>
    </row>
    <row r="20" spans="1:74" ht="23.4" x14ac:dyDescent="0.3">
      <c r="AG20" s="166"/>
      <c r="AH20" s="166"/>
      <c r="AJ20" s="503">
        <v>16</v>
      </c>
      <c r="AK20" s="504">
        <v>1431.4029850746269</v>
      </c>
      <c r="AL20" s="504">
        <v>3111.040389347681</v>
      </c>
      <c r="AM20" s="405">
        <v>5250</v>
      </c>
      <c r="AN20"/>
      <c r="AO20" s="166"/>
      <c r="AP20" s="503">
        <v>16</v>
      </c>
      <c r="AQ20" s="504">
        <v>1431.4029850746269</v>
      </c>
      <c r="AR20"/>
      <c r="AS20" s="166"/>
      <c r="AT20" s="361">
        <v>16</v>
      </c>
      <c r="AU20" s="702">
        <v>841.25300000000004</v>
      </c>
      <c r="AV20" s="362">
        <v>1000</v>
      </c>
      <c r="AW20" s="73">
        <v>213.67855836847883</v>
      </c>
      <c r="AY20" s="361">
        <v>16</v>
      </c>
      <c r="AZ20" s="702">
        <v>841.25300000000004</v>
      </c>
      <c r="BA20" s="526">
        <v>15.295509090909091</v>
      </c>
      <c r="BB20" s="166"/>
      <c r="BC20" s="361">
        <v>16</v>
      </c>
      <c r="BD20" s="702">
        <v>841.25300000000004</v>
      </c>
      <c r="BE20" s="526">
        <v>15.295509090909091</v>
      </c>
      <c r="BF20" s="364">
        <v>179757.72826315794</v>
      </c>
      <c r="BG20" s="166"/>
      <c r="BH20" s="503">
        <v>16</v>
      </c>
      <c r="BI20" s="504">
        <v>1431.4029850746269</v>
      </c>
      <c r="BJ20" s="504">
        <v>4453152.5</v>
      </c>
      <c r="BL20" s="166"/>
      <c r="BT20" s="166"/>
      <c r="BU20" s="166"/>
      <c r="BV20" s="166"/>
    </row>
    <row r="21" spans="1:74" ht="23.4" x14ac:dyDescent="0.3">
      <c r="Z21" s="170" t="s">
        <v>180</v>
      </c>
      <c r="AA21" s="170"/>
      <c r="AG21" s="166"/>
      <c r="AH21" s="166"/>
      <c r="AJ21" s="503">
        <v>17</v>
      </c>
      <c r="AK21" s="504">
        <v>1222.4776119402986</v>
      </c>
      <c r="AL21" s="504">
        <v>1315.1038385466265</v>
      </c>
      <c r="AM21" s="405">
        <v>5250</v>
      </c>
      <c r="AN21"/>
      <c r="AO21" s="166"/>
      <c r="AP21" s="503">
        <v>17</v>
      </c>
      <c r="AQ21" s="504">
        <v>1222.4776119402986</v>
      </c>
      <c r="AR21"/>
      <c r="AS21" s="166"/>
      <c r="AT21" s="361">
        <v>17</v>
      </c>
      <c r="AU21" s="702">
        <v>463.25599999999997</v>
      </c>
      <c r="AV21" s="362">
        <v>1000</v>
      </c>
      <c r="AW21" s="73">
        <v>221.83034835954436</v>
      </c>
      <c r="AY21" s="361">
        <v>17</v>
      </c>
      <c r="AZ21" s="702">
        <v>463.25599999999997</v>
      </c>
      <c r="BA21" s="526">
        <v>8.4228363636363639</v>
      </c>
      <c r="BB21" s="166"/>
      <c r="BC21" s="361">
        <v>17</v>
      </c>
      <c r="BD21" s="702">
        <v>463.25599999999997</v>
      </c>
      <c r="BE21" s="526">
        <v>8.4228363636363639</v>
      </c>
      <c r="BF21" s="364">
        <v>102764.23985964908</v>
      </c>
      <c r="BG21" s="166"/>
      <c r="BH21" s="503">
        <v>17</v>
      </c>
      <c r="BI21" s="504">
        <v>1222.4776119402986</v>
      </c>
      <c r="BJ21" s="504">
        <v>1607685</v>
      </c>
      <c r="BL21" s="166"/>
      <c r="BT21" s="166"/>
      <c r="BU21" s="166"/>
      <c r="BV21" s="166"/>
    </row>
    <row r="22" spans="1:74" ht="23.4" x14ac:dyDescent="0.3">
      <c r="AG22" s="166"/>
      <c r="AH22" s="166"/>
      <c r="AJ22" s="503">
        <v>18</v>
      </c>
      <c r="AK22" s="504">
        <v>0</v>
      </c>
      <c r="AL22" s="504">
        <v>0</v>
      </c>
      <c r="AM22" s="405">
        <v>5250</v>
      </c>
      <c r="AN22"/>
      <c r="AO22" s="166"/>
      <c r="AP22" s="503">
        <v>18</v>
      </c>
      <c r="AQ22" s="504">
        <v>0</v>
      </c>
      <c r="AR22"/>
      <c r="AS22" s="166"/>
      <c r="AT22" s="361">
        <v>18</v>
      </c>
      <c r="AU22" s="702">
        <v>0</v>
      </c>
      <c r="AV22" s="362">
        <v>1000</v>
      </c>
      <c r="AW22" s="73">
        <v>0</v>
      </c>
      <c r="AY22" s="361">
        <v>18</v>
      </c>
      <c r="AZ22" s="702">
        <v>0</v>
      </c>
      <c r="BA22" s="526">
        <v>0</v>
      </c>
      <c r="BB22" s="166"/>
      <c r="BC22" s="361">
        <v>18</v>
      </c>
      <c r="BD22" s="702">
        <v>0</v>
      </c>
      <c r="BE22" s="526">
        <v>0</v>
      </c>
      <c r="BF22" s="364">
        <v>4916.7157894736847</v>
      </c>
      <c r="BG22" s="166"/>
      <c r="BH22" s="503">
        <v>18</v>
      </c>
      <c r="BI22" s="504">
        <v>0</v>
      </c>
      <c r="BJ22" s="504">
        <v>0</v>
      </c>
      <c r="BL22" s="166"/>
      <c r="BT22" s="166"/>
      <c r="BU22" s="166"/>
      <c r="BV22" s="166"/>
    </row>
    <row r="23" spans="1:74" ht="23.4" x14ac:dyDescent="0.3">
      <c r="Z23" s="609" t="s">
        <v>326</v>
      </c>
      <c r="AA23" s="609"/>
      <c r="AB23" s="609"/>
      <c r="AC23" s="609"/>
      <c r="AD23" s="609"/>
      <c r="AG23" s="166"/>
      <c r="AH23" s="166"/>
      <c r="AJ23" s="503">
        <v>19</v>
      </c>
      <c r="AK23" s="504">
        <v>1857.7164179104479</v>
      </c>
      <c r="AL23" s="504">
        <v>2724.2115379980232</v>
      </c>
      <c r="AM23" s="405">
        <v>5250</v>
      </c>
      <c r="AN23"/>
      <c r="AO23" s="166"/>
      <c r="AP23" s="503">
        <v>19</v>
      </c>
      <c r="AQ23" s="504">
        <v>1857.7164179104479</v>
      </c>
      <c r="AR23"/>
      <c r="AS23" s="166"/>
      <c r="AT23" s="361">
        <v>19</v>
      </c>
      <c r="AU23" s="702">
        <v>257.33499999999998</v>
      </c>
      <c r="AV23" s="362">
        <v>1000</v>
      </c>
      <c r="AW23" s="73">
        <v>91.000000000000014</v>
      </c>
      <c r="AY23" s="361">
        <v>19</v>
      </c>
      <c r="AZ23" s="702">
        <v>257.33499999999998</v>
      </c>
      <c r="BA23" s="526">
        <v>4.6788181818181815</v>
      </c>
      <c r="BB23" s="166"/>
      <c r="BC23" s="361">
        <v>19</v>
      </c>
      <c r="BD23" s="702">
        <v>257.33499999999998</v>
      </c>
      <c r="BE23" s="526">
        <v>4.6788181818181815</v>
      </c>
      <c r="BF23" s="364">
        <v>23417.485000000001</v>
      </c>
      <c r="BG23" s="166"/>
      <c r="BH23" s="503">
        <v>19</v>
      </c>
      <c r="BI23" s="504">
        <v>1857.7164179104479</v>
      </c>
      <c r="BJ23" s="504">
        <v>5060812.5</v>
      </c>
      <c r="BL23" s="166"/>
      <c r="BT23" s="166"/>
      <c r="BU23" s="166"/>
      <c r="BV23" s="166"/>
    </row>
    <row r="24" spans="1:74" ht="36" x14ac:dyDescent="0.3">
      <c r="Z24" s="523" t="s">
        <v>181</v>
      </c>
      <c r="AA24" s="523" t="s">
        <v>121</v>
      </c>
      <c r="AB24" s="523" t="s">
        <v>323</v>
      </c>
      <c r="AC24" s="523" t="s">
        <v>331</v>
      </c>
      <c r="AD24" s="523" t="s">
        <v>312</v>
      </c>
      <c r="AG24" s="166"/>
      <c r="AH24" s="166"/>
      <c r="AJ24" s="503">
        <v>20</v>
      </c>
      <c r="AK24" s="504">
        <v>1592.3283582089555</v>
      </c>
      <c r="AL24" s="504">
        <v>2348.2593779877393</v>
      </c>
      <c r="AM24" s="405">
        <v>5250</v>
      </c>
      <c r="AN24"/>
      <c r="AO24" s="166"/>
      <c r="AP24" s="503">
        <v>20</v>
      </c>
      <c r="AQ24" s="504">
        <v>1592.3283582089555</v>
      </c>
      <c r="AR24"/>
      <c r="AS24" s="166"/>
      <c r="AT24" s="361">
        <v>20</v>
      </c>
      <c r="AU24" s="702">
        <v>596.75</v>
      </c>
      <c r="AV24" s="362">
        <v>1000</v>
      </c>
      <c r="AW24" s="73">
        <v>91</v>
      </c>
      <c r="AY24" s="361">
        <v>20</v>
      </c>
      <c r="AZ24" s="702">
        <v>596.75</v>
      </c>
      <c r="BA24" s="526">
        <v>10.85</v>
      </c>
      <c r="BB24" s="166"/>
      <c r="BC24" s="361">
        <v>20</v>
      </c>
      <c r="BD24" s="702">
        <v>596.75</v>
      </c>
      <c r="BE24" s="526">
        <v>10.85</v>
      </c>
      <c r="BF24" s="364">
        <v>54304.25</v>
      </c>
      <c r="BG24" s="166"/>
      <c r="BH24" s="503">
        <v>20</v>
      </c>
      <c r="BI24" s="504">
        <v>1592.3283582089555</v>
      </c>
      <c r="BJ24" s="504">
        <v>3739200</v>
      </c>
      <c r="BL24" s="166"/>
      <c r="BT24" s="166"/>
      <c r="BU24" s="166"/>
      <c r="BV24" s="166"/>
    </row>
    <row r="25" spans="1:74" ht="22.2" x14ac:dyDescent="0.45">
      <c r="Z25" s="178">
        <f>+GETPIVOTDATA(" VOLUMEN ENVIADO A RO (m3)",$AT$4)</f>
        <v>14633.578999999998</v>
      </c>
      <c r="AA25" s="372">
        <f>+AD25/Z25</f>
        <v>200.64992463745992</v>
      </c>
      <c r="AB25" s="528">
        <f>GETPIVOTDATA("TIEMPO DE OPERACIÓN",$AY$4)</f>
        <v>257.4234091287401</v>
      </c>
      <c r="AC25" s="524">
        <f>AD25/AB25</f>
        <v>11406.214118071439</v>
      </c>
      <c r="AD25" s="524">
        <f>GETPIVOTDATA("COSTO QUIMICA  ",$BC$4)</f>
        <v>2936226.5235263156</v>
      </c>
      <c r="AG25" s="166"/>
      <c r="AH25" s="166"/>
      <c r="AJ25" s="503">
        <v>21</v>
      </c>
      <c r="AK25" s="504">
        <v>1592.3283582089553</v>
      </c>
      <c r="AL25" s="504">
        <v>2707.1913137618808</v>
      </c>
      <c r="AM25" s="405">
        <v>5250</v>
      </c>
      <c r="AN25"/>
      <c r="AO25" s="166"/>
      <c r="AP25" s="503">
        <v>21</v>
      </c>
      <c r="AQ25" s="504">
        <v>1592.3283582089553</v>
      </c>
      <c r="AR25"/>
      <c r="AT25" s="361">
        <v>21</v>
      </c>
      <c r="AU25" s="702">
        <v>907.61500000000001</v>
      </c>
      <c r="AV25" s="362">
        <v>1000</v>
      </c>
      <c r="AW25" s="73">
        <v>137.01997658988844</v>
      </c>
      <c r="AY25" s="361">
        <v>21</v>
      </c>
      <c r="AZ25" s="702">
        <v>907.61500000000001</v>
      </c>
      <c r="BA25" s="526">
        <v>16.502090909090906</v>
      </c>
      <c r="BB25" s="166"/>
      <c r="BC25" s="361">
        <v>21</v>
      </c>
      <c r="BD25" s="702">
        <v>907.61500000000001</v>
      </c>
      <c r="BE25" s="526">
        <v>16.502090909090906</v>
      </c>
      <c r="BF25" s="364">
        <v>124361.38605263161</v>
      </c>
      <c r="BG25" s="166"/>
      <c r="BH25" s="503">
        <v>21</v>
      </c>
      <c r="BI25" s="504">
        <v>1592.3283582089553</v>
      </c>
      <c r="BJ25" s="504">
        <v>4310737.5</v>
      </c>
      <c r="BL25" s="166"/>
      <c r="BT25" s="166"/>
      <c r="BU25" s="166"/>
      <c r="BV25" s="166"/>
    </row>
    <row r="26" spans="1:74" x14ac:dyDescent="0.3">
      <c r="AG26" s="166"/>
      <c r="AH26" s="166"/>
      <c r="AJ26" s="503">
        <v>22</v>
      </c>
      <c r="AK26" s="504">
        <v>1592.3283582089555</v>
      </c>
      <c r="AL26" s="504">
        <v>3492.4580544776254</v>
      </c>
      <c r="AM26" s="405">
        <v>5250</v>
      </c>
      <c r="AN26"/>
      <c r="AO26" s="166"/>
      <c r="AP26" s="503">
        <v>22</v>
      </c>
      <c r="AQ26" s="504">
        <v>1592.3283582089555</v>
      </c>
      <c r="AR26"/>
      <c r="AT26" s="361">
        <v>22</v>
      </c>
      <c r="AU26" s="702">
        <v>878.96100000000001</v>
      </c>
      <c r="AV26" s="362">
        <v>1000</v>
      </c>
      <c r="AW26" s="73">
        <v>91</v>
      </c>
      <c r="AY26" s="361">
        <v>22</v>
      </c>
      <c r="AZ26" s="702">
        <v>878.96100000000001</v>
      </c>
      <c r="BA26" s="526">
        <v>15.981109090909092</v>
      </c>
      <c r="BB26" s="166"/>
      <c r="BC26" s="361">
        <v>22</v>
      </c>
      <c r="BD26" s="702">
        <v>878.96100000000001</v>
      </c>
      <c r="BE26" s="526">
        <v>15.981109090909092</v>
      </c>
      <c r="BF26" s="364">
        <v>79985.451000000001</v>
      </c>
      <c r="BG26" s="166"/>
      <c r="BH26" s="503">
        <v>22</v>
      </c>
      <c r="BI26" s="504">
        <v>1592.3283582089555</v>
      </c>
      <c r="BJ26" s="504">
        <v>5561140</v>
      </c>
    </row>
    <row r="27" spans="1:74" x14ac:dyDescent="0.3">
      <c r="AG27" s="166"/>
      <c r="AH27" s="166"/>
      <c r="AJ27" s="503">
        <v>23</v>
      </c>
      <c r="AK27" s="504">
        <v>973.08955223880616</v>
      </c>
      <c r="AL27" s="504">
        <v>4211.4751829071884</v>
      </c>
      <c r="AM27" s="405">
        <v>5250</v>
      </c>
      <c r="AN27"/>
      <c r="AO27" s="166"/>
      <c r="AP27" s="503">
        <v>23</v>
      </c>
      <c r="AQ27" s="504">
        <v>973.08955223880616</v>
      </c>
      <c r="AR27"/>
      <c r="AT27" s="361">
        <v>23</v>
      </c>
      <c r="AU27" s="702">
        <v>576.23099999999999</v>
      </c>
      <c r="AV27" s="362">
        <v>1000</v>
      </c>
      <c r="AW27" s="73">
        <v>91.000000000000014</v>
      </c>
      <c r="AY27" s="361">
        <v>23</v>
      </c>
      <c r="AZ27" s="702">
        <v>576.23099999999999</v>
      </c>
      <c r="BA27" s="526">
        <v>10.476927272727274</v>
      </c>
      <c r="BB27" s="166"/>
      <c r="BC27" s="361">
        <v>23</v>
      </c>
      <c r="BD27" s="702">
        <v>576.23099999999999</v>
      </c>
      <c r="BE27" s="526">
        <v>10.476927272727274</v>
      </c>
      <c r="BF27" s="364">
        <v>52437.021000000008</v>
      </c>
      <c r="BG27" s="166"/>
      <c r="BH27" s="503">
        <v>23</v>
      </c>
      <c r="BI27" s="504">
        <v>973.08955223880616</v>
      </c>
      <c r="BJ27" s="504">
        <v>4098142.5</v>
      </c>
    </row>
    <row r="28" spans="1:74" ht="21" x14ac:dyDescent="0.3">
      <c r="C28" s="170"/>
      <c r="AC28" s="529"/>
      <c r="AD28" s="529"/>
      <c r="AE28" s="529"/>
      <c r="AG28" s="166"/>
      <c r="AH28" s="166"/>
      <c r="AJ28" s="503">
        <v>24</v>
      </c>
      <c r="AK28" s="504">
        <v>796.16417910447763</v>
      </c>
      <c r="AL28" s="504">
        <v>1418.0429484655906</v>
      </c>
      <c r="AM28" s="405">
        <v>5250</v>
      </c>
      <c r="AN28"/>
      <c r="AO28" s="166"/>
      <c r="AP28" s="503">
        <v>24</v>
      </c>
      <c r="AQ28" s="504">
        <v>796.16417910447763</v>
      </c>
      <c r="AR28"/>
      <c r="AT28" s="361">
        <v>24</v>
      </c>
      <c r="AU28" s="702">
        <v>0</v>
      </c>
      <c r="AV28" s="362">
        <v>1000</v>
      </c>
      <c r="AW28" s="73">
        <v>0</v>
      </c>
      <c r="AY28" s="361">
        <v>24</v>
      </c>
      <c r="AZ28" s="702">
        <v>0</v>
      </c>
      <c r="BA28" s="526">
        <v>0</v>
      </c>
      <c r="BB28" s="166"/>
      <c r="BC28" s="361">
        <v>24</v>
      </c>
      <c r="BD28" s="702">
        <v>0</v>
      </c>
      <c r="BE28" s="526">
        <v>0</v>
      </c>
      <c r="BF28" s="364">
        <v>0</v>
      </c>
      <c r="BG28" s="166"/>
      <c r="BH28" s="503">
        <v>24</v>
      </c>
      <c r="BI28" s="504">
        <v>796.16417910447763</v>
      </c>
      <c r="BJ28" s="504">
        <v>1128995</v>
      </c>
    </row>
    <row r="29" spans="1:74" x14ac:dyDescent="0.3">
      <c r="AG29" s="166"/>
      <c r="AH29" s="166"/>
      <c r="AJ29" s="503">
        <v>25</v>
      </c>
      <c r="AK29" s="504">
        <v>0</v>
      </c>
      <c r="AL29" s="504">
        <v>0</v>
      </c>
      <c r="AM29" s="405">
        <v>5250</v>
      </c>
      <c r="AN29"/>
      <c r="AO29" s="166"/>
      <c r="AP29" s="503">
        <v>25</v>
      </c>
      <c r="AQ29" s="504">
        <v>0</v>
      </c>
      <c r="AR29"/>
      <c r="AT29" s="361">
        <v>25</v>
      </c>
      <c r="AU29" s="702">
        <v>0</v>
      </c>
      <c r="AV29" s="362">
        <v>1000</v>
      </c>
      <c r="AW29" s="73">
        <v>0</v>
      </c>
      <c r="AY29" s="361">
        <v>25</v>
      </c>
      <c r="AZ29" s="702">
        <v>0</v>
      </c>
      <c r="BA29" s="526">
        <v>0</v>
      </c>
      <c r="BB29" s="166"/>
      <c r="BC29" s="361">
        <v>25</v>
      </c>
      <c r="BD29" s="702">
        <v>0</v>
      </c>
      <c r="BE29" s="526">
        <v>0</v>
      </c>
      <c r="BF29" s="364">
        <v>0</v>
      </c>
      <c r="BG29" s="166"/>
      <c r="BH29" s="503">
        <v>25</v>
      </c>
      <c r="BI29" s="504">
        <v>0</v>
      </c>
      <c r="BJ29" s="504">
        <v>0</v>
      </c>
      <c r="BK29" s="166"/>
    </row>
    <row r="30" spans="1:74" x14ac:dyDescent="0.3">
      <c r="AG30" s="166"/>
      <c r="AH30" s="166"/>
      <c r="AJ30" s="503">
        <v>26</v>
      </c>
      <c r="AK30" s="504">
        <v>884.62686567164189</v>
      </c>
      <c r="AL30" s="504">
        <v>3644.9096507508011</v>
      </c>
      <c r="AM30" s="405">
        <v>5250</v>
      </c>
      <c r="AN30"/>
      <c r="AO30" s="166"/>
      <c r="AP30" s="503">
        <v>26</v>
      </c>
      <c r="AQ30" s="504">
        <v>884.62686567164189</v>
      </c>
      <c r="AR30"/>
      <c r="AT30" s="361">
        <v>26</v>
      </c>
      <c r="AU30" s="702">
        <v>442.12</v>
      </c>
      <c r="AV30" s="362">
        <v>1000</v>
      </c>
      <c r="AW30" s="73">
        <v>91</v>
      </c>
      <c r="AY30" s="361">
        <v>26</v>
      </c>
      <c r="AZ30" s="702">
        <v>442.12</v>
      </c>
      <c r="BA30" s="526">
        <v>6.3159999999999989</v>
      </c>
      <c r="BB30" s="166"/>
      <c r="BC30" s="361">
        <v>26</v>
      </c>
      <c r="BD30" s="702">
        <v>442.12</v>
      </c>
      <c r="BE30" s="526">
        <v>6.3159999999999989</v>
      </c>
      <c r="BF30" s="364">
        <v>40232.92</v>
      </c>
      <c r="BG30" s="166"/>
      <c r="BH30" s="503">
        <v>26</v>
      </c>
      <c r="BI30" s="504">
        <v>884.62686567164189</v>
      </c>
      <c r="BJ30" s="504">
        <v>3224385</v>
      </c>
      <c r="BK30" s="166"/>
    </row>
    <row r="31" spans="1:74" x14ac:dyDescent="0.3">
      <c r="AG31" s="166"/>
      <c r="AH31" s="166"/>
      <c r="AJ31" s="503">
        <v>27</v>
      </c>
      <c r="AK31" s="504">
        <v>1061.5522388059703</v>
      </c>
      <c r="AL31" s="504">
        <v>2805.5896743715198</v>
      </c>
      <c r="AM31" s="405">
        <v>5250</v>
      </c>
      <c r="AN31"/>
      <c r="AO31" s="166"/>
      <c r="AP31" s="503">
        <v>27</v>
      </c>
      <c r="AQ31" s="504">
        <v>1061.5522388059703</v>
      </c>
      <c r="AR31"/>
      <c r="AT31" s="361">
        <v>27</v>
      </c>
      <c r="AU31" s="702">
        <v>640.01800000000003</v>
      </c>
      <c r="AV31" s="362">
        <v>1000</v>
      </c>
      <c r="AW31" s="73">
        <v>91</v>
      </c>
      <c r="AY31" s="361">
        <v>27</v>
      </c>
      <c r="AZ31" s="702">
        <v>640.01800000000003</v>
      </c>
      <c r="BA31" s="526">
        <v>9.6972424242424253</v>
      </c>
      <c r="BB31" s="166"/>
      <c r="BC31" s="361">
        <v>27</v>
      </c>
      <c r="BD31" s="702">
        <v>640.01800000000003</v>
      </c>
      <c r="BE31" s="526">
        <v>9.6972424242424253</v>
      </c>
      <c r="BF31" s="364">
        <v>58241.638000000006</v>
      </c>
      <c r="BG31" s="166"/>
      <c r="BH31" s="503">
        <v>27</v>
      </c>
      <c r="BI31" s="504">
        <v>1061.5522388059703</v>
      </c>
      <c r="BJ31" s="504">
        <v>2978280</v>
      </c>
      <c r="BK31" s="166"/>
    </row>
    <row r="32" spans="1:74" x14ac:dyDescent="0.3">
      <c r="AG32" s="166"/>
      <c r="AH32" s="166"/>
      <c r="AJ32" s="503">
        <v>28</v>
      </c>
      <c r="AK32" s="504">
        <v>1238.4776119402986</v>
      </c>
      <c r="AL32" s="504">
        <v>1430.9059630263441</v>
      </c>
      <c r="AM32" s="405">
        <v>5250</v>
      </c>
      <c r="AN32"/>
      <c r="AO32" s="166"/>
      <c r="AP32" s="503">
        <v>28</v>
      </c>
      <c r="AQ32" s="504">
        <v>1238.4776119402986</v>
      </c>
      <c r="AR32"/>
      <c r="AT32" s="361">
        <v>28</v>
      </c>
      <c r="AU32" s="702">
        <v>1038.94</v>
      </c>
      <c r="AV32" s="362">
        <v>1000</v>
      </c>
      <c r="AW32" s="73">
        <v>90.999999999999986</v>
      </c>
      <c r="AY32" s="361">
        <v>28</v>
      </c>
      <c r="AZ32" s="702">
        <v>1038.94</v>
      </c>
      <c r="BA32" s="526">
        <v>15.983692307692307</v>
      </c>
      <c r="BB32" s="166"/>
      <c r="BC32" s="361">
        <v>28</v>
      </c>
      <c r="BD32" s="702">
        <v>1038.94</v>
      </c>
      <c r="BE32" s="526">
        <v>15.983692307692307</v>
      </c>
      <c r="BF32" s="364">
        <v>94543.54</v>
      </c>
      <c r="BG32" s="166"/>
      <c r="BH32" s="503">
        <v>28</v>
      </c>
      <c r="BI32" s="504">
        <v>1238.4776119402986</v>
      </c>
      <c r="BJ32" s="504">
        <v>1772145</v>
      </c>
      <c r="BK32" s="166"/>
    </row>
    <row r="33" spans="33:63" x14ac:dyDescent="0.3">
      <c r="AG33" s="166"/>
      <c r="AH33" s="166"/>
      <c r="AJ33" s="503">
        <v>29</v>
      </c>
      <c r="AK33" s="504">
        <v>1326.9402985074628</v>
      </c>
      <c r="AL33" s="504">
        <v>3113.6065463134805</v>
      </c>
      <c r="AM33" s="405">
        <v>5250</v>
      </c>
      <c r="AN33"/>
      <c r="AO33" s="166"/>
      <c r="AP33" s="503">
        <v>29</v>
      </c>
      <c r="AQ33" s="504">
        <v>1326.9402985074628</v>
      </c>
      <c r="AR33"/>
      <c r="AT33" s="361">
        <v>29</v>
      </c>
      <c r="AU33" s="702">
        <v>1064.713</v>
      </c>
      <c r="AV33" s="362">
        <v>1000</v>
      </c>
      <c r="AW33" s="73">
        <v>91</v>
      </c>
      <c r="AY33" s="361">
        <v>29</v>
      </c>
      <c r="AZ33" s="702">
        <v>1064.713</v>
      </c>
      <c r="BA33" s="526">
        <v>18.728119268600253</v>
      </c>
      <c r="BB33" s="166"/>
      <c r="BC33" s="361">
        <v>29</v>
      </c>
      <c r="BD33" s="702">
        <v>1064.713</v>
      </c>
      <c r="BE33" s="526">
        <v>18.728119268600253</v>
      </c>
      <c r="BF33" s="364">
        <v>96888.883000000002</v>
      </c>
      <c r="BG33" s="166"/>
      <c r="BH33" s="503">
        <v>29</v>
      </c>
      <c r="BI33" s="504">
        <v>1326.9402985074628</v>
      </c>
      <c r="BJ33" s="504">
        <v>4131570</v>
      </c>
      <c r="BK33" s="166"/>
    </row>
    <row r="34" spans="33:63" x14ac:dyDescent="0.3">
      <c r="AG34" s="166"/>
      <c r="AH34" s="166"/>
      <c r="AJ34" s="503">
        <v>30</v>
      </c>
      <c r="AK34" s="504">
        <v>1326.9402985074628</v>
      </c>
      <c r="AL34" s="504">
        <v>3113.5707496766208</v>
      </c>
      <c r="AM34" s="405">
        <v>5250</v>
      </c>
      <c r="AN34"/>
      <c r="AO34" s="166"/>
      <c r="AP34" s="503">
        <v>30</v>
      </c>
      <c r="AQ34" s="504">
        <v>1326.9402985074628</v>
      </c>
      <c r="AR34"/>
      <c r="AT34" s="361">
        <v>30</v>
      </c>
      <c r="AU34" s="702">
        <v>1257.1569999999999</v>
      </c>
      <c r="AV34" s="362">
        <v>1000</v>
      </c>
      <c r="AW34" s="73">
        <v>91</v>
      </c>
      <c r="AY34" s="361">
        <v>30</v>
      </c>
      <c r="AZ34" s="702">
        <v>1257.1569999999999</v>
      </c>
      <c r="BA34" s="526">
        <v>20.952616666666664</v>
      </c>
      <c r="BB34" s="166"/>
      <c r="BC34" s="361">
        <v>30</v>
      </c>
      <c r="BD34" s="702">
        <v>1257.1569999999999</v>
      </c>
      <c r="BE34" s="526">
        <v>20.952616666666664</v>
      </c>
      <c r="BF34" s="364">
        <v>114401.287</v>
      </c>
      <c r="BG34" s="166"/>
      <c r="BH34" s="503">
        <v>30</v>
      </c>
      <c r="BI34" s="504">
        <v>1326.9402985074628</v>
      </c>
      <c r="BJ34" s="504">
        <v>4131522.5</v>
      </c>
      <c r="BK34" s="166"/>
    </row>
    <row r="35" spans="33:63" x14ac:dyDescent="0.3">
      <c r="AG35" s="166"/>
      <c r="AH35" s="166"/>
      <c r="AJ35" s="503">
        <v>31</v>
      </c>
      <c r="AK35" s="504">
        <v>973.08955223880605</v>
      </c>
      <c r="AL35" s="504">
        <v>3786.3216098900252</v>
      </c>
      <c r="AM35" s="405">
        <v>5250</v>
      </c>
      <c r="AN35"/>
      <c r="AO35" s="166"/>
      <c r="AP35" s="503">
        <v>31</v>
      </c>
      <c r="AQ35" s="504">
        <v>973.08955223880605</v>
      </c>
      <c r="AR35"/>
      <c r="AT35" s="361">
        <v>31</v>
      </c>
      <c r="AU35" s="702">
        <v>665.32299999999998</v>
      </c>
      <c r="AV35" s="362">
        <v>1000</v>
      </c>
      <c r="AW35" s="73">
        <v>91.000000000000014</v>
      </c>
      <c r="AY35" s="361">
        <v>31</v>
      </c>
      <c r="AZ35" s="702">
        <v>665.32299999999998</v>
      </c>
      <c r="BA35" s="526">
        <v>12.558320279720281</v>
      </c>
      <c r="BB35" s="166"/>
      <c r="BC35" s="361">
        <v>31</v>
      </c>
      <c r="BD35" s="702">
        <v>665.32299999999998</v>
      </c>
      <c r="BE35" s="526">
        <v>12.558320279720281</v>
      </c>
      <c r="BF35" s="364">
        <v>60544.393000000004</v>
      </c>
      <c r="BG35" s="166"/>
      <c r="BH35" s="503">
        <v>31</v>
      </c>
      <c r="BI35" s="504">
        <v>973.08955223880605</v>
      </c>
      <c r="BJ35" s="504">
        <v>3684430</v>
      </c>
      <c r="BK35" s="166"/>
    </row>
    <row r="36" spans="33:63" x14ac:dyDescent="0.3">
      <c r="AG36" s="166"/>
      <c r="AH36" s="166"/>
      <c r="AJ36" s="503" t="s">
        <v>72</v>
      </c>
      <c r="AK36" s="504">
        <v>29324.999999999996</v>
      </c>
      <c r="AL36" s="504">
        <v>3042.8393009377669</v>
      </c>
      <c r="AM36" s="405">
        <v>5250</v>
      </c>
      <c r="AN36"/>
      <c r="AO36" s="166"/>
      <c r="AP36" s="503" t="s">
        <v>72</v>
      </c>
      <c r="AQ36" s="504">
        <v>29325.000000000007</v>
      </c>
      <c r="AR36"/>
      <c r="AT36" s="361" t="s">
        <v>72</v>
      </c>
      <c r="AU36" s="702">
        <v>14633.578999999998</v>
      </c>
      <c r="AV36" s="362">
        <v>1000</v>
      </c>
      <c r="AW36" s="73">
        <v>200.64992463745992</v>
      </c>
      <c r="AY36" s="361" t="s">
        <v>72</v>
      </c>
      <c r="AZ36" s="702">
        <v>14633.579</v>
      </c>
      <c r="BA36" s="526">
        <v>257.4234091287401</v>
      </c>
      <c r="BB36" s="166"/>
      <c r="BC36" s="361" t="s">
        <v>72</v>
      </c>
      <c r="BD36" s="702">
        <v>14633.579</v>
      </c>
      <c r="BE36" s="526">
        <v>257.4234091287401</v>
      </c>
      <c r="BF36" s="364">
        <v>2936226.5235263156</v>
      </c>
      <c r="BG36" s="166"/>
      <c r="BH36" s="503" t="s">
        <v>72</v>
      </c>
      <c r="BI36" s="504">
        <v>29325.000000000007</v>
      </c>
      <c r="BJ36" s="504">
        <v>89231262.5</v>
      </c>
      <c r="BK36" s="166"/>
    </row>
    <row r="37" spans="33:63" x14ac:dyDescent="0.3">
      <c r="AG37" s="166"/>
      <c r="AH37" s="166"/>
      <c r="AJ37" s="166"/>
      <c r="AK37" s="166"/>
      <c r="AL37" s="166"/>
      <c r="AM37" s="166"/>
      <c r="AN37" s="166"/>
      <c r="AO37" s="166"/>
      <c r="AP37"/>
      <c r="AQ37"/>
      <c r="AR37" s="166"/>
      <c r="AS37" s="166"/>
      <c r="AT37" s="166"/>
      <c r="AU37" s="166"/>
      <c r="AV37" s="166"/>
      <c r="AW37" s="166"/>
      <c r="AY37"/>
      <c r="AZ37"/>
      <c r="BA37"/>
      <c r="BB37" s="166"/>
      <c r="BC37" s="166"/>
      <c r="BD37" s="166"/>
      <c r="BE37" s="166"/>
      <c r="BF37" s="166"/>
      <c r="BG37" s="166"/>
      <c r="BH37" s="166"/>
      <c r="BI37" s="166"/>
      <c r="BJ37" s="166"/>
      <c r="BK37" s="166"/>
    </row>
    <row r="38" spans="33:63" x14ac:dyDescent="0.3">
      <c r="AG38" s="166"/>
      <c r="AH38" s="166"/>
      <c r="AJ38" s="166"/>
      <c r="AK38" s="166"/>
      <c r="AL38" s="166"/>
      <c r="AM38" s="166"/>
      <c r="AN38" s="166"/>
      <c r="AO38" s="166"/>
      <c r="AP38"/>
      <c r="AQ38"/>
      <c r="AR38" s="166"/>
      <c r="AS38" s="166"/>
      <c r="AT38" s="166"/>
      <c r="AU38" s="166"/>
      <c r="AV38" s="166"/>
      <c r="AW38" s="166"/>
      <c r="BB38" s="166"/>
      <c r="BC38" s="166"/>
      <c r="BD38" s="166"/>
      <c r="BE38" s="166"/>
      <c r="BF38" s="166"/>
      <c r="BG38" s="166"/>
      <c r="BH38" s="166"/>
      <c r="BI38" s="166"/>
      <c r="BJ38" s="166"/>
      <c r="BK38" s="166"/>
    </row>
    <row r="39" spans="33:63" x14ac:dyDescent="0.3">
      <c r="AG39" s="166"/>
      <c r="AH39" s="166"/>
      <c r="AP39"/>
      <c r="AQ39"/>
      <c r="AR39" s="166"/>
      <c r="AT39" s="168"/>
      <c r="AU39" s="168"/>
      <c r="AV39" s="168"/>
      <c r="AW39" s="168"/>
      <c r="AX39" s="168"/>
      <c r="AY39" s="168"/>
      <c r="AZ39" s="168"/>
      <c r="BA39" s="168"/>
      <c r="BB39" s="166"/>
      <c r="BC39" s="166"/>
      <c r="BD39" s="166"/>
      <c r="BE39" s="166"/>
      <c r="BF39" s="166"/>
      <c r="BG39" s="166"/>
      <c r="BH39" s="166"/>
      <c r="BI39" s="166"/>
      <c r="BJ39" s="166"/>
      <c r="BK39" s="166"/>
    </row>
    <row r="40" spans="33:63" x14ac:dyDescent="0.3">
      <c r="AG40" s="166"/>
      <c r="AH40" s="166"/>
      <c r="AP40"/>
      <c r="AQ40"/>
      <c r="AR40" s="166"/>
      <c r="AT40" s="168"/>
      <c r="AU40" s="168"/>
      <c r="AV40" s="168"/>
      <c r="AW40" s="168"/>
      <c r="AX40" s="168"/>
      <c r="AY40" s="168"/>
      <c r="AZ40" s="168"/>
      <c r="BA40" s="168"/>
      <c r="BB40" s="166"/>
      <c r="BC40" s="166"/>
      <c r="BD40" s="166"/>
      <c r="BE40" s="166"/>
      <c r="BF40" s="166"/>
      <c r="BG40" s="166"/>
      <c r="BH40" s="166"/>
      <c r="BI40" s="166"/>
      <c r="BJ40" s="166"/>
      <c r="BK40" s="166"/>
    </row>
    <row r="41" spans="33:63" x14ac:dyDescent="0.3">
      <c r="AG41" s="166"/>
      <c r="AH41" s="166"/>
      <c r="AP41"/>
      <c r="AQ41"/>
      <c r="AR41" s="166"/>
      <c r="AT41" s="168"/>
      <c r="AU41" s="168"/>
      <c r="AV41" s="168"/>
      <c r="AW41" s="168"/>
      <c r="AX41" s="168"/>
      <c r="AY41" s="168"/>
      <c r="AZ41" s="168"/>
      <c r="BA41" s="168"/>
      <c r="BB41" s="166"/>
      <c r="BC41" s="166"/>
      <c r="BD41" s="166"/>
      <c r="BE41" s="166"/>
      <c r="BF41" s="166"/>
      <c r="BG41" s="166"/>
      <c r="BH41" s="166"/>
      <c r="BI41" s="166"/>
      <c r="BJ41" s="166"/>
      <c r="BK41" s="166"/>
    </row>
    <row r="42" spans="33:63" x14ac:dyDescent="0.3">
      <c r="AG42" s="166"/>
      <c r="AH42" s="166"/>
      <c r="AP42"/>
      <c r="AQ42"/>
      <c r="AR42" s="166"/>
      <c r="AT42" s="168"/>
      <c r="AU42" s="168"/>
      <c r="AV42" s="168"/>
      <c r="AW42" s="168"/>
      <c r="AX42" s="168"/>
      <c r="AY42" s="168"/>
      <c r="AZ42" s="168"/>
      <c r="BA42" s="168"/>
      <c r="BB42" s="166"/>
      <c r="BC42" s="166"/>
      <c r="BD42" s="166"/>
      <c r="BE42" s="166"/>
      <c r="BF42" s="166"/>
      <c r="BG42" s="166"/>
      <c r="BH42" s="166"/>
      <c r="BI42" s="166"/>
      <c r="BJ42" s="166"/>
      <c r="BK42" s="166"/>
    </row>
    <row r="43" spans="33:63" x14ac:dyDescent="0.3">
      <c r="AG43" s="166"/>
      <c r="AH43" s="166"/>
      <c r="AP43"/>
      <c r="AQ43"/>
      <c r="AR43" s="166"/>
      <c r="AT43" s="168"/>
      <c r="AU43" s="168"/>
      <c r="AV43" s="168"/>
      <c r="AW43" s="168"/>
      <c r="AX43" s="168"/>
      <c r="AY43" s="168"/>
      <c r="AZ43" s="168"/>
      <c r="BA43" s="168"/>
      <c r="BB43" s="166"/>
      <c r="BC43" s="166"/>
      <c r="BD43" s="166"/>
      <c r="BE43" s="166"/>
      <c r="BF43" s="166"/>
      <c r="BG43" s="166"/>
      <c r="BH43" s="166"/>
      <c r="BI43" s="166"/>
      <c r="BJ43" s="166"/>
      <c r="BK43" s="166"/>
    </row>
    <row r="44" spans="33:63" x14ac:dyDescent="0.3">
      <c r="AG44" s="166"/>
      <c r="AH44" s="166"/>
      <c r="AP44"/>
      <c r="AQ44"/>
      <c r="AR44" s="166"/>
      <c r="AT44" s="168"/>
      <c r="AU44" s="168"/>
      <c r="AV44" s="168"/>
      <c r="AW44" s="168"/>
      <c r="AX44" s="168"/>
      <c r="AY44" s="168"/>
      <c r="AZ44" s="168"/>
      <c r="BA44" s="168"/>
      <c r="BB44" s="166"/>
      <c r="BC44" s="166"/>
      <c r="BD44" s="166"/>
      <c r="BE44" s="166"/>
      <c r="BF44" s="166"/>
      <c r="BG44" s="166"/>
      <c r="BH44" s="166"/>
      <c r="BI44" s="166"/>
      <c r="BJ44" s="166"/>
      <c r="BK44" s="166"/>
    </row>
    <row r="45" spans="33:63" x14ac:dyDescent="0.3">
      <c r="AG45" s="166"/>
      <c r="AH45" s="166"/>
      <c r="AP45"/>
      <c r="AQ45"/>
      <c r="AR45" s="166"/>
      <c r="AT45" s="168"/>
      <c r="AU45" s="168"/>
      <c r="AV45" s="168"/>
      <c r="AW45" s="168"/>
      <c r="AX45" s="168"/>
      <c r="AY45" s="168"/>
      <c r="AZ45" s="168"/>
      <c r="BA45" s="168"/>
      <c r="BB45" s="166"/>
      <c r="BC45" s="166"/>
      <c r="BD45" s="166"/>
      <c r="BE45" s="166"/>
      <c r="BF45" s="166"/>
      <c r="BG45" s="166"/>
      <c r="BH45" s="166"/>
      <c r="BI45" s="166"/>
      <c r="BJ45" s="166"/>
      <c r="BK45" s="166"/>
    </row>
    <row r="46" spans="33:63" x14ac:dyDescent="0.3">
      <c r="AG46" s="166"/>
      <c r="AH46" s="166"/>
      <c r="AP46"/>
      <c r="AQ46"/>
      <c r="AR46" s="166"/>
      <c r="AW46"/>
    </row>
    <row r="47" spans="33:63" x14ac:dyDescent="0.3">
      <c r="AG47" s="166"/>
      <c r="AH47" s="166"/>
      <c r="AP47"/>
      <c r="AQ47"/>
      <c r="AW47"/>
    </row>
    <row r="48" spans="33:63" x14ac:dyDescent="0.3">
      <c r="AG48" s="166"/>
      <c r="AH48" s="166"/>
      <c r="AP48"/>
      <c r="AQ48"/>
      <c r="AW48"/>
    </row>
    <row r="49" spans="2:49" x14ac:dyDescent="0.3">
      <c r="AG49" s="166"/>
      <c r="AH49" s="166"/>
      <c r="AP49"/>
      <c r="AQ49"/>
      <c r="AW49"/>
    </row>
    <row r="50" spans="2:49" x14ac:dyDescent="0.3">
      <c r="AG50" s="166"/>
      <c r="AH50" s="166"/>
      <c r="AP50"/>
      <c r="AQ50"/>
      <c r="AW50"/>
    </row>
    <row r="51" spans="2:49" x14ac:dyDescent="0.3">
      <c r="AG51" s="166"/>
      <c r="AH51" s="166"/>
      <c r="AP51"/>
      <c r="AQ51"/>
      <c r="AW51"/>
    </row>
    <row r="52" spans="2:49" x14ac:dyDescent="0.3">
      <c r="AG52" s="166"/>
      <c r="AH52" s="166"/>
      <c r="AP52"/>
      <c r="AQ52"/>
      <c r="AW52"/>
    </row>
    <row r="53" spans="2:49" x14ac:dyDescent="0.3">
      <c r="AG53" s="166"/>
      <c r="AH53" s="166"/>
      <c r="AP53"/>
      <c r="AQ53"/>
      <c r="AW53"/>
    </row>
    <row r="54" spans="2:49" x14ac:dyDescent="0.3">
      <c r="D54" s="309"/>
      <c r="E54" s="309"/>
      <c r="F54" s="309"/>
      <c r="G54" s="309"/>
      <c r="H54" s="309"/>
      <c r="I54" s="309"/>
      <c r="J54" s="309"/>
      <c r="K54" s="309"/>
      <c r="L54" s="309"/>
      <c r="M54" s="309"/>
      <c r="N54" s="309"/>
      <c r="O54" s="309"/>
      <c r="P54" s="309"/>
      <c r="Q54" s="309"/>
      <c r="AG54" s="166"/>
      <c r="AH54" s="166"/>
      <c r="AP54"/>
      <c r="AQ54"/>
      <c r="AW54"/>
    </row>
    <row r="55" spans="2:49" x14ac:dyDescent="0.3">
      <c r="D55" s="309"/>
      <c r="E55" s="309"/>
      <c r="F55" s="309"/>
      <c r="G55" s="309"/>
      <c r="H55" s="309"/>
      <c r="I55" s="309"/>
      <c r="J55" s="309"/>
      <c r="K55" s="309"/>
      <c r="L55" s="309"/>
      <c r="M55" s="309"/>
      <c r="N55" s="309"/>
      <c r="O55" s="309"/>
      <c r="P55" s="309"/>
      <c r="Q55" s="309"/>
      <c r="AG55" s="166"/>
      <c r="AH55" s="166"/>
      <c r="AP55"/>
      <c r="AQ55"/>
      <c r="AW55"/>
    </row>
    <row r="56" spans="2:49" x14ac:dyDescent="0.3">
      <c r="AG56" s="166"/>
      <c r="AH56" s="166"/>
      <c r="AP56"/>
      <c r="AQ56"/>
      <c r="AW56"/>
    </row>
    <row r="57" spans="2:49" x14ac:dyDescent="0.3">
      <c r="AG57" s="166"/>
      <c r="AH57" s="166"/>
      <c r="AP57"/>
      <c r="AQ57"/>
      <c r="AW57"/>
    </row>
    <row r="58" spans="2:49" x14ac:dyDescent="0.3">
      <c r="B58" s="344"/>
      <c r="C58" s="344"/>
      <c r="D58" s="344"/>
      <c r="E58" s="344"/>
      <c r="F58" s="344"/>
      <c r="G58" s="344"/>
      <c r="H58" s="344"/>
      <c r="I58" s="344"/>
      <c r="J58" s="344"/>
      <c r="K58" s="344"/>
      <c r="L58" s="344"/>
      <c r="M58" s="344"/>
      <c r="N58" s="344"/>
      <c r="O58" s="344"/>
      <c r="P58" s="344"/>
      <c r="Q58" s="344"/>
      <c r="R58" s="344"/>
      <c r="AG58" s="166"/>
      <c r="AH58" s="166"/>
      <c r="AP58"/>
      <c r="AQ58"/>
      <c r="AW58"/>
    </row>
    <row r="59" spans="2:49" x14ac:dyDescent="0.3">
      <c r="AG59" s="166"/>
      <c r="AH59" s="166"/>
      <c r="AP59"/>
      <c r="AQ59"/>
      <c r="AW59"/>
    </row>
    <row r="60" spans="2:49" x14ac:dyDescent="0.3">
      <c r="AG60" s="166"/>
      <c r="AH60" s="166"/>
      <c r="AP60"/>
      <c r="AQ60"/>
      <c r="AW60"/>
    </row>
    <row r="61" spans="2:49" x14ac:dyDescent="0.3">
      <c r="AG61" s="166"/>
      <c r="AH61" s="166"/>
      <c r="AP61"/>
      <c r="AQ61"/>
      <c r="AW61"/>
    </row>
    <row r="62" spans="2:49" x14ac:dyDescent="0.3">
      <c r="AG62" s="166"/>
      <c r="AH62" s="166"/>
      <c r="AP62"/>
      <c r="AQ62"/>
      <c r="AW62"/>
    </row>
    <row r="63" spans="2:49" x14ac:dyDescent="0.3">
      <c r="AG63" s="166"/>
      <c r="AH63" s="166"/>
      <c r="AP63"/>
      <c r="AQ63"/>
      <c r="AW63"/>
    </row>
    <row r="64" spans="2:49" x14ac:dyDescent="0.3">
      <c r="AG64" s="166"/>
      <c r="AH64" s="166"/>
      <c r="AP64"/>
      <c r="AQ64"/>
      <c r="AW64"/>
    </row>
    <row r="65" spans="33:49" x14ac:dyDescent="0.3">
      <c r="AG65" s="166"/>
      <c r="AH65" s="166"/>
      <c r="AP65"/>
      <c r="AQ65"/>
      <c r="AW65"/>
    </row>
    <row r="66" spans="33:49" x14ac:dyDescent="0.3">
      <c r="AG66" s="166"/>
      <c r="AH66" s="166"/>
      <c r="AP66"/>
      <c r="AQ66"/>
      <c r="AW66"/>
    </row>
    <row r="67" spans="33:49" x14ac:dyDescent="0.3">
      <c r="AG67" s="166"/>
      <c r="AH67" s="166"/>
      <c r="AP67"/>
      <c r="AQ67"/>
      <c r="AW67"/>
    </row>
    <row r="68" spans="33:49" x14ac:dyDescent="0.3">
      <c r="AG68" s="166"/>
      <c r="AH68" s="166"/>
      <c r="AP68"/>
      <c r="AQ68"/>
    </row>
    <row r="69" spans="33:49" x14ac:dyDescent="0.3">
      <c r="AG69" s="166"/>
      <c r="AH69" s="166"/>
      <c r="AP69"/>
      <c r="AQ69"/>
    </row>
    <row r="70" spans="33:49" x14ac:dyDescent="0.3">
      <c r="AG70" s="166"/>
      <c r="AH70" s="166"/>
      <c r="AP70"/>
      <c r="AQ70"/>
    </row>
    <row r="71" spans="33:49" x14ac:dyDescent="0.3">
      <c r="AG71" s="166"/>
      <c r="AH71" s="166"/>
      <c r="AP71"/>
      <c r="AQ71"/>
    </row>
    <row r="72" spans="33:49" x14ac:dyDescent="0.3">
      <c r="AG72" s="166"/>
      <c r="AH72" s="166"/>
      <c r="AP72"/>
      <c r="AQ72"/>
    </row>
    <row r="73" spans="33:49" x14ac:dyDescent="0.3">
      <c r="AG73" s="166"/>
      <c r="AH73" s="166"/>
      <c r="AP73"/>
      <c r="AQ73"/>
    </row>
    <row r="74" spans="33:49" x14ac:dyDescent="0.3">
      <c r="AG74" s="166"/>
      <c r="AH74" s="166"/>
      <c r="AP74"/>
      <c r="AQ74"/>
    </row>
    <row r="75" spans="33:49" x14ac:dyDescent="0.3">
      <c r="AG75" s="166"/>
      <c r="AH75" s="166"/>
      <c r="AP75"/>
      <c r="AQ75"/>
    </row>
    <row r="76" spans="33:49" x14ac:dyDescent="0.3">
      <c r="AG76" s="166"/>
      <c r="AH76" s="166"/>
      <c r="AP76"/>
      <c r="AQ76"/>
    </row>
    <row r="77" spans="33:49" x14ac:dyDescent="0.3">
      <c r="AG77" s="166"/>
      <c r="AH77" s="166"/>
      <c r="AP77"/>
      <c r="AQ77"/>
    </row>
    <row r="78" spans="33:49" x14ac:dyDescent="0.3">
      <c r="AG78" s="166"/>
      <c r="AH78" s="166"/>
      <c r="AP78"/>
      <c r="AQ78"/>
    </row>
    <row r="79" spans="33:49" x14ac:dyDescent="0.3">
      <c r="AG79" s="166"/>
      <c r="AH79" s="166"/>
      <c r="AP79"/>
      <c r="AQ79"/>
    </row>
    <row r="80" spans="33:49" x14ac:dyDescent="0.3">
      <c r="AG80" s="166"/>
      <c r="AH80" s="166"/>
      <c r="AP80"/>
      <c r="AQ80"/>
    </row>
    <row r="81" spans="33:43" x14ac:dyDescent="0.3">
      <c r="AG81" s="166"/>
      <c r="AH81" s="166"/>
      <c r="AP81"/>
      <c r="AQ81"/>
    </row>
    <row r="82" spans="33:43" ht="30.6" customHeight="1" x14ac:dyDescent="0.3">
      <c r="AG82" s="166"/>
      <c r="AH82" s="166"/>
      <c r="AP82"/>
      <c r="AQ82"/>
    </row>
    <row r="83" spans="33:43" x14ac:dyDescent="0.3">
      <c r="AG83" s="166"/>
      <c r="AH83" s="166"/>
      <c r="AP83"/>
      <c r="AQ83"/>
    </row>
    <row r="84" spans="33:43" x14ac:dyDescent="0.3">
      <c r="AG84" s="166"/>
      <c r="AH84" s="166"/>
      <c r="AP84"/>
      <c r="AQ84"/>
    </row>
    <row r="85" spans="33:43" x14ac:dyDescent="0.3">
      <c r="AG85" s="166"/>
      <c r="AH85" s="166"/>
      <c r="AP85"/>
      <c r="AQ85"/>
    </row>
    <row r="86" spans="33:43" x14ac:dyDescent="0.3">
      <c r="AG86" s="166"/>
      <c r="AH86" s="166"/>
      <c r="AP86"/>
      <c r="AQ86"/>
    </row>
    <row r="87" spans="33:43" x14ac:dyDescent="0.3">
      <c r="AG87" s="166"/>
      <c r="AH87" s="166"/>
      <c r="AP87"/>
      <c r="AQ87"/>
    </row>
    <row r="88" spans="33:43" x14ac:dyDescent="0.3">
      <c r="AG88" s="166"/>
      <c r="AH88" s="166"/>
      <c r="AP88"/>
      <c r="AQ88"/>
    </row>
    <row r="89" spans="33:43" x14ac:dyDescent="0.3">
      <c r="AG89" s="166"/>
      <c r="AH89" s="166"/>
      <c r="AP89"/>
      <c r="AQ89"/>
    </row>
    <row r="90" spans="33:43" x14ac:dyDescent="0.3">
      <c r="AG90" s="166"/>
      <c r="AH90" s="166"/>
      <c r="AP90"/>
      <c r="AQ90"/>
    </row>
    <row r="91" spans="33:43" x14ac:dyDescent="0.3">
      <c r="AG91" s="166"/>
      <c r="AH91" s="166"/>
      <c r="AP91"/>
      <c r="AQ91"/>
    </row>
    <row r="92" spans="33:43" x14ac:dyDescent="0.3">
      <c r="AG92" s="166"/>
      <c r="AH92" s="166"/>
      <c r="AP92"/>
      <c r="AQ92"/>
    </row>
    <row r="93" spans="33:43" x14ac:dyDescent="0.3">
      <c r="AG93" s="166"/>
      <c r="AH93" s="166"/>
      <c r="AP93"/>
      <c r="AQ93"/>
    </row>
    <row r="94" spans="33:43" x14ac:dyDescent="0.3">
      <c r="AP94"/>
      <c r="AQ94"/>
    </row>
    <row r="95" spans="33:43" x14ac:dyDescent="0.3">
      <c r="AP95"/>
      <c r="AQ95"/>
    </row>
    <row r="96" spans="33:43" x14ac:dyDescent="0.3">
      <c r="AP96"/>
      <c r="AQ96"/>
    </row>
    <row r="97" spans="42:43" x14ac:dyDescent="0.3">
      <c r="AP97"/>
      <c r="AQ97"/>
    </row>
    <row r="98" spans="42:43" x14ac:dyDescent="0.3">
      <c r="AP98"/>
      <c r="AQ98"/>
    </row>
    <row r="99" spans="42:43" x14ac:dyDescent="0.3">
      <c r="AP99"/>
      <c r="AQ99"/>
    </row>
    <row r="100" spans="42:43" x14ac:dyDescent="0.3">
      <c r="AP100"/>
      <c r="AQ100"/>
    </row>
    <row r="101" spans="42:43" x14ac:dyDescent="0.3">
      <c r="AP101"/>
      <c r="AQ101"/>
    </row>
    <row r="102" spans="42:43" x14ac:dyDescent="0.3">
      <c r="AP102"/>
      <c r="AQ102"/>
    </row>
    <row r="103" spans="42:43" x14ac:dyDescent="0.3">
      <c r="AP103"/>
      <c r="AQ103"/>
    </row>
    <row r="104" spans="42:43" x14ac:dyDescent="0.3">
      <c r="AP104"/>
      <c r="AQ104"/>
    </row>
    <row r="105" spans="42:43" x14ac:dyDescent="0.3">
      <c r="AP105"/>
      <c r="AQ105"/>
    </row>
    <row r="106" spans="42:43" x14ac:dyDescent="0.3">
      <c r="AP106"/>
      <c r="AQ106"/>
    </row>
    <row r="107" spans="42:43" x14ac:dyDescent="0.3">
      <c r="AP107"/>
      <c r="AQ107"/>
    </row>
    <row r="108" spans="42:43" x14ac:dyDescent="0.3">
      <c r="AP108"/>
      <c r="AQ108"/>
    </row>
  </sheetData>
  <mergeCells count="7">
    <mergeCell ref="A19:B19"/>
    <mergeCell ref="Z23:AD23"/>
    <mergeCell ref="AT1:AW1"/>
    <mergeCell ref="AJ1:AM1"/>
    <mergeCell ref="A1:AF1"/>
    <mergeCell ref="B3:C3"/>
    <mergeCell ref="Z6:AD6"/>
  </mergeCells>
  <pageMargins left="0.7" right="0.7" top="0.75" bottom="0.75" header="0.3" footer="0.3"/>
  <pageSetup orientation="portrait" r:id="rId7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D4AD-0477-48F8-836A-570626F5284D}">
  <sheetPr>
    <tabColor rgb="FF00B050"/>
  </sheetPr>
  <dimension ref="A1:AZ106"/>
  <sheetViews>
    <sheetView tabSelected="1" topLeftCell="J17" zoomScale="85" zoomScaleNormal="85" workbookViewId="0">
      <selection activeCell="R37" sqref="R37"/>
    </sheetView>
  </sheetViews>
  <sheetFormatPr baseColWidth="10" defaultRowHeight="14.4" x14ac:dyDescent="0.3"/>
  <cols>
    <col min="2" max="4" width="16.77734375" customWidth="1"/>
    <col min="5" max="5" width="18.44140625" customWidth="1"/>
    <col min="6" max="8" width="16.77734375" customWidth="1"/>
    <col min="16" max="18" width="14.6640625" customWidth="1"/>
    <col min="19" max="19" width="15.33203125" bestFit="1" customWidth="1"/>
    <col min="20" max="20" width="18.44140625" bestFit="1" customWidth="1"/>
    <col min="22" max="22" width="12.6640625" bestFit="1" customWidth="1"/>
    <col min="23" max="23" width="29.109375" bestFit="1" customWidth="1"/>
    <col min="24" max="24" width="28.44140625" bestFit="1" customWidth="1"/>
    <col min="25" max="25" width="20.6640625" bestFit="1" customWidth="1"/>
    <col min="26" max="26" width="28" bestFit="1" customWidth="1"/>
    <col min="27" max="27" width="28.44140625" bestFit="1" customWidth="1"/>
    <col min="28" max="28" width="16.33203125" bestFit="1" customWidth="1"/>
    <col min="30" max="30" width="12.6640625" bestFit="1" customWidth="1"/>
    <col min="31" max="31" width="14.6640625" bestFit="1" customWidth="1"/>
    <col min="32" max="32" width="14.109375" bestFit="1" customWidth="1"/>
    <col min="33" max="34" width="16.6640625" bestFit="1" customWidth="1"/>
    <col min="35" max="35" width="17" bestFit="1" customWidth="1"/>
    <col min="36" max="36" width="11.109375" bestFit="1" customWidth="1"/>
    <col min="38" max="38" width="12.6640625" bestFit="1" customWidth="1"/>
    <col min="39" max="39" width="18.88671875" bestFit="1" customWidth="1"/>
    <col min="40" max="40" width="18.33203125" bestFit="1" customWidth="1"/>
    <col min="41" max="41" width="10" bestFit="1" customWidth="1"/>
    <col min="42" max="42" width="16.6640625" bestFit="1" customWidth="1"/>
    <col min="43" max="43" width="18.33203125" bestFit="1" customWidth="1"/>
    <col min="44" max="44" width="16.33203125" bestFit="1" customWidth="1"/>
    <col min="46" max="46" width="12.6640625" bestFit="1" customWidth="1"/>
    <col min="47" max="47" width="14.77734375" bestFit="1" customWidth="1"/>
    <col min="48" max="48" width="11.109375" bestFit="1" customWidth="1"/>
    <col min="49" max="49" width="17.44140625" bestFit="1" customWidth="1"/>
    <col min="50" max="50" width="18.33203125" bestFit="1" customWidth="1"/>
    <col min="51" max="51" width="15.44140625" bestFit="1" customWidth="1"/>
    <col min="52" max="52" width="15.88671875" bestFit="1" customWidth="1"/>
  </cols>
  <sheetData>
    <row r="1" spans="1:52" ht="43.2" x14ac:dyDescent="0.3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V1" s="507" t="s">
        <v>27</v>
      </c>
      <c r="W1" t="s">
        <v>227</v>
      </c>
      <c r="AD1" s="507" t="s">
        <v>27</v>
      </c>
      <c r="AE1" t="s">
        <v>227</v>
      </c>
      <c r="AL1" s="507" t="s">
        <v>27</v>
      </c>
      <c r="AM1" t="s">
        <v>227</v>
      </c>
      <c r="AV1" s="541" t="s">
        <v>61</v>
      </c>
      <c r="AW1" s="542" t="s">
        <v>62</v>
      </c>
      <c r="AX1" s="542" t="s">
        <v>63</v>
      </c>
      <c r="AY1" s="542" t="s">
        <v>64</v>
      </c>
      <c r="AZ1" s="542" t="s">
        <v>65</v>
      </c>
    </row>
    <row r="2" spans="1:52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AV2" s="543">
        <v>2446</v>
      </c>
      <c r="AW2" s="543">
        <v>2246</v>
      </c>
      <c r="AX2" s="543">
        <v>12974</v>
      </c>
      <c r="AY2" s="543">
        <v>20526</v>
      </c>
      <c r="AZ2" s="543">
        <v>20450</v>
      </c>
    </row>
    <row r="3" spans="1:52" ht="43.2" x14ac:dyDescent="0.3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V3" s="507" t="s">
        <v>79</v>
      </c>
      <c r="W3" t="s">
        <v>96</v>
      </c>
      <c r="X3" t="s">
        <v>95</v>
      </c>
      <c r="Y3" t="s">
        <v>228</v>
      </c>
      <c r="Z3" t="s">
        <v>93</v>
      </c>
      <c r="AA3" t="s">
        <v>229</v>
      </c>
      <c r="AB3" t="s">
        <v>230</v>
      </c>
      <c r="AD3" s="507" t="s">
        <v>79</v>
      </c>
      <c r="AE3" s="513" t="s">
        <v>235</v>
      </c>
      <c r="AF3" s="513" t="s">
        <v>234</v>
      </c>
      <c r="AG3" s="513" t="s">
        <v>231</v>
      </c>
      <c r="AH3" s="513" t="s">
        <v>232</v>
      </c>
      <c r="AI3" s="513" t="s">
        <v>233</v>
      </c>
      <c r="AJ3" s="513" t="s">
        <v>230</v>
      </c>
      <c r="AL3" s="507" t="s">
        <v>79</v>
      </c>
      <c r="AM3" t="s">
        <v>237</v>
      </c>
      <c r="AN3" t="s">
        <v>236</v>
      </c>
      <c r="AO3" t="s">
        <v>238</v>
      </c>
      <c r="AP3" t="s">
        <v>239</v>
      </c>
      <c r="AQ3" t="s">
        <v>240</v>
      </c>
      <c r="AR3" t="s">
        <v>230</v>
      </c>
      <c r="AT3" s="704" t="s">
        <v>79</v>
      </c>
      <c r="AU3" s="540" t="s">
        <v>225</v>
      </c>
      <c r="AV3" s="540" t="s">
        <v>350</v>
      </c>
      <c r="AW3" s="540" t="s">
        <v>351</v>
      </c>
      <c r="AX3" s="540" t="s">
        <v>352</v>
      </c>
      <c r="AY3" s="540" t="s">
        <v>353</v>
      </c>
      <c r="AZ3" s="540" t="s">
        <v>354</v>
      </c>
    </row>
    <row r="4" spans="1:52" x14ac:dyDescent="0.3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603" t="s">
        <v>247</v>
      </c>
      <c r="Q4" s="603"/>
      <c r="R4" s="603"/>
      <c r="S4" s="603"/>
      <c r="T4" s="603"/>
      <c r="U4" s="70"/>
      <c r="V4" s="361">
        <v>1</v>
      </c>
      <c r="W4" s="86">
        <v>0</v>
      </c>
      <c r="X4" s="86">
        <v>0</v>
      </c>
      <c r="Y4" s="86">
        <v>0</v>
      </c>
      <c r="Z4" s="86">
        <v>0</v>
      </c>
      <c r="AA4" s="86">
        <v>0</v>
      </c>
      <c r="AB4" s="73">
        <v>0</v>
      </c>
      <c r="AD4" s="361">
        <v>1</v>
      </c>
      <c r="AE4" s="86">
        <v>0</v>
      </c>
      <c r="AF4" s="86">
        <v>0</v>
      </c>
      <c r="AG4" s="86">
        <v>0</v>
      </c>
      <c r="AH4" s="86">
        <v>0</v>
      </c>
      <c r="AI4" s="86">
        <v>0</v>
      </c>
      <c r="AJ4" s="73">
        <v>0</v>
      </c>
      <c r="AL4" s="361">
        <v>1</v>
      </c>
      <c r="AM4" s="86">
        <v>0</v>
      </c>
      <c r="AN4" s="86">
        <v>0</v>
      </c>
      <c r="AO4" s="86">
        <v>0</v>
      </c>
      <c r="AP4" s="86">
        <v>0</v>
      </c>
      <c r="AQ4" s="86">
        <v>0</v>
      </c>
      <c r="AR4" s="73">
        <v>0</v>
      </c>
      <c r="AT4" s="503">
        <v>1</v>
      </c>
      <c r="AU4" s="539">
        <v>0</v>
      </c>
      <c r="AV4" s="539">
        <v>0</v>
      </c>
      <c r="AW4" s="539">
        <v>0</v>
      </c>
      <c r="AX4" s="539">
        <v>0</v>
      </c>
      <c r="AY4" s="539">
        <v>0</v>
      </c>
      <c r="AZ4" s="539">
        <v>0</v>
      </c>
    </row>
    <row r="5" spans="1:52" x14ac:dyDescent="0.3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564"/>
      <c r="Q5" s="538" t="s">
        <v>244</v>
      </c>
      <c r="R5" s="538" t="s">
        <v>245</v>
      </c>
      <c r="S5" s="538" t="s">
        <v>246</v>
      </c>
      <c r="T5" s="538" t="s">
        <v>355</v>
      </c>
      <c r="U5" s="70"/>
      <c r="V5" s="361">
        <v>2</v>
      </c>
      <c r="W5" s="86">
        <v>3.0668668522044822</v>
      </c>
      <c r="X5" s="86">
        <v>3.0668668522044822</v>
      </c>
      <c r="Y5" s="86">
        <v>196.27947854108686</v>
      </c>
      <c r="Z5" s="86">
        <v>245.34934817635857</v>
      </c>
      <c r="AA5" s="86">
        <v>147.20960890581514</v>
      </c>
      <c r="AB5" s="73">
        <v>2817.0889482935404</v>
      </c>
      <c r="AD5" s="361">
        <v>2</v>
      </c>
      <c r="AE5" s="86">
        <v>10</v>
      </c>
      <c r="AF5" s="86">
        <v>10</v>
      </c>
      <c r="AG5" s="86">
        <v>160</v>
      </c>
      <c r="AH5" s="86">
        <v>200</v>
      </c>
      <c r="AI5" s="86">
        <v>120</v>
      </c>
      <c r="AJ5" s="73">
        <v>2817.0889482935404</v>
      </c>
      <c r="AL5" s="361">
        <v>2</v>
      </c>
      <c r="AM5" s="86">
        <v>10</v>
      </c>
      <c r="AN5" s="86">
        <v>10</v>
      </c>
      <c r="AO5" s="86">
        <v>208</v>
      </c>
      <c r="AP5" s="86">
        <v>265</v>
      </c>
      <c r="AQ5" s="86">
        <v>150</v>
      </c>
      <c r="AR5" s="73">
        <v>2817.0889482935404</v>
      </c>
      <c r="AT5" s="503">
        <v>2</v>
      </c>
      <c r="AU5" s="539">
        <v>2817.0889482935404</v>
      </c>
      <c r="AV5" s="539">
        <v>211.78555734583273</v>
      </c>
      <c r="AW5" s="539">
        <v>942.75487036765776</v>
      </c>
      <c r="AX5" s="539">
        <v>1158.3556100776329</v>
      </c>
      <c r="AY5" s="539">
        <v>233.69525413798155</v>
      </c>
      <c r="AZ5" s="539">
        <v>270.49765636443533</v>
      </c>
    </row>
    <row r="6" spans="1:52" x14ac:dyDescent="0.3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564" t="s">
        <v>241</v>
      </c>
      <c r="Q6" s="565">
        <f>_xlfn.MINIFS(AA4:AA34,AA4:AA34,"&lt;&gt;0")</f>
        <v>25.120446918995928</v>
      </c>
      <c r="R6" s="565">
        <f>_xlfn.MINIFS(AI4:AI34,AI4:AI34,"&lt;&gt;0")</f>
        <v>40</v>
      </c>
      <c r="S6" s="565">
        <f>_xlfn.MINIFS(AQ4:AQ34,AQ4:AQ34,"&lt;&gt;0")</f>
        <v>50</v>
      </c>
      <c r="T6" s="567">
        <f>_xlfn.MINIFS(AX4:AX34,AX4:AX34,"&lt;&gt;0")</f>
        <v>197.66651669384922</v>
      </c>
      <c r="V6" s="361">
        <v>3</v>
      </c>
      <c r="W6" s="86">
        <v>0</v>
      </c>
      <c r="X6" s="86">
        <v>0</v>
      </c>
      <c r="Y6" s="86">
        <v>298.07585363140913</v>
      </c>
      <c r="Z6" s="86">
        <v>596.15170726281826</v>
      </c>
      <c r="AA6" s="86">
        <v>186.29740851963069</v>
      </c>
      <c r="AB6" s="73">
        <v>4078.2645145145138</v>
      </c>
      <c r="AD6" s="361">
        <v>3</v>
      </c>
      <c r="AE6" s="86">
        <v>0</v>
      </c>
      <c r="AF6" s="86">
        <v>0</v>
      </c>
      <c r="AG6" s="86">
        <v>80</v>
      </c>
      <c r="AH6" s="86">
        <v>160</v>
      </c>
      <c r="AI6" s="86">
        <v>50</v>
      </c>
      <c r="AJ6" s="73">
        <v>4078.2645145145138</v>
      </c>
      <c r="AL6" s="361">
        <v>3</v>
      </c>
      <c r="AM6" s="86">
        <v>0</v>
      </c>
      <c r="AN6" s="86">
        <v>0</v>
      </c>
      <c r="AO6" s="86">
        <v>104</v>
      </c>
      <c r="AP6" s="86">
        <v>212</v>
      </c>
      <c r="AQ6" s="86">
        <v>62.5</v>
      </c>
      <c r="AR6" s="73">
        <v>4078.2645145145138</v>
      </c>
      <c r="AT6" s="503">
        <v>3</v>
      </c>
      <c r="AU6" s="539">
        <v>4078.2645145145138</v>
      </c>
      <c r="AV6" s="539">
        <v>321.62384606829045</v>
      </c>
      <c r="AW6" s="539">
        <v>2290.7129351573794</v>
      </c>
      <c r="AX6" s="539">
        <v>1465.9277332888441</v>
      </c>
      <c r="AY6" s="539">
        <v>0</v>
      </c>
      <c r="AZ6" s="539">
        <v>0</v>
      </c>
    </row>
    <row r="7" spans="1:52" x14ac:dyDescent="0.3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564" t="s">
        <v>242</v>
      </c>
      <c r="Q7" s="565">
        <f>MAX(AA4:AA34)</f>
        <v>205.53092933723943</v>
      </c>
      <c r="R7" s="565">
        <f>MAX(AI4:AI34)</f>
        <v>350</v>
      </c>
      <c r="S7" s="565">
        <f>MAX(AQ4:AQ34)</f>
        <v>437.5</v>
      </c>
      <c r="T7" s="567">
        <f>MAX(AX4:AX34)</f>
        <v>1617.2715002224027</v>
      </c>
      <c r="V7" s="361">
        <v>4</v>
      </c>
      <c r="W7" s="86">
        <v>0</v>
      </c>
      <c r="X7" s="86">
        <v>0</v>
      </c>
      <c r="Y7" s="86">
        <v>0</v>
      </c>
      <c r="Z7" s="86">
        <v>0</v>
      </c>
      <c r="AA7" s="86">
        <v>0</v>
      </c>
      <c r="AB7" s="73">
        <v>0</v>
      </c>
      <c r="AD7" s="361">
        <v>4</v>
      </c>
      <c r="AE7" s="86">
        <v>0</v>
      </c>
      <c r="AF7" s="86">
        <v>0</v>
      </c>
      <c r="AG7" s="86">
        <v>0</v>
      </c>
      <c r="AH7" s="86">
        <v>0</v>
      </c>
      <c r="AI7" s="86">
        <v>0</v>
      </c>
      <c r="AJ7" s="73">
        <v>0</v>
      </c>
      <c r="AL7" s="361">
        <v>4</v>
      </c>
      <c r="AM7" s="86">
        <v>0</v>
      </c>
      <c r="AN7" s="86">
        <v>0</v>
      </c>
      <c r="AO7" s="86">
        <v>0</v>
      </c>
      <c r="AP7" s="86">
        <v>0</v>
      </c>
      <c r="AQ7" s="86">
        <v>0</v>
      </c>
      <c r="AR7" s="73">
        <v>0</v>
      </c>
      <c r="AT7" s="503">
        <v>4</v>
      </c>
      <c r="AU7" s="539">
        <v>0</v>
      </c>
      <c r="AV7" s="539">
        <v>0</v>
      </c>
      <c r="AW7" s="539">
        <v>0</v>
      </c>
      <c r="AX7" s="539">
        <v>0</v>
      </c>
      <c r="AY7" s="539">
        <v>0</v>
      </c>
      <c r="AZ7" s="539">
        <v>0</v>
      </c>
    </row>
    <row r="8" spans="1:52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564" t="s">
        <v>243</v>
      </c>
      <c r="Q8" s="568">
        <f>AVERAGEIF(AA4:AA34,"&lt;&gt;0")</f>
        <v>132.18519186123717</v>
      </c>
      <c r="R8" s="568">
        <f>AVERAGEIF(AI4:AI34,"&lt;&gt;0")</f>
        <v>150.80000000000001</v>
      </c>
      <c r="S8" s="568">
        <f>AVERAGEIF(AQ4:AQ34,"&lt;&gt;0")</f>
        <v>188.5</v>
      </c>
      <c r="T8" s="567">
        <f>AVERAGEIF(AX4:AX34,"&lt;&gt;0")</f>
        <v>1040.1322284581101</v>
      </c>
      <c r="V8" s="361">
        <v>5</v>
      </c>
      <c r="W8" s="86">
        <v>2.8781057768308189</v>
      </c>
      <c r="X8" s="86">
        <v>0</v>
      </c>
      <c r="Y8" s="86">
        <v>126.63665418055604</v>
      </c>
      <c r="Z8" s="86">
        <v>218.73603903914224</v>
      </c>
      <c r="AA8" s="86">
        <v>115.12423107323276</v>
      </c>
      <c r="AB8" s="73">
        <v>2136.8669026427024</v>
      </c>
      <c r="AD8" s="361">
        <v>5</v>
      </c>
      <c r="AE8" s="86">
        <v>10</v>
      </c>
      <c r="AF8" s="86">
        <v>0</v>
      </c>
      <c r="AG8" s="86">
        <v>110</v>
      </c>
      <c r="AH8" s="86">
        <v>190</v>
      </c>
      <c r="AI8" s="86">
        <v>100</v>
      </c>
      <c r="AJ8" s="73">
        <v>2136.8669026427024</v>
      </c>
      <c r="AL8" s="361">
        <v>5</v>
      </c>
      <c r="AM8" s="86">
        <v>10</v>
      </c>
      <c r="AN8" s="86">
        <v>0</v>
      </c>
      <c r="AO8" s="86">
        <v>143</v>
      </c>
      <c r="AP8" s="86">
        <v>251.75</v>
      </c>
      <c r="AQ8" s="86">
        <v>125</v>
      </c>
      <c r="AR8" s="73">
        <v>2136.8669026427024</v>
      </c>
      <c r="AT8" s="503">
        <v>5</v>
      </c>
      <c r="AU8" s="539">
        <v>2136.8669026427024</v>
      </c>
      <c r="AV8" s="539">
        <v>136.64094986081997</v>
      </c>
      <c r="AW8" s="539">
        <v>840.49323000790412</v>
      </c>
      <c r="AX8" s="539">
        <v>905.88379325750032</v>
      </c>
      <c r="AY8" s="539">
        <v>0</v>
      </c>
      <c r="AZ8" s="539">
        <v>253.84892951647822</v>
      </c>
    </row>
    <row r="9" spans="1:52" x14ac:dyDescent="0.3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604" t="s">
        <v>349</v>
      </c>
      <c r="Q9" s="604"/>
      <c r="R9" s="569">
        <f>GETPIVOTDATA("CONSUMO LITROS DECOLORANTE (L) ",$AD$3)</f>
        <v>3770</v>
      </c>
      <c r="S9" s="569">
        <f>GETPIVOTDATA("KG DECOLORANTE  ",$AL$3)</f>
        <v>4712.5</v>
      </c>
      <c r="T9" s="567">
        <f>S9*AX2</f>
        <v>61139975</v>
      </c>
      <c r="V9" s="361">
        <v>6</v>
      </c>
      <c r="W9" s="86">
        <v>2.3093573782244827</v>
      </c>
      <c r="X9" s="86">
        <v>1.1546786891122414</v>
      </c>
      <c r="Y9" s="86">
        <v>387.97203954171312</v>
      </c>
      <c r="Z9" s="86">
        <v>461.87147564489658</v>
      </c>
      <c r="AA9" s="86">
        <v>184.74859025795863</v>
      </c>
      <c r="AB9" s="73">
        <v>3938.7752822930879</v>
      </c>
      <c r="AD9" s="361">
        <v>6</v>
      </c>
      <c r="AE9" s="86">
        <v>10</v>
      </c>
      <c r="AF9" s="86">
        <v>5</v>
      </c>
      <c r="AG9" s="86">
        <v>420</v>
      </c>
      <c r="AH9" s="86">
        <v>500</v>
      </c>
      <c r="AI9" s="86">
        <v>200</v>
      </c>
      <c r="AJ9" s="73">
        <v>3938.7752822930879</v>
      </c>
      <c r="AL9" s="361">
        <v>6</v>
      </c>
      <c r="AM9" s="86">
        <v>10</v>
      </c>
      <c r="AN9" s="86">
        <v>5</v>
      </c>
      <c r="AO9" s="86">
        <v>546</v>
      </c>
      <c r="AP9" s="86">
        <v>662.5</v>
      </c>
      <c r="AQ9" s="86">
        <v>250</v>
      </c>
      <c r="AR9" s="73">
        <v>3938.7752822930879</v>
      </c>
      <c r="AT9" s="503">
        <v>6</v>
      </c>
      <c r="AU9" s="539">
        <v>3938.7752822930879</v>
      </c>
      <c r="AV9" s="539">
        <v>418.62183066550847</v>
      </c>
      <c r="AW9" s="539">
        <v>1774.7411451655153</v>
      </c>
      <c r="AX9" s="539">
        <v>1453.7404695923121</v>
      </c>
      <c r="AY9" s="539">
        <v>87.986516110352795</v>
      </c>
      <c r="AZ9" s="539">
        <v>203.68532075939939</v>
      </c>
    </row>
    <row r="10" spans="1:52" x14ac:dyDescent="0.3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583">
        <f>+S9/$F$86</f>
        <v>0.1606990622335891</v>
      </c>
      <c r="S10" s="38">
        <v>6468</v>
      </c>
      <c r="T10" s="570"/>
      <c r="V10" s="361">
        <v>7</v>
      </c>
      <c r="W10" s="86">
        <v>4.282646121328856</v>
      </c>
      <c r="X10" s="86">
        <v>1.4275487071096187</v>
      </c>
      <c r="Y10" s="86">
        <v>296.93013107880068</v>
      </c>
      <c r="Z10" s="86">
        <v>799.42727598138652</v>
      </c>
      <c r="AA10" s="86">
        <v>159.88545519627729</v>
      </c>
      <c r="AB10" s="73">
        <v>5136.7941943511687</v>
      </c>
      <c r="AD10" s="361">
        <v>7</v>
      </c>
      <c r="AE10" s="86">
        <v>15</v>
      </c>
      <c r="AF10" s="86">
        <v>5</v>
      </c>
      <c r="AG10" s="86">
        <v>260</v>
      </c>
      <c r="AH10" s="86">
        <v>700</v>
      </c>
      <c r="AI10" s="86">
        <v>140</v>
      </c>
      <c r="AJ10" s="73">
        <v>5136.7941943511687</v>
      </c>
      <c r="AL10" s="361">
        <v>7</v>
      </c>
      <c r="AM10" s="86">
        <v>15</v>
      </c>
      <c r="AN10" s="86">
        <v>5</v>
      </c>
      <c r="AO10" s="86">
        <v>338</v>
      </c>
      <c r="AP10" s="86">
        <v>927.5</v>
      </c>
      <c r="AQ10" s="86">
        <v>175</v>
      </c>
      <c r="AR10" s="73">
        <v>5136.7941943511687</v>
      </c>
      <c r="AT10" s="503">
        <v>7</v>
      </c>
      <c r="AU10" s="539">
        <v>5136.7941943511687</v>
      </c>
      <c r="AV10" s="539">
        <v>320.38761143402593</v>
      </c>
      <c r="AW10" s="539">
        <v>3071.7993079584776</v>
      </c>
      <c r="AX10" s="539">
        <v>1258.0986755757069</v>
      </c>
      <c r="AY10" s="539">
        <v>108.77921148175295</v>
      </c>
      <c r="AZ10" s="539">
        <v>377.72938790120509</v>
      </c>
    </row>
    <row r="11" spans="1:52" x14ac:dyDescent="0.3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603" t="s">
        <v>248</v>
      </c>
      <c r="Q11" s="603"/>
      <c r="R11" s="603"/>
      <c r="S11" s="603"/>
      <c r="T11" s="603"/>
      <c r="V11" s="361">
        <v>8</v>
      </c>
      <c r="W11" s="86">
        <v>3.9143440260488878</v>
      </c>
      <c r="X11" s="86">
        <v>1.3047813420162959</v>
      </c>
      <c r="Y11" s="86">
        <v>344.46227429230214</v>
      </c>
      <c r="Z11" s="86">
        <v>574.10379048717027</v>
      </c>
      <c r="AA11" s="86">
        <v>167.01201177808588</v>
      </c>
      <c r="AB11" s="73">
        <v>4336.5138579463128</v>
      </c>
      <c r="AD11" s="361">
        <v>8</v>
      </c>
      <c r="AE11" s="86">
        <v>15</v>
      </c>
      <c r="AF11" s="86">
        <v>5</v>
      </c>
      <c r="AG11" s="86">
        <v>330</v>
      </c>
      <c r="AH11" s="86">
        <v>550</v>
      </c>
      <c r="AI11" s="86">
        <v>160</v>
      </c>
      <c r="AJ11" s="73">
        <v>4336.5138579463128</v>
      </c>
      <c r="AL11" s="361">
        <v>8</v>
      </c>
      <c r="AM11" s="86">
        <v>15</v>
      </c>
      <c r="AN11" s="86">
        <v>5</v>
      </c>
      <c r="AO11" s="86">
        <v>429</v>
      </c>
      <c r="AP11" s="86">
        <v>728.75</v>
      </c>
      <c r="AQ11" s="86">
        <v>200</v>
      </c>
      <c r="AR11" s="73">
        <v>4336.5138579463128</v>
      </c>
      <c r="AT11" s="503">
        <v>8</v>
      </c>
      <c r="AU11" s="539">
        <v>4336.5138579463128</v>
      </c>
      <c r="AV11" s="539">
        <v>371.67479396139402</v>
      </c>
      <c r="AW11" s="539">
        <v>2205.9938149469517</v>
      </c>
      <c r="AX11" s="539">
        <v>1314.1757676788134</v>
      </c>
      <c r="AY11" s="539">
        <v>99.424338261641751</v>
      </c>
      <c r="AZ11" s="539">
        <v>345.24514309751191</v>
      </c>
    </row>
    <row r="12" spans="1:52" x14ac:dyDescent="0.3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564"/>
      <c r="Q12" s="538" t="s">
        <v>244</v>
      </c>
      <c r="R12" s="538" t="s">
        <v>245</v>
      </c>
      <c r="S12" s="538" t="s">
        <v>246</v>
      </c>
      <c r="T12" s="538" t="s">
        <v>355</v>
      </c>
      <c r="V12" s="361">
        <v>9</v>
      </c>
      <c r="W12" s="86">
        <v>3.8479209740408913</v>
      </c>
      <c r="X12" s="86">
        <v>1.2826403246802971</v>
      </c>
      <c r="Y12" s="86">
        <v>215.4835745462899</v>
      </c>
      <c r="Z12" s="86">
        <v>554.10062026188837</v>
      </c>
      <c r="AA12" s="86">
        <v>194.96132935140517</v>
      </c>
      <c r="AB12" s="73">
        <v>4332.8641932766668</v>
      </c>
      <c r="AD12" s="361">
        <v>9</v>
      </c>
      <c r="AE12" s="86">
        <v>15</v>
      </c>
      <c r="AF12" s="86">
        <v>5</v>
      </c>
      <c r="AG12" s="86">
        <v>210</v>
      </c>
      <c r="AH12" s="86">
        <v>540</v>
      </c>
      <c r="AI12" s="86">
        <v>190</v>
      </c>
      <c r="AJ12" s="73">
        <v>4332.8641932766668</v>
      </c>
      <c r="AL12" s="361">
        <v>9</v>
      </c>
      <c r="AM12" s="86">
        <v>15</v>
      </c>
      <c r="AN12" s="86">
        <v>5</v>
      </c>
      <c r="AO12" s="86">
        <v>273</v>
      </c>
      <c r="AP12" s="86">
        <v>715.5</v>
      </c>
      <c r="AQ12" s="86">
        <v>237.5</v>
      </c>
      <c r="AR12" s="73">
        <v>4332.8641932766668</v>
      </c>
      <c r="AT12" s="503">
        <v>9</v>
      </c>
      <c r="AU12" s="539">
        <v>4332.8641932766668</v>
      </c>
      <c r="AV12" s="539">
        <v>232.50677693544679</v>
      </c>
      <c r="AW12" s="539">
        <v>2129.1316333563059</v>
      </c>
      <c r="AX12" s="539">
        <v>1534.1019603338693</v>
      </c>
      <c r="AY12" s="539">
        <v>97.737192740638633</v>
      </c>
      <c r="AZ12" s="539">
        <v>339.38662991040661</v>
      </c>
    </row>
    <row r="13" spans="1:52" x14ac:dyDescent="0.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564" t="s">
        <v>241</v>
      </c>
      <c r="Q13" s="565">
        <f>_xlfn.MINIFS(Z4:Z34,Z4:Z34,"&lt;&gt;0")</f>
        <v>121.1164405023018</v>
      </c>
      <c r="R13" s="565">
        <f>_xlfn.MINIFS(AH4:AH34,AH4:AH34,"&lt;&gt;0")</f>
        <v>150</v>
      </c>
      <c r="S13" s="565">
        <f>_xlfn.MINIFS(AP4:AP34,AP4:AP34,"&lt;&gt;0")</f>
        <v>198.75</v>
      </c>
      <c r="T13" s="567">
        <f>_xlfn.MINIFS(AW4:AW34,AW4:AW34,"&lt;&gt;0")</f>
        <v>465.3899226300947</v>
      </c>
      <c r="V13" s="361">
        <v>10</v>
      </c>
      <c r="W13" s="86">
        <v>2.1035314211081526</v>
      </c>
      <c r="X13" s="86">
        <v>2.1035314211081526</v>
      </c>
      <c r="Y13" s="86">
        <v>67.313005475460884</v>
      </c>
      <c r="Z13" s="86">
        <v>269.25202190184353</v>
      </c>
      <c r="AA13" s="86">
        <v>134.62601095092177</v>
      </c>
      <c r="AB13" s="73">
        <v>2512.3906163661022</v>
      </c>
      <c r="AD13" s="361">
        <v>10</v>
      </c>
      <c r="AE13" s="86">
        <v>5</v>
      </c>
      <c r="AF13" s="86">
        <v>5</v>
      </c>
      <c r="AG13" s="86">
        <v>40</v>
      </c>
      <c r="AH13" s="86">
        <v>160</v>
      </c>
      <c r="AI13" s="86">
        <v>80</v>
      </c>
      <c r="AJ13" s="73">
        <v>2512.3906163661022</v>
      </c>
      <c r="AL13" s="361">
        <v>10</v>
      </c>
      <c r="AM13" s="86">
        <v>5</v>
      </c>
      <c r="AN13" s="86">
        <v>5</v>
      </c>
      <c r="AO13" s="86">
        <v>52</v>
      </c>
      <c r="AP13" s="86">
        <v>212</v>
      </c>
      <c r="AQ13" s="86">
        <v>100</v>
      </c>
      <c r="AR13" s="73">
        <v>2512.3906163661022</v>
      </c>
      <c r="AT13" s="503">
        <v>10</v>
      </c>
      <c r="AU13" s="539">
        <v>2512.3906163661022</v>
      </c>
      <c r="AV13" s="539">
        <v>72.630732908022296</v>
      </c>
      <c r="AW13" s="539">
        <v>1034.6008941578339</v>
      </c>
      <c r="AX13" s="539">
        <v>1059.3384236700656</v>
      </c>
      <c r="AY13" s="539">
        <v>160.28909428844125</v>
      </c>
      <c r="AZ13" s="539">
        <v>185.53147134173906</v>
      </c>
    </row>
    <row r="14" spans="1:52" x14ac:dyDescent="0.3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564" t="s">
        <v>242</v>
      </c>
      <c r="Q14" s="565">
        <f>MAX(Z4:Z34)</f>
        <v>799.42727598138652</v>
      </c>
      <c r="R14" s="565">
        <f>MAX(AH4:AH34)</f>
        <v>800</v>
      </c>
      <c r="S14" s="565">
        <f>MAX(AP4:AP34)</f>
        <v>1060</v>
      </c>
      <c r="T14" s="567">
        <f>MAX(AW4:AW34)</f>
        <v>3071.7993079584776</v>
      </c>
      <c r="V14" s="361">
        <v>11</v>
      </c>
      <c r="W14" s="86">
        <v>0</v>
      </c>
      <c r="X14" s="86">
        <v>0</v>
      </c>
      <c r="Y14" s="86">
        <v>0</v>
      </c>
      <c r="Z14" s="86">
        <v>0</v>
      </c>
      <c r="AA14" s="86">
        <v>0</v>
      </c>
      <c r="AB14" s="73">
        <v>0</v>
      </c>
      <c r="AD14" s="361">
        <v>11</v>
      </c>
      <c r="AE14" s="86">
        <v>0</v>
      </c>
      <c r="AF14" s="86">
        <v>0</v>
      </c>
      <c r="AG14" s="86">
        <v>0</v>
      </c>
      <c r="AH14" s="86">
        <v>0</v>
      </c>
      <c r="AI14" s="86">
        <v>0</v>
      </c>
      <c r="AJ14" s="73">
        <v>0</v>
      </c>
      <c r="AL14" s="361">
        <v>11</v>
      </c>
      <c r="AM14" s="86">
        <v>0</v>
      </c>
      <c r="AN14" s="86">
        <v>0</v>
      </c>
      <c r="AO14" s="86">
        <v>0</v>
      </c>
      <c r="AP14" s="86">
        <v>0</v>
      </c>
      <c r="AQ14" s="86">
        <v>0</v>
      </c>
      <c r="AR14" s="73">
        <v>0</v>
      </c>
      <c r="AT14" s="706">
        <v>11</v>
      </c>
      <c r="AU14" s="539">
        <v>0</v>
      </c>
      <c r="AV14" s="539">
        <v>0</v>
      </c>
      <c r="AW14" s="539">
        <v>0</v>
      </c>
      <c r="AX14" s="539">
        <v>0</v>
      </c>
      <c r="AY14" s="539">
        <v>0</v>
      </c>
      <c r="AZ14" s="539">
        <v>0</v>
      </c>
    </row>
    <row r="15" spans="1:52" x14ac:dyDescent="0.3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564" t="s">
        <v>243</v>
      </c>
      <c r="Q15" s="568">
        <f>AVERAGEIF(Z4:Z34,"&lt;&gt;0")</f>
        <v>405.15655930661245</v>
      </c>
      <c r="R15" s="568">
        <f>AVERAGEIF(AH4:AH34,"&lt;&gt;0")</f>
        <v>465.2</v>
      </c>
      <c r="S15" s="568">
        <f>AVERAGEIF(AP4:AP34,"&lt;&gt;0")</f>
        <v>616.39</v>
      </c>
      <c r="T15" s="567">
        <f>AVERAGEIF(AW4:AW34,"&lt;&gt;0")</f>
        <v>1556.8140791356586</v>
      </c>
      <c r="V15" s="361">
        <v>12</v>
      </c>
      <c r="W15" s="86">
        <v>0</v>
      </c>
      <c r="X15" s="86">
        <v>0</v>
      </c>
      <c r="Y15" s="86">
        <v>0</v>
      </c>
      <c r="Z15" s="86">
        <v>0</v>
      </c>
      <c r="AA15" s="86">
        <v>0</v>
      </c>
      <c r="AB15" s="73">
        <v>0</v>
      </c>
      <c r="AD15" s="361">
        <v>12</v>
      </c>
      <c r="AE15" s="86">
        <v>0</v>
      </c>
      <c r="AF15" s="86">
        <v>0</v>
      </c>
      <c r="AG15" s="86">
        <v>0</v>
      </c>
      <c r="AH15" s="86">
        <v>0</v>
      </c>
      <c r="AI15" s="86">
        <v>0</v>
      </c>
      <c r="AJ15" s="73">
        <v>0</v>
      </c>
      <c r="AL15" s="361">
        <v>12</v>
      </c>
      <c r="AM15" s="86">
        <v>0</v>
      </c>
      <c r="AN15" s="86">
        <v>0</v>
      </c>
      <c r="AO15" s="86">
        <v>0</v>
      </c>
      <c r="AP15" s="86">
        <v>0</v>
      </c>
      <c r="AQ15" s="86">
        <v>0</v>
      </c>
      <c r="AR15" s="73">
        <v>0</v>
      </c>
      <c r="AT15" s="503">
        <v>12</v>
      </c>
      <c r="AU15" s="539">
        <v>0</v>
      </c>
      <c r="AV15" s="539">
        <v>0</v>
      </c>
      <c r="AW15" s="539">
        <v>0</v>
      </c>
      <c r="AX15" s="539">
        <v>0</v>
      </c>
      <c r="AY15" s="539">
        <v>0</v>
      </c>
      <c r="AZ15" s="539">
        <v>0</v>
      </c>
    </row>
    <row r="16" spans="1:52" x14ac:dyDescent="0.3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604" t="s">
        <v>349</v>
      </c>
      <c r="Q16" s="604"/>
      <c r="R16" s="569">
        <f>GETPIVOTDATA("CONSUMO LITROS COAGULANTE (L) ",$AD$3)</f>
        <v>11630</v>
      </c>
      <c r="S16" s="569">
        <f>GETPIVOTDATA("KG COAGULANTE ",$AL$3)</f>
        <v>15409.75</v>
      </c>
      <c r="T16" s="567">
        <f>S16*AW2</f>
        <v>34610298.5</v>
      </c>
      <c r="V16" s="361">
        <v>13</v>
      </c>
      <c r="W16" s="86">
        <v>1.6893425179776298</v>
      </c>
      <c r="X16" s="86">
        <v>0.8446712589888149</v>
      </c>
      <c r="Y16" s="86">
        <v>317.59639337979439</v>
      </c>
      <c r="Z16" s="86">
        <v>439.22905467418377</v>
      </c>
      <c r="AA16" s="86">
        <v>162.17688172585247</v>
      </c>
      <c r="AB16" s="73">
        <v>3519.9174491432254</v>
      </c>
      <c r="AD16" s="361">
        <v>13</v>
      </c>
      <c r="AE16" s="86">
        <v>10</v>
      </c>
      <c r="AF16" s="86">
        <v>5</v>
      </c>
      <c r="AG16" s="86">
        <v>470</v>
      </c>
      <c r="AH16" s="86">
        <v>650</v>
      </c>
      <c r="AI16" s="86">
        <v>240</v>
      </c>
      <c r="AJ16" s="73">
        <v>3519.9174491432254</v>
      </c>
      <c r="AL16" s="361">
        <v>13</v>
      </c>
      <c r="AM16" s="86">
        <v>10</v>
      </c>
      <c r="AN16" s="86">
        <v>5</v>
      </c>
      <c r="AO16" s="86">
        <v>611</v>
      </c>
      <c r="AP16" s="86">
        <v>861.25</v>
      </c>
      <c r="AQ16" s="86">
        <v>300</v>
      </c>
      <c r="AR16" s="73">
        <v>3519.9174491432254</v>
      </c>
      <c r="AT16" s="503">
        <v>13</v>
      </c>
      <c r="AU16" s="539">
        <v>3519.9174491432254</v>
      </c>
      <c r="AV16" s="539">
        <v>342.68650845679815</v>
      </c>
      <c r="AW16" s="539">
        <v>1687.7376425855509</v>
      </c>
      <c r="AX16" s="539">
        <v>1276.1293380803015</v>
      </c>
      <c r="AY16" s="539">
        <v>64.363949934947698</v>
      </c>
      <c r="AZ16" s="539">
        <v>149.00001008562694</v>
      </c>
    </row>
    <row r="17" spans="1:52" x14ac:dyDescent="0.3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583">
        <f>+S16/$F$86</f>
        <v>0.52548167092924125</v>
      </c>
      <c r="S17" s="38"/>
      <c r="T17" s="67"/>
      <c r="V17" s="361">
        <v>14</v>
      </c>
      <c r="W17" s="86">
        <v>2.1195377087902814</v>
      </c>
      <c r="X17" s="86">
        <v>0.70651256959676045</v>
      </c>
      <c r="Y17" s="86">
        <v>158.25881558967436</v>
      </c>
      <c r="Z17" s="86">
        <v>384.3428378606377</v>
      </c>
      <c r="AA17" s="86">
        <v>197.82351948709294</v>
      </c>
      <c r="AB17" s="73">
        <v>3445.0019191833976</v>
      </c>
      <c r="AD17" s="361">
        <v>14</v>
      </c>
      <c r="AE17" s="86">
        <v>15</v>
      </c>
      <c r="AF17" s="86">
        <v>5</v>
      </c>
      <c r="AG17" s="86">
        <v>280</v>
      </c>
      <c r="AH17" s="86">
        <v>680</v>
      </c>
      <c r="AI17" s="86">
        <v>350</v>
      </c>
      <c r="AJ17" s="73">
        <v>3445.0019191833976</v>
      </c>
      <c r="AL17" s="361">
        <v>14</v>
      </c>
      <c r="AM17" s="86">
        <v>15</v>
      </c>
      <c r="AN17" s="86">
        <v>5</v>
      </c>
      <c r="AO17" s="86">
        <v>364</v>
      </c>
      <c r="AP17" s="86">
        <v>901</v>
      </c>
      <c r="AQ17" s="86">
        <v>437.5</v>
      </c>
      <c r="AR17" s="73">
        <v>3445.0019191833976</v>
      </c>
      <c r="AT17" s="503">
        <v>14</v>
      </c>
      <c r="AU17" s="539">
        <v>3445.0019191833976</v>
      </c>
      <c r="AV17" s="539">
        <v>170.76126202125863</v>
      </c>
      <c r="AW17" s="539">
        <v>1476.8373544795004</v>
      </c>
      <c r="AX17" s="539">
        <v>1556.6238189640626</v>
      </c>
      <c r="AY17" s="539">
        <v>53.836257803273149</v>
      </c>
      <c r="AZ17" s="539">
        <v>186.94322591530283</v>
      </c>
    </row>
    <row r="18" spans="1:52" x14ac:dyDescent="0.3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603" t="s">
        <v>249</v>
      </c>
      <c r="Q18" s="603"/>
      <c r="R18" s="603"/>
      <c r="S18" s="603"/>
      <c r="T18" s="603"/>
      <c r="V18" s="361">
        <v>15</v>
      </c>
      <c r="W18" s="86">
        <v>2.1195377087902814</v>
      </c>
      <c r="X18" s="86">
        <v>0.70651256959676045</v>
      </c>
      <c r="Y18" s="86">
        <v>113.04201113548169</v>
      </c>
      <c r="Z18" s="86">
        <v>344.77813396321915</v>
      </c>
      <c r="AA18" s="86">
        <v>84.781508351611265</v>
      </c>
      <c r="AB18" s="73">
        <v>2354.6862873291711</v>
      </c>
      <c r="AD18" s="361">
        <v>15</v>
      </c>
      <c r="AE18" s="86">
        <v>15</v>
      </c>
      <c r="AF18" s="86">
        <v>5</v>
      </c>
      <c r="AG18" s="86">
        <v>200</v>
      </c>
      <c r="AH18" s="86">
        <v>610</v>
      </c>
      <c r="AI18" s="86">
        <v>150</v>
      </c>
      <c r="AJ18" s="73">
        <v>2354.6862873291711</v>
      </c>
      <c r="AL18" s="361">
        <v>15</v>
      </c>
      <c r="AM18" s="86">
        <v>15</v>
      </c>
      <c r="AN18" s="86">
        <v>5</v>
      </c>
      <c r="AO18" s="86">
        <v>260</v>
      </c>
      <c r="AP18" s="86">
        <v>808.25</v>
      </c>
      <c r="AQ18" s="86">
        <v>187.5</v>
      </c>
      <c r="AR18" s="73">
        <v>2354.6862873291711</v>
      </c>
      <c r="AT18" s="503">
        <v>15</v>
      </c>
      <c r="AU18" s="539">
        <v>2354.6862873291711</v>
      </c>
      <c r="AV18" s="539">
        <v>121.97233001518474</v>
      </c>
      <c r="AW18" s="539">
        <v>1324.8099797536695</v>
      </c>
      <c r="AX18" s="539">
        <v>667.12449384174113</v>
      </c>
      <c r="AY18" s="539">
        <v>53.836257803273149</v>
      </c>
      <c r="AZ18" s="539">
        <v>186.94322591530283</v>
      </c>
    </row>
    <row r="19" spans="1:52" x14ac:dyDescent="0.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564"/>
      <c r="Q19" s="538" t="s">
        <v>244</v>
      </c>
      <c r="R19" s="538" t="s">
        <v>245</v>
      </c>
      <c r="S19" s="538" t="s">
        <v>246</v>
      </c>
      <c r="T19" s="538" t="s">
        <v>355</v>
      </c>
      <c r="V19" s="361">
        <v>16</v>
      </c>
      <c r="W19" s="86">
        <v>2.6198073073073069</v>
      </c>
      <c r="X19" s="86">
        <v>0.87326910243576905</v>
      </c>
      <c r="Y19" s="86">
        <v>146.70920920920921</v>
      </c>
      <c r="Z19" s="86">
        <v>419.16916916916915</v>
      </c>
      <c r="AA19" s="86">
        <v>132.7369035702369</v>
      </c>
      <c r="AB19" s="73">
        <v>3111.040389347681</v>
      </c>
      <c r="AD19" s="361">
        <v>16</v>
      </c>
      <c r="AE19" s="86">
        <v>15</v>
      </c>
      <c r="AF19" s="86">
        <v>5</v>
      </c>
      <c r="AG19" s="86">
        <v>210</v>
      </c>
      <c r="AH19" s="86">
        <v>600</v>
      </c>
      <c r="AI19" s="86">
        <v>190</v>
      </c>
      <c r="AJ19" s="73">
        <v>3111.040389347681</v>
      </c>
      <c r="AL19" s="361">
        <v>16</v>
      </c>
      <c r="AM19" s="86">
        <v>15</v>
      </c>
      <c r="AN19" s="86">
        <v>5</v>
      </c>
      <c r="AO19" s="86">
        <v>273</v>
      </c>
      <c r="AP19" s="86">
        <v>795</v>
      </c>
      <c r="AQ19" s="86">
        <v>237.5</v>
      </c>
      <c r="AR19" s="73">
        <v>3111.040389347681</v>
      </c>
      <c r="AT19" s="503">
        <v>16</v>
      </c>
      <c r="AU19" s="539">
        <v>3111.040389347681</v>
      </c>
      <c r="AV19" s="539">
        <v>158.29923673673673</v>
      </c>
      <c r="AW19" s="539">
        <v>1610.6575325325325</v>
      </c>
      <c r="AX19" s="539">
        <v>1044.4735099683016</v>
      </c>
      <c r="AY19" s="539">
        <v>66.543105605605604</v>
      </c>
      <c r="AZ19" s="539">
        <v>231.0670045045045</v>
      </c>
    </row>
    <row r="20" spans="1:52" x14ac:dyDescent="0.3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564" t="s">
        <v>241</v>
      </c>
      <c r="Q20" s="565">
        <f>_xlfn.MINIFS(Y4:Y34,Y4:Y34,"&lt;&gt;0")</f>
        <v>20.553092933723942</v>
      </c>
      <c r="R20" s="565">
        <f>_xlfn.MINIFS(AG4:AG34,AG4:AG34,"&lt;&gt;0")</f>
        <v>20</v>
      </c>
      <c r="S20" s="565">
        <f>_xlfn.MINIFS(AO4:AO34,AO4:AO34,"&lt;&gt;0")</f>
        <v>26</v>
      </c>
      <c r="T20" s="571">
        <f>_xlfn.MINIFS(AV4:AV34,AV4:AV34,"&lt;&gt;0")</f>
        <v>22.176787275488131</v>
      </c>
      <c r="V20" s="361">
        <v>17</v>
      </c>
      <c r="W20" s="86">
        <v>2.0450272263326248</v>
      </c>
      <c r="X20" s="86">
        <v>1.0225136131663124</v>
      </c>
      <c r="Y20" s="86">
        <v>155.4220692012795</v>
      </c>
      <c r="Z20" s="86">
        <v>130.88174248528799</v>
      </c>
      <c r="AA20" s="86">
        <v>49.080653431982995</v>
      </c>
      <c r="AB20" s="73">
        <v>1315.1038385466265</v>
      </c>
      <c r="AD20" s="361">
        <v>17</v>
      </c>
      <c r="AE20" s="86">
        <v>10</v>
      </c>
      <c r="AF20" s="86">
        <v>5</v>
      </c>
      <c r="AG20" s="86">
        <v>190</v>
      </c>
      <c r="AH20" s="86">
        <v>160</v>
      </c>
      <c r="AI20" s="86">
        <v>60</v>
      </c>
      <c r="AJ20" s="73">
        <v>1315.1038385466265</v>
      </c>
      <c r="AL20" s="361">
        <v>17</v>
      </c>
      <c r="AM20" s="86">
        <v>10</v>
      </c>
      <c r="AN20" s="86">
        <v>5</v>
      </c>
      <c r="AO20" s="86">
        <v>247</v>
      </c>
      <c r="AP20" s="86">
        <v>212</v>
      </c>
      <c r="AQ20" s="86">
        <v>75</v>
      </c>
      <c r="AR20" s="73">
        <v>1315.1038385466265</v>
      </c>
      <c r="AT20" s="503">
        <v>17</v>
      </c>
      <c r="AU20" s="539">
        <v>1315.1038385466265</v>
      </c>
      <c r="AV20" s="539">
        <v>167.70041266818058</v>
      </c>
      <c r="AW20" s="539">
        <v>502.91309549971913</v>
      </c>
      <c r="AX20" s="539">
        <v>386.20339169291623</v>
      </c>
      <c r="AY20" s="539">
        <v>77.915537323273014</v>
      </c>
      <c r="AZ20" s="539">
        <v>180.37140136253751</v>
      </c>
    </row>
    <row r="21" spans="1:52" x14ac:dyDescent="0.3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564" t="s">
        <v>242</v>
      </c>
      <c r="Q21" s="565">
        <f>MAX(Y4:Y34)</f>
        <v>387.97203954171312</v>
      </c>
      <c r="R21" s="565">
        <f>MAX(AG4:AG34)</f>
        <v>470</v>
      </c>
      <c r="S21" s="565">
        <f>MAX(AO4:AO34)</f>
        <v>611</v>
      </c>
      <c r="T21" s="571">
        <f>MAX(AV4:AV34)</f>
        <v>418.62183066550847</v>
      </c>
      <c r="V21" s="361">
        <v>18</v>
      </c>
      <c r="W21" s="86">
        <v>0</v>
      </c>
      <c r="X21" s="86">
        <v>0</v>
      </c>
      <c r="Y21" s="86">
        <v>0</v>
      </c>
      <c r="Z21" s="86">
        <v>0</v>
      </c>
      <c r="AA21" s="86">
        <v>0</v>
      </c>
      <c r="AB21" s="73">
        <v>0</v>
      </c>
      <c r="AD21" s="361">
        <v>18</v>
      </c>
      <c r="AE21" s="86">
        <v>0</v>
      </c>
      <c r="AF21" s="86">
        <v>0</v>
      </c>
      <c r="AG21" s="86">
        <v>0</v>
      </c>
      <c r="AH21" s="86">
        <v>0</v>
      </c>
      <c r="AI21" s="86">
        <v>0</v>
      </c>
      <c r="AJ21" s="73">
        <v>0</v>
      </c>
      <c r="AL21" s="361">
        <v>18</v>
      </c>
      <c r="AM21" s="86">
        <v>0</v>
      </c>
      <c r="AN21" s="86">
        <v>0</v>
      </c>
      <c r="AO21" s="86">
        <v>0</v>
      </c>
      <c r="AP21" s="86">
        <v>0</v>
      </c>
      <c r="AQ21" s="86">
        <v>0</v>
      </c>
      <c r="AR21" s="73">
        <v>0</v>
      </c>
      <c r="AT21" s="503">
        <v>18</v>
      </c>
      <c r="AU21" s="539">
        <v>0</v>
      </c>
      <c r="AV21" s="539">
        <v>0</v>
      </c>
      <c r="AW21" s="539">
        <v>0</v>
      </c>
      <c r="AX21" s="539">
        <v>0</v>
      </c>
      <c r="AY21" s="539">
        <v>0</v>
      </c>
      <c r="AZ21" s="539">
        <v>0</v>
      </c>
    </row>
    <row r="22" spans="1:52" x14ac:dyDescent="0.3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564" t="s">
        <v>243</v>
      </c>
      <c r="Q22" s="568">
        <f>AVERAGEIF(Y4:Y34,"&lt;&gt;0")</f>
        <v>181.66744160116127</v>
      </c>
      <c r="R22" s="568">
        <f>AVERAGEIF(AG4:AG34,"&lt;&gt;0")</f>
        <v>208</v>
      </c>
      <c r="S22" s="568">
        <f>AVERAGEIF(AO4:AO34,"&lt;&gt;0")</f>
        <v>270.39999999999998</v>
      </c>
      <c r="T22" s="571">
        <f>AVERAGEIF(AV4:AV34,"&lt;&gt;0")</f>
        <v>196.01916948765304</v>
      </c>
      <c r="V22" s="361">
        <v>19</v>
      </c>
      <c r="W22" s="86">
        <v>2.0186073417050299</v>
      </c>
      <c r="X22" s="86">
        <v>0.6728691139016767</v>
      </c>
      <c r="Y22" s="86">
        <v>161.48858733640239</v>
      </c>
      <c r="Z22" s="86">
        <v>328.36012758401819</v>
      </c>
      <c r="AA22" s="86">
        <v>134.57382278033532</v>
      </c>
      <c r="AB22" s="73">
        <v>2724.2115379980232</v>
      </c>
      <c r="AD22" s="361">
        <v>19</v>
      </c>
      <c r="AE22" s="86">
        <v>15</v>
      </c>
      <c r="AF22" s="86">
        <v>5</v>
      </c>
      <c r="AG22" s="86">
        <v>300</v>
      </c>
      <c r="AH22" s="86">
        <v>610</v>
      </c>
      <c r="AI22" s="86">
        <v>250</v>
      </c>
      <c r="AJ22" s="73">
        <v>2724.2115379980232</v>
      </c>
      <c r="AL22" s="361">
        <v>19</v>
      </c>
      <c r="AM22" s="86">
        <v>15</v>
      </c>
      <c r="AN22" s="86">
        <v>5</v>
      </c>
      <c r="AO22" s="86">
        <v>390</v>
      </c>
      <c r="AP22" s="86">
        <v>808.25</v>
      </c>
      <c r="AQ22" s="86">
        <v>312.5</v>
      </c>
      <c r="AR22" s="73">
        <v>2724.2115379980232</v>
      </c>
      <c r="AT22" s="503">
        <v>19</v>
      </c>
      <c r="AU22" s="539">
        <v>2724.2115379980232</v>
      </c>
      <c r="AV22" s="539">
        <v>174.2461857359782</v>
      </c>
      <c r="AW22" s="539">
        <v>1261.72379024159</v>
      </c>
      <c r="AX22" s="539">
        <v>1058.9277680027637</v>
      </c>
      <c r="AY22" s="539">
        <v>51.27262647930776</v>
      </c>
      <c r="AZ22" s="539">
        <v>178.04116753838366</v>
      </c>
    </row>
    <row r="23" spans="1:52" x14ac:dyDescent="0.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604" t="s">
        <v>349</v>
      </c>
      <c r="Q23" s="604"/>
      <c r="R23" s="569">
        <f>GETPIVOTDATA("CONSUMO LITROS ACIDO (L) ",$AD$3)</f>
        <v>5200</v>
      </c>
      <c r="S23" s="569">
        <f>GETPIVOTDATA("KG ACIDO ",$AL$3)</f>
        <v>6760</v>
      </c>
      <c r="T23" s="571">
        <f>AV2*S23</f>
        <v>16534960</v>
      </c>
      <c r="V23" s="361">
        <v>20</v>
      </c>
      <c r="W23" s="86">
        <v>1.5700279324372455</v>
      </c>
      <c r="X23" s="86">
        <v>1.5700279324372455</v>
      </c>
      <c r="Y23" s="86">
        <v>188.40335189246946</v>
      </c>
      <c r="Z23" s="86">
        <v>439.60782108242876</v>
      </c>
      <c r="AA23" s="86">
        <v>25.120446918995928</v>
      </c>
      <c r="AB23" s="73">
        <v>2348.2593779877393</v>
      </c>
      <c r="AD23" s="361">
        <v>20</v>
      </c>
      <c r="AE23" s="86">
        <v>10</v>
      </c>
      <c r="AF23" s="86">
        <v>10</v>
      </c>
      <c r="AG23" s="86">
        <v>300</v>
      </c>
      <c r="AH23" s="86">
        <v>700</v>
      </c>
      <c r="AI23" s="86">
        <v>40</v>
      </c>
      <c r="AJ23" s="73">
        <v>2348.2593779877393</v>
      </c>
      <c r="AL23" s="361">
        <v>20</v>
      </c>
      <c r="AM23" s="86">
        <v>10</v>
      </c>
      <c r="AN23" s="86">
        <v>10</v>
      </c>
      <c r="AO23" s="86">
        <v>390</v>
      </c>
      <c r="AP23" s="86">
        <v>927.5</v>
      </c>
      <c r="AQ23" s="86">
        <v>50</v>
      </c>
      <c r="AR23" s="73">
        <v>2348.2593779877393</v>
      </c>
      <c r="AT23" s="503">
        <v>20</v>
      </c>
      <c r="AU23" s="539">
        <v>2348.2593779877393</v>
      </c>
      <c r="AV23" s="539">
        <v>203.28721669197455</v>
      </c>
      <c r="AW23" s="539">
        <v>1689.1930525092325</v>
      </c>
      <c r="AX23" s="539">
        <v>197.66651669384922</v>
      </c>
      <c r="AY23" s="539">
        <v>119.63612845171811</v>
      </c>
      <c r="AZ23" s="539">
        <v>138.47646364096505</v>
      </c>
    </row>
    <row r="24" spans="1:52" x14ac:dyDescent="0.3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583">
        <f>+S23/$F$86</f>
        <v>0.23052003410059677</v>
      </c>
      <c r="S24" s="38"/>
      <c r="T24" s="96"/>
      <c r="V24" s="361">
        <v>21</v>
      </c>
      <c r="W24" s="86">
        <v>2.3550418986558688</v>
      </c>
      <c r="X24" s="86">
        <v>1.5700279324372457</v>
      </c>
      <c r="Y24" s="86">
        <v>125.60223459497966</v>
      </c>
      <c r="Z24" s="86">
        <v>314.00558648744914</v>
      </c>
      <c r="AA24" s="86">
        <v>131.88234632472864</v>
      </c>
      <c r="AB24" s="73">
        <v>2707.1913137618808</v>
      </c>
      <c r="AD24" s="361">
        <v>21</v>
      </c>
      <c r="AE24" s="86">
        <v>15</v>
      </c>
      <c r="AF24" s="86">
        <v>10</v>
      </c>
      <c r="AG24" s="86">
        <v>200</v>
      </c>
      <c r="AH24" s="86">
        <v>500</v>
      </c>
      <c r="AI24" s="86">
        <v>210</v>
      </c>
      <c r="AJ24" s="73">
        <v>2707.1913137618808</v>
      </c>
      <c r="AL24" s="361">
        <v>21</v>
      </c>
      <c r="AM24" s="86">
        <v>15</v>
      </c>
      <c r="AN24" s="86">
        <v>10</v>
      </c>
      <c r="AO24" s="86">
        <v>260</v>
      </c>
      <c r="AP24" s="86">
        <v>662.5</v>
      </c>
      <c r="AQ24" s="86">
        <v>262.5</v>
      </c>
      <c r="AR24" s="73">
        <v>2707.1913137618808</v>
      </c>
      <c r="AT24" s="503">
        <v>21</v>
      </c>
      <c r="AU24" s="539">
        <v>2707.1913137618808</v>
      </c>
      <c r="AV24" s="539">
        <v>135.52481112798304</v>
      </c>
      <c r="AW24" s="539">
        <v>1206.5664660780233</v>
      </c>
      <c r="AX24" s="539">
        <v>1037.7492126427085</v>
      </c>
      <c r="AY24" s="539">
        <v>119.63612845171812</v>
      </c>
      <c r="AZ24" s="539">
        <v>207.7146954614476</v>
      </c>
    </row>
    <row r="25" spans="1:52" x14ac:dyDescent="0.3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603" t="s">
        <v>250</v>
      </c>
      <c r="Q25" s="603"/>
      <c r="R25" s="603"/>
      <c r="S25" s="603"/>
      <c r="T25" s="96"/>
      <c r="V25" s="361">
        <v>22</v>
      </c>
      <c r="W25" s="86">
        <v>2.3550418986558683</v>
      </c>
      <c r="X25" s="86">
        <v>0.78501396621862274</v>
      </c>
      <c r="Y25" s="86">
        <v>100.48178767598371</v>
      </c>
      <c r="Z25" s="86">
        <v>502.40893837991854</v>
      </c>
      <c r="AA25" s="86">
        <v>150.72268151397557</v>
      </c>
      <c r="AB25" s="73">
        <v>3492.4580544776254</v>
      </c>
      <c r="AD25" s="361">
        <v>22</v>
      </c>
      <c r="AE25" s="86">
        <v>15</v>
      </c>
      <c r="AF25" s="86">
        <v>5</v>
      </c>
      <c r="AG25" s="86">
        <v>160</v>
      </c>
      <c r="AH25" s="86">
        <v>800</v>
      </c>
      <c r="AI25" s="86">
        <v>240</v>
      </c>
      <c r="AJ25" s="73">
        <v>3492.4580544776254</v>
      </c>
      <c r="AL25" s="361">
        <v>22</v>
      </c>
      <c r="AM25" s="86">
        <v>15</v>
      </c>
      <c r="AN25" s="86">
        <v>5</v>
      </c>
      <c r="AO25" s="86">
        <v>208</v>
      </c>
      <c r="AP25" s="86">
        <v>1060</v>
      </c>
      <c r="AQ25" s="86">
        <v>300</v>
      </c>
      <c r="AR25" s="73">
        <v>3492.4580544776254</v>
      </c>
      <c r="AT25" s="503">
        <v>22</v>
      </c>
      <c r="AU25" s="539">
        <v>3492.4580544776254</v>
      </c>
      <c r="AV25" s="539">
        <v>108.41984890238642</v>
      </c>
      <c r="AW25" s="539">
        <v>1930.506345724837</v>
      </c>
      <c r="AX25" s="539">
        <v>1185.9991001630951</v>
      </c>
      <c r="AY25" s="539">
        <v>59.818064225859054</v>
      </c>
      <c r="AZ25" s="539">
        <v>207.71469546144758</v>
      </c>
    </row>
    <row r="26" spans="1:52" x14ac:dyDescent="0.3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564"/>
      <c r="Q26" s="538" t="s">
        <v>244</v>
      </c>
      <c r="R26" s="538" t="s">
        <v>246</v>
      </c>
      <c r="S26" s="538" t="s">
        <v>355</v>
      </c>
      <c r="T26" s="572"/>
      <c r="V26" s="361">
        <v>23</v>
      </c>
      <c r="W26" s="86">
        <v>3.8537049250732389</v>
      </c>
      <c r="X26" s="86">
        <v>2.5691366167154928</v>
      </c>
      <c r="Y26" s="86">
        <v>20.553092933723942</v>
      </c>
      <c r="Z26" s="86">
        <v>719.35825268033796</v>
      </c>
      <c r="AA26" s="86">
        <v>113.04201113548167</v>
      </c>
      <c r="AB26" s="73">
        <v>4211.4751829071884</v>
      </c>
      <c r="AD26" s="361">
        <v>23</v>
      </c>
      <c r="AE26" s="86">
        <v>15</v>
      </c>
      <c r="AF26" s="86">
        <v>10</v>
      </c>
      <c r="AG26" s="86">
        <v>20</v>
      </c>
      <c r="AH26" s="86">
        <v>700</v>
      </c>
      <c r="AI26" s="86">
        <v>110</v>
      </c>
      <c r="AJ26" s="73">
        <v>4211.4751829071884</v>
      </c>
      <c r="AL26" s="361">
        <v>23</v>
      </c>
      <c r="AM26" s="86">
        <v>15</v>
      </c>
      <c r="AN26" s="86">
        <v>10</v>
      </c>
      <c r="AO26" s="86">
        <v>26</v>
      </c>
      <c r="AP26" s="86">
        <v>927.5</v>
      </c>
      <c r="AQ26" s="86">
        <v>137.5</v>
      </c>
      <c r="AR26" s="73">
        <v>4211.4751829071884</v>
      </c>
      <c r="AT26" s="503">
        <v>23</v>
      </c>
      <c r="AU26" s="539">
        <v>4211.4751829071884</v>
      </c>
      <c r="AV26" s="539">
        <v>22.176787275488131</v>
      </c>
      <c r="AW26" s="539">
        <v>2764.1340859241986</v>
      </c>
      <c r="AX26" s="539">
        <v>889.49932512232135</v>
      </c>
      <c r="AY26" s="539">
        <v>195.76821019372053</v>
      </c>
      <c r="AZ26" s="539">
        <v>339.89677439145964</v>
      </c>
    </row>
    <row r="27" spans="1:52" x14ac:dyDescent="0.3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564" t="s">
        <v>241</v>
      </c>
      <c r="Q27" s="565">
        <f>_xlfn.MINIFS(X4:X34,X4:X34,"&lt;&gt;0")</f>
        <v>0.6728691139016767</v>
      </c>
      <c r="R27" s="565">
        <f>_xlfn.MINIFS(AN4:AN34,AN4:AN34,"&lt;&gt;0")</f>
        <v>5</v>
      </c>
      <c r="S27" s="567">
        <f>_xlfn.MINIFS(AY4:AY34,AY4:AY34,"&lt;&gt;0")</f>
        <v>51.27262647930776</v>
      </c>
      <c r="T27" s="38"/>
      <c r="V27" s="361">
        <v>24</v>
      </c>
      <c r="W27" s="86">
        <v>1.5700279324372457</v>
      </c>
      <c r="X27" s="86">
        <v>1.5700279324372457</v>
      </c>
      <c r="Y27" s="86">
        <v>37.6806703784939</v>
      </c>
      <c r="Z27" s="86">
        <v>188.40335189246949</v>
      </c>
      <c r="AA27" s="86">
        <v>50.240893837991862</v>
      </c>
      <c r="AB27" s="73">
        <v>1418.0429484655906</v>
      </c>
      <c r="AD27" s="361">
        <v>24</v>
      </c>
      <c r="AE27" s="86">
        <v>5</v>
      </c>
      <c r="AF27" s="86">
        <v>5</v>
      </c>
      <c r="AG27" s="86">
        <v>30</v>
      </c>
      <c r="AH27" s="86">
        <v>150</v>
      </c>
      <c r="AI27" s="86">
        <v>40</v>
      </c>
      <c r="AJ27" s="73">
        <v>1418.0429484655906</v>
      </c>
      <c r="AL27" s="361">
        <v>24</v>
      </c>
      <c r="AM27" s="86">
        <v>5</v>
      </c>
      <c r="AN27" s="86">
        <v>5</v>
      </c>
      <c r="AO27" s="86">
        <v>39</v>
      </c>
      <c r="AP27" s="86">
        <v>198.75</v>
      </c>
      <c r="AQ27" s="86">
        <v>50</v>
      </c>
      <c r="AR27" s="73">
        <v>1418.0429484655906</v>
      </c>
      <c r="AT27" s="503">
        <v>24</v>
      </c>
      <c r="AU27" s="539">
        <v>1418.0429484655906</v>
      </c>
      <c r="AV27" s="539">
        <v>40.657443338394913</v>
      </c>
      <c r="AW27" s="539">
        <v>723.93987964681401</v>
      </c>
      <c r="AX27" s="539">
        <v>395.33303338769849</v>
      </c>
      <c r="AY27" s="539">
        <v>119.63612845171812</v>
      </c>
      <c r="AZ27" s="539">
        <v>138.47646364096508</v>
      </c>
    </row>
    <row r="28" spans="1:52" x14ac:dyDescent="0.3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564" t="s">
        <v>242</v>
      </c>
      <c r="Q28" s="565">
        <f>MAX(X4:X34)</f>
        <v>3.0668668522044822</v>
      </c>
      <c r="R28" s="565">
        <f>MAX(AN4:AN34)</f>
        <v>10</v>
      </c>
      <c r="S28" s="567">
        <f>MAX(AY4:AY34)</f>
        <v>233.69525413798155</v>
      </c>
      <c r="T28" s="570"/>
      <c r="V28" s="361">
        <v>25</v>
      </c>
      <c r="W28" s="86">
        <v>0</v>
      </c>
      <c r="X28" s="86">
        <v>0</v>
      </c>
      <c r="Y28" s="86">
        <v>0</v>
      </c>
      <c r="Z28" s="86">
        <v>0</v>
      </c>
      <c r="AA28" s="86">
        <v>0</v>
      </c>
      <c r="AB28" s="73">
        <v>0</v>
      </c>
      <c r="AD28" s="361">
        <v>25</v>
      </c>
      <c r="AE28" s="86">
        <v>0</v>
      </c>
      <c r="AF28" s="86">
        <v>0</v>
      </c>
      <c r="AG28" s="86">
        <v>0</v>
      </c>
      <c r="AH28" s="86">
        <v>0</v>
      </c>
      <c r="AI28" s="86">
        <v>0</v>
      </c>
      <c r="AJ28" s="73">
        <v>0</v>
      </c>
      <c r="AL28" s="361">
        <v>25</v>
      </c>
      <c r="AM28" s="86">
        <v>0</v>
      </c>
      <c r="AN28" s="86">
        <v>0</v>
      </c>
      <c r="AO28" s="86">
        <v>0</v>
      </c>
      <c r="AP28" s="86">
        <v>0</v>
      </c>
      <c r="AQ28" s="86">
        <v>0</v>
      </c>
      <c r="AR28" s="73">
        <v>0</v>
      </c>
      <c r="AT28" s="503">
        <v>25</v>
      </c>
      <c r="AU28" s="539">
        <v>0</v>
      </c>
      <c r="AV28" s="539">
        <v>0</v>
      </c>
      <c r="AW28" s="539">
        <v>0</v>
      </c>
      <c r="AX28" s="539">
        <v>0</v>
      </c>
      <c r="AY28" s="539">
        <v>0</v>
      </c>
      <c r="AZ28" s="539">
        <v>0</v>
      </c>
    </row>
    <row r="29" spans="1:52" x14ac:dyDescent="0.3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564" t="s">
        <v>243</v>
      </c>
      <c r="Q29" s="568">
        <f>AVERAGEIF(X4:X34,"&lt;&gt;0")</f>
        <v>1.3964617060699882</v>
      </c>
      <c r="R29" s="568">
        <f>AVERAGEIF(AN4:AN34,"&lt;&gt;0")</f>
        <v>6.3043478260869561</v>
      </c>
      <c r="S29" s="567">
        <f>AVERAGEIF(AY4:AY34,"&lt;&gt;0")</f>
        <v>106.41038200253311</v>
      </c>
      <c r="T29" s="67"/>
      <c r="V29" s="361">
        <v>26</v>
      </c>
      <c r="W29" s="86">
        <v>2.8260502783870418</v>
      </c>
      <c r="X29" s="86">
        <v>1.4130251391935209</v>
      </c>
      <c r="Y29" s="86">
        <v>158.25881558967436</v>
      </c>
      <c r="Z29" s="86">
        <v>440.86384342837857</v>
      </c>
      <c r="AA29" s="86">
        <v>180.86721781677068</v>
      </c>
      <c r="AB29" s="73">
        <v>3644.9096507508011</v>
      </c>
      <c r="AD29" s="361">
        <v>26</v>
      </c>
      <c r="AE29" s="86">
        <v>10</v>
      </c>
      <c r="AF29" s="86">
        <v>5</v>
      </c>
      <c r="AG29" s="86">
        <v>140</v>
      </c>
      <c r="AH29" s="86">
        <v>390</v>
      </c>
      <c r="AI29" s="86">
        <v>160</v>
      </c>
      <c r="AJ29" s="73">
        <v>3644.9096507508011</v>
      </c>
      <c r="AL29" s="361">
        <v>26</v>
      </c>
      <c r="AM29" s="86">
        <v>10</v>
      </c>
      <c r="AN29" s="86">
        <v>5</v>
      </c>
      <c r="AO29" s="86">
        <v>182</v>
      </c>
      <c r="AP29" s="86">
        <v>516.75</v>
      </c>
      <c r="AQ29" s="86">
        <v>200</v>
      </c>
      <c r="AR29" s="73">
        <v>3644.9096507508011</v>
      </c>
      <c r="AT29" s="503">
        <v>26</v>
      </c>
      <c r="AU29" s="539">
        <v>3644.9096507508011</v>
      </c>
      <c r="AV29" s="539">
        <v>170.76126202125863</v>
      </c>
      <c r="AW29" s="539">
        <v>1694.0193183735446</v>
      </c>
      <c r="AX29" s="539">
        <v>1423.1989201957144</v>
      </c>
      <c r="AY29" s="539">
        <v>107.6725156065463</v>
      </c>
      <c r="AZ29" s="539">
        <v>249.25763455373712</v>
      </c>
    </row>
    <row r="30" spans="1:52" x14ac:dyDescent="0.3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604" t="s">
        <v>349</v>
      </c>
      <c r="Q30" s="604"/>
      <c r="R30" s="564">
        <f>GETPIVOTDATA("KG POL ANIONICO  ",$AL$3)</f>
        <v>145</v>
      </c>
      <c r="S30" s="573">
        <f>R30*AY2</f>
        <v>2976270</v>
      </c>
      <c r="T30" s="96"/>
      <c r="V30" s="361">
        <v>27</v>
      </c>
      <c r="W30" s="86">
        <v>3.5325628479838023</v>
      </c>
      <c r="X30" s="86">
        <v>2.3550418986558679</v>
      </c>
      <c r="Y30" s="86">
        <v>113.04201113548167</v>
      </c>
      <c r="Z30" s="86">
        <v>339.126033406445</v>
      </c>
      <c r="AA30" s="86">
        <v>113.04201113548167</v>
      </c>
      <c r="AB30" s="73">
        <v>2805.5896743715198</v>
      </c>
      <c r="AD30" s="361">
        <v>27</v>
      </c>
      <c r="AE30" s="86">
        <v>15</v>
      </c>
      <c r="AF30" s="86">
        <v>10</v>
      </c>
      <c r="AG30" s="86">
        <v>120</v>
      </c>
      <c r="AH30" s="86">
        <v>360</v>
      </c>
      <c r="AI30" s="86">
        <v>120</v>
      </c>
      <c r="AJ30" s="73">
        <v>2805.5896743715198</v>
      </c>
      <c r="AL30" s="361">
        <v>27</v>
      </c>
      <c r="AM30" s="86">
        <v>15</v>
      </c>
      <c r="AN30" s="86">
        <v>10</v>
      </c>
      <c r="AO30" s="86">
        <v>156</v>
      </c>
      <c r="AP30" s="86">
        <v>477</v>
      </c>
      <c r="AQ30" s="86">
        <v>150</v>
      </c>
      <c r="AR30" s="73">
        <v>2805.5896743715198</v>
      </c>
      <c r="AT30" s="503">
        <v>27</v>
      </c>
      <c r="AU30" s="539">
        <v>2805.5896743715198</v>
      </c>
      <c r="AV30" s="539">
        <v>121.97233001518472</v>
      </c>
      <c r="AW30" s="539">
        <v>1303.091783364265</v>
      </c>
      <c r="AX30" s="539">
        <v>889.49932512232147</v>
      </c>
      <c r="AY30" s="539">
        <v>179.45419267757717</v>
      </c>
      <c r="AZ30" s="539">
        <v>311.57204319217135</v>
      </c>
    </row>
    <row r="31" spans="1:52" x14ac:dyDescent="0.3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584">
        <f>+R30/$F$86</f>
        <v>4.9445865302642795E-3</v>
      </c>
      <c r="R31" s="38"/>
      <c r="S31" s="38"/>
      <c r="T31" s="96"/>
      <c r="V31" s="361">
        <v>28</v>
      </c>
      <c r="W31" s="86">
        <v>3.0279110125575448</v>
      </c>
      <c r="X31" s="86">
        <v>1.0093036708525149</v>
      </c>
      <c r="Y31" s="86">
        <v>104.96758176866156</v>
      </c>
      <c r="Z31" s="86">
        <v>121.1164405023018</v>
      </c>
      <c r="AA31" s="86">
        <v>64.595434934560956</v>
      </c>
      <c r="AB31" s="73">
        <v>1430.9059630263441</v>
      </c>
      <c r="AD31" s="361">
        <v>28</v>
      </c>
      <c r="AE31" s="86">
        <v>15</v>
      </c>
      <c r="AF31" s="86">
        <v>5</v>
      </c>
      <c r="AG31" s="86">
        <v>130</v>
      </c>
      <c r="AH31" s="86">
        <v>150</v>
      </c>
      <c r="AI31" s="86">
        <v>80</v>
      </c>
      <c r="AJ31" s="73">
        <v>1430.9059630263441</v>
      </c>
      <c r="AL31" s="361">
        <v>28</v>
      </c>
      <c r="AM31" s="86">
        <v>15</v>
      </c>
      <c r="AN31" s="86">
        <v>5</v>
      </c>
      <c r="AO31" s="86">
        <v>169</v>
      </c>
      <c r="AP31" s="86">
        <v>198.75</v>
      </c>
      <c r="AQ31" s="86">
        <v>100</v>
      </c>
      <c r="AR31" s="73">
        <v>1430.9059630263441</v>
      </c>
      <c r="AT31" s="503">
        <v>28</v>
      </c>
      <c r="AU31" s="539">
        <v>1430.9059630263441</v>
      </c>
      <c r="AV31" s="539">
        <v>113.26002072838583</v>
      </c>
      <c r="AW31" s="539">
        <v>465.3899226300947</v>
      </c>
      <c r="AX31" s="539">
        <v>508.28532864132654</v>
      </c>
      <c r="AY31" s="539">
        <v>76.908939718961648</v>
      </c>
      <c r="AZ31" s="539">
        <v>267.06175130757549</v>
      </c>
    </row>
    <row r="32" spans="1:52" x14ac:dyDescent="0.3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603" t="s">
        <v>251</v>
      </c>
      <c r="Q32" s="603"/>
      <c r="R32" s="603"/>
      <c r="S32" s="603"/>
      <c r="T32" s="572"/>
      <c r="V32" s="361">
        <v>29</v>
      </c>
      <c r="W32" s="86">
        <v>2.8260502783870423</v>
      </c>
      <c r="X32" s="86">
        <v>0.94201675946234742</v>
      </c>
      <c r="Y32" s="86">
        <v>211.01175411956584</v>
      </c>
      <c r="Z32" s="86">
        <v>482.31258084472188</v>
      </c>
      <c r="AA32" s="86">
        <v>90.433608908385352</v>
      </c>
      <c r="AB32" s="73">
        <v>3113.6065463134805</v>
      </c>
      <c r="AD32" s="361">
        <v>29</v>
      </c>
      <c r="AE32" s="86">
        <v>15</v>
      </c>
      <c r="AF32" s="86">
        <v>5</v>
      </c>
      <c r="AG32" s="86">
        <v>280</v>
      </c>
      <c r="AH32" s="86">
        <v>640</v>
      </c>
      <c r="AI32" s="86">
        <v>120</v>
      </c>
      <c r="AJ32" s="73">
        <v>3113.6065463134805</v>
      </c>
      <c r="AL32" s="361">
        <v>29</v>
      </c>
      <c r="AM32" s="86">
        <v>15</v>
      </c>
      <c r="AN32" s="86">
        <v>5</v>
      </c>
      <c r="AO32" s="86">
        <v>364</v>
      </c>
      <c r="AP32" s="86">
        <v>848</v>
      </c>
      <c r="AQ32" s="86">
        <v>150</v>
      </c>
      <c r="AR32" s="73">
        <v>3113.6065463134805</v>
      </c>
      <c r="AT32" s="503">
        <v>29</v>
      </c>
      <c r="AU32" s="539">
        <v>3113.6065463134805</v>
      </c>
      <c r="AV32" s="539">
        <v>227.68168269501152</v>
      </c>
      <c r="AW32" s="539">
        <v>1853.2860918958438</v>
      </c>
      <c r="AX32" s="539">
        <v>711.59946009785722</v>
      </c>
      <c r="AY32" s="539">
        <v>71.78167707103087</v>
      </c>
      <c r="AZ32" s="539">
        <v>249.25763455373712</v>
      </c>
    </row>
    <row r="33" spans="1:52" x14ac:dyDescent="0.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564"/>
      <c r="Q33" s="538" t="s">
        <v>244</v>
      </c>
      <c r="R33" s="538" t="s">
        <v>246</v>
      </c>
      <c r="S33" s="538" t="s">
        <v>355</v>
      </c>
      <c r="T33" s="38"/>
      <c r="V33" s="361">
        <v>30</v>
      </c>
      <c r="W33" s="86">
        <v>2.8260502783870423</v>
      </c>
      <c r="X33" s="86">
        <v>1.8840335189246948</v>
      </c>
      <c r="Y33" s="86">
        <v>218.54788819526459</v>
      </c>
      <c r="Z33" s="86">
        <v>384.34283786063776</v>
      </c>
      <c r="AA33" s="86">
        <v>128.11427928687925</v>
      </c>
      <c r="AB33" s="73">
        <v>3113.5707496766208</v>
      </c>
      <c r="AD33" s="361">
        <v>30</v>
      </c>
      <c r="AE33" s="86">
        <v>15</v>
      </c>
      <c r="AF33" s="86">
        <v>10</v>
      </c>
      <c r="AG33" s="86">
        <v>290</v>
      </c>
      <c r="AH33" s="86">
        <v>510</v>
      </c>
      <c r="AI33" s="86">
        <v>170</v>
      </c>
      <c r="AJ33" s="73">
        <v>3113.5707496766208</v>
      </c>
      <c r="AL33" s="361">
        <v>30</v>
      </c>
      <c r="AM33" s="86">
        <v>15</v>
      </c>
      <c r="AN33" s="86">
        <v>10</v>
      </c>
      <c r="AO33" s="86">
        <v>377</v>
      </c>
      <c r="AP33" s="86">
        <v>675.75</v>
      </c>
      <c r="AQ33" s="86">
        <v>212.5</v>
      </c>
      <c r="AR33" s="73">
        <v>3113.5707496766208</v>
      </c>
      <c r="AT33" s="503">
        <v>30</v>
      </c>
      <c r="AU33" s="539">
        <v>3113.5707496766208</v>
      </c>
      <c r="AV33" s="539">
        <v>235.8131713626905</v>
      </c>
      <c r="AW33" s="539">
        <v>1476.8373544795004</v>
      </c>
      <c r="AX33" s="539">
        <v>1008.099235138631</v>
      </c>
      <c r="AY33" s="539">
        <v>143.56335414206174</v>
      </c>
      <c r="AZ33" s="539">
        <v>249.25763455373712</v>
      </c>
    </row>
    <row r="34" spans="1:52" x14ac:dyDescent="0.3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564" t="s">
        <v>241</v>
      </c>
      <c r="Q34" s="565">
        <f>_xlfn.MINIFS(W4:W34,W4:W34,"&lt;&gt;0")</f>
        <v>1.2845683083577464</v>
      </c>
      <c r="R34" s="565">
        <f>_xlfn.MINIFS(AM4:AM34,AM4:AM34,"&lt;&gt;0")</f>
        <v>5</v>
      </c>
      <c r="S34" s="565">
        <f>_xlfn.MINIFS(AZ4:AZ34,AZ4:AZ34,"&lt;&gt;0")</f>
        <v>113.29892479715323</v>
      </c>
      <c r="T34" s="38"/>
      <c r="V34" s="361">
        <v>31</v>
      </c>
      <c r="W34" s="86">
        <v>1.2845683083577464</v>
      </c>
      <c r="X34" s="86">
        <v>1.2845683083577464</v>
      </c>
      <c r="Y34" s="86">
        <v>277.46675460527325</v>
      </c>
      <c r="Z34" s="86">
        <v>431.61495160820283</v>
      </c>
      <c r="AA34" s="86">
        <v>205.53092933723943</v>
      </c>
      <c r="AB34" s="73">
        <v>3786.3216098900252</v>
      </c>
      <c r="AD34" s="361">
        <v>31</v>
      </c>
      <c r="AE34" s="86">
        <v>5</v>
      </c>
      <c r="AF34" s="86">
        <v>5</v>
      </c>
      <c r="AG34" s="86">
        <v>270</v>
      </c>
      <c r="AH34" s="86">
        <v>420</v>
      </c>
      <c r="AI34" s="86">
        <v>200</v>
      </c>
      <c r="AJ34" s="73">
        <v>3786.3216098900252</v>
      </c>
      <c r="AL34" s="361">
        <v>31</v>
      </c>
      <c r="AM34" s="86">
        <v>5</v>
      </c>
      <c r="AN34" s="86">
        <v>5</v>
      </c>
      <c r="AO34" s="86">
        <v>351</v>
      </c>
      <c r="AP34" s="86">
        <v>556.5</v>
      </c>
      <c r="AQ34" s="86">
        <v>250</v>
      </c>
      <c r="AR34" s="73">
        <v>3786.3216098900252</v>
      </c>
      <c r="AT34" s="503">
        <v>31</v>
      </c>
      <c r="AU34" s="539">
        <v>3786.3216098900252</v>
      </c>
      <c r="AV34" s="539">
        <v>299.3866282190898</v>
      </c>
      <c r="AW34" s="539">
        <v>1658.4804515545193</v>
      </c>
      <c r="AX34" s="539">
        <v>1617.2715002224027</v>
      </c>
      <c r="AY34" s="539">
        <v>97.884105096860281</v>
      </c>
      <c r="AZ34" s="539">
        <v>113.29892479715323</v>
      </c>
    </row>
    <row r="35" spans="1:52" x14ac:dyDescent="0.3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564" t="s">
        <v>242</v>
      </c>
      <c r="Q35" s="565">
        <f>MAX(W4:W34)</f>
        <v>4.282646121328856</v>
      </c>
      <c r="R35" s="565">
        <f>MAX(AM4:AM34)</f>
        <v>15</v>
      </c>
      <c r="S35" s="565">
        <f>MAX(AZ4:AZ34)</f>
        <v>377.72938790120509</v>
      </c>
      <c r="T35" s="38"/>
      <c r="V35" s="361" t="s">
        <v>72</v>
      </c>
      <c r="W35" s="86">
        <v>2.5149190110826942</v>
      </c>
      <c r="X35" s="86">
        <v>1.2361466325660702</v>
      </c>
      <c r="Y35" s="86">
        <v>177.32310315430522</v>
      </c>
      <c r="Z35" s="86">
        <v>396.58994032395572</v>
      </c>
      <c r="AA35" s="86">
        <v>128.55924978687128</v>
      </c>
      <c r="AB35" s="73">
        <v>3042.8393009377669</v>
      </c>
      <c r="AD35" s="361" t="s">
        <v>72</v>
      </c>
      <c r="AE35" s="86">
        <v>295</v>
      </c>
      <c r="AF35" s="86">
        <v>145</v>
      </c>
      <c r="AG35" s="86">
        <v>5200</v>
      </c>
      <c r="AH35" s="86">
        <v>11630</v>
      </c>
      <c r="AI35" s="86">
        <v>3770</v>
      </c>
      <c r="AJ35" s="73">
        <v>3042.8393009377669</v>
      </c>
      <c r="AL35" s="361" t="s">
        <v>72</v>
      </c>
      <c r="AM35" s="86">
        <v>295</v>
      </c>
      <c r="AN35" s="86">
        <v>145</v>
      </c>
      <c r="AO35" s="86">
        <v>6760</v>
      </c>
      <c r="AP35" s="86">
        <v>15409.75</v>
      </c>
      <c r="AQ35" s="86">
        <v>4712.5</v>
      </c>
      <c r="AR35" s="73">
        <v>3042.8393009377669</v>
      </c>
      <c r="AT35" s="503" t="s">
        <v>72</v>
      </c>
      <c r="AU35" s="539">
        <v>3042.8393009377669</v>
      </c>
      <c r="AV35" s="539">
        <v>191.33162830349534</v>
      </c>
      <c r="AW35" s="539">
        <v>1523.8968456947998</v>
      </c>
      <c r="AX35" s="539">
        <v>1011.6005967604434</v>
      </c>
      <c r="AY35" s="539">
        <v>94.194373401534534</v>
      </c>
      <c r="AZ35" s="539">
        <v>221.81585677749362</v>
      </c>
    </row>
    <row r="36" spans="1:52" x14ac:dyDescent="0.3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564" t="s">
        <v>243</v>
      </c>
      <c r="Q36" s="568">
        <f>AVERAGEIF(W4:W34,"&lt;&gt;0")</f>
        <v>2.6267362480003928</v>
      </c>
      <c r="R36" s="568">
        <f>AVERAGEIF(AM4:AM34,"&lt;&gt;0")</f>
        <v>12.291666666666666</v>
      </c>
      <c r="S36" s="568">
        <f>AVERAGEIF(AZ4:AZ34,"&lt;&gt;0")</f>
        <v>231.67813707363464</v>
      </c>
      <c r="T36" s="38"/>
    </row>
    <row r="37" spans="1:52" x14ac:dyDescent="0.3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604" t="s">
        <v>349</v>
      </c>
      <c r="Q37" s="604"/>
      <c r="R37" s="564">
        <f>GETPIVOTDATA("KG POL CATIONICO  ",$AL$3)</f>
        <v>295</v>
      </c>
      <c r="S37" s="573">
        <f>R37*AZ2</f>
        <v>6032750</v>
      </c>
      <c r="T37" s="38"/>
    </row>
    <row r="38" spans="1:52" x14ac:dyDescent="0.3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584">
        <f>+R37/$F$86</f>
        <v>1.0059676044330775E-2</v>
      </c>
      <c r="R38" s="38"/>
      <c r="S38" s="38"/>
      <c r="T38" s="38"/>
    </row>
    <row r="39" spans="1:52" x14ac:dyDescent="0.3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</row>
    <row r="40" spans="1:52" x14ac:dyDescent="0.3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</row>
    <row r="41" spans="1:52" x14ac:dyDescent="0.3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</row>
    <row r="42" spans="1:52" x14ac:dyDescent="0.3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</row>
    <row r="43" spans="1:52" x14ac:dyDescent="0.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</row>
    <row r="44" spans="1:52" x14ac:dyDescent="0.3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</row>
    <row r="45" spans="1:52" x14ac:dyDescent="0.3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</row>
    <row r="46" spans="1:52" x14ac:dyDescent="0.3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</row>
    <row r="47" spans="1:52" x14ac:dyDescent="0.3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</row>
    <row r="48" spans="1:52" x14ac:dyDescent="0.3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</row>
    <row r="49" spans="1:20" x14ac:dyDescent="0.3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</row>
    <row r="50" spans="1:20" x14ac:dyDescent="0.3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</row>
    <row r="51" spans="1:20" x14ac:dyDescent="0.3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</row>
    <row r="52" spans="1:20" x14ac:dyDescent="0.3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</row>
    <row r="53" spans="1:20" x14ac:dyDescent="0.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</row>
    <row r="54" spans="1:20" x14ac:dyDescent="0.3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</row>
    <row r="55" spans="1:20" x14ac:dyDescent="0.3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</row>
    <row r="56" spans="1:20" x14ac:dyDescent="0.3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</row>
    <row r="57" spans="1:20" x14ac:dyDescent="0.3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</row>
    <row r="58" spans="1:20" x14ac:dyDescent="0.3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</row>
    <row r="59" spans="1:20" x14ac:dyDescent="0.3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</row>
    <row r="60" spans="1:20" x14ac:dyDescent="0.3">
      <c r="A60" s="38"/>
      <c r="B60" s="38"/>
      <c r="C60" s="38"/>
      <c r="D60" s="38"/>
      <c r="E60" s="38"/>
      <c r="F60" s="38"/>
      <c r="G60" s="38"/>
      <c r="H60" s="38"/>
      <c r="I60" s="38"/>
      <c r="J60" s="67"/>
      <c r="K60" s="67"/>
      <c r="L60" s="67"/>
      <c r="M60" s="67"/>
      <c r="N60" s="67"/>
      <c r="O60" s="67"/>
      <c r="P60" s="38"/>
      <c r="Q60" s="38"/>
      <c r="R60" s="38"/>
      <c r="S60" s="38"/>
      <c r="T60" s="38"/>
    </row>
    <row r="61" spans="1:20" x14ac:dyDescent="0.3">
      <c r="A61" s="38"/>
      <c r="B61" s="38"/>
      <c r="C61" s="38"/>
      <c r="D61" s="38"/>
      <c r="E61" s="38"/>
      <c r="F61" s="38"/>
      <c r="G61" s="38"/>
      <c r="H61" s="38"/>
      <c r="I61" s="38"/>
      <c r="J61" s="67"/>
      <c r="K61" s="67"/>
      <c r="L61" s="67"/>
      <c r="M61" s="67"/>
      <c r="N61" s="67"/>
      <c r="O61" s="67"/>
      <c r="P61" s="38"/>
      <c r="Q61" s="38"/>
      <c r="R61" s="38"/>
      <c r="S61" s="38"/>
      <c r="T61" s="38"/>
    </row>
    <row r="62" spans="1:20" x14ac:dyDescent="0.3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</row>
    <row r="63" spans="1:20" x14ac:dyDescent="0.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</row>
    <row r="64" spans="1:20" x14ac:dyDescent="0.3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</row>
    <row r="65" spans="1:20" x14ac:dyDescent="0.3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</row>
    <row r="66" spans="1:20" x14ac:dyDescent="0.3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</row>
    <row r="67" spans="1:20" x14ac:dyDescent="0.3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</row>
    <row r="68" spans="1:20" x14ac:dyDescent="0.3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</row>
    <row r="69" spans="1:20" x14ac:dyDescent="0.3">
      <c r="A69" s="38"/>
      <c r="B69" s="38"/>
      <c r="C69" s="38"/>
      <c r="D69" s="38"/>
      <c r="E69" s="38"/>
      <c r="F69" s="38"/>
      <c r="G69" s="38"/>
      <c r="H69" s="38"/>
      <c r="I69" s="38"/>
      <c r="J69" s="574"/>
      <c r="K69" s="38"/>
      <c r="L69" s="38"/>
      <c r="M69" s="38"/>
      <c r="N69" s="38"/>
      <c r="O69" s="38"/>
      <c r="P69" s="38"/>
      <c r="Q69" s="38"/>
      <c r="R69" s="38"/>
      <c r="S69" s="38"/>
      <c r="T69" s="38"/>
    </row>
    <row r="70" spans="1:20" x14ac:dyDescent="0.3">
      <c r="A70" s="38"/>
      <c r="B70" s="38"/>
      <c r="C70" s="38"/>
      <c r="D70" s="38"/>
      <c r="E70" s="38"/>
      <c r="F70" s="38"/>
      <c r="G70" s="38"/>
      <c r="H70" s="38"/>
      <c r="I70" s="38"/>
      <c r="J70" s="575"/>
      <c r="K70" s="38"/>
      <c r="L70" s="38"/>
      <c r="M70" s="38"/>
      <c r="N70" s="38"/>
      <c r="O70" s="38"/>
      <c r="P70" s="38"/>
      <c r="Q70" s="38"/>
      <c r="R70" s="38"/>
      <c r="S70" s="38"/>
      <c r="T70" s="38"/>
    </row>
    <row r="71" spans="1:20" x14ac:dyDescent="0.3">
      <c r="A71" s="38"/>
      <c r="B71" s="38"/>
      <c r="C71" s="38"/>
      <c r="D71" s="38"/>
      <c r="E71" s="38"/>
      <c r="F71" s="38"/>
      <c r="G71" s="38"/>
      <c r="H71" s="38"/>
      <c r="I71" s="38"/>
      <c r="J71" s="576"/>
      <c r="K71" s="38"/>
      <c r="L71" s="38"/>
      <c r="M71" s="38"/>
      <c r="N71" s="38"/>
      <c r="O71" s="38"/>
      <c r="P71" s="38"/>
      <c r="Q71" s="38"/>
      <c r="R71" s="38"/>
      <c r="S71" s="38"/>
      <c r="T71" s="38"/>
    </row>
    <row r="72" spans="1:20" x14ac:dyDescent="0.3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</row>
    <row r="73" spans="1:20" x14ac:dyDescent="0.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</row>
    <row r="74" spans="1:20" x14ac:dyDescent="0.3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</row>
    <row r="75" spans="1:20" x14ac:dyDescent="0.3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</row>
    <row r="76" spans="1:20" x14ac:dyDescent="0.3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</row>
    <row r="77" spans="1:20" x14ac:dyDescent="0.3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</row>
    <row r="78" spans="1:20" x14ac:dyDescent="0.3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</row>
    <row r="79" spans="1:20" x14ac:dyDescent="0.3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</row>
    <row r="80" spans="1:20" x14ac:dyDescent="0.3">
      <c r="A80" s="38"/>
      <c r="B80" s="605" t="s">
        <v>313</v>
      </c>
      <c r="C80" s="606"/>
      <c r="D80" s="606"/>
      <c r="E80" s="606"/>
      <c r="F80" s="606"/>
      <c r="G80" s="606"/>
      <c r="H80" s="606"/>
      <c r="I80" s="607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</row>
    <row r="81" spans="1:20" ht="43.2" x14ac:dyDescent="0.3">
      <c r="A81" s="38"/>
      <c r="B81" s="577" t="s">
        <v>314</v>
      </c>
      <c r="C81" s="577" t="s">
        <v>315</v>
      </c>
      <c r="D81" s="577" t="s">
        <v>316</v>
      </c>
      <c r="E81" s="577" t="s">
        <v>317</v>
      </c>
      <c r="F81" s="577" t="s">
        <v>318</v>
      </c>
      <c r="G81" s="577" t="s">
        <v>319</v>
      </c>
      <c r="H81" s="577" t="s">
        <v>320</v>
      </c>
      <c r="I81" s="577" t="s">
        <v>321</v>
      </c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</row>
    <row r="82" spans="1:20" x14ac:dyDescent="0.3">
      <c r="A82" s="38"/>
      <c r="B82" s="578">
        <f>E97</f>
        <v>1464</v>
      </c>
      <c r="C82" s="579">
        <f>+F97</f>
        <v>721.11111111111109</v>
      </c>
      <c r="D82" s="579">
        <f>+B82-C82</f>
        <v>742.88888888888891</v>
      </c>
      <c r="E82" s="580">
        <f>(D82/1000000)*1000</f>
        <v>0.74288888888888893</v>
      </c>
      <c r="F82" s="578">
        <f>'DB QUIMICA'!Z8</f>
        <v>29324.999999999996</v>
      </c>
      <c r="G82" s="578">
        <f>+F82*E82</f>
        <v>21785.216666666664</v>
      </c>
      <c r="H82" s="581">
        <f>'DB QUIMICA'!AD8</f>
        <v>89231262.5</v>
      </c>
      <c r="I82" s="582">
        <f>H82/G82</f>
        <v>4095.9547873825759</v>
      </c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</row>
    <row r="83" spans="1:20" x14ac:dyDescent="0.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</row>
    <row r="84" spans="1:20" x14ac:dyDescent="0.3">
      <c r="A84" s="38"/>
      <c r="B84" s="38"/>
      <c r="C84" s="38"/>
      <c r="D84" s="603" t="s">
        <v>345</v>
      </c>
      <c r="E84" s="603"/>
      <c r="F84" s="603"/>
      <c r="G84" s="603"/>
      <c r="H84" s="603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</row>
    <row r="85" spans="1:20" ht="28.8" x14ac:dyDescent="0.3">
      <c r="A85" s="38"/>
      <c r="B85" s="38"/>
      <c r="C85" s="38"/>
      <c r="D85" s="577" t="s">
        <v>347</v>
      </c>
      <c r="E85" s="577" t="s">
        <v>346</v>
      </c>
      <c r="F85" s="577" t="s">
        <v>318</v>
      </c>
      <c r="G85" s="577" t="s">
        <v>320</v>
      </c>
      <c r="H85" s="577" t="s">
        <v>348</v>
      </c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</row>
    <row r="86" spans="1:20" x14ac:dyDescent="0.3">
      <c r="A86" s="38"/>
      <c r="B86" s="38"/>
      <c r="C86" s="38"/>
      <c r="D86" s="578">
        <v>477151</v>
      </c>
      <c r="E86" s="578">
        <f>+D86/F86</f>
        <v>16.271133844842286</v>
      </c>
      <c r="F86" s="578">
        <v>29325</v>
      </c>
      <c r="G86" s="581">
        <f>H82</f>
        <v>89231262.5</v>
      </c>
      <c r="H86" s="582">
        <f>G86/D86</f>
        <v>187.00843653266995</v>
      </c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</row>
    <row r="87" spans="1:20" x14ac:dyDescent="0.3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</row>
    <row r="90" spans="1:20" ht="15" thickBot="1" x14ac:dyDescent="0.35">
      <c r="B90" s="585"/>
      <c r="C90" s="585"/>
      <c r="D90" s="585"/>
      <c r="E90" s="585"/>
      <c r="F90" s="585"/>
    </row>
    <row r="91" spans="1:20" ht="18.600000000000001" thickBot="1" x14ac:dyDescent="0.35">
      <c r="B91" s="589" t="s">
        <v>335</v>
      </c>
      <c r="C91" s="590"/>
      <c r="D91" s="591"/>
      <c r="E91" s="536" t="s">
        <v>339</v>
      </c>
      <c r="F91" s="537" t="s">
        <v>340</v>
      </c>
    </row>
    <row r="92" spans="1:20" x14ac:dyDescent="0.3">
      <c r="B92" s="586" t="s">
        <v>342</v>
      </c>
      <c r="C92" s="587"/>
      <c r="D92" s="587"/>
      <c r="E92" s="587"/>
      <c r="F92" s="588"/>
    </row>
    <row r="93" spans="1:20" x14ac:dyDescent="0.3">
      <c r="B93" s="592" t="s">
        <v>243</v>
      </c>
      <c r="C93" s="593"/>
      <c r="D93" s="594"/>
      <c r="E93" s="89">
        <v>5988.1940298507461</v>
      </c>
      <c r="F93" s="103">
        <v>797.32835820895525</v>
      </c>
    </row>
    <row r="94" spans="1:20" x14ac:dyDescent="0.3">
      <c r="B94" s="532" t="s">
        <v>336</v>
      </c>
      <c r="C94" s="530"/>
      <c r="D94" s="531"/>
      <c r="E94" s="89">
        <v>7929.0000000000009</v>
      </c>
      <c r="F94" s="103">
        <v>1235</v>
      </c>
    </row>
    <row r="95" spans="1:20" ht="15" thickBot="1" x14ac:dyDescent="0.35">
      <c r="B95" s="533" t="s">
        <v>341</v>
      </c>
      <c r="C95" s="534"/>
      <c r="D95" s="535"/>
      <c r="E95" s="553">
        <v>0.24259990127671743</v>
      </c>
      <c r="F95" s="552">
        <v>0.43849950149073796</v>
      </c>
    </row>
    <row r="96" spans="1:20" x14ac:dyDescent="0.3">
      <c r="B96" s="597" t="s">
        <v>343</v>
      </c>
      <c r="C96" s="598"/>
      <c r="D96" s="598"/>
      <c r="E96" s="598"/>
      <c r="F96" s="599"/>
    </row>
    <row r="97" spans="2:7" x14ac:dyDescent="0.3">
      <c r="B97" s="592" t="s">
        <v>243</v>
      </c>
      <c r="C97" s="593"/>
      <c r="D97" s="594"/>
      <c r="E97" s="89">
        <v>1464</v>
      </c>
      <c r="F97" s="103">
        <v>721.11111111111109</v>
      </c>
    </row>
    <row r="98" spans="2:7" x14ac:dyDescent="0.3">
      <c r="B98" s="532" t="s">
        <v>336</v>
      </c>
      <c r="C98" s="530"/>
      <c r="D98" s="531"/>
      <c r="E98" s="89">
        <v>1673</v>
      </c>
      <c r="F98" s="103">
        <v>966</v>
      </c>
    </row>
    <row r="99" spans="2:7" ht="15" thickBot="1" x14ac:dyDescent="0.35">
      <c r="B99" s="532" t="s">
        <v>341</v>
      </c>
      <c r="C99" s="530"/>
      <c r="D99" s="531"/>
      <c r="E99" s="553">
        <v>0.11079531859807716</v>
      </c>
      <c r="F99" s="552">
        <v>0.1819582065077196</v>
      </c>
    </row>
    <row r="100" spans="2:7" ht="15" thickBot="1" x14ac:dyDescent="0.35">
      <c r="B100" s="533" t="s">
        <v>337</v>
      </c>
      <c r="C100" s="534"/>
      <c r="D100" s="535"/>
      <c r="E100" s="595">
        <f>+G82</f>
        <v>21785.216666666664</v>
      </c>
      <c r="F100" s="596"/>
    </row>
    <row r="101" spans="2:7" x14ac:dyDescent="0.3">
      <c r="B101" s="600" t="s">
        <v>344</v>
      </c>
      <c r="C101" s="601"/>
      <c r="D101" s="601"/>
      <c r="E101" s="601"/>
      <c r="F101" s="602"/>
    </row>
    <row r="102" spans="2:7" x14ac:dyDescent="0.3">
      <c r="B102" s="592" t="s">
        <v>243</v>
      </c>
      <c r="C102" s="593"/>
      <c r="D102" s="594"/>
      <c r="E102" s="89">
        <v>630.82352941176475</v>
      </c>
      <c r="F102" s="103">
        <v>31</v>
      </c>
    </row>
    <row r="103" spans="2:7" x14ac:dyDescent="0.3">
      <c r="B103" s="532" t="s">
        <v>336</v>
      </c>
      <c r="C103" s="530"/>
      <c r="D103" s="531"/>
      <c r="E103" s="89">
        <v>947.4000000000002</v>
      </c>
      <c r="F103" s="103">
        <v>61.3</v>
      </c>
    </row>
    <row r="104" spans="2:7" ht="15" thickBot="1" x14ac:dyDescent="0.35">
      <c r="B104" s="532" t="s">
        <v>341</v>
      </c>
      <c r="C104" s="530"/>
      <c r="D104" s="531"/>
      <c r="E104" s="553">
        <v>0.55738099960212528</v>
      </c>
      <c r="F104" s="552">
        <v>0.54873997129557495</v>
      </c>
    </row>
    <row r="105" spans="2:7" ht="15" thickBot="1" x14ac:dyDescent="0.35">
      <c r="B105" s="533" t="s">
        <v>338</v>
      </c>
      <c r="C105" s="534"/>
      <c r="D105" s="535"/>
      <c r="E105" s="595">
        <f>+D86/G106</f>
        <v>19086.04</v>
      </c>
      <c r="F105" s="596"/>
      <c r="G105" s="566"/>
    </row>
    <row r="106" spans="2:7" x14ac:dyDescent="0.3">
      <c r="G106">
        <v>25</v>
      </c>
    </row>
  </sheetData>
  <mergeCells count="22">
    <mergeCell ref="D84:H84"/>
    <mergeCell ref="P37:Q37"/>
    <mergeCell ref="P11:T11"/>
    <mergeCell ref="P18:T18"/>
    <mergeCell ref="B80:I80"/>
    <mergeCell ref="P30:Q30"/>
    <mergeCell ref="P32:S32"/>
    <mergeCell ref="P4:T4"/>
    <mergeCell ref="P9:Q9"/>
    <mergeCell ref="P16:Q16"/>
    <mergeCell ref="P23:Q23"/>
    <mergeCell ref="P25:S25"/>
    <mergeCell ref="B90:F90"/>
    <mergeCell ref="B92:F92"/>
    <mergeCell ref="B91:D91"/>
    <mergeCell ref="B93:D93"/>
    <mergeCell ref="E105:F105"/>
    <mergeCell ref="B97:D97"/>
    <mergeCell ref="B96:F96"/>
    <mergeCell ref="B102:D102"/>
    <mergeCell ref="B101:F101"/>
    <mergeCell ref="E100:F100"/>
  </mergeCells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9A3F-8182-4A25-BCE7-06929AF50836}">
  <sheetPr>
    <tabColor rgb="FF00B050"/>
  </sheetPr>
  <dimension ref="A1:GB108"/>
  <sheetViews>
    <sheetView zoomScale="85" zoomScaleNormal="85" workbookViewId="0">
      <selection activeCell="A43" sqref="A43"/>
    </sheetView>
  </sheetViews>
  <sheetFormatPr baseColWidth="10" defaultRowHeight="14.4" x14ac:dyDescent="0.3"/>
  <cols>
    <col min="1" max="1" width="55" bestFit="1" customWidth="1"/>
    <col min="2" max="6" width="11.77734375" style="85" customWidth="1"/>
    <col min="7" max="7" width="11.77734375" style="95" customWidth="1"/>
    <col min="8" max="13" width="11.77734375" style="85" customWidth="1"/>
    <col min="14" max="14" width="11.77734375" style="96" customWidth="1"/>
    <col min="15" max="19" width="11.77734375" style="86" customWidth="1"/>
    <col min="20" max="20" width="9.6640625" style="86" customWidth="1"/>
    <col min="21" max="21" width="9.6640625" style="96" customWidth="1"/>
    <col min="22" max="22" width="9.6640625" style="86" customWidth="1"/>
    <col min="23" max="24" width="9.6640625" style="85" customWidth="1"/>
    <col min="25" max="31" width="9.6640625" style="86" customWidth="1"/>
    <col min="32" max="32" width="13" bestFit="1" customWidth="1"/>
    <col min="33" max="33" width="15.77734375" bestFit="1" customWidth="1"/>
    <col min="34" max="34" width="12.6640625" bestFit="1" customWidth="1"/>
    <col min="35" max="35" width="15.6640625" bestFit="1" customWidth="1"/>
    <col min="36" max="36" width="12.6640625" bestFit="1" customWidth="1"/>
    <col min="37" max="37" width="15.6640625" bestFit="1" customWidth="1"/>
    <col min="38" max="38" width="12.6640625" bestFit="1" customWidth="1"/>
    <col min="39" max="39" width="15.6640625" bestFit="1" customWidth="1"/>
    <col min="40" max="40" width="12.6640625" bestFit="1" customWidth="1"/>
    <col min="41" max="41" width="15.6640625" bestFit="1" customWidth="1"/>
    <col min="42" max="42" width="12.6640625" bestFit="1" customWidth="1"/>
    <col min="43" max="43" width="15.6640625" bestFit="1" customWidth="1"/>
    <col min="44" max="44" width="12.6640625" bestFit="1" customWidth="1"/>
    <col min="45" max="45" width="15.6640625" bestFit="1" customWidth="1"/>
    <col min="46" max="46" width="12.6640625" bestFit="1" customWidth="1"/>
    <col min="47" max="47" width="15.6640625" bestFit="1" customWidth="1"/>
    <col min="48" max="48" width="12.6640625" bestFit="1" customWidth="1"/>
    <col min="49" max="49" width="15.6640625" bestFit="1" customWidth="1"/>
    <col min="50" max="50" width="12.6640625" bestFit="1" customWidth="1"/>
    <col min="51" max="51" width="15.6640625" bestFit="1" customWidth="1"/>
    <col min="52" max="52" width="12.6640625" bestFit="1" customWidth="1"/>
    <col min="53" max="53" width="15.6640625" bestFit="1" customWidth="1"/>
    <col min="54" max="54" width="12.6640625" bestFit="1" customWidth="1"/>
    <col min="55" max="55" width="15.6640625" bestFit="1" customWidth="1"/>
    <col min="56" max="56" width="12.6640625" bestFit="1" customWidth="1"/>
    <col min="57" max="57" width="15.6640625" bestFit="1" customWidth="1"/>
    <col min="58" max="58" width="12.6640625" bestFit="1" customWidth="1"/>
    <col min="59" max="59" width="15.6640625" bestFit="1" customWidth="1"/>
    <col min="60" max="60" width="12.6640625" bestFit="1" customWidth="1"/>
    <col min="61" max="61" width="15.6640625" bestFit="1" customWidth="1"/>
    <col min="62" max="62" width="11.6640625" bestFit="1" customWidth="1"/>
    <col min="63" max="63" width="14.6640625" bestFit="1" customWidth="1"/>
    <col min="64" max="65" width="12.6640625" bestFit="1" customWidth="1"/>
    <col min="66" max="165" width="22.33203125" bestFit="1" customWidth="1"/>
    <col min="166" max="166" width="31.88671875" bestFit="1" customWidth="1"/>
    <col min="167" max="167" width="38.6640625" bestFit="1" customWidth="1"/>
    <col min="168" max="168" width="39.21875" bestFit="1" customWidth="1"/>
    <col min="169" max="169" width="34.6640625" bestFit="1" customWidth="1"/>
    <col min="170" max="170" width="35.21875" bestFit="1" customWidth="1"/>
    <col min="171" max="172" width="24.77734375" bestFit="1" customWidth="1"/>
    <col min="173" max="173" width="15.33203125" bestFit="1" customWidth="1"/>
    <col min="174" max="174" width="22.21875" bestFit="1" customWidth="1"/>
    <col min="175" max="175" width="23.33203125" bestFit="1" customWidth="1"/>
    <col min="176" max="176" width="23.6640625" bestFit="1" customWidth="1"/>
    <col min="177" max="177" width="24.21875" bestFit="1" customWidth="1"/>
    <col min="178" max="179" width="24.77734375" bestFit="1" customWidth="1"/>
    <col min="180" max="180" width="17.6640625" bestFit="1" customWidth="1"/>
    <col min="181" max="181" width="24.21875" bestFit="1" customWidth="1"/>
    <col min="182" max="182" width="25" bestFit="1" customWidth="1"/>
    <col min="183" max="183" width="25.109375" bestFit="1" customWidth="1"/>
    <col min="184" max="184" width="25.33203125" bestFit="1" customWidth="1"/>
    <col min="185" max="185" width="43.109375" bestFit="1" customWidth="1"/>
    <col min="186" max="186" width="42.33203125" bestFit="1" customWidth="1"/>
  </cols>
  <sheetData>
    <row r="1" spans="1:184" s="38" customFormat="1" ht="15.75" customHeight="1" thickBot="1" x14ac:dyDescent="0.35">
      <c r="A1" s="616" t="s">
        <v>5</v>
      </c>
      <c r="B1" s="617"/>
      <c r="C1" s="617"/>
      <c r="D1" s="617"/>
      <c r="E1" s="617"/>
      <c r="F1" s="618"/>
      <c r="G1" s="95"/>
      <c r="H1" s="95"/>
      <c r="I1" s="95"/>
      <c r="J1" s="95"/>
      <c r="K1" s="95"/>
      <c r="L1" s="95"/>
      <c r="M1" s="95"/>
      <c r="N1" s="96"/>
      <c r="O1" s="96"/>
      <c r="P1" s="96"/>
      <c r="Q1" s="96"/>
      <c r="R1" s="96"/>
      <c r="S1" s="96"/>
      <c r="T1" s="96"/>
      <c r="U1" s="96"/>
      <c r="V1" s="96"/>
      <c r="W1" s="95"/>
      <c r="X1" s="95"/>
      <c r="Y1" s="96"/>
      <c r="Z1" s="96"/>
      <c r="AA1" s="96"/>
      <c r="AB1" s="96"/>
      <c r="AC1" s="96"/>
      <c r="AD1" s="96"/>
      <c r="AE1" s="96"/>
    </row>
    <row r="2" spans="1:184" s="88" customFormat="1" ht="15" thickBot="1" x14ac:dyDescent="0.35">
      <c r="A2" s="118"/>
      <c r="B2" s="118" t="s">
        <v>80</v>
      </c>
      <c r="C2" s="119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1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</row>
    <row r="3" spans="1:184" ht="15" thickBot="1" x14ac:dyDescent="0.35">
      <c r="A3" s="129" t="s">
        <v>7</v>
      </c>
      <c r="B3" s="122">
        <v>1</v>
      </c>
      <c r="C3" s="123">
        <v>2</v>
      </c>
      <c r="D3" s="123">
        <v>3</v>
      </c>
      <c r="E3" s="123">
        <v>4</v>
      </c>
      <c r="F3" s="123">
        <v>5</v>
      </c>
      <c r="G3" s="123">
        <v>6</v>
      </c>
      <c r="H3" s="123">
        <v>7</v>
      </c>
      <c r="I3" s="123">
        <v>8</v>
      </c>
      <c r="J3" s="123">
        <v>9</v>
      </c>
      <c r="K3" s="123">
        <v>10</v>
      </c>
      <c r="L3" s="123">
        <v>11</v>
      </c>
      <c r="M3" s="123">
        <v>12</v>
      </c>
      <c r="N3" s="123">
        <v>13</v>
      </c>
      <c r="O3" s="123">
        <v>14</v>
      </c>
      <c r="P3" s="123">
        <v>15</v>
      </c>
      <c r="Q3" s="123">
        <v>16</v>
      </c>
      <c r="R3" s="123">
        <v>17</v>
      </c>
      <c r="S3" s="123">
        <v>18</v>
      </c>
      <c r="T3" s="123">
        <v>19</v>
      </c>
      <c r="U3" s="123">
        <v>20</v>
      </c>
      <c r="V3" s="123">
        <v>21</v>
      </c>
      <c r="W3" s="123">
        <v>22</v>
      </c>
      <c r="X3" s="123">
        <v>23</v>
      </c>
      <c r="Y3" s="123">
        <v>24</v>
      </c>
      <c r="Z3" s="123">
        <v>25</v>
      </c>
      <c r="AA3" s="123">
        <v>26</v>
      </c>
      <c r="AB3" s="123">
        <v>27</v>
      </c>
      <c r="AC3" s="123">
        <v>28</v>
      </c>
      <c r="AD3" s="123">
        <v>29</v>
      </c>
      <c r="AE3" s="123">
        <v>30</v>
      </c>
      <c r="AF3" s="124">
        <v>31</v>
      </c>
      <c r="AG3" s="125" t="s">
        <v>72</v>
      </c>
    </row>
    <row r="4" spans="1:184" x14ac:dyDescent="0.3">
      <c r="A4" s="126" t="s">
        <v>82</v>
      </c>
      <c r="B4" s="709">
        <v>0</v>
      </c>
      <c r="C4" s="710">
        <v>160</v>
      </c>
      <c r="D4" s="710">
        <v>80</v>
      </c>
      <c r="E4" s="710">
        <v>0</v>
      </c>
      <c r="F4" s="710">
        <v>110</v>
      </c>
      <c r="G4" s="710">
        <v>420</v>
      </c>
      <c r="H4" s="710">
        <v>260</v>
      </c>
      <c r="I4" s="710">
        <v>330</v>
      </c>
      <c r="J4" s="710">
        <v>210</v>
      </c>
      <c r="K4" s="710">
        <v>40</v>
      </c>
      <c r="L4" s="710">
        <v>0</v>
      </c>
      <c r="M4" s="710">
        <v>0</v>
      </c>
      <c r="N4" s="710">
        <v>470</v>
      </c>
      <c r="O4" s="710">
        <v>280</v>
      </c>
      <c r="P4" s="710">
        <v>200</v>
      </c>
      <c r="Q4" s="710">
        <v>210</v>
      </c>
      <c r="R4" s="710">
        <v>190</v>
      </c>
      <c r="S4" s="710">
        <v>0</v>
      </c>
      <c r="T4" s="710">
        <v>300</v>
      </c>
      <c r="U4" s="710">
        <v>300</v>
      </c>
      <c r="V4" s="710">
        <v>200</v>
      </c>
      <c r="W4" s="710">
        <v>160</v>
      </c>
      <c r="X4" s="710">
        <v>20</v>
      </c>
      <c r="Y4" s="710">
        <v>30</v>
      </c>
      <c r="Z4" s="710">
        <v>0</v>
      </c>
      <c r="AA4" s="710">
        <v>140</v>
      </c>
      <c r="AB4" s="710">
        <v>120</v>
      </c>
      <c r="AC4" s="710">
        <v>130</v>
      </c>
      <c r="AD4" s="710">
        <v>280</v>
      </c>
      <c r="AE4" s="710">
        <v>290</v>
      </c>
      <c r="AF4" s="710">
        <v>270</v>
      </c>
      <c r="AG4" s="711">
        <v>5200</v>
      </c>
    </row>
    <row r="5" spans="1:184" x14ac:dyDescent="0.3">
      <c r="A5" s="127" t="s">
        <v>83</v>
      </c>
      <c r="B5" s="712">
        <v>0</v>
      </c>
      <c r="C5" s="713">
        <v>200</v>
      </c>
      <c r="D5" s="713">
        <v>160</v>
      </c>
      <c r="E5" s="713">
        <v>0</v>
      </c>
      <c r="F5" s="713">
        <v>190</v>
      </c>
      <c r="G5" s="713">
        <v>500</v>
      </c>
      <c r="H5" s="713">
        <v>700</v>
      </c>
      <c r="I5" s="713">
        <v>550</v>
      </c>
      <c r="J5" s="713">
        <v>540</v>
      </c>
      <c r="K5" s="713">
        <v>160</v>
      </c>
      <c r="L5" s="713">
        <v>0</v>
      </c>
      <c r="M5" s="713">
        <v>0</v>
      </c>
      <c r="N5" s="713">
        <v>650</v>
      </c>
      <c r="O5" s="713">
        <v>680</v>
      </c>
      <c r="P5" s="713">
        <v>610</v>
      </c>
      <c r="Q5" s="713">
        <v>600</v>
      </c>
      <c r="R5" s="713">
        <v>160</v>
      </c>
      <c r="S5" s="713">
        <v>0</v>
      </c>
      <c r="T5" s="713">
        <v>610</v>
      </c>
      <c r="U5" s="713">
        <v>700</v>
      </c>
      <c r="V5" s="713">
        <v>500</v>
      </c>
      <c r="W5" s="713">
        <v>800</v>
      </c>
      <c r="X5" s="713">
        <v>700</v>
      </c>
      <c r="Y5" s="713">
        <v>150</v>
      </c>
      <c r="Z5" s="713">
        <v>0</v>
      </c>
      <c r="AA5" s="713">
        <v>390</v>
      </c>
      <c r="AB5" s="713">
        <v>360</v>
      </c>
      <c r="AC5" s="713">
        <v>150</v>
      </c>
      <c r="AD5" s="713">
        <v>640</v>
      </c>
      <c r="AE5" s="713">
        <v>510</v>
      </c>
      <c r="AF5" s="713">
        <v>420</v>
      </c>
      <c r="AG5" s="714">
        <v>11630</v>
      </c>
    </row>
    <row r="6" spans="1:184" x14ac:dyDescent="0.3">
      <c r="A6" s="127" t="s">
        <v>84</v>
      </c>
      <c r="B6" s="712">
        <v>0</v>
      </c>
      <c r="C6" s="713">
        <v>120</v>
      </c>
      <c r="D6" s="713">
        <v>50</v>
      </c>
      <c r="E6" s="713">
        <v>0</v>
      </c>
      <c r="F6" s="713">
        <v>100</v>
      </c>
      <c r="G6" s="713">
        <v>200</v>
      </c>
      <c r="H6" s="713">
        <v>140</v>
      </c>
      <c r="I6" s="713">
        <v>160</v>
      </c>
      <c r="J6" s="713">
        <v>190</v>
      </c>
      <c r="K6" s="713">
        <v>80</v>
      </c>
      <c r="L6" s="713">
        <v>0</v>
      </c>
      <c r="M6" s="713">
        <v>0</v>
      </c>
      <c r="N6" s="713">
        <v>240</v>
      </c>
      <c r="O6" s="713">
        <v>350</v>
      </c>
      <c r="P6" s="713">
        <v>150</v>
      </c>
      <c r="Q6" s="713">
        <v>190</v>
      </c>
      <c r="R6" s="713">
        <v>60</v>
      </c>
      <c r="S6" s="713">
        <v>0</v>
      </c>
      <c r="T6" s="713">
        <v>250</v>
      </c>
      <c r="U6" s="713">
        <v>40</v>
      </c>
      <c r="V6" s="713">
        <v>210</v>
      </c>
      <c r="W6" s="713">
        <v>240</v>
      </c>
      <c r="X6" s="713">
        <v>110</v>
      </c>
      <c r="Y6" s="713">
        <v>40</v>
      </c>
      <c r="Z6" s="713">
        <v>0</v>
      </c>
      <c r="AA6" s="713">
        <v>160</v>
      </c>
      <c r="AB6" s="713">
        <v>120</v>
      </c>
      <c r="AC6" s="713">
        <v>80</v>
      </c>
      <c r="AD6" s="713">
        <v>120</v>
      </c>
      <c r="AE6" s="713">
        <v>170</v>
      </c>
      <c r="AF6" s="713">
        <v>200</v>
      </c>
      <c r="AG6" s="714">
        <v>3770</v>
      </c>
    </row>
    <row r="7" spans="1:184" x14ac:dyDescent="0.3">
      <c r="A7" s="127" t="s">
        <v>85</v>
      </c>
      <c r="B7" s="712">
        <v>0</v>
      </c>
      <c r="C7" s="713">
        <v>10</v>
      </c>
      <c r="D7" s="713">
        <v>0</v>
      </c>
      <c r="E7" s="713">
        <v>0</v>
      </c>
      <c r="F7" s="713">
        <v>0</v>
      </c>
      <c r="G7" s="713">
        <v>5</v>
      </c>
      <c r="H7" s="713">
        <v>5</v>
      </c>
      <c r="I7" s="713">
        <v>5</v>
      </c>
      <c r="J7" s="713">
        <v>5</v>
      </c>
      <c r="K7" s="713">
        <v>5</v>
      </c>
      <c r="L7" s="713">
        <v>0</v>
      </c>
      <c r="M7" s="713">
        <v>0</v>
      </c>
      <c r="N7" s="713">
        <v>5</v>
      </c>
      <c r="O7" s="713">
        <v>5</v>
      </c>
      <c r="P7" s="713">
        <v>5</v>
      </c>
      <c r="Q7" s="713">
        <v>5</v>
      </c>
      <c r="R7" s="713">
        <v>5</v>
      </c>
      <c r="S7" s="713">
        <v>0</v>
      </c>
      <c r="T7" s="713">
        <v>5</v>
      </c>
      <c r="U7" s="713">
        <v>10</v>
      </c>
      <c r="V7" s="713">
        <v>10</v>
      </c>
      <c r="W7" s="713">
        <v>5</v>
      </c>
      <c r="X7" s="713">
        <v>10</v>
      </c>
      <c r="Y7" s="713">
        <v>5</v>
      </c>
      <c r="Z7" s="713">
        <v>0</v>
      </c>
      <c r="AA7" s="713">
        <v>5</v>
      </c>
      <c r="AB7" s="713">
        <v>10</v>
      </c>
      <c r="AC7" s="713">
        <v>5</v>
      </c>
      <c r="AD7" s="713">
        <v>5</v>
      </c>
      <c r="AE7" s="713">
        <v>10</v>
      </c>
      <c r="AF7" s="713">
        <v>5</v>
      </c>
      <c r="AG7" s="714">
        <v>145</v>
      </c>
    </row>
    <row r="8" spans="1:184" ht="15" thickBot="1" x14ac:dyDescent="0.35">
      <c r="A8" s="128" t="s">
        <v>86</v>
      </c>
      <c r="B8" s="712">
        <v>0</v>
      </c>
      <c r="C8" s="713">
        <v>10</v>
      </c>
      <c r="D8" s="713">
        <v>0</v>
      </c>
      <c r="E8" s="713">
        <v>0</v>
      </c>
      <c r="F8" s="713">
        <v>10</v>
      </c>
      <c r="G8" s="713">
        <v>10</v>
      </c>
      <c r="H8" s="713">
        <v>15</v>
      </c>
      <c r="I8" s="713">
        <v>15</v>
      </c>
      <c r="J8" s="713">
        <v>15</v>
      </c>
      <c r="K8" s="713">
        <v>5</v>
      </c>
      <c r="L8" s="713">
        <v>0</v>
      </c>
      <c r="M8" s="713">
        <v>0</v>
      </c>
      <c r="N8" s="713">
        <v>10</v>
      </c>
      <c r="O8" s="713">
        <v>15</v>
      </c>
      <c r="P8" s="713">
        <v>15</v>
      </c>
      <c r="Q8" s="713">
        <v>15</v>
      </c>
      <c r="R8" s="713">
        <v>10</v>
      </c>
      <c r="S8" s="713">
        <v>0</v>
      </c>
      <c r="T8" s="713">
        <v>15</v>
      </c>
      <c r="U8" s="713">
        <v>10</v>
      </c>
      <c r="V8" s="713">
        <v>15</v>
      </c>
      <c r="W8" s="713">
        <v>15</v>
      </c>
      <c r="X8" s="713">
        <v>15</v>
      </c>
      <c r="Y8" s="713">
        <v>5</v>
      </c>
      <c r="Z8" s="713">
        <v>0</v>
      </c>
      <c r="AA8" s="713">
        <v>10</v>
      </c>
      <c r="AB8" s="713">
        <v>15</v>
      </c>
      <c r="AC8" s="713">
        <v>15</v>
      </c>
      <c r="AD8" s="713">
        <v>15</v>
      </c>
      <c r="AE8" s="713">
        <v>15</v>
      </c>
      <c r="AF8" s="713">
        <v>5</v>
      </c>
      <c r="AG8" s="714">
        <v>295</v>
      </c>
    </row>
    <row r="9" spans="1:184" x14ac:dyDescent="0.3">
      <c r="A9" s="317" t="s">
        <v>224</v>
      </c>
      <c r="B9" s="712">
        <v>0</v>
      </c>
      <c r="C9" s="713">
        <v>815.16417910447763</v>
      </c>
      <c r="D9" s="713">
        <v>268.38805970149258</v>
      </c>
      <c r="E9" s="713">
        <v>0</v>
      </c>
      <c r="F9" s="713">
        <v>868.62686567164178</v>
      </c>
      <c r="G9" s="713">
        <v>1082.5522388059703</v>
      </c>
      <c r="H9" s="713">
        <v>875.62686567164178</v>
      </c>
      <c r="I9" s="713">
        <v>958.01492537313447</v>
      </c>
      <c r="J9" s="713">
        <v>974.55223880597021</v>
      </c>
      <c r="K9" s="713">
        <v>594.23880597014931</v>
      </c>
      <c r="L9" s="713">
        <v>0</v>
      </c>
      <c r="M9" s="713">
        <v>0</v>
      </c>
      <c r="N9" s="713">
        <v>1479.8656716417913</v>
      </c>
      <c r="O9" s="713">
        <v>1769.2537313432838</v>
      </c>
      <c r="P9" s="713">
        <v>1769.2537313432838</v>
      </c>
      <c r="Q9" s="713">
        <v>1431.4029850746269</v>
      </c>
      <c r="R9" s="713">
        <v>1222.4776119402986</v>
      </c>
      <c r="S9" s="713">
        <v>0</v>
      </c>
      <c r="T9" s="713">
        <v>1857.7164179104479</v>
      </c>
      <c r="U9" s="713">
        <v>1592.3283582089555</v>
      </c>
      <c r="V9" s="713">
        <v>1592.3283582089553</v>
      </c>
      <c r="W9" s="713">
        <v>1592.3283582089555</v>
      </c>
      <c r="X9" s="713">
        <v>973.08955223880616</v>
      </c>
      <c r="Y9" s="713">
        <v>796.16417910447763</v>
      </c>
      <c r="Z9" s="713">
        <v>0</v>
      </c>
      <c r="AA9" s="713">
        <v>884.62686567164189</v>
      </c>
      <c r="AB9" s="713">
        <v>1061.5522388059703</v>
      </c>
      <c r="AC9" s="713">
        <v>1238.4776119402986</v>
      </c>
      <c r="AD9" s="713">
        <v>1326.9402985074628</v>
      </c>
      <c r="AE9" s="713">
        <v>1326.9402985074628</v>
      </c>
      <c r="AF9" s="713">
        <v>973.08955223880605</v>
      </c>
      <c r="AG9" s="714">
        <v>29325.000000000007</v>
      </c>
    </row>
    <row r="10" spans="1:184" ht="15" thickBot="1" x14ac:dyDescent="0.35">
      <c r="A10" s="318" t="s">
        <v>225</v>
      </c>
      <c r="B10" s="508">
        <v>0</v>
      </c>
      <c r="C10" s="509">
        <v>2817.0889482935404</v>
      </c>
      <c r="D10" s="509">
        <v>4078.2645145145138</v>
      </c>
      <c r="E10" s="509">
        <v>0</v>
      </c>
      <c r="F10" s="509">
        <v>2136.8669026427024</v>
      </c>
      <c r="G10" s="509">
        <v>3938.7752822930879</v>
      </c>
      <c r="H10" s="509">
        <v>5136.7941943511687</v>
      </c>
      <c r="I10" s="509">
        <v>4336.5138579463128</v>
      </c>
      <c r="J10" s="509">
        <v>4332.8641932766668</v>
      </c>
      <c r="K10" s="509">
        <v>2512.3906163661022</v>
      </c>
      <c r="L10" s="509">
        <v>0</v>
      </c>
      <c r="M10" s="509">
        <v>0</v>
      </c>
      <c r="N10" s="509">
        <v>3519.9174491432254</v>
      </c>
      <c r="O10" s="509">
        <v>3445.0019191833976</v>
      </c>
      <c r="P10" s="509">
        <v>2354.6862873291711</v>
      </c>
      <c r="Q10" s="509">
        <v>3111.040389347681</v>
      </c>
      <c r="R10" s="509">
        <v>1315.1038385466265</v>
      </c>
      <c r="S10" s="509">
        <v>0</v>
      </c>
      <c r="T10" s="509">
        <v>2724.2115379980232</v>
      </c>
      <c r="U10" s="509">
        <v>2348.2593779877393</v>
      </c>
      <c r="V10" s="509">
        <v>2707.1913137618808</v>
      </c>
      <c r="W10" s="509">
        <v>3492.4580544776254</v>
      </c>
      <c r="X10" s="509">
        <v>4211.4751829071884</v>
      </c>
      <c r="Y10" s="509">
        <v>1418.0429484655906</v>
      </c>
      <c r="Z10" s="509">
        <v>0</v>
      </c>
      <c r="AA10" s="509">
        <v>3644.9096507508011</v>
      </c>
      <c r="AB10" s="509">
        <v>2805.5896743715198</v>
      </c>
      <c r="AC10" s="509">
        <v>1430.9059630263441</v>
      </c>
      <c r="AD10" s="509">
        <v>3113.6065463134805</v>
      </c>
      <c r="AE10" s="509">
        <v>3113.5707496766208</v>
      </c>
      <c r="AF10" s="509">
        <v>3786.3216098900252</v>
      </c>
      <c r="AG10" s="510">
        <v>3042.8393009377669</v>
      </c>
    </row>
    <row r="11" spans="1:184" ht="15" thickBot="1" x14ac:dyDescent="0.35">
      <c r="A11" s="317"/>
      <c r="B11" s="511"/>
      <c r="C11" s="511"/>
      <c r="D11" s="511"/>
      <c r="E11" s="511"/>
      <c r="F11" s="511"/>
      <c r="G11" s="511"/>
      <c r="H11" s="511"/>
      <c r="I11" s="511"/>
      <c r="J11" s="511"/>
      <c r="K11" s="511"/>
      <c r="L11" s="511"/>
      <c r="M11" s="511"/>
      <c r="N11" s="511"/>
      <c r="O11" s="511"/>
      <c r="P11" s="511"/>
      <c r="Q11" s="511"/>
      <c r="R11" s="511"/>
      <c r="S11" s="511"/>
      <c r="T11" s="511"/>
      <c r="U11" s="511"/>
      <c r="V11" s="511"/>
      <c r="W11" s="511"/>
      <c r="X11" s="511"/>
      <c r="Y11" s="511"/>
      <c r="Z11" s="511"/>
      <c r="AA11" s="511"/>
      <c r="AB11" s="511"/>
      <c r="AC11" s="511"/>
      <c r="AD11" s="511"/>
      <c r="AE11" s="511"/>
      <c r="AF11" s="511"/>
      <c r="AG11" s="511"/>
    </row>
    <row r="12" spans="1:184" ht="15" thickBot="1" x14ac:dyDescent="0.35">
      <c r="A12" s="619" t="s">
        <v>4</v>
      </c>
      <c r="B12" s="620"/>
      <c r="C12" s="620"/>
      <c r="D12" s="620"/>
      <c r="E12" s="620"/>
      <c r="F12" s="621"/>
      <c r="H12" s="86"/>
      <c r="I12" s="86"/>
      <c r="J12" s="86"/>
      <c r="K12" s="86"/>
      <c r="L12" s="86"/>
      <c r="M12" s="86"/>
      <c r="N12" s="86"/>
      <c r="W12" s="86"/>
      <c r="X12" s="86"/>
    </row>
    <row r="13" spans="1:184" ht="15" thickBot="1" x14ac:dyDescent="0.35">
      <c r="A13" s="715"/>
      <c r="B13" s="111" t="s">
        <v>80</v>
      </c>
      <c r="C13" s="112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4"/>
    </row>
    <row r="14" spans="1:184" ht="15" thickBot="1" x14ac:dyDescent="0.35">
      <c r="A14" s="130" t="s">
        <v>81</v>
      </c>
      <c r="B14" s="104">
        <v>1</v>
      </c>
      <c r="C14" s="105">
        <v>2</v>
      </c>
      <c r="D14" s="105">
        <v>3</v>
      </c>
      <c r="E14" s="105">
        <v>4</v>
      </c>
      <c r="F14" s="105">
        <v>5</v>
      </c>
      <c r="G14" s="105">
        <v>6</v>
      </c>
      <c r="H14" s="105">
        <v>7</v>
      </c>
      <c r="I14" s="105">
        <v>8</v>
      </c>
      <c r="J14" s="105">
        <v>9</v>
      </c>
      <c r="K14" s="105">
        <v>10</v>
      </c>
      <c r="L14" s="105">
        <v>11</v>
      </c>
      <c r="M14" s="105">
        <v>12</v>
      </c>
      <c r="N14" s="105">
        <v>13</v>
      </c>
      <c r="O14" s="105">
        <v>14</v>
      </c>
      <c r="P14" s="105">
        <v>15</v>
      </c>
      <c r="Q14" s="105">
        <v>16</v>
      </c>
      <c r="R14" s="105">
        <v>17</v>
      </c>
      <c r="S14" s="105">
        <v>18</v>
      </c>
      <c r="T14" s="105">
        <v>19</v>
      </c>
      <c r="U14" s="105">
        <v>20</v>
      </c>
      <c r="V14" s="105">
        <v>21</v>
      </c>
      <c r="W14" s="105">
        <v>22</v>
      </c>
      <c r="X14" s="105">
        <v>23</v>
      </c>
      <c r="Y14" s="105">
        <v>24</v>
      </c>
      <c r="Z14" s="105">
        <v>25</v>
      </c>
      <c r="AA14" s="105">
        <v>26</v>
      </c>
      <c r="AB14" s="105">
        <v>27</v>
      </c>
      <c r="AC14" s="105">
        <v>28</v>
      </c>
      <c r="AD14" s="105">
        <v>29</v>
      </c>
      <c r="AE14" s="105">
        <v>30</v>
      </c>
      <c r="AF14" s="115">
        <v>31</v>
      </c>
      <c r="AG14" s="116" t="s">
        <v>72</v>
      </c>
    </row>
    <row r="15" spans="1:184" x14ac:dyDescent="0.3">
      <c r="A15" s="108" t="s">
        <v>87</v>
      </c>
      <c r="B15" s="90">
        <v>0</v>
      </c>
      <c r="C15" s="91">
        <v>208</v>
      </c>
      <c r="D15" s="91">
        <v>104</v>
      </c>
      <c r="E15" s="91">
        <v>0</v>
      </c>
      <c r="F15" s="91">
        <v>143</v>
      </c>
      <c r="G15" s="91">
        <v>546</v>
      </c>
      <c r="H15" s="91">
        <v>338</v>
      </c>
      <c r="I15" s="91">
        <v>429</v>
      </c>
      <c r="J15" s="91">
        <v>273</v>
      </c>
      <c r="K15" s="91">
        <v>52</v>
      </c>
      <c r="L15" s="91">
        <v>0</v>
      </c>
      <c r="M15" s="91">
        <v>0</v>
      </c>
      <c r="N15" s="91">
        <v>611</v>
      </c>
      <c r="O15" s="91">
        <v>364</v>
      </c>
      <c r="P15" s="91">
        <v>260</v>
      </c>
      <c r="Q15" s="91">
        <v>273</v>
      </c>
      <c r="R15" s="91">
        <v>247</v>
      </c>
      <c r="S15" s="91">
        <v>0</v>
      </c>
      <c r="T15" s="91">
        <v>390</v>
      </c>
      <c r="U15" s="91">
        <v>390</v>
      </c>
      <c r="V15" s="91">
        <v>260</v>
      </c>
      <c r="W15" s="91">
        <v>208</v>
      </c>
      <c r="X15" s="91">
        <v>26</v>
      </c>
      <c r="Y15" s="91">
        <v>39</v>
      </c>
      <c r="Z15" s="91">
        <v>0</v>
      </c>
      <c r="AA15" s="91">
        <v>182</v>
      </c>
      <c r="AB15" s="91">
        <v>156</v>
      </c>
      <c r="AC15" s="91">
        <v>169</v>
      </c>
      <c r="AD15" s="91">
        <v>364</v>
      </c>
      <c r="AE15" s="91">
        <v>377</v>
      </c>
      <c r="AF15" s="91">
        <v>351</v>
      </c>
      <c r="AG15" s="92">
        <v>6760</v>
      </c>
    </row>
    <row r="16" spans="1:184" x14ac:dyDescent="0.3">
      <c r="A16" s="109" t="s">
        <v>88</v>
      </c>
      <c r="B16" s="106">
        <v>0</v>
      </c>
      <c r="C16" s="707">
        <v>265</v>
      </c>
      <c r="D16" s="707">
        <v>212</v>
      </c>
      <c r="E16" s="707">
        <v>0</v>
      </c>
      <c r="F16" s="707">
        <v>251.75</v>
      </c>
      <c r="G16" s="707">
        <v>662.5</v>
      </c>
      <c r="H16" s="707">
        <v>927.5</v>
      </c>
      <c r="I16" s="707">
        <v>728.75</v>
      </c>
      <c r="J16" s="707">
        <v>715.5</v>
      </c>
      <c r="K16" s="707">
        <v>212</v>
      </c>
      <c r="L16" s="707">
        <v>0</v>
      </c>
      <c r="M16" s="707">
        <v>0</v>
      </c>
      <c r="N16" s="707">
        <v>861.25</v>
      </c>
      <c r="O16" s="707">
        <v>901</v>
      </c>
      <c r="P16" s="707">
        <v>808.25</v>
      </c>
      <c r="Q16" s="707">
        <v>795</v>
      </c>
      <c r="R16" s="707">
        <v>212</v>
      </c>
      <c r="S16" s="707">
        <v>0</v>
      </c>
      <c r="T16" s="707">
        <v>808.25</v>
      </c>
      <c r="U16" s="707">
        <v>927.5</v>
      </c>
      <c r="V16" s="707">
        <v>662.5</v>
      </c>
      <c r="W16" s="707">
        <v>1060</v>
      </c>
      <c r="X16" s="707">
        <v>927.5</v>
      </c>
      <c r="Y16" s="707">
        <v>198.75</v>
      </c>
      <c r="Z16" s="707">
        <v>0</v>
      </c>
      <c r="AA16" s="707">
        <v>516.75</v>
      </c>
      <c r="AB16" s="707">
        <v>477</v>
      </c>
      <c r="AC16" s="707">
        <v>198.75</v>
      </c>
      <c r="AD16" s="707">
        <v>848</v>
      </c>
      <c r="AE16" s="707">
        <v>675.75</v>
      </c>
      <c r="AF16" s="707">
        <v>556.5</v>
      </c>
      <c r="AG16" s="107">
        <v>15409.75</v>
      </c>
    </row>
    <row r="17" spans="1:33" x14ac:dyDescent="0.3">
      <c r="A17" s="109" t="s">
        <v>89</v>
      </c>
      <c r="B17" s="106">
        <v>0</v>
      </c>
      <c r="C17" s="707">
        <v>150</v>
      </c>
      <c r="D17" s="707">
        <v>62.5</v>
      </c>
      <c r="E17" s="707">
        <v>0</v>
      </c>
      <c r="F17" s="707">
        <v>125</v>
      </c>
      <c r="G17" s="707">
        <v>250</v>
      </c>
      <c r="H17" s="707">
        <v>175</v>
      </c>
      <c r="I17" s="707">
        <v>200</v>
      </c>
      <c r="J17" s="707">
        <v>237.5</v>
      </c>
      <c r="K17" s="707">
        <v>100</v>
      </c>
      <c r="L17" s="707">
        <v>0</v>
      </c>
      <c r="M17" s="707">
        <v>0</v>
      </c>
      <c r="N17" s="707">
        <v>300</v>
      </c>
      <c r="O17" s="707">
        <v>437.5</v>
      </c>
      <c r="P17" s="707">
        <v>187.5</v>
      </c>
      <c r="Q17" s="707">
        <v>237.5</v>
      </c>
      <c r="R17" s="707">
        <v>75</v>
      </c>
      <c r="S17" s="707">
        <v>0</v>
      </c>
      <c r="T17" s="707">
        <v>312.5</v>
      </c>
      <c r="U17" s="707">
        <v>50</v>
      </c>
      <c r="V17" s="707">
        <v>262.5</v>
      </c>
      <c r="W17" s="707">
        <v>300</v>
      </c>
      <c r="X17" s="707">
        <v>137.5</v>
      </c>
      <c r="Y17" s="707">
        <v>50</v>
      </c>
      <c r="Z17" s="707">
        <v>0</v>
      </c>
      <c r="AA17" s="707">
        <v>200</v>
      </c>
      <c r="AB17" s="707">
        <v>150</v>
      </c>
      <c r="AC17" s="707">
        <v>100</v>
      </c>
      <c r="AD17" s="707">
        <v>150</v>
      </c>
      <c r="AE17" s="707">
        <v>212.5</v>
      </c>
      <c r="AF17" s="707">
        <v>250</v>
      </c>
      <c r="AG17" s="107">
        <v>4712.5</v>
      </c>
    </row>
    <row r="18" spans="1:33" x14ac:dyDescent="0.3">
      <c r="A18" s="109" t="s">
        <v>90</v>
      </c>
      <c r="B18" s="106">
        <v>0</v>
      </c>
      <c r="C18" s="707">
        <v>10</v>
      </c>
      <c r="D18" s="707">
        <v>0</v>
      </c>
      <c r="E18" s="707">
        <v>0</v>
      </c>
      <c r="F18" s="707">
        <v>0</v>
      </c>
      <c r="G18" s="707">
        <v>5</v>
      </c>
      <c r="H18" s="707">
        <v>5</v>
      </c>
      <c r="I18" s="707">
        <v>5</v>
      </c>
      <c r="J18" s="707">
        <v>5</v>
      </c>
      <c r="K18" s="707">
        <v>5</v>
      </c>
      <c r="L18" s="707">
        <v>0</v>
      </c>
      <c r="M18" s="707">
        <v>0</v>
      </c>
      <c r="N18" s="707">
        <v>5</v>
      </c>
      <c r="O18" s="707">
        <v>5</v>
      </c>
      <c r="P18" s="707">
        <v>5</v>
      </c>
      <c r="Q18" s="707">
        <v>5</v>
      </c>
      <c r="R18" s="707">
        <v>5</v>
      </c>
      <c r="S18" s="707">
        <v>0</v>
      </c>
      <c r="T18" s="707">
        <v>5</v>
      </c>
      <c r="U18" s="707">
        <v>10</v>
      </c>
      <c r="V18" s="707">
        <v>10</v>
      </c>
      <c r="W18" s="707">
        <v>5</v>
      </c>
      <c r="X18" s="707">
        <v>10</v>
      </c>
      <c r="Y18" s="707">
        <v>5</v>
      </c>
      <c r="Z18" s="707">
        <v>0</v>
      </c>
      <c r="AA18" s="707">
        <v>5</v>
      </c>
      <c r="AB18" s="707">
        <v>10</v>
      </c>
      <c r="AC18" s="707">
        <v>5</v>
      </c>
      <c r="AD18" s="707">
        <v>5</v>
      </c>
      <c r="AE18" s="707">
        <v>10</v>
      </c>
      <c r="AF18" s="707">
        <v>5</v>
      </c>
      <c r="AG18" s="107">
        <v>145</v>
      </c>
    </row>
    <row r="19" spans="1:33" ht="15" thickBot="1" x14ac:dyDescent="0.35">
      <c r="A19" s="110" t="s">
        <v>91</v>
      </c>
      <c r="B19" s="106">
        <v>0</v>
      </c>
      <c r="C19" s="707">
        <v>10</v>
      </c>
      <c r="D19" s="707">
        <v>0</v>
      </c>
      <c r="E19" s="707">
        <v>0</v>
      </c>
      <c r="F19" s="707">
        <v>10</v>
      </c>
      <c r="G19" s="707">
        <v>10</v>
      </c>
      <c r="H19" s="707">
        <v>15</v>
      </c>
      <c r="I19" s="707">
        <v>15</v>
      </c>
      <c r="J19" s="707">
        <v>15</v>
      </c>
      <c r="K19" s="707">
        <v>5</v>
      </c>
      <c r="L19" s="707">
        <v>0</v>
      </c>
      <c r="M19" s="707">
        <v>0</v>
      </c>
      <c r="N19" s="707">
        <v>10</v>
      </c>
      <c r="O19" s="707">
        <v>15</v>
      </c>
      <c r="P19" s="707">
        <v>15</v>
      </c>
      <c r="Q19" s="707">
        <v>15</v>
      </c>
      <c r="R19" s="707">
        <v>10</v>
      </c>
      <c r="S19" s="707">
        <v>0</v>
      </c>
      <c r="T19" s="707">
        <v>15</v>
      </c>
      <c r="U19" s="707">
        <v>10</v>
      </c>
      <c r="V19" s="707">
        <v>15</v>
      </c>
      <c r="W19" s="707">
        <v>15</v>
      </c>
      <c r="X19" s="707">
        <v>15</v>
      </c>
      <c r="Y19" s="707">
        <v>5</v>
      </c>
      <c r="Z19" s="707">
        <v>0</v>
      </c>
      <c r="AA19" s="707">
        <v>10</v>
      </c>
      <c r="AB19" s="707">
        <v>15</v>
      </c>
      <c r="AC19" s="707">
        <v>15</v>
      </c>
      <c r="AD19" s="707">
        <v>15</v>
      </c>
      <c r="AE19" s="707">
        <v>15</v>
      </c>
      <c r="AF19" s="707">
        <v>5</v>
      </c>
      <c r="AG19" s="107">
        <v>295</v>
      </c>
    </row>
    <row r="20" spans="1:33" x14ac:dyDescent="0.3">
      <c r="A20" s="517" t="s">
        <v>224</v>
      </c>
      <c r="B20" s="106">
        <v>0</v>
      </c>
      <c r="C20" s="707">
        <v>815.16417910447763</v>
      </c>
      <c r="D20" s="707">
        <v>268.38805970149258</v>
      </c>
      <c r="E20" s="707">
        <v>0</v>
      </c>
      <c r="F20" s="707">
        <v>868.62686567164178</v>
      </c>
      <c r="G20" s="707">
        <v>1082.5522388059703</v>
      </c>
      <c r="H20" s="707">
        <v>875.62686567164178</v>
      </c>
      <c r="I20" s="707">
        <v>958.01492537313447</v>
      </c>
      <c r="J20" s="707">
        <v>974.55223880597021</v>
      </c>
      <c r="K20" s="707">
        <v>594.23880597014931</v>
      </c>
      <c r="L20" s="707">
        <v>0</v>
      </c>
      <c r="M20" s="707">
        <v>0</v>
      </c>
      <c r="N20" s="707">
        <v>1479.8656716417913</v>
      </c>
      <c r="O20" s="707">
        <v>1769.2537313432838</v>
      </c>
      <c r="P20" s="707">
        <v>1769.2537313432838</v>
      </c>
      <c r="Q20" s="707">
        <v>1431.4029850746269</v>
      </c>
      <c r="R20" s="707">
        <v>1222.4776119402986</v>
      </c>
      <c r="S20" s="707">
        <v>0</v>
      </c>
      <c r="T20" s="707">
        <v>1857.7164179104479</v>
      </c>
      <c r="U20" s="707">
        <v>1592.3283582089555</v>
      </c>
      <c r="V20" s="707">
        <v>1592.3283582089553</v>
      </c>
      <c r="W20" s="707">
        <v>1592.3283582089555</v>
      </c>
      <c r="X20" s="707">
        <v>973.08955223880616</v>
      </c>
      <c r="Y20" s="707">
        <v>796.16417910447763</v>
      </c>
      <c r="Z20" s="707">
        <v>0</v>
      </c>
      <c r="AA20" s="707">
        <v>884.62686567164189</v>
      </c>
      <c r="AB20" s="707">
        <v>1061.5522388059703</v>
      </c>
      <c r="AC20" s="707">
        <v>1238.4776119402986</v>
      </c>
      <c r="AD20" s="707">
        <v>1326.9402985074628</v>
      </c>
      <c r="AE20" s="707">
        <v>1326.9402985074628</v>
      </c>
      <c r="AF20" s="707">
        <v>973.08955223880605</v>
      </c>
      <c r="AG20" s="107">
        <v>29325.000000000007</v>
      </c>
    </row>
    <row r="21" spans="1:33" ht="15" thickBot="1" x14ac:dyDescent="0.35">
      <c r="A21" s="518" t="s">
        <v>225</v>
      </c>
      <c r="B21" s="514" t="e">
        <v>#DIV/0!</v>
      </c>
      <c r="C21" s="515">
        <v>2817.0889482935404</v>
      </c>
      <c r="D21" s="515">
        <v>4078.2645145145138</v>
      </c>
      <c r="E21" s="515" t="e">
        <v>#DIV/0!</v>
      </c>
      <c r="F21" s="515">
        <v>2136.8669026427024</v>
      </c>
      <c r="G21" s="515">
        <v>3938.7752822930879</v>
      </c>
      <c r="H21" s="515">
        <v>5136.7941943511687</v>
      </c>
      <c r="I21" s="515">
        <v>4336.5138579463128</v>
      </c>
      <c r="J21" s="515">
        <v>4332.8641932766668</v>
      </c>
      <c r="K21" s="515">
        <v>2512.3906163661022</v>
      </c>
      <c r="L21" s="515" t="e">
        <v>#DIV/0!</v>
      </c>
      <c r="M21" s="515" t="e">
        <v>#DIV/0!</v>
      </c>
      <c r="N21" s="515">
        <v>3519.9174491432254</v>
      </c>
      <c r="O21" s="515">
        <v>3445.0019191833976</v>
      </c>
      <c r="P21" s="515">
        <v>2354.6862873291711</v>
      </c>
      <c r="Q21" s="515">
        <v>3111.040389347681</v>
      </c>
      <c r="R21" s="515">
        <v>1315.1038385466265</v>
      </c>
      <c r="S21" s="515" t="e">
        <v>#DIV/0!</v>
      </c>
      <c r="T21" s="515">
        <v>2724.2115379980232</v>
      </c>
      <c r="U21" s="515">
        <v>2348.2593779877393</v>
      </c>
      <c r="V21" s="515">
        <v>2707.1913137618808</v>
      </c>
      <c r="W21" s="515">
        <v>3492.4580544776254</v>
      </c>
      <c r="X21" s="515">
        <v>4211.4751829071884</v>
      </c>
      <c r="Y21" s="515">
        <v>1418.0429484655906</v>
      </c>
      <c r="Z21" s="515" t="e">
        <v>#DIV/0!</v>
      </c>
      <c r="AA21" s="515">
        <v>3644.9096507508011</v>
      </c>
      <c r="AB21" s="515">
        <v>2805.5896743715198</v>
      </c>
      <c r="AC21" s="515">
        <v>1430.9059630263441</v>
      </c>
      <c r="AD21" s="515">
        <v>3113.6065463134805</v>
      </c>
      <c r="AE21" s="515">
        <v>3113.5707496766208</v>
      </c>
      <c r="AF21" s="515">
        <v>3786.3216098900252</v>
      </c>
      <c r="AG21" s="516">
        <v>3042.8393009377669</v>
      </c>
    </row>
    <row r="22" spans="1:33" x14ac:dyDescent="0.3">
      <c r="A22" s="512"/>
      <c r="G22" s="85"/>
      <c r="N22" s="85"/>
      <c r="O22" s="85"/>
      <c r="P22" s="85"/>
      <c r="Q22" s="85"/>
      <c r="R22" s="85"/>
      <c r="S22" s="85"/>
      <c r="T22" s="85"/>
      <c r="U22" s="85"/>
      <c r="V22" s="85"/>
      <c r="Y22" s="85"/>
      <c r="Z22" s="85"/>
      <c r="AA22" s="85"/>
      <c r="AB22" s="85"/>
      <c r="AC22" s="85"/>
      <c r="AD22" s="85"/>
      <c r="AE22" s="85"/>
      <c r="AF22" s="85"/>
      <c r="AG22" s="85"/>
    </row>
    <row r="23" spans="1:33" ht="15" thickBot="1" x14ac:dyDescent="0.35"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U23" s="86"/>
      <c r="W23" s="86"/>
      <c r="X23" s="86"/>
    </row>
    <row r="24" spans="1:33" ht="15" thickBot="1" x14ac:dyDescent="0.35">
      <c r="A24" s="613" t="s">
        <v>16</v>
      </c>
      <c r="B24" s="614"/>
      <c r="C24" s="614"/>
      <c r="D24" s="614"/>
      <c r="E24" s="614"/>
      <c r="F24" s="615"/>
      <c r="H24" s="86"/>
      <c r="I24" s="86"/>
      <c r="J24" s="86"/>
      <c r="K24" s="86"/>
      <c r="L24" s="86"/>
      <c r="M24" s="86"/>
      <c r="W24" s="86"/>
      <c r="X24" s="86"/>
    </row>
    <row r="25" spans="1:33" ht="15" thickBot="1" x14ac:dyDescent="0.35">
      <c r="A25" s="708"/>
      <c r="B25" s="136" t="s">
        <v>80</v>
      </c>
      <c r="C25" s="137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2"/>
    </row>
    <row r="26" spans="1:33" ht="15" thickBot="1" x14ac:dyDescent="0.35">
      <c r="A26" s="141" t="s">
        <v>81</v>
      </c>
      <c r="B26" s="138">
        <v>1</v>
      </c>
      <c r="C26" s="139">
        <v>2</v>
      </c>
      <c r="D26" s="139">
        <v>3</v>
      </c>
      <c r="E26" s="139">
        <v>4</v>
      </c>
      <c r="F26" s="139">
        <v>5</v>
      </c>
      <c r="G26" s="139">
        <v>6</v>
      </c>
      <c r="H26" s="139">
        <v>7</v>
      </c>
      <c r="I26" s="139">
        <v>8</v>
      </c>
      <c r="J26" s="139">
        <v>9</v>
      </c>
      <c r="K26" s="139">
        <v>10</v>
      </c>
      <c r="L26" s="139">
        <v>11</v>
      </c>
      <c r="M26" s="139">
        <v>12</v>
      </c>
      <c r="N26" s="139">
        <v>13</v>
      </c>
      <c r="O26" s="139">
        <v>14</v>
      </c>
      <c r="P26" s="139">
        <v>15</v>
      </c>
      <c r="Q26" s="139">
        <v>16</v>
      </c>
      <c r="R26" s="139">
        <v>17</v>
      </c>
      <c r="S26" s="139">
        <v>18</v>
      </c>
      <c r="T26" s="139">
        <v>19</v>
      </c>
      <c r="U26" s="139">
        <v>20</v>
      </c>
      <c r="V26" s="139">
        <v>21</v>
      </c>
      <c r="W26" s="139">
        <v>22</v>
      </c>
      <c r="X26" s="139">
        <v>23</v>
      </c>
      <c r="Y26" s="139">
        <v>24</v>
      </c>
      <c r="Z26" s="139">
        <v>25</v>
      </c>
      <c r="AA26" s="139">
        <v>26</v>
      </c>
      <c r="AB26" s="139">
        <v>27</v>
      </c>
      <c r="AC26" s="139">
        <v>28</v>
      </c>
      <c r="AD26" s="139">
        <v>29</v>
      </c>
      <c r="AE26" s="139">
        <v>30</v>
      </c>
      <c r="AF26" s="140">
        <v>31</v>
      </c>
    </row>
    <row r="27" spans="1:33" x14ac:dyDescent="0.3">
      <c r="A27" s="133" t="s">
        <v>92</v>
      </c>
      <c r="B27" s="101" t="e">
        <v>#DIV/0!</v>
      </c>
      <c r="C27" s="97">
        <v>196.27947854108686</v>
      </c>
      <c r="D27" s="97">
        <v>298.07585363140913</v>
      </c>
      <c r="E27" s="97" t="e">
        <v>#DIV/0!</v>
      </c>
      <c r="F27" s="97">
        <v>126.63665418055604</v>
      </c>
      <c r="G27" s="97">
        <v>387.97203954171312</v>
      </c>
      <c r="H27" s="97">
        <v>296.93013107880068</v>
      </c>
      <c r="I27" s="97">
        <v>344.46227429230214</v>
      </c>
      <c r="J27" s="97">
        <v>215.4835745462899</v>
      </c>
      <c r="K27" s="97">
        <v>67.313005475460884</v>
      </c>
      <c r="L27" s="97" t="e">
        <v>#DIV/0!</v>
      </c>
      <c r="M27" s="97" t="e">
        <v>#DIV/0!</v>
      </c>
      <c r="N27" s="97">
        <v>317.59639337979439</v>
      </c>
      <c r="O27" s="97">
        <v>158.25881558967436</v>
      </c>
      <c r="P27" s="97">
        <v>113.04201113548169</v>
      </c>
      <c r="Q27" s="97">
        <v>146.70920920920921</v>
      </c>
      <c r="R27" s="97">
        <v>155.4220692012795</v>
      </c>
      <c r="S27" s="97" t="e">
        <v>#DIV/0!</v>
      </c>
      <c r="T27" s="97">
        <v>161.48858733640239</v>
      </c>
      <c r="U27" s="97">
        <v>188.40335189246946</v>
      </c>
      <c r="V27" s="97">
        <v>125.60223459497966</v>
      </c>
      <c r="W27" s="97">
        <v>100.48178767598371</v>
      </c>
      <c r="X27" s="97">
        <v>20.553092933723942</v>
      </c>
      <c r="Y27" s="97">
        <v>37.6806703784939</v>
      </c>
      <c r="Z27" s="97" t="e">
        <v>#DIV/0!</v>
      </c>
      <c r="AA27" s="97">
        <v>158.25881558967436</v>
      </c>
      <c r="AB27" s="97">
        <v>113.04201113548167</v>
      </c>
      <c r="AC27" s="97">
        <v>104.96758176866156</v>
      </c>
      <c r="AD27" s="97">
        <v>211.01175411956584</v>
      </c>
      <c r="AE27" s="97">
        <v>218.54788819526459</v>
      </c>
      <c r="AF27" s="98">
        <v>277.46675460527325</v>
      </c>
    </row>
    <row r="28" spans="1:33" x14ac:dyDescent="0.3">
      <c r="A28" s="134" t="s">
        <v>93</v>
      </c>
      <c r="B28" s="117" t="e">
        <v>#DIV/0!</v>
      </c>
      <c r="C28" s="89">
        <v>245.34934817635857</v>
      </c>
      <c r="D28" s="89">
        <v>596.15170726281826</v>
      </c>
      <c r="E28" s="89" t="e">
        <v>#DIV/0!</v>
      </c>
      <c r="F28" s="89">
        <v>218.73603903914224</v>
      </c>
      <c r="G28" s="89">
        <v>461.87147564489658</v>
      </c>
      <c r="H28" s="89">
        <v>799.42727598138652</v>
      </c>
      <c r="I28" s="89">
        <v>574.10379048717027</v>
      </c>
      <c r="J28" s="89">
        <v>554.10062026188837</v>
      </c>
      <c r="K28" s="89">
        <v>269.25202190184353</v>
      </c>
      <c r="L28" s="89" t="e">
        <v>#DIV/0!</v>
      </c>
      <c r="M28" s="89" t="e">
        <v>#DIV/0!</v>
      </c>
      <c r="N28" s="89">
        <v>439.22905467418377</v>
      </c>
      <c r="O28" s="89">
        <v>384.3428378606377</v>
      </c>
      <c r="P28" s="89">
        <v>344.77813396321915</v>
      </c>
      <c r="Q28" s="89">
        <v>419.16916916916915</v>
      </c>
      <c r="R28" s="89">
        <v>130.88174248528799</v>
      </c>
      <c r="S28" s="89" t="e">
        <v>#DIV/0!</v>
      </c>
      <c r="T28" s="89">
        <v>328.36012758401819</v>
      </c>
      <c r="U28" s="89">
        <v>439.60782108242876</v>
      </c>
      <c r="V28" s="89">
        <v>314.00558648744914</v>
      </c>
      <c r="W28" s="89">
        <v>502.40893837991854</v>
      </c>
      <c r="X28" s="89">
        <v>719.35825268033796</v>
      </c>
      <c r="Y28" s="89">
        <v>188.40335189246949</v>
      </c>
      <c r="Z28" s="89" t="e">
        <v>#DIV/0!</v>
      </c>
      <c r="AA28" s="89">
        <v>440.86384342837857</v>
      </c>
      <c r="AB28" s="89">
        <v>339.126033406445</v>
      </c>
      <c r="AC28" s="89">
        <v>121.1164405023018</v>
      </c>
      <c r="AD28" s="89">
        <v>482.31258084472188</v>
      </c>
      <c r="AE28" s="89">
        <v>384.34283786063776</v>
      </c>
      <c r="AF28" s="103">
        <v>431.61495160820283</v>
      </c>
    </row>
    <row r="29" spans="1:33" x14ac:dyDescent="0.3">
      <c r="A29" s="134" t="s">
        <v>94</v>
      </c>
      <c r="B29" s="117" t="e">
        <v>#DIV/0!</v>
      </c>
      <c r="C29" s="89">
        <v>147.20960890581514</v>
      </c>
      <c r="D29" s="89">
        <v>186.29740851963069</v>
      </c>
      <c r="E29" s="89" t="e">
        <v>#DIV/0!</v>
      </c>
      <c r="F29" s="89">
        <v>115.12423107323276</v>
      </c>
      <c r="G29" s="89">
        <v>184.74859025795863</v>
      </c>
      <c r="H29" s="89">
        <v>159.88545519627729</v>
      </c>
      <c r="I29" s="89">
        <v>167.01201177808588</v>
      </c>
      <c r="J29" s="89">
        <v>194.96132935140517</v>
      </c>
      <c r="K29" s="89">
        <v>134.62601095092177</v>
      </c>
      <c r="L29" s="89" t="e">
        <v>#DIV/0!</v>
      </c>
      <c r="M29" s="89" t="e">
        <v>#DIV/0!</v>
      </c>
      <c r="N29" s="89">
        <v>162.17688172585247</v>
      </c>
      <c r="O29" s="89">
        <v>197.82351948709294</v>
      </c>
      <c r="P29" s="89">
        <v>84.781508351611265</v>
      </c>
      <c r="Q29" s="89">
        <v>132.7369035702369</v>
      </c>
      <c r="R29" s="89">
        <v>49.080653431982995</v>
      </c>
      <c r="S29" s="89" t="e">
        <v>#DIV/0!</v>
      </c>
      <c r="T29" s="89">
        <v>134.57382278033532</v>
      </c>
      <c r="U29" s="89">
        <v>25.120446918995928</v>
      </c>
      <c r="V29" s="89">
        <v>131.88234632472864</v>
      </c>
      <c r="W29" s="89">
        <v>150.72268151397557</v>
      </c>
      <c r="X29" s="89">
        <v>113.04201113548167</v>
      </c>
      <c r="Y29" s="89">
        <v>50.240893837991862</v>
      </c>
      <c r="Z29" s="89" t="e">
        <v>#DIV/0!</v>
      </c>
      <c r="AA29" s="89">
        <v>180.86721781677068</v>
      </c>
      <c r="AB29" s="89">
        <v>113.04201113548167</v>
      </c>
      <c r="AC29" s="89">
        <v>64.595434934560956</v>
      </c>
      <c r="AD29" s="89">
        <v>90.433608908385352</v>
      </c>
      <c r="AE29" s="89">
        <v>128.11427928687925</v>
      </c>
      <c r="AF29" s="103">
        <v>205.53092933723943</v>
      </c>
    </row>
    <row r="30" spans="1:33" x14ac:dyDescent="0.3">
      <c r="A30" s="134" t="s">
        <v>226</v>
      </c>
      <c r="B30" s="117" t="e">
        <v>#DIV/0!</v>
      </c>
      <c r="C30" s="89">
        <v>3.0668668522044822</v>
      </c>
      <c r="D30" s="89">
        <v>0</v>
      </c>
      <c r="E30" s="89" t="e">
        <v>#DIV/0!</v>
      </c>
      <c r="F30" s="89">
        <v>0</v>
      </c>
      <c r="G30" s="89">
        <v>1.1546786891122414</v>
      </c>
      <c r="H30" s="89">
        <v>1.4275487071096187</v>
      </c>
      <c r="I30" s="89">
        <v>1.3047813420162959</v>
      </c>
      <c r="J30" s="89">
        <v>1.2826403246802971</v>
      </c>
      <c r="K30" s="89">
        <v>2.1035314211081526</v>
      </c>
      <c r="L30" s="89" t="e">
        <v>#DIV/0!</v>
      </c>
      <c r="M30" s="89" t="e">
        <v>#DIV/0!</v>
      </c>
      <c r="N30" s="89">
        <v>0.8446712589888149</v>
      </c>
      <c r="O30" s="89">
        <v>0.70651256959676045</v>
      </c>
      <c r="P30" s="89">
        <v>0.70651256959676045</v>
      </c>
      <c r="Q30" s="89">
        <v>0.87326910243576905</v>
      </c>
      <c r="R30" s="89">
        <v>1.0225136131663124</v>
      </c>
      <c r="S30" s="89" t="e">
        <v>#DIV/0!</v>
      </c>
      <c r="T30" s="89">
        <v>0.6728691139016767</v>
      </c>
      <c r="U30" s="89">
        <v>1.5700279324372455</v>
      </c>
      <c r="V30" s="89">
        <v>1.5700279324372457</v>
      </c>
      <c r="W30" s="89">
        <v>0.78501396621862274</v>
      </c>
      <c r="X30" s="89">
        <v>2.5691366167154928</v>
      </c>
      <c r="Y30" s="89">
        <v>1.5700279324372457</v>
      </c>
      <c r="Z30" s="89" t="e">
        <v>#DIV/0!</v>
      </c>
      <c r="AA30" s="89">
        <v>1.4130251391935209</v>
      </c>
      <c r="AB30" s="89">
        <v>2.3550418986558679</v>
      </c>
      <c r="AC30" s="89">
        <v>1.0093036708525149</v>
      </c>
      <c r="AD30" s="89">
        <v>0.94201675946234742</v>
      </c>
      <c r="AE30" s="89">
        <v>1.8840335189246948</v>
      </c>
      <c r="AF30" s="103">
        <v>1.2845683083577464</v>
      </c>
    </row>
    <row r="31" spans="1:33" ht="15" thickBot="1" x14ac:dyDescent="0.35">
      <c r="A31" s="135" t="s">
        <v>96</v>
      </c>
      <c r="B31" s="117" t="e">
        <v>#DIV/0!</v>
      </c>
      <c r="C31" s="89">
        <v>3.0668668522044822</v>
      </c>
      <c r="D31" s="89">
        <v>0</v>
      </c>
      <c r="E31" s="89" t="e">
        <v>#DIV/0!</v>
      </c>
      <c r="F31" s="89">
        <v>2.8781057768308189</v>
      </c>
      <c r="G31" s="89">
        <v>2.3093573782244827</v>
      </c>
      <c r="H31" s="89">
        <v>4.282646121328856</v>
      </c>
      <c r="I31" s="89">
        <v>3.9143440260488878</v>
      </c>
      <c r="J31" s="89">
        <v>3.8479209740408913</v>
      </c>
      <c r="K31" s="89">
        <v>2.1035314211081526</v>
      </c>
      <c r="L31" s="89" t="e">
        <v>#DIV/0!</v>
      </c>
      <c r="M31" s="89" t="e">
        <v>#DIV/0!</v>
      </c>
      <c r="N31" s="89">
        <v>1.6893425179776298</v>
      </c>
      <c r="O31" s="89">
        <v>2.1195377087902814</v>
      </c>
      <c r="P31" s="89">
        <v>2.1195377087902814</v>
      </c>
      <c r="Q31" s="89">
        <v>2.6198073073073069</v>
      </c>
      <c r="R31" s="89">
        <v>2.0450272263326248</v>
      </c>
      <c r="S31" s="89" t="e">
        <v>#DIV/0!</v>
      </c>
      <c r="T31" s="89">
        <v>2.0186073417050299</v>
      </c>
      <c r="U31" s="89">
        <v>1.5700279324372455</v>
      </c>
      <c r="V31" s="89">
        <v>2.3550418986558688</v>
      </c>
      <c r="W31" s="89">
        <v>2.3550418986558683</v>
      </c>
      <c r="X31" s="89">
        <v>3.8537049250732389</v>
      </c>
      <c r="Y31" s="89">
        <v>1.5700279324372457</v>
      </c>
      <c r="Z31" s="89" t="e">
        <v>#DIV/0!</v>
      </c>
      <c r="AA31" s="89">
        <v>2.8260502783870418</v>
      </c>
      <c r="AB31" s="89">
        <v>3.5325628479838023</v>
      </c>
      <c r="AC31" s="89">
        <v>3.0279110125575448</v>
      </c>
      <c r="AD31" s="89">
        <v>2.8260502783870423</v>
      </c>
      <c r="AE31" s="89">
        <v>2.8260502783870423</v>
      </c>
      <c r="AF31" s="103">
        <v>1.2845683083577464</v>
      </c>
    </row>
    <row r="32" spans="1:33" x14ac:dyDescent="0.3">
      <c r="A32" s="377" t="s">
        <v>224</v>
      </c>
      <c r="B32" s="117">
        <v>0</v>
      </c>
      <c r="C32" s="89">
        <v>815.16417910447763</v>
      </c>
      <c r="D32" s="89">
        <v>268.38805970149258</v>
      </c>
      <c r="E32" s="89">
        <v>0</v>
      </c>
      <c r="F32" s="89">
        <v>868.62686567164178</v>
      </c>
      <c r="G32" s="89">
        <v>1082.5522388059703</v>
      </c>
      <c r="H32" s="89">
        <v>875.62686567164178</v>
      </c>
      <c r="I32" s="89">
        <v>958.01492537313447</v>
      </c>
      <c r="J32" s="89">
        <v>974.55223880597021</v>
      </c>
      <c r="K32" s="89">
        <v>594.23880597014931</v>
      </c>
      <c r="L32" s="89">
        <v>0</v>
      </c>
      <c r="M32" s="89">
        <v>0</v>
      </c>
      <c r="N32" s="89">
        <v>1479.8656716417913</v>
      </c>
      <c r="O32" s="89">
        <v>1769.2537313432838</v>
      </c>
      <c r="P32" s="89">
        <v>1769.2537313432838</v>
      </c>
      <c r="Q32" s="89">
        <v>1431.4029850746269</v>
      </c>
      <c r="R32" s="89">
        <v>1222.4776119402986</v>
      </c>
      <c r="S32" s="89">
        <v>0</v>
      </c>
      <c r="T32" s="89">
        <v>1857.7164179104479</v>
      </c>
      <c r="U32" s="89">
        <v>1592.3283582089555</v>
      </c>
      <c r="V32" s="89">
        <v>1592.3283582089553</v>
      </c>
      <c r="W32" s="89">
        <v>1592.3283582089555</v>
      </c>
      <c r="X32" s="89">
        <v>973.08955223880616</v>
      </c>
      <c r="Y32" s="89">
        <v>796.16417910447763</v>
      </c>
      <c r="Z32" s="89">
        <v>0</v>
      </c>
      <c r="AA32" s="89">
        <v>884.62686567164189</v>
      </c>
      <c r="AB32" s="89">
        <v>1061.5522388059703</v>
      </c>
      <c r="AC32" s="89">
        <v>1238.4776119402986</v>
      </c>
      <c r="AD32" s="89">
        <v>1326.9402985074628</v>
      </c>
      <c r="AE32" s="89">
        <v>1326.9402985074628</v>
      </c>
      <c r="AF32" s="103">
        <v>973.08955223880605</v>
      </c>
    </row>
    <row r="33" spans="1:33" ht="15" thickBot="1" x14ac:dyDescent="0.35">
      <c r="A33" s="377" t="s">
        <v>225</v>
      </c>
      <c r="B33" s="519" t="e">
        <v>#DIV/0!</v>
      </c>
      <c r="C33" s="520">
        <v>2817.0889482935404</v>
      </c>
      <c r="D33" s="520">
        <v>4078.2645145145138</v>
      </c>
      <c r="E33" s="520" t="e">
        <v>#DIV/0!</v>
      </c>
      <c r="F33" s="520">
        <v>2136.8669026427024</v>
      </c>
      <c r="G33" s="520">
        <v>3938.7752822930879</v>
      </c>
      <c r="H33" s="520">
        <v>5136.7941943511687</v>
      </c>
      <c r="I33" s="520">
        <v>4336.5138579463128</v>
      </c>
      <c r="J33" s="520">
        <v>4332.8641932766668</v>
      </c>
      <c r="K33" s="520">
        <v>2512.3906163661022</v>
      </c>
      <c r="L33" s="520" t="e">
        <v>#DIV/0!</v>
      </c>
      <c r="M33" s="520" t="e">
        <v>#DIV/0!</v>
      </c>
      <c r="N33" s="520">
        <v>3519.9174491432254</v>
      </c>
      <c r="O33" s="520">
        <v>3445.0019191833976</v>
      </c>
      <c r="P33" s="520">
        <v>2354.6862873291711</v>
      </c>
      <c r="Q33" s="520">
        <v>3111.040389347681</v>
      </c>
      <c r="R33" s="520">
        <v>1315.1038385466265</v>
      </c>
      <c r="S33" s="520" t="e">
        <v>#DIV/0!</v>
      </c>
      <c r="T33" s="520">
        <v>2724.2115379980232</v>
      </c>
      <c r="U33" s="520">
        <v>2348.2593779877393</v>
      </c>
      <c r="V33" s="520">
        <v>2707.1913137618808</v>
      </c>
      <c r="W33" s="520">
        <v>3492.4580544776254</v>
      </c>
      <c r="X33" s="520">
        <v>4211.4751829071884</v>
      </c>
      <c r="Y33" s="520">
        <v>1418.0429484655906</v>
      </c>
      <c r="Z33" s="520" t="e">
        <v>#DIV/0!</v>
      </c>
      <c r="AA33" s="520">
        <v>3644.9096507508011</v>
      </c>
      <c r="AB33" s="520">
        <v>2805.5896743715198</v>
      </c>
      <c r="AC33" s="520">
        <v>1430.9059630263441</v>
      </c>
      <c r="AD33" s="520">
        <v>3113.6065463134805</v>
      </c>
      <c r="AE33" s="520">
        <v>3113.5707496766208</v>
      </c>
      <c r="AF33" s="521">
        <v>3786.3216098900252</v>
      </c>
    </row>
    <row r="34" spans="1:33" ht="15" thickBot="1" x14ac:dyDescent="0.35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U34" s="86"/>
      <c r="W34" s="86"/>
      <c r="X34" s="86"/>
    </row>
    <row r="35" spans="1:33" ht="15" thickBot="1" x14ac:dyDescent="0.35">
      <c r="A35" s="556"/>
      <c r="B35" s="102" t="s">
        <v>80</v>
      </c>
      <c r="C35" s="142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4"/>
    </row>
    <row r="36" spans="1:33" ht="15" thickBot="1" x14ac:dyDescent="0.35">
      <c r="A36" s="557"/>
      <c r="B36" s="145">
        <v>1</v>
      </c>
      <c r="C36" s="146">
        <v>2</v>
      </c>
      <c r="D36" s="146">
        <v>3</v>
      </c>
      <c r="E36" s="146">
        <v>4</v>
      </c>
      <c r="F36" s="146">
        <v>5</v>
      </c>
      <c r="G36" s="146">
        <v>6</v>
      </c>
      <c r="H36" s="146">
        <v>7</v>
      </c>
      <c r="I36" s="146">
        <v>8</v>
      </c>
      <c r="J36" s="146">
        <v>9</v>
      </c>
      <c r="K36" s="146">
        <v>10</v>
      </c>
      <c r="L36" s="146">
        <v>11</v>
      </c>
      <c r="M36" s="146">
        <v>12</v>
      </c>
      <c r="N36" s="146">
        <v>13</v>
      </c>
      <c r="O36" s="146">
        <v>14</v>
      </c>
      <c r="P36" s="146">
        <v>15</v>
      </c>
      <c r="Q36" s="146">
        <v>16</v>
      </c>
      <c r="R36" s="146">
        <v>17</v>
      </c>
      <c r="S36" s="146">
        <v>18</v>
      </c>
      <c r="T36" s="146">
        <v>19</v>
      </c>
      <c r="U36" s="146">
        <v>20</v>
      </c>
      <c r="V36" s="146">
        <v>21</v>
      </c>
      <c r="W36" s="146">
        <v>22</v>
      </c>
      <c r="X36" s="146">
        <v>23</v>
      </c>
      <c r="Y36" s="146">
        <v>24</v>
      </c>
      <c r="Z36" s="146">
        <v>25</v>
      </c>
      <c r="AA36" s="146">
        <v>26</v>
      </c>
      <c r="AB36" s="146">
        <v>27</v>
      </c>
      <c r="AC36" s="146">
        <v>28</v>
      </c>
      <c r="AD36" s="146">
        <v>29</v>
      </c>
      <c r="AE36" s="146">
        <v>30</v>
      </c>
      <c r="AF36" s="147">
        <v>31</v>
      </c>
      <c r="AG36" s="148" t="s">
        <v>72</v>
      </c>
    </row>
    <row r="37" spans="1:33" ht="15" thickBot="1" x14ac:dyDescent="0.35">
      <c r="A37" t="s">
        <v>78</v>
      </c>
      <c r="B37" s="558">
        <v>0</v>
      </c>
      <c r="C37" s="559">
        <v>815.16417910447763</v>
      </c>
      <c r="D37" s="559">
        <v>268.38805970149258</v>
      </c>
      <c r="E37" s="559">
        <v>0</v>
      </c>
      <c r="F37" s="559">
        <v>868.62686567164178</v>
      </c>
      <c r="G37" s="559">
        <v>1082.5522388059703</v>
      </c>
      <c r="H37" s="559">
        <v>875.62686567164178</v>
      </c>
      <c r="I37" s="559">
        <v>958.01492537313447</v>
      </c>
      <c r="J37" s="559">
        <v>974.55223880597021</v>
      </c>
      <c r="K37" s="559">
        <v>594.23880597014931</v>
      </c>
      <c r="L37" s="559">
        <v>0</v>
      </c>
      <c r="M37" s="559">
        <v>0</v>
      </c>
      <c r="N37" s="559">
        <v>1479.8656716417913</v>
      </c>
      <c r="O37" s="559">
        <v>1769.2537313432838</v>
      </c>
      <c r="P37" s="559">
        <v>1769.2537313432838</v>
      </c>
      <c r="Q37" s="559">
        <v>1431.4029850746269</v>
      </c>
      <c r="R37" s="559">
        <v>1222.4776119402986</v>
      </c>
      <c r="S37" s="559">
        <v>0</v>
      </c>
      <c r="T37" s="559">
        <v>1857.7164179104479</v>
      </c>
      <c r="U37" s="559">
        <v>1592.3283582089555</v>
      </c>
      <c r="V37" s="559">
        <v>1592.3283582089553</v>
      </c>
      <c r="W37" s="559">
        <v>1592.3283582089555</v>
      </c>
      <c r="X37" s="559">
        <v>973.08955223880616</v>
      </c>
      <c r="Y37" s="559">
        <v>796.16417910447763</v>
      </c>
      <c r="Z37" s="559">
        <v>0</v>
      </c>
      <c r="AA37" s="559">
        <v>884.62686567164189</v>
      </c>
      <c r="AB37" s="559">
        <v>1061.5522388059703</v>
      </c>
      <c r="AC37" s="559">
        <v>1238.4776119402986</v>
      </c>
      <c r="AD37" s="559">
        <v>1326.9402985074628</v>
      </c>
      <c r="AE37" s="559">
        <v>1326.9402985074628</v>
      </c>
      <c r="AF37" s="559">
        <v>973.08955223880605</v>
      </c>
      <c r="AG37" s="560">
        <v>29325.000000000007</v>
      </c>
    </row>
    <row r="38" spans="1:33" x14ac:dyDescent="0.3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</row>
    <row r="39" spans="1:33" x14ac:dyDescent="0.3">
      <c r="B39" s="86"/>
      <c r="C39" s="86"/>
      <c r="D39" s="86"/>
      <c r="E39" s="86"/>
      <c r="F39" s="86"/>
      <c r="H39" s="86"/>
      <c r="I39" s="86"/>
      <c r="J39" s="86"/>
      <c r="K39" s="86"/>
      <c r="L39" s="86"/>
      <c r="M39" s="86"/>
      <c r="W39" s="86"/>
      <c r="X39" s="86"/>
    </row>
    <row r="40" spans="1:33" x14ac:dyDescent="0.3">
      <c r="B40" s="86"/>
      <c r="C40" s="86"/>
      <c r="D40" s="86"/>
      <c r="E40" s="86"/>
      <c r="F40" s="86"/>
      <c r="H40" s="86"/>
      <c r="I40" s="86"/>
      <c r="J40" s="86"/>
      <c r="K40" s="86"/>
      <c r="L40" s="86"/>
      <c r="M40" s="86"/>
      <c r="W40" s="86"/>
      <c r="X40" s="86"/>
    </row>
    <row r="41" spans="1:33" x14ac:dyDescent="0.3">
      <c r="B41" s="86"/>
      <c r="C41" s="86"/>
      <c r="D41" s="86"/>
      <c r="E41" s="86"/>
      <c r="F41" s="86"/>
      <c r="H41" s="86"/>
      <c r="I41" s="86"/>
      <c r="J41" s="86"/>
      <c r="K41" s="86"/>
      <c r="L41" s="86"/>
      <c r="M41" s="86"/>
      <c r="W41" s="86"/>
      <c r="X41" s="86"/>
    </row>
    <row r="42" spans="1:33" x14ac:dyDescent="0.3">
      <c r="W42" s="86"/>
      <c r="X42" s="86"/>
    </row>
    <row r="50" spans="2:24" x14ac:dyDescent="0.3">
      <c r="W50" s="86"/>
      <c r="X50" s="86"/>
    </row>
    <row r="51" spans="2:24" x14ac:dyDescent="0.3">
      <c r="W51" s="86"/>
      <c r="X51" s="86"/>
    </row>
    <row r="52" spans="2:24" x14ac:dyDescent="0.3">
      <c r="W52" s="86"/>
      <c r="X52" s="86"/>
    </row>
    <row r="57" spans="2:24" x14ac:dyDescent="0.3"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U57" s="86"/>
      <c r="W57" s="86"/>
      <c r="X57" s="86"/>
    </row>
    <row r="58" spans="2:24" x14ac:dyDescent="0.3">
      <c r="W58" s="86"/>
      <c r="X58" s="86"/>
    </row>
    <row r="66" spans="23:24" x14ac:dyDescent="0.3">
      <c r="W66" s="86"/>
      <c r="X66" s="86"/>
    </row>
    <row r="67" spans="23:24" x14ac:dyDescent="0.3">
      <c r="W67" s="86"/>
      <c r="X67" s="86"/>
    </row>
    <row r="68" spans="23:24" x14ac:dyDescent="0.3">
      <c r="W68" s="86"/>
      <c r="X68" s="86"/>
    </row>
    <row r="69" spans="23:24" x14ac:dyDescent="0.3">
      <c r="W69" s="86"/>
      <c r="X69" s="86"/>
    </row>
    <row r="70" spans="23:24" x14ac:dyDescent="0.3">
      <c r="W70" s="86"/>
      <c r="X70" s="86"/>
    </row>
    <row r="71" spans="23:24" x14ac:dyDescent="0.3">
      <c r="W71" s="86"/>
      <c r="X71" s="86"/>
    </row>
    <row r="72" spans="23:24" x14ac:dyDescent="0.3">
      <c r="W72" s="86"/>
      <c r="X72" s="86"/>
    </row>
    <row r="73" spans="23:24" x14ac:dyDescent="0.3">
      <c r="W73" s="86"/>
      <c r="X73" s="86"/>
    </row>
    <row r="74" spans="23:24" x14ac:dyDescent="0.3">
      <c r="W74" s="86"/>
      <c r="X74" s="86"/>
    </row>
    <row r="75" spans="23:24" x14ac:dyDescent="0.3">
      <c r="W75" s="86"/>
      <c r="X75" s="86"/>
    </row>
    <row r="76" spans="23:24" x14ac:dyDescent="0.3">
      <c r="W76" s="86"/>
      <c r="X76" s="86"/>
    </row>
    <row r="77" spans="23:24" x14ac:dyDescent="0.3">
      <c r="W77" s="86"/>
      <c r="X77" s="86"/>
    </row>
    <row r="78" spans="23:24" x14ac:dyDescent="0.3">
      <c r="W78" s="86"/>
      <c r="X78" s="86"/>
    </row>
    <row r="79" spans="23:24" x14ac:dyDescent="0.3">
      <c r="W79" s="86"/>
      <c r="X79" s="86"/>
    </row>
    <row r="80" spans="23:24" x14ac:dyDescent="0.3">
      <c r="W80" s="86"/>
      <c r="X80" s="86"/>
    </row>
    <row r="81" spans="23:24" x14ac:dyDescent="0.3">
      <c r="W81" s="86"/>
      <c r="X81" s="86"/>
    </row>
    <row r="82" spans="23:24" x14ac:dyDescent="0.3">
      <c r="W82" s="86"/>
      <c r="X82" s="86"/>
    </row>
    <row r="83" spans="23:24" x14ac:dyDescent="0.3">
      <c r="W83" s="86"/>
      <c r="X83" s="86"/>
    </row>
    <row r="84" spans="23:24" x14ac:dyDescent="0.3">
      <c r="W84" s="86"/>
      <c r="X84" s="86"/>
    </row>
    <row r="85" spans="23:24" x14ac:dyDescent="0.3">
      <c r="W85" s="86"/>
      <c r="X85" s="86"/>
    </row>
    <row r="86" spans="23:24" x14ac:dyDescent="0.3">
      <c r="W86" s="86"/>
      <c r="X86" s="86"/>
    </row>
    <row r="87" spans="23:24" x14ac:dyDescent="0.3">
      <c r="W87" s="86"/>
      <c r="X87" s="86"/>
    </row>
    <row r="88" spans="23:24" x14ac:dyDescent="0.3">
      <c r="W88" s="86"/>
      <c r="X88" s="86"/>
    </row>
    <row r="89" spans="23:24" x14ac:dyDescent="0.3">
      <c r="W89" s="86"/>
      <c r="X89" s="86"/>
    </row>
    <row r="90" spans="23:24" x14ac:dyDescent="0.3">
      <c r="W90" s="86"/>
      <c r="X90" s="86"/>
    </row>
    <row r="91" spans="23:24" x14ac:dyDescent="0.3">
      <c r="W91" s="86"/>
      <c r="X91" s="86"/>
    </row>
    <row r="92" spans="23:24" x14ac:dyDescent="0.3">
      <c r="W92" s="86"/>
      <c r="X92" s="86"/>
    </row>
    <row r="93" spans="23:24" x14ac:dyDescent="0.3">
      <c r="W93" s="86"/>
      <c r="X93" s="86"/>
    </row>
    <row r="94" spans="23:24" x14ac:dyDescent="0.3">
      <c r="W94" s="86"/>
      <c r="X94" s="86"/>
    </row>
    <row r="95" spans="23:24" x14ac:dyDescent="0.3">
      <c r="W95" s="86"/>
      <c r="X95" s="86"/>
    </row>
    <row r="96" spans="23:24" x14ac:dyDescent="0.3">
      <c r="W96" s="86"/>
      <c r="X96" s="86"/>
    </row>
    <row r="97" spans="23:24" x14ac:dyDescent="0.3">
      <c r="W97" s="86"/>
      <c r="X97" s="86"/>
    </row>
    <row r="98" spans="23:24" x14ac:dyDescent="0.3">
      <c r="W98" s="86"/>
      <c r="X98" s="86"/>
    </row>
    <row r="99" spans="23:24" x14ac:dyDescent="0.3">
      <c r="W99" s="86"/>
      <c r="X99" s="86"/>
    </row>
    <row r="100" spans="23:24" x14ac:dyDescent="0.3">
      <c r="W100" s="86"/>
      <c r="X100" s="86"/>
    </row>
    <row r="101" spans="23:24" x14ac:dyDescent="0.3">
      <c r="W101" s="86"/>
      <c r="X101" s="86"/>
    </row>
    <row r="102" spans="23:24" x14ac:dyDescent="0.3">
      <c r="W102" s="86"/>
      <c r="X102" s="86"/>
    </row>
    <row r="103" spans="23:24" x14ac:dyDescent="0.3">
      <c r="W103" s="86"/>
      <c r="X103" s="86"/>
    </row>
    <row r="104" spans="23:24" x14ac:dyDescent="0.3">
      <c r="W104" s="86"/>
      <c r="X104" s="86"/>
    </row>
    <row r="105" spans="23:24" x14ac:dyDescent="0.3">
      <c r="W105" s="86"/>
      <c r="X105" s="86"/>
    </row>
    <row r="106" spans="23:24" x14ac:dyDescent="0.3">
      <c r="W106" s="86"/>
      <c r="X106" s="86"/>
    </row>
    <row r="107" spans="23:24" x14ac:dyDescent="0.3">
      <c r="W107" s="86"/>
      <c r="X107" s="86"/>
    </row>
    <row r="108" spans="23:24" x14ac:dyDescent="0.3">
      <c r="W108" s="86"/>
      <c r="X108" s="86"/>
    </row>
  </sheetData>
  <mergeCells count="3">
    <mergeCell ref="A24:F24"/>
    <mergeCell ref="A1:F1"/>
    <mergeCell ref="A12:F12"/>
  </mergeCells>
  <conditionalFormatting pivot="1" sqref="B27:AF27">
    <cfRule type="cellIs" dxfId="878" priority="4" operator="greaterThan">
      <formula>350</formula>
    </cfRule>
  </conditionalFormatting>
  <conditionalFormatting pivot="1" sqref="C28:AE28">
    <cfRule type="cellIs" dxfId="877" priority="3" operator="greaterThan">
      <formula>700</formula>
    </cfRule>
  </conditionalFormatting>
  <conditionalFormatting pivot="1" sqref="B29:AF29">
    <cfRule type="cellIs" dxfId="876" priority="2" operator="greaterThan">
      <formula>300</formula>
    </cfRule>
  </conditionalFormatting>
  <conditionalFormatting pivot="1" sqref="B37:AG37">
    <cfRule type="cellIs" dxfId="875" priority="1" operator="greaterThan">
      <formula>1920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965B-4B5D-48A3-ACBB-A20F8C02EA22}">
  <sheetPr codeName="Hoja3">
    <tabColor rgb="FF00B050"/>
  </sheetPr>
  <dimension ref="B1:CN415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X29" sqref="X29"/>
    </sheetView>
  </sheetViews>
  <sheetFormatPr baseColWidth="10" defaultRowHeight="14.4" x14ac:dyDescent="0.3"/>
  <cols>
    <col min="1" max="1" width="0.33203125" customWidth="1"/>
    <col min="2" max="2" width="26.109375" customWidth="1"/>
    <col min="3" max="3" width="11.6640625" customWidth="1"/>
    <col min="4" max="4" width="10.88671875" style="1" customWidth="1"/>
    <col min="5" max="5" width="7.77734375" bestFit="1" customWidth="1"/>
    <col min="6" max="6" width="8.21875" customWidth="1"/>
    <col min="7" max="7" width="9.109375" style="1" customWidth="1"/>
    <col min="8" max="8" width="8.109375" bestFit="1" customWidth="1"/>
    <col min="9" max="9" width="10" customWidth="1"/>
    <col min="10" max="10" width="8.77734375" style="1" bestFit="1" customWidth="1"/>
    <col min="11" max="11" width="7.88671875" customWidth="1"/>
    <col min="13" max="13" width="8.88671875" style="1" bestFit="1" customWidth="1"/>
    <col min="17" max="17" width="11.88671875" customWidth="1"/>
    <col min="18" max="23" width="12" customWidth="1"/>
  </cols>
  <sheetData>
    <row r="1" spans="2:68" ht="3.75" customHeight="1" thickBot="1" x14ac:dyDescent="0.35"/>
    <row r="2" spans="2:68" ht="48.75" customHeight="1" x14ac:dyDescent="0.3">
      <c r="B2" s="639" t="s">
        <v>7</v>
      </c>
      <c r="C2" s="648" t="s">
        <v>12</v>
      </c>
      <c r="D2" s="644" t="s">
        <v>14</v>
      </c>
      <c r="E2" s="645"/>
      <c r="F2" s="646" t="s">
        <v>9</v>
      </c>
      <c r="G2" s="647"/>
      <c r="H2" s="650" t="s">
        <v>18</v>
      </c>
      <c r="I2" s="651"/>
      <c r="J2" s="632" t="s">
        <v>13</v>
      </c>
      <c r="K2" s="633"/>
      <c r="L2" s="630" t="s">
        <v>37</v>
      </c>
      <c r="M2" s="631"/>
      <c r="N2" s="630" t="s">
        <v>38</v>
      </c>
      <c r="O2" s="631"/>
    </row>
    <row r="3" spans="2:68" ht="15" thickBot="1" x14ac:dyDescent="0.35">
      <c r="B3" s="640"/>
      <c r="C3" s="649"/>
      <c r="D3" s="26" t="s">
        <v>10</v>
      </c>
      <c r="E3" s="23" t="s">
        <v>11</v>
      </c>
      <c r="F3" s="10" t="s">
        <v>10</v>
      </c>
      <c r="G3" s="11" t="s">
        <v>11</v>
      </c>
      <c r="H3" s="24" t="s">
        <v>10</v>
      </c>
      <c r="I3" s="25" t="s">
        <v>11</v>
      </c>
      <c r="J3" s="60" t="s">
        <v>10</v>
      </c>
      <c r="K3" s="59" t="s">
        <v>11</v>
      </c>
      <c r="L3" s="61" t="s">
        <v>10</v>
      </c>
      <c r="M3" s="62" t="s">
        <v>11</v>
      </c>
      <c r="N3" s="61" t="s">
        <v>10</v>
      </c>
      <c r="O3" s="62" t="s">
        <v>11</v>
      </c>
      <c r="P3" s="1"/>
    </row>
    <row r="4" spans="2:68" x14ac:dyDescent="0.3">
      <c r="B4" s="3" t="s">
        <v>1</v>
      </c>
      <c r="C4" s="2">
        <v>1.24</v>
      </c>
      <c r="D4" s="20" t="s">
        <v>195</v>
      </c>
      <c r="E4" s="4">
        <f>D4*C4</f>
        <v>1860</v>
      </c>
      <c r="F4" s="20">
        <f>GETPIVOTDATA("COF 280 ACIDO (L)",'CONSUMO QUÍMICA-CAUDALES GEM  '!$A$2)</f>
        <v>5200</v>
      </c>
      <c r="G4" s="4">
        <f>GETPIVOTDATA("COF 280 - KG ACIDO",'CONSUMO QUÍMICA-CAUDALES GEM  '!$A$13)</f>
        <v>6760</v>
      </c>
      <c r="H4" s="20">
        <f>(+C15+E15+G15+I15+K15+M15+O15+Q15+S15)</f>
        <v>8387.1612903225814</v>
      </c>
      <c r="I4" s="4">
        <f>H4*C4</f>
        <v>10400.080000000002</v>
      </c>
      <c r="J4" s="51">
        <f>(D4+H4)-F4</f>
        <v>4687.1612903225814</v>
      </c>
      <c r="K4" s="51">
        <f>J4*$C4</f>
        <v>5812.0800000000008</v>
      </c>
      <c r="L4" s="50">
        <f>97+48+97</f>
        <v>242</v>
      </c>
      <c r="M4" s="51">
        <f>L4*$C4</f>
        <v>300.08</v>
      </c>
      <c r="N4" s="50">
        <f>J4-L4-1000</f>
        <v>3445.1612903225814</v>
      </c>
      <c r="O4" s="51">
        <f>N4*$C4</f>
        <v>4272.0000000000009</v>
      </c>
      <c r="P4" s="1"/>
    </row>
    <row r="5" spans="2:68" ht="15.75" customHeight="1" x14ac:dyDescent="0.3">
      <c r="B5" s="5" t="s">
        <v>2</v>
      </c>
      <c r="C5" s="2">
        <v>1.325</v>
      </c>
      <c r="D5" s="20">
        <v>3500</v>
      </c>
      <c r="E5" s="6">
        <f>D5*C5</f>
        <v>4637.5</v>
      </c>
      <c r="F5" s="20">
        <f>GETPIVOTDATA("COF 235 COAGULANTE (L)",'CONSUMO QUÍMICA-CAUDALES GEM  '!$A$2)</f>
        <v>11630</v>
      </c>
      <c r="G5" s="6">
        <f>GETPIVOTDATA("COF 235 - KG COAGULANTE",'CONSUMO QUÍMICA-CAUDALES GEM  '!$A$13)</f>
        <v>15409.75</v>
      </c>
      <c r="H5" s="20">
        <f>(+C16+E16+G16+I16+K16+M16+O16+Q16+S16)</f>
        <v>13000</v>
      </c>
      <c r="I5" s="4">
        <f>H5*C5</f>
        <v>17225</v>
      </c>
      <c r="J5" s="6">
        <f>(D5+H5)-F5</f>
        <v>4870</v>
      </c>
      <c r="K5" s="6">
        <f t="shared" ref="K5:M8" si="0">J5*$C5</f>
        <v>6452.75</v>
      </c>
      <c r="L5" s="20">
        <v>0</v>
      </c>
      <c r="M5" s="6">
        <f t="shared" si="0"/>
        <v>0</v>
      </c>
      <c r="N5" s="20">
        <f>J5-L5</f>
        <v>4870</v>
      </c>
      <c r="O5" s="6">
        <f>N5*$C5</f>
        <v>6452.75</v>
      </c>
      <c r="P5" s="1"/>
    </row>
    <row r="6" spans="2:68" x14ac:dyDescent="0.3">
      <c r="B6" s="5" t="s">
        <v>0</v>
      </c>
      <c r="C6" s="2">
        <v>1.1000000000000001</v>
      </c>
      <c r="D6" s="20" t="s">
        <v>196</v>
      </c>
      <c r="E6" s="6">
        <f>D6*C6</f>
        <v>462.00000000000006</v>
      </c>
      <c r="F6" s="20">
        <f>GETPIVOTDATA("COF 255  DECOLORANTE (L)",'CONSUMO QUÍMICA-CAUDALES GEM  '!$A$2)</f>
        <v>3770</v>
      </c>
      <c r="G6" s="6">
        <f>GETPIVOTDATA("COF 255 - KG DECOLORANTE ",'CONSUMO QUÍMICA-CAUDALES GEM  '!$A$13)</f>
        <v>4712.5</v>
      </c>
      <c r="H6" s="20">
        <f>(+C17+E17+G17+I17+K17+M17+O17+Q17+S17)</f>
        <v>7681.7272727272721</v>
      </c>
      <c r="I6" s="4">
        <f>H6*C6</f>
        <v>8449.9</v>
      </c>
      <c r="J6" s="6">
        <f>(D6+H6)-F6</f>
        <v>4331.7272727272721</v>
      </c>
      <c r="K6" s="6">
        <f t="shared" si="0"/>
        <v>4764.8999999999996</v>
      </c>
      <c r="L6" s="20">
        <f>273+273+273+409+136</f>
        <v>1364</v>
      </c>
      <c r="M6" s="6">
        <f t="shared" si="0"/>
        <v>1500.4</v>
      </c>
      <c r="N6" s="20">
        <f>J6-L6</f>
        <v>2967.7272727272721</v>
      </c>
      <c r="O6" s="6">
        <f>N6*$C6</f>
        <v>3264.4999999999995</v>
      </c>
      <c r="P6" s="1"/>
    </row>
    <row r="7" spans="2:68" x14ac:dyDescent="0.3">
      <c r="B7" s="5" t="s">
        <v>3</v>
      </c>
      <c r="C7" s="2">
        <v>2.5000000000000001E-3</v>
      </c>
      <c r="D7" s="20" t="s">
        <v>197</v>
      </c>
      <c r="E7" s="6">
        <f>D7*C7</f>
        <v>0.35000000000000003</v>
      </c>
      <c r="F7" s="20">
        <f>(GETPIVOTDATA("COF 440 POL ANIONICO (KG)",'CONSUMO QUÍMICA-CAUDALES GEM  '!$A$2)/C7)</f>
        <v>58000</v>
      </c>
      <c r="G7" s="6">
        <f>GETPIVOTDATA("COF 440 - KG POL ANIONICO ",'CONSUMO QUÍMICA-CAUDALES GEM  '!$A$13)</f>
        <v>145</v>
      </c>
      <c r="H7" s="20">
        <f>(+C18+E18+G18+I18+K18+M18+O18+Q18+S18)</f>
        <v>30000</v>
      </c>
      <c r="I7" s="4">
        <f>H7*C7</f>
        <v>75</v>
      </c>
      <c r="J7" s="6">
        <f>(D7+H7)-F7</f>
        <v>-27860</v>
      </c>
      <c r="K7" s="6">
        <f t="shared" si="0"/>
        <v>-69.650000000000006</v>
      </c>
      <c r="L7" s="20">
        <v>0</v>
      </c>
      <c r="M7" s="6">
        <f t="shared" si="0"/>
        <v>0</v>
      </c>
      <c r="N7" s="20">
        <f>J7-L7</f>
        <v>-27860</v>
      </c>
      <c r="O7" s="6">
        <f>N7*$C7</f>
        <v>-69.650000000000006</v>
      </c>
      <c r="P7" s="1"/>
    </row>
    <row r="8" spans="2:68" ht="15" thickBot="1" x14ac:dyDescent="0.35">
      <c r="B8" s="7" t="s">
        <v>8</v>
      </c>
      <c r="C8" s="29">
        <v>2.5000000000000001E-3</v>
      </c>
      <c r="D8" s="21" t="s">
        <v>198</v>
      </c>
      <c r="E8" s="8">
        <f>D8*C8</f>
        <v>0.38750000000000001</v>
      </c>
      <c r="F8" s="21">
        <v>150000</v>
      </c>
      <c r="G8" s="8">
        <f>GETPIVOTDATA("COF 494 - KG POL CATIONICO ",'CONSUMO QUÍMICA-CAUDALES GEM  '!$A$13)</f>
        <v>295</v>
      </c>
      <c r="H8" s="20">
        <f>(+C19+E19+G19+I19+K19+M19+O19+Q19+S19)</f>
        <v>40000</v>
      </c>
      <c r="I8" s="22">
        <f>H8*C8</f>
        <v>100</v>
      </c>
      <c r="J8" s="8">
        <f>(D8+H8)-F8</f>
        <v>-109845</v>
      </c>
      <c r="K8" s="8">
        <f t="shared" si="0"/>
        <v>-274.61250000000001</v>
      </c>
      <c r="L8" s="21">
        <v>0</v>
      </c>
      <c r="M8" s="8">
        <f t="shared" si="0"/>
        <v>0</v>
      </c>
      <c r="N8" s="21">
        <f>J8-L8</f>
        <v>-109845</v>
      </c>
      <c r="O8" s="8">
        <f>N8*$C8</f>
        <v>-274.61250000000001</v>
      </c>
      <c r="P8" s="1"/>
    </row>
    <row r="9" spans="2:68" ht="3.75" customHeight="1" thickBot="1" x14ac:dyDescent="0.35">
      <c r="B9" s="9"/>
      <c r="C9" s="9"/>
      <c r="D9" s="37"/>
      <c r="E9" s="9"/>
      <c r="L9" s="585"/>
      <c r="M9" s="585"/>
      <c r="N9" s="585"/>
      <c r="O9" s="585"/>
      <c r="P9" s="585"/>
      <c r="Q9" s="585"/>
      <c r="R9" s="585"/>
      <c r="S9" s="585"/>
      <c r="T9" s="585"/>
      <c r="U9" s="585"/>
      <c r="V9" s="585"/>
      <c r="W9" s="585"/>
      <c r="X9" s="585"/>
      <c r="Y9" s="585"/>
      <c r="Z9" s="585"/>
      <c r="AA9" s="585"/>
      <c r="AB9" s="585"/>
      <c r="AC9" s="585"/>
      <c r="AD9" s="585"/>
      <c r="AE9" s="585"/>
      <c r="AF9" s="585"/>
      <c r="AG9" s="585"/>
      <c r="AH9" s="585"/>
      <c r="AI9" s="585"/>
      <c r="AJ9" s="585"/>
      <c r="AK9" s="585"/>
      <c r="AL9" s="585"/>
      <c r="AM9" s="585"/>
      <c r="AN9" s="585"/>
      <c r="AO9" s="585"/>
      <c r="AP9" s="585"/>
      <c r="AQ9" s="585"/>
      <c r="AR9" s="585"/>
      <c r="AS9" s="585"/>
      <c r="AT9" s="585"/>
      <c r="AU9" s="585"/>
      <c r="AV9" s="585"/>
      <c r="AW9" s="585"/>
      <c r="AX9" s="585"/>
      <c r="AY9" s="585"/>
      <c r="AZ9" s="585"/>
      <c r="BA9" s="585"/>
      <c r="BB9" s="585"/>
      <c r="BC9" s="585"/>
      <c r="BD9" s="585"/>
      <c r="BE9" s="585"/>
      <c r="BF9" s="585"/>
      <c r="BG9" s="585"/>
      <c r="BH9" s="585"/>
      <c r="BI9" s="585"/>
      <c r="BJ9" s="585"/>
      <c r="BK9" s="585"/>
      <c r="BL9" s="585"/>
      <c r="BM9" s="585"/>
      <c r="BN9" s="585"/>
      <c r="BO9" s="585"/>
      <c r="BP9" s="585"/>
    </row>
    <row r="10" spans="2:68" ht="16.5" customHeight="1" thickBot="1" x14ac:dyDescent="0.35">
      <c r="B10" s="641" t="s">
        <v>7</v>
      </c>
      <c r="C10" s="627" t="s">
        <v>17</v>
      </c>
      <c r="D10" s="628"/>
      <c r="E10" s="628"/>
      <c r="F10" s="628"/>
      <c r="G10" s="628"/>
      <c r="H10" s="628"/>
      <c r="I10" s="628"/>
      <c r="J10" s="628"/>
      <c r="K10" s="628"/>
      <c r="L10" s="628"/>
      <c r="M10" s="628"/>
      <c r="N10" s="628"/>
      <c r="O10" s="628"/>
      <c r="P10" s="628"/>
      <c r="Q10" s="628"/>
      <c r="R10" s="628"/>
      <c r="S10" s="628"/>
      <c r="T10" s="629"/>
    </row>
    <row r="11" spans="2:68" ht="26.55" customHeight="1" x14ac:dyDescent="0.3">
      <c r="B11" s="642"/>
      <c r="C11" s="634">
        <v>45660</v>
      </c>
      <c r="D11" s="636"/>
      <c r="E11" s="634" t="s">
        <v>199</v>
      </c>
      <c r="F11" s="636"/>
      <c r="G11" s="634">
        <v>45672</v>
      </c>
      <c r="H11" s="636"/>
      <c r="I11" s="634">
        <v>45674</v>
      </c>
      <c r="J11" s="635"/>
      <c r="K11" s="634"/>
      <c r="L11" s="636"/>
      <c r="M11" s="634"/>
      <c r="N11" s="636"/>
      <c r="O11" s="634"/>
      <c r="P11" s="636"/>
      <c r="Q11" s="634"/>
      <c r="R11" s="636"/>
      <c r="S11" s="637"/>
      <c r="T11" s="638"/>
    </row>
    <row r="12" spans="2:68" x14ac:dyDescent="0.3">
      <c r="B12" s="642"/>
      <c r="C12" s="65" t="s">
        <v>39</v>
      </c>
      <c r="D12" s="66" t="s">
        <v>40</v>
      </c>
      <c r="E12" s="65" t="s">
        <v>39</v>
      </c>
      <c r="F12" s="66" t="s">
        <v>40</v>
      </c>
      <c r="G12" s="65" t="s">
        <v>39</v>
      </c>
      <c r="H12" s="66" t="s">
        <v>40</v>
      </c>
      <c r="I12" s="65" t="s">
        <v>39</v>
      </c>
      <c r="J12" s="66" t="s">
        <v>40</v>
      </c>
      <c r="K12" s="65" t="s">
        <v>39</v>
      </c>
      <c r="L12" s="66" t="s">
        <v>40</v>
      </c>
      <c r="M12" s="65" t="s">
        <v>39</v>
      </c>
      <c r="N12" s="66" t="s">
        <v>40</v>
      </c>
      <c r="O12" s="65" t="s">
        <v>39</v>
      </c>
      <c r="P12" s="66" t="s">
        <v>40</v>
      </c>
      <c r="Q12" s="65" t="s">
        <v>39</v>
      </c>
      <c r="R12" s="66" t="s">
        <v>40</v>
      </c>
      <c r="S12" s="65" t="s">
        <v>39</v>
      </c>
      <c r="T12" s="66" t="s">
        <v>40</v>
      </c>
    </row>
    <row r="13" spans="2:68" x14ac:dyDescent="0.3">
      <c r="B13" s="642"/>
      <c r="C13" s="65"/>
      <c r="D13" s="66"/>
      <c r="E13" s="65"/>
      <c r="F13" s="66"/>
      <c r="G13" s="65"/>
      <c r="H13" s="66"/>
      <c r="I13" s="65"/>
      <c r="J13" s="66"/>
      <c r="K13" s="65"/>
      <c r="L13" s="66"/>
      <c r="M13" s="65"/>
      <c r="N13" s="66"/>
      <c r="O13" s="65"/>
      <c r="P13" s="66"/>
      <c r="Q13" s="65"/>
      <c r="R13" s="66"/>
      <c r="S13" s="65"/>
      <c r="T13" s="66"/>
    </row>
    <row r="14" spans="2:68" ht="15" thickBot="1" x14ac:dyDescent="0.35">
      <c r="B14" s="643"/>
      <c r="C14" s="55" t="s">
        <v>10</v>
      </c>
      <c r="D14" s="56" t="s">
        <v>11</v>
      </c>
      <c r="E14" s="55" t="s">
        <v>10</v>
      </c>
      <c r="F14" s="56" t="s">
        <v>11</v>
      </c>
      <c r="G14" s="55" t="s">
        <v>10</v>
      </c>
      <c r="H14" s="56" t="s">
        <v>11</v>
      </c>
      <c r="I14" s="55" t="s">
        <v>10</v>
      </c>
      <c r="J14" s="56" t="s">
        <v>11</v>
      </c>
      <c r="K14" s="55" t="s">
        <v>10</v>
      </c>
      <c r="L14" s="56" t="s">
        <v>11</v>
      </c>
      <c r="M14" s="55" t="s">
        <v>10</v>
      </c>
      <c r="N14" s="56" t="s">
        <v>11</v>
      </c>
      <c r="O14" s="55" t="s">
        <v>10</v>
      </c>
      <c r="P14" s="56" t="s">
        <v>11</v>
      </c>
      <c r="Q14" s="55" t="s">
        <v>10</v>
      </c>
      <c r="R14" s="56" t="s">
        <v>11</v>
      </c>
      <c r="S14" s="63" t="s">
        <v>10</v>
      </c>
      <c r="T14" s="64" t="s">
        <v>11</v>
      </c>
    </row>
    <row r="15" spans="2:68" x14ac:dyDescent="0.3">
      <c r="B15" s="12" t="s">
        <v>1</v>
      </c>
      <c r="C15" s="397">
        <v>0</v>
      </c>
      <c r="D15" s="367">
        <f>C15*$C$4</f>
        <v>0</v>
      </c>
      <c r="E15" s="397">
        <v>2097</v>
      </c>
      <c r="F15" s="367">
        <f>E15*$C$4</f>
        <v>2600.2800000000002</v>
      </c>
      <c r="G15" s="397">
        <v>3145</v>
      </c>
      <c r="H15" s="367">
        <f>G15*$C$4</f>
        <v>3899.8</v>
      </c>
      <c r="I15" s="397">
        <v>3145.161290322581</v>
      </c>
      <c r="J15" s="367">
        <f>I15*$C$4</f>
        <v>3900.0000000000005</v>
      </c>
      <c r="K15" s="366"/>
      <c r="L15" s="367"/>
      <c r="M15" s="57"/>
      <c r="N15" s="58"/>
      <c r="O15" s="57"/>
      <c r="P15" s="58"/>
      <c r="Q15" s="57"/>
      <c r="R15" s="58"/>
      <c r="S15" s="57"/>
      <c r="T15" s="14"/>
    </row>
    <row r="16" spans="2:68" x14ac:dyDescent="0.3">
      <c r="B16" s="15" t="s">
        <v>2</v>
      </c>
      <c r="C16" s="398">
        <v>1000</v>
      </c>
      <c r="D16" s="369">
        <f>+C16*$C$5</f>
        <v>1325</v>
      </c>
      <c r="E16" s="398">
        <v>3000</v>
      </c>
      <c r="F16" s="369">
        <f>+E16*$C$5</f>
        <v>3975</v>
      </c>
      <c r="G16" s="398">
        <v>4000</v>
      </c>
      <c r="H16" s="369">
        <f>+G16*$C$5</f>
        <v>5300</v>
      </c>
      <c r="I16" s="398">
        <v>5000.0000000000009</v>
      </c>
      <c r="J16" s="369">
        <f>+I16*$C$5</f>
        <v>6625.0000000000009</v>
      </c>
      <c r="K16" s="368"/>
      <c r="L16" s="369"/>
      <c r="M16" s="16"/>
      <c r="N16" s="14"/>
      <c r="O16" s="16"/>
      <c r="P16" s="14"/>
      <c r="Q16" s="16"/>
      <c r="R16" s="14"/>
      <c r="S16" s="16"/>
      <c r="T16" s="14"/>
    </row>
    <row r="17" spans="2:92" x14ac:dyDescent="0.3">
      <c r="B17" s="15" t="s">
        <v>0</v>
      </c>
      <c r="C17" s="398">
        <v>1136</v>
      </c>
      <c r="D17" s="369">
        <f>+C17*$C$6</f>
        <v>1249.6000000000001</v>
      </c>
      <c r="E17" s="398">
        <v>2273</v>
      </c>
      <c r="F17" s="369">
        <f>+E17*$C$6</f>
        <v>2500.3000000000002</v>
      </c>
      <c r="G17" s="398">
        <v>2000</v>
      </c>
      <c r="H17" s="369">
        <f>+G17*$C$6</f>
        <v>2200</v>
      </c>
      <c r="I17" s="398">
        <v>2272.7272727272725</v>
      </c>
      <c r="J17" s="369">
        <f>+I17*$C$6</f>
        <v>2500</v>
      </c>
      <c r="K17" s="368"/>
      <c r="L17" s="369"/>
      <c r="M17" s="16"/>
      <c r="N17" s="14"/>
      <c r="O17" s="16"/>
      <c r="P17" s="14"/>
      <c r="Q17" s="16"/>
      <c r="R17" s="14"/>
      <c r="S17" s="16"/>
      <c r="T17" s="14"/>
    </row>
    <row r="18" spans="2:92" x14ac:dyDescent="0.3">
      <c r="B18" s="15" t="s">
        <v>3</v>
      </c>
      <c r="C18" s="398">
        <v>30000</v>
      </c>
      <c r="D18" s="369">
        <f>+C18*$C$7</f>
        <v>75</v>
      </c>
      <c r="E18" s="398">
        <v>0</v>
      </c>
      <c r="F18" s="369">
        <f>+E18*$C$7</f>
        <v>0</v>
      </c>
      <c r="G18" s="398">
        <v>0</v>
      </c>
      <c r="H18" s="369">
        <f>+G18*$C$7</f>
        <v>0</v>
      </c>
      <c r="I18" s="398">
        <v>0</v>
      </c>
      <c r="J18" s="369">
        <f>+I18*$C$7</f>
        <v>0</v>
      </c>
      <c r="K18" s="368"/>
      <c r="L18" s="369"/>
      <c r="M18" s="16"/>
      <c r="N18" s="14"/>
      <c r="O18" s="16"/>
      <c r="P18" s="14"/>
      <c r="Q18" s="16"/>
      <c r="R18" s="14"/>
      <c r="S18" s="16"/>
      <c r="T18" s="14"/>
    </row>
    <row r="19" spans="2:92" ht="15" customHeight="1" thickBot="1" x14ac:dyDescent="0.35">
      <c r="B19" s="17" t="s">
        <v>8</v>
      </c>
      <c r="C19" s="399">
        <v>0</v>
      </c>
      <c r="D19" s="369">
        <f>+C19*$C$8</f>
        <v>0</v>
      </c>
      <c r="E19" s="399">
        <v>0</v>
      </c>
      <c r="F19" s="369">
        <f>+E19*$C$8</f>
        <v>0</v>
      </c>
      <c r="G19" s="399">
        <v>0</v>
      </c>
      <c r="H19" s="369">
        <f>+G19*$C$8</f>
        <v>0</v>
      </c>
      <c r="I19" s="399">
        <v>40000</v>
      </c>
      <c r="J19" s="369">
        <f>+I19*$C$8</f>
        <v>100</v>
      </c>
      <c r="K19" s="370"/>
      <c r="L19" s="371"/>
      <c r="M19" s="18"/>
      <c r="N19" s="19"/>
      <c r="O19" s="18"/>
      <c r="P19" s="19"/>
      <c r="Q19" s="18"/>
      <c r="R19" s="19"/>
      <c r="S19" s="18"/>
      <c r="T19" s="19"/>
    </row>
    <row r="20" spans="2:92" ht="3.3" customHeight="1" x14ac:dyDescent="0.3">
      <c r="M20"/>
    </row>
    <row r="21" spans="2:92" ht="7.5" customHeight="1" thickBot="1" x14ac:dyDescent="0.35">
      <c r="B21" s="9"/>
      <c r="C21" s="9"/>
      <c r="D21" s="37"/>
      <c r="E21" s="9"/>
      <c r="F21" s="9"/>
      <c r="G21" s="37"/>
      <c r="H21" s="9"/>
      <c r="I21" s="9"/>
      <c r="J21" s="37"/>
      <c r="K21" s="9"/>
      <c r="L21" s="9"/>
      <c r="M21" s="3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</row>
    <row r="22" spans="2:92" ht="15.75" customHeight="1" thickBot="1" x14ac:dyDescent="0.35">
      <c r="B22" s="652" t="s">
        <v>7</v>
      </c>
      <c r="C22" s="625" t="s">
        <v>25</v>
      </c>
      <c r="D22" s="626"/>
      <c r="E22" s="626"/>
      <c r="F22" s="626"/>
      <c r="G22" s="626"/>
      <c r="H22" s="626"/>
      <c r="I22" s="626"/>
      <c r="J22" s="626"/>
      <c r="K22" s="626"/>
      <c r="L22" s="626"/>
      <c r="M22" s="626"/>
      <c r="N22" s="626"/>
      <c r="O22" s="626"/>
      <c r="P22" s="626"/>
      <c r="Q22" s="626"/>
      <c r="R22" s="626"/>
      <c r="S22" s="626"/>
      <c r="T22" s="626"/>
      <c r="U22" s="626"/>
      <c r="V22" s="626"/>
      <c r="W22" s="626"/>
      <c r="X22" s="626"/>
      <c r="Y22" s="626"/>
      <c r="Z22" s="626"/>
      <c r="AA22" s="626"/>
      <c r="AB22" s="626"/>
      <c r="AC22" s="626"/>
      <c r="AD22" s="626"/>
      <c r="AE22" s="626"/>
      <c r="AF22" s="626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</row>
    <row r="23" spans="2:92" ht="15.75" customHeight="1" thickBot="1" x14ac:dyDescent="0.35">
      <c r="B23" s="653"/>
      <c r="C23" s="622">
        <v>2</v>
      </c>
      <c r="D23" s="623"/>
      <c r="E23" s="624"/>
      <c r="F23" s="622">
        <v>3</v>
      </c>
      <c r="G23" s="623"/>
      <c r="H23" s="624"/>
      <c r="I23" s="622">
        <v>4</v>
      </c>
      <c r="J23" s="623"/>
      <c r="K23" s="624"/>
      <c r="L23" s="622">
        <v>45667</v>
      </c>
      <c r="M23" s="623"/>
      <c r="N23" s="624"/>
      <c r="O23" s="622">
        <v>45668</v>
      </c>
      <c r="P23" s="623"/>
      <c r="Q23" s="624"/>
      <c r="R23" s="622">
        <v>45670</v>
      </c>
      <c r="S23" s="623"/>
      <c r="T23" s="624"/>
      <c r="U23" s="622">
        <v>45672</v>
      </c>
      <c r="V23" s="623"/>
      <c r="W23" s="624"/>
      <c r="X23" s="622">
        <v>45673</v>
      </c>
      <c r="Y23" s="623"/>
      <c r="Z23" s="624"/>
      <c r="AA23" s="622">
        <v>45674</v>
      </c>
      <c r="AB23" s="623"/>
      <c r="AC23" s="624"/>
      <c r="AD23" s="622">
        <v>45677</v>
      </c>
      <c r="AE23" s="623"/>
      <c r="AF23" s="624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</row>
    <row r="24" spans="2:92" ht="33.75" customHeight="1" thickBot="1" x14ac:dyDescent="0.35">
      <c r="B24" s="654"/>
      <c r="C24" s="34" t="s">
        <v>10</v>
      </c>
      <c r="D24" s="35" t="s">
        <v>6</v>
      </c>
      <c r="E24" s="36" t="s">
        <v>11</v>
      </c>
      <c r="F24" s="34" t="s">
        <v>10</v>
      </c>
      <c r="G24" s="35" t="s">
        <v>6</v>
      </c>
      <c r="H24" s="36" t="s">
        <v>11</v>
      </c>
      <c r="I24" s="34" t="s">
        <v>10</v>
      </c>
      <c r="J24" s="35" t="s">
        <v>6</v>
      </c>
      <c r="K24" s="36" t="s">
        <v>11</v>
      </c>
      <c r="L24" s="34" t="s">
        <v>10</v>
      </c>
      <c r="M24" s="35" t="s">
        <v>6</v>
      </c>
      <c r="N24" s="36" t="s">
        <v>11</v>
      </c>
      <c r="O24" s="34" t="s">
        <v>10</v>
      </c>
      <c r="P24" s="35" t="s">
        <v>6</v>
      </c>
      <c r="Q24" s="36" t="s">
        <v>11</v>
      </c>
      <c r="R24" s="34" t="s">
        <v>10</v>
      </c>
      <c r="S24" s="35" t="s">
        <v>6</v>
      </c>
      <c r="T24" s="36" t="s">
        <v>11</v>
      </c>
      <c r="U24" s="34" t="s">
        <v>10</v>
      </c>
      <c r="V24" s="35" t="s">
        <v>6</v>
      </c>
      <c r="W24" s="36" t="s">
        <v>11</v>
      </c>
      <c r="X24" s="34" t="s">
        <v>10</v>
      </c>
      <c r="Y24" s="35" t="s">
        <v>6</v>
      </c>
      <c r="Z24" s="36" t="s">
        <v>11</v>
      </c>
      <c r="AA24" s="34" t="s">
        <v>10</v>
      </c>
      <c r="AB24" s="35" t="s">
        <v>6</v>
      </c>
      <c r="AC24" s="36" t="s">
        <v>11</v>
      </c>
      <c r="AD24" s="34" t="s">
        <v>10</v>
      </c>
      <c r="AE24" s="35" t="s">
        <v>6</v>
      </c>
      <c r="AF24" s="36" t="s">
        <v>11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</row>
    <row r="25" spans="2:92" x14ac:dyDescent="0.3">
      <c r="B25" s="31" t="s">
        <v>1</v>
      </c>
      <c r="C25" s="13"/>
      <c r="D25" s="53"/>
      <c r="E25" s="4">
        <f>C25*D25</f>
        <v>0</v>
      </c>
      <c r="F25" s="13">
        <v>1</v>
      </c>
      <c r="G25" s="53"/>
      <c r="H25" s="4">
        <f>F25*G25</f>
        <v>0</v>
      </c>
      <c r="I25" s="13">
        <v>1</v>
      </c>
      <c r="J25" s="53"/>
      <c r="K25" s="4">
        <f>I25*J25</f>
        <v>0</v>
      </c>
      <c r="L25" s="400">
        <v>2</v>
      </c>
      <c r="M25" s="53"/>
      <c r="N25" s="4">
        <f>L25*M25</f>
        <v>0</v>
      </c>
      <c r="O25" s="13"/>
      <c r="P25" s="53"/>
      <c r="Q25" s="4">
        <f>O25*P25</f>
        <v>0</v>
      </c>
      <c r="R25" s="400">
        <v>1</v>
      </c>
      <c r="S25" s="53"/>
      <c r="T25" s="4">
        <f>R25*S25</f>
        <v>0</v>
      </c>
      <c r="U25" s="13"/>
      <c r="V25" s="53"/>
      <c r="W25" s="4">
        <f>U25*V25</f>
        <v>0</v>
      </c>
      <c r="X25" s="13">
        <v>3</v>
      </c>
      <c r="Y25" s="53"/>
      <c r="Z25" s="4">
        <f>X25*Y25</f>
        <v>0</v>
      </c>
      <c r="AA25" s="13"/>
      <c r="AB25" s="53"/>
      <c r="AC25" s="4">
        <f>AA25*AB25</f>
        <v>0</v>
      </c>
      <c r="AD25" s="13"/>
      <c r="AE25" s="53"/>
      <c r="AF25" s="4">
        <f>AD25*AE25</f>
        <v>0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</row>
    <row r="26" spans="2:92" x14ac:dyDescent="0.3">
      <c r="B26" s="32" t="s">
        <v>2</v>
      </c>
      <c r="C26" s="16">
        <v>1</v>
      </c>
      <c r="D26" s="52"/>
      <c r="E26" s="4">
        <f>C26*D26</f>
        <v>0</v>
      </c>
      <c r="F26" s="16">
        <v>1</v>
      </c>
      <c r="G26" s="52"/>
      <c r="H26" s="4">
        <f>F26*G26</f>
        <v>0</v>
      </c>
      <c r="I26" s="16">
        <v>2</v>
      </c>
      <c r="J26" s="52"/>
      <c r="K26" s="4">
        <f>I26*J26</f>
        <v>0</v>
      </c>
      <c r="L26" s="16"/>
      <c r="M26" s="52"/>
      <c r="N26" s="4">
        <f>L26*M26</f>
        <v>0</v>
      </c>
      <c r="O26" s="16">
        <v>3</v>
      </c>
      <c r="P26" s="52"/>
      <c r="Q26" s="4">
        <f>O26*P26</f>
        <v>0</v>
      </c>
      <c r="R26" s="16"/>
      <c r="S26" s="52"/>
      <c r="T26" s="4">
        <f>R26*S26</f>
        <v>0</v>
      </c>
      <c r="U26" s="16">
        <v>3</v>
      </c>
      <c r="V26" s="52"/>
      <c r="W26" s="4">
        <f>U26*V26</f>
        <v>0</v>
      </c>
      <c r="X26" s="16"/>
      <c r="Y26" s="52"/>
      <c r="Z26" s="4">
        <f>X26*Y26</f>
        <v>0</v>
      </c>
      <c r="AA26" s="16">
        <v>3</v>
      </c>
      <c r="AB26" s="52"/>
      <c r="AC26" s="4">
        <f>AA26*AB26</f>
        <v>0</v>
      </c>
      <c r="AD26" s="16"/>
      <c r="AE26" s="52"/>
      <c r="AF26" s="4">
        <f>AD26*AE26</f>
        <v>0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</row>
    <row r="27" spans="2:92" x14ac:dyDescent="0.3">
      <c r="B27" s="32" t="s">
        <v>0</v>
      </c>
      <c r="C27" s="16"/>
      <c r="D27" s="52"/>
      <c r="E27" s="4">
        <f>C27*D27</f>
        <v>0</v>
      </c>
      <c r="F27" s="16">
        <v>2</v>
      </c>
      <c r="G27" s="52"/>
      <c r="H27" s="4">
        <f>F27*G27</f>
        <v>0</v>
      </c>
      <c r="I27" s="16"/>
      <c r="J27" s="52"/>
      <c r="K27" s="4">
        <f>I27*J27</f>
        <v>0</v>
      </c>
      <c r="L27" s="16">
        <v>1</v>
      </c>
      <c r="M27" s="52"/>
      <c r="N27" s="4">
        <f>L27*M27</f>
        <v>0</v>
      </c>
      <c r="O27" s="16">
        <v>1</v>
      </c>
      <c r="P27" s="52"/>
      <c r="Q27" s="4">
        <f>O27*P27</f>
        <v>0</v>
      </c>
      <c r="R27" s="16"/>
      <c r="S27" s="52"/>
      <c r="T27" s="4">
        <f>R27*S27</f>
        <v>0</v>
      </c>
      <c r="U27" s="16">
        <v>1</v>
      </c>
      <c r="V27" s="52"/>
      <c r="W27" s="4">
        <f>U27*V27</f>
        <v>0</v>
      </c>
      <c r="X27" s="16">
        <v>1</v>
      </c>
      <c r="Y27" s="52"/>
      <c r="Z27" s="4">
        <f>X27*Y27</f>
        <v>0</v>
      </c>
      <c r="AA27" s="16"/>
      <c r="AB27" s="52"/>
      <c r="AC27" s="4">
        <f>AA27*AB27</f>
        <v>0</v>
      </c>
      <c r="AD27" s="16">
        <v>3</v>
      </c>
      <c r="AE27" s="52"/>
      <c r="AF27" s="4">
        <f>AD27*AE27</f>
        <v>0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</row>
    <row r="28" spans="2:92" x14ac:dyDescent="0.3">
      <c r="B28" s="32" t="s">
        <v>3</v>
      </c>
      <c r="C28" s="16"/>
      <c r="D28" s="52"/>
      <c r="E28" s="4">
        <f>C28*D28</f>
        <v>0</v>
      </c>
      <c r="F28" s="16"/>
      <c r="G28" s="52"/>
      <c r="H28" s="4">
        <f>F28*G28</f>
        <v>0</v>
      </c>
      <c r="I28" s="16"/>
      <c r="J28" s="52"/>
      <c r="K28" s="4">
        <f>I28*J28</f>
        <v>0</v>
      </c>
      <c r="L28" s="16"/>
      <c r="M28" s="52"/>
      <c r="N28" s="4">
        <f>L28*M28</f>
        <v>0</v>
      </c>
      <c r="O28" s="16"/>
      <c r="P28" s="52"/>
      <c r="Q28" s="4">
        <f>O28*P28</f>
        <v>0</v>
      </c>
      <c r="R28" s="16"/>
      <c r="S28" s="52"/>
      <c r="T28" s="4">
        <f>R28*S28</f>
        <v>0</v>
      </c>
      <c r="U28" s="16"/>
      <c r="V28" s="52"/>
      <c r="W28" s="4">
        <f>U28*V28</f>
        <v>0</v>
      </c>
      <c r="X28" s="16"/>
      <c r="Y28" s="52"/>
      <c r="Z28" s="4">
        <f>X28*Y28</f>
        <v>0</v>
      </c>
      <c r="AA28" s="16"/>
      <c r="AB28" s="52"/>
      <c r="AC28" s="4">
        <f>AA28*AB28</f>
        <v>0</v>
      </c>
      <c r="AD28" s="16"/>
      <c r="AE28" s="52"/>
      <c r="AF28" s="4">
        <f>AD28*AE28</f>
        <v>0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</row>
    <row r="29" spans="2:92" ht="15" thickBot="1" x14ac:dyDescent="0.35">
      <c r="B29" s="33" t="s">
        <v>8</v>
      </c>
      <c r="C29" s="18"/>
      <c r="D29" s="54"/>
      <c r="E29" s="22">
        <f>C29*D29</f>
        <v>0</v>
      </c>
      <c r="F29" s="18"/>
      <c r="G29" s="54"/>
      <c r="H29" s="22">
        <f>F29*G29</f>
        <v>0</v>
      </c>
      <c r="I29" s="18"/>
      <c r="J29" s="54"/>
      <c r="K29" s="22">
        <f>I29*J29</f>
        <v>0</v>
      </c>
      <c r="L29" s="18"/>
      <c r="M29" s="54"/>
      <c r="N29" s="22">
        <f>L29*M29</f>
        <v>0</v>
      </c>
      <c r="O29" s="18"/>
      <c r="P29" s="54"/>
      <c r="Q29" s="22">
        <f>O29*P29</f>
        <v>0</v>
      </c>
      <c r="R29" s="18"/>
      <c r="S29" s="54"/>
      <c r="T29" s="22">
        <f>R29*S29</f>
        <v>0</v>
      </c>
      <c r="U29" s="18"/>
      <c r="V29" s="54"/>
      <c r="W29" s="22">
        <f>U29*V29</f>
        <v>0</v>
      </c>
      <c r="X29" s="18">
        <v>100</v>
      </c>
      <c r="Y29" s="54"/>
      <c r="Z29" s="22">
        <f>X29*Y29</f>
        <v>0</v>
      </c>
      <c r="AA29" s="18"/>
      <c r="AB29" s="54"/>
      <c r="AC29" s="22">
        <f>AA29*AB29</f>
        <v>0</v>
      </c>
      <c r="AD29" s="18"/>
      <c r="AE29" s="54"/>
      <c r="AF29" s="22">
        <f>AD29*AE29</f>
        <v>0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</row>
    <row r="30" spans="2:92" x14ac:dyDescent="0.3">
      <c r="B30" s="9"/>
      <c r="C30" s="9"/>
      <c r="D30" s="37"/>
      <c r="E30" s="9"/>
      <c r="F30" s="9"/>
      <c r="G30" s="37"/>
      <c r="H30" s="9"/>
      <c r="I30" s="9"/>
      <c r="J30" s="37"/>
      <c r="K30" s="9"/>
      <c r="L30" s="9"/>
      <c r="M30" s="3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</row>
    <row r="31" spans="2:92" x14ac:dyDescent="0.3">
      <c r="B31" s="9"/>
      <c r="C31" s="9"/>
      <c r="D31" s="37"/>
      <c r="E31" s="9"/>
      <c r="F31" s="9"/>
      <c r="G31" s="37"/>
      <c r="H31" s="9"/>
      <c r="I31" s="9"/>
      <c r="J31" s="37"/>
      <c r="K31" s="9"/>
      <c r="L31" s="9"/>
      <c r="M31" s="3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</row>
    <row r="32" spans="2:92" x14ac:dyDescent="0.3">
      <c r="B32" s="9"/>
      <c r="C32" s="9"/>
      <c r="D32" s="37"/>
      <c r="E32" s="9"/>
      <c r="F32" s="9"/>
      <c r="G32" s="37"/>
      <c r="H32" s="9"/>
      <c r="I32" s="9"/>
      <c r="J32" s="37"/>
      <c r="K32" s="9"/>
      <c r="L32" s="9"/>
      <c r="M32" s="3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</row>
    <row r="33" spans="2:92" x14ac:dyDescent="0.3">
      <c r="B33" s="9"/>
      <c r="C33" s="9"/>
      <c r="D33" s="37"/>
      <c r="E33" s="9"/>
      <c r="F33" s="9"/>
      <c r="G33" s="37"/>
      <c r="H33" s="9"/>
      <c r="I33" s="9"/>
      <c r="J33" s="37"/>
      <c r="K33" s="9"/>
      <c r="L33" s="9"/>
      <c r="M33" s="3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</row>
    <row r="34" spans="2:92" x14ac:dyDescent="0.3">
      <c r="B34" s="9"/>
      <c r="C34" s="9"/>
      <c r="D34" s="37"/>
      <c r="E34" s="9"/>
      <c r="F34" s="9"/>
      <c r="G34" s="37"/>
      <c r="H34" s="9"/>
      <c r="I34" s="9"/>
      <c r="J34" s="37"/>
      <c r="K34" s="9"/>
      <c r="L34" s="9"/>
      <c r="M34" s="3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</row>
    <row r="35" spans="2:92" x14ac:dyDescent="0.3">
      <c r="B35" s="9"/>
      <c r="C35" s="9"/>
      <c r="D35" s="37"/>
      <c r="E35" s="9"/>
      <c r="F35" s="9"/>
      <c r="G35" s="37"/>
      <c r="H35" s="37"/>
      <c r="I35" s="37"/>
      <c r="J35" s="37"/>
      <c r="K35" s="37"/>
      <c r="L35" s="37"/>
      <c r="M35" s="3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</row>
    <row r="36" spans="2:92" x14ac:dyDescent="0.3">
      <c r="B36" s="9"/>
      <c r="C36" s="9"/>
      <c r="D36" s="37"/>
      <c r="E36" s="9"/>
      <c r="F36" s="9"/>
      <c r="G36" s="37"/>
      <c r="H36" s="37"/>
      <c r="I36" s="37"/>
      <c r="J36" s="37"/>
      <c r="K36" s="37"/>
      <c r="L36" s="37"/>
      <c r="M36" s="3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</row>
    <row r="37" spans="2:92" x14ac:dyDescent="0.3">
      <c r="B37" s="9"/>
      <c r="C37" s="9"/>
      <c r="D37" s="37"/>
      <c r="E37" s="9"/>
      <c r="F37" s="9"/>
      <c r="G37" s="37"/>
      <c r="H37" s="37"/>
      <c r="I37" s="37"/>
      <c r="J37" s="37"/>
      <c r="K37" s="37"/>
      <c r="L37" s="37"/>
      <c r="M37" s="3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</row>
    <row r="38" spans="2:92" x14ac:dyDescent="0.3">
      <c r="B38" s="9"/>
      <c r="C38" s="9"/>
      <c r="D38" s="37"/>
      <c r="E38" s="9"/>
      <c r="F38" s="9"/>
      <c r="G38" s="37"/>
      <c r="H38" s="37"/>
      <c r="I38" s="37"/>
      <c r="J38" s="37"/>
      <c r="K38" s="37"/>
      <c r="L38" s="37"/>
      <c r="M38" s="3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</row>
    <row r="39" spans="2:92" x14ac:dyDescent="0.3">
      <c r="B39" s="9"/>
      <c r="C39" s="9"/>
      <c r="D39" s="37"/>
      <c r="E39" s="9"/>
      <c r="F39" s="9"/>
      <c r="G39" s="37"/>
      <c r="H39" s="37"/>
      <c r="I39" s="37"/>
      <c r="J39" s="37"/>
      <c r="K39" s="37"/>
      <c r="L39" s="37"/>
      <c r="M39" s="3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</row>
    <row r="40" spans="2:92" x14ac:dyDescent="0.3">
      <c r="B40" s="9"/>
      <c r="C40" s="9"/>
      <c r="D40" s="37"/>
      <c r="E40" s="9"/>
      <c r="F40" s="9"/>
      <c r="G40" s="37"/>
      <c r="H40" s="37"/>
      <c r="I40" s="37"/>
      <c r="J40" s="37"/>
      <c r="K40" s="37"/>
      <c r="L40" s="37"/>
      <c r="M40" s="3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</row>
    <row r="41" spans="2:92" x14ac:dyDescent="0.3">
      <c r="B41" s="9"/>
      <c r="C41" s="9"/>
      <c r="D41" s="37"/>
      <c r="E41" s="9"/>
      <c r="F41" s="9"/>
      <c r="G41" s="37"/>
      <c r="H41" s="37"/>
      <c r="I41" s="37"/>
      <c r="J41" s="37"/>
      <c r="K41" s="37"/>
      <c r="L41" s="37"/>
      <c r="M41" s="3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</row>
    <row r="42" spans="2:92" x14ac:dyDescent="0.3">
      <c r="B42" s="9"/>
      <c r="C42" s="9"/>
      <c r="D42" s="37"/>
      <c r="E42" s="9"/>
      <c r="F42" s="9"/>
      <c r="G42" s="37"/>
      <c r="H42" s="37"/>
      <c r="I42" s="37"/>
      <c r="J42" s="37"/>
      <c r="K42" s="37"/>
      <c r="L42" s="37"/>
      <c r="M42" s="3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</row>
    <row r="43" spans="2:92" x14ac:dyDescent="0.3">
      <c r="B43" s="9"/>
      <c r="C43" s="9"/>
      <c r="D43" s="37"/>
      <c r="E43" s="9"/>
      <c r="F43" s="9"/>
      <c r="G43" s="37"/>
      <c r="H43" s="37"/>
      <c r="I43" s="37"/>
      <c r="J43" s="37"/>
      <c r="K43" s="37"/>
      <c r="L43" s="37"/>
      <c r="M43" s="3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</row>
    <row r="44" spans="2:92" x14ac:dyDescent="0.3">
      <c r="B44" s="9"/>
      <c r="C44" s="9"/>
      <c r="D44" s="37"/>
      <c r="E44" s="9"/>
      <c r="F44" s="9"/>
      <c r="G44" s="37"/>
      <c r="H44" s="37"/>
      <c r="I44" s="37"/>
      <c r="J44" s="37"/>
      <c r="K44" s="37"/>
      <c r="L44" s="37"/>
      <c r="M44" s="3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</row>
    <row r="45" spans="2:92" x14ac:dyDescent="0.3">
      <c r="B45" s="9"/>
      <c r="C45" s="9"/>
      <c r="D45" s="37"/>
      <c r="E45" s="9"/>
      <c r="F45" s="9"/>
      <c r="G45" s="37"/>
      <c r="H45" s="37"/>
      <c r="I45" s="37"/>
      <c r="J45" s="37"/>
      <c r="K45" s="37"/>
      <c r="L45" s="37"/>
      <c r="M45" s="3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</row>
    <row r="46" spans="2:92" x14ac:dyDescent="0.3">
      <c r="B46" s="9"/>
      <c r="C46" s="9"/>
      <c r="D46" s="37"/>
      <c r="E46" s="9"/>
      <c r="F46" s="9"/>
      <c r="G46" s="37"/>
      <c r="H46" s="37"/>
      <c r="I46" s="37"/>
      <c r="J46" s="37"/>
      <c r="K46" s="37"/>
      <c r="L46" s="37"/>
      <c r="M46" s="3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</row>
    <row r="47" spans="2:92" x14ac:dyDescent="0.3">
      <c r="B47" s="9"/>
      <c r="C47" s="9"/>
      <c r="D47" s="37"/>
      <c r="E47" s="9"/>
      <c r="F47" s="9"/>
      <c r="G47" s="37"/>
      <c r="H47" s="9"/>
      <c r="I47" s="9"/>
      <c r="J47" s="37"/>
      <c r="K47" s="9"/>
      <c r="L47" s="9"/>
      <c r="M47" s="3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</row>
    <row r="48" spans="2:92" x14ac:dyDescent="0.3">
      <c r="B48" s="9"/>
      <c r="C48" s="9"/>
      <c r="D48" s="37"/>
      <c r="E48" s="9"/>
      <c r="F48" s="9"/>
      <c r="G48" s="37"/>
      <c r="H48" s="9"/>
      <c r="I48" s="9"/>
      <c r="J48" s="37"/>
      <c r="K48" s="9"/>
      <c r="L48" s="9"/>
      <c r="M48" s="3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</row>
    <row r="49" spans="2:92" x14ac:dyDescent="0.3">
      <c r="B49" s="9"/>
      <c r="C49" s="9"/>
      <c r="D49" s="37"/>
      <c r="E49" s="9"/>
      <c r="F49" s="9"/>
      <c r="G49" s="37"/>
      <c r="H49" s="9"/>
      <c r="I49" s="9"/>
      <c r="J49" s="37"/>
      <c r="K49" s="9"/>
      <c r="L49" s="9"/>
      <c r="M49" s="3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</row>
    <row r="50" spans="2:92" x14ac:dyDescent="0.3">
      <c r="B50" s="9"/>
      <c r="C50" s="9"/>
      <c r="D50" s="37"/>
      <c r="E50" s="9"/>
      <c r="F50" s="9"/>
      <c r="G50" s="37"/>
      <c r="H50" s="9"/>
      <c r="I50" s="9"/>
      <c r="J50" s="37"/>
      <c r="K50" s="9"/>
      <c r="L50" s="9"/>
      <c r="M50" s="3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</row>
    <row r="51" spans="2:92" x14ac:dyDescent="0.3">
      <c r="B51" s="9"/>
      <c r="C51" s="9"/>
      <c r="D51" s="37"/>
      <c r="E51" s="9"/>
      <c r="F51" s="9"/>
      <c r="G51" s="37"/>
      <c r="H51" s="9"/>
      <c r="I51" s="9"/>
      <c r="J51" s="37"/>
      <c r="K51" s="9"/>
      <c r="L51" s="9"/>
      <c r="M51" s="3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</row>
    <row r="52" spans="2:92" x14ac:dyDescent="0.3">
      <c r="B52" s="9"/>
      <c r="C52" s="9"/>
      <c r="D52" s="37"/>
      <c r="E52" s="9"/>
      <c r="F52" s="9"/>
      <c r="G52" s="37"/>
      <c r="H52" s="9"/>
      <c r="I52" s="9"/>
      <c r="J52" s="37"/>
      <c r="K52" s="9"/>
      <c r="L52" s="9"/>
      <c r="M52" s="3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</row>
    <row r="53" spans="2:92" x14ac:dyDescent="0.3">
      <c r="B53" s="9"/>
      <c r="C53" s="9"/>
      <c r="D53" s="37"/>
      <c r="E53" s="9"/>
      <c r="F53" s="9"/>
      <c r="G53" s="37"/>
      <c r="H53" s="9"/>
      <c r="I53" s="9"/>
      <c r="J53" s="37"/>
      <c r="K53" s="9"/>
      <c r="L53" s="9"/>
      <c r="M53" s="3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</row>
    <row r="54" spans="2:92" x14ac:dyDescent="0.3">
      <c r="B54" s="9"/>
      <c r="C54" s="9"/>
      <c r="D54" s="37"/>
      <c r="E54" s="9"/>
      <c r="F54" s="9"/>
      <c r="G54" s="37"/>
      <c r="H54" s="9"/>
      <c r="I54" s="9"/>
      <c r="J54" s="37"/>
      <c r="K54" s="9"/>
      <c r="L54" s="9"/>
      <c r="M54" s="3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</row>
    <row r="55" spans="2:92" x14ac:dyDescent="0.3">
      <c r="B55" s="9"/>
      <c r="C55" s="9"/>
      <c r="D55" s="37"/>
      <c r="E55" s="9"/>
      <c r="F55" s="9"/>
      <c r="G55" s="37"/>
      <c r="H55" s="9"/>
      <c r="I55" s="9"/>
      <c r="J55" s="37"/>
      <c r="K55" s="9"/>
      <c r="L55" s="9"/>
      <c r="M55" s="3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</row>
    <row r="56" spans="2:92" x14ac:dyDescent="0.3">
      <c r="B56" s="9"/>
      <c r="C56" s="9"/>
      <c r="D56" s="37"/>
      <c r="E56" s="9"/>
      <c r="F56" s="9"/>
      <c r="G56" s="37"/>
      <c r="H56" s="9"/>
      <c r="I56" s="9"/>
      <c r="J56" s="37"/>
      <c r="K56" s="9"/>
      <c r="L56" s="9"/>
      <c r="M56" s="3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</row>
    <row r="57" spans="2:92" x14ac:dyDescent="0.3">
      <c r="B57" s="9"/>
      <c r="C57" s="9"/>
      <c r="D57" s="37"/>
      <c r="E57" s="9"/>
      <c r="F57" s="9"/>
      <c r="G57" s="37"/>
      <c r="H57" s="9"/>
      <c r="I57" s="9"/>
      <c r="J57" s="37"/>
      <c r="K57" s="9"/>
      <c r="L57" s="9"/>
      <c r="M57" s="3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</row>
    <row r="58" spans="2:92" x14ac:dyDescent="0.3">
      <c r="B58" s="9"/>
      <c r="C58" s="9"/>
      <c r="D58" s="37"/>
      <c r="E58" s="9"/>
      <c r="F58" s="9"/>
      <c r="G58" s="37"/>
      <c r="H58" s="9"/>
      <c r="I58" s="9"/>
      <c r="J58" s="37"/>
      <c r="K58" s="9"/>
      <c r="L58" s="9"/>
      <c r="M58" s="3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</row>
    <row r="59" spans="2:92" x14ac:dyDescent="0.3">
      <c r="B59" s="9"/>
      <c r="C59" s="9"/>
      <c r="D59" s="37"/>
      <c r="E59" s="9"/>
      <c r="F59" s="9"/>
      <c r="G59" s="37"/>
      <c r="H59" s="9"/>
      <c r="I59" s="9"/>
      <c r="J59" s="37"/>
      <c r="K59" s="9"/>
      <c r="L59" s="9"/>
      <c r="M59" s="3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</row>
    <row r="60" spans="2:92" x14ac:dyDescent="0.3">
      <c r="B60" s="9"/>
      <c r="C60" s="9"/>
      <c r="D60" s="37"/>
      <c r="E60" s="9"/>
      <c r="F60" s="9"/>
      <c r="G60" s="37"/>
      <c r="H60" s="9"/>
      <c r="I60" s="9"/>
      <c r="J60" s="37"/>
      <c r="K60" s="9"/>
      <c r="L60" s="9"/>
      <c r="M60" s="3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</row>
    <row r="61" spans="2:92" x14ac:dyDescent="0.3">
      <c r="B61" s="9"/>
      <c r="C61" s="9"/>
      <c r="D61" s="37"/>
      <c r="E61" s="9"/>
      <c r="F61" s="9"/>
      <c r="G61" s="37"/>
      <c r="H61" s="9"/>
      <c r="I61" s="9"/>
      <c r="J61" s="37"/>
      <c r="K61" s="9"/>
      <c r="L61" s="9"/>
      <c r="M61" s="3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</row>
    <row r="62" spans="2:92" x14ac:dyDescent="0.3">
      <c r="B62" s="9"/>
      <c r="C62" s="9"/>
      <c r="D62" s="37"/>
      <c r="E62" s="9"/>
      <c r="F62" s="9"/>
      <c r="G62" s="37"/>
      <c r="H62" s="9"/>
      <c r="I62" s="9"/>
      <c r="J62" s="37"/>
      <c r="K62" s="9"/>
      <c r="L62" s="9"/>
      <c r="M62" s="3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</row>
    <row r="63" spans="2:92" x14ac:dyDescent="0.3">
      <c r="B63" s="9"/>
      <c r="C63" s="9"/>
      <c r="D63" s="37"/>
      <c r="E63" s="9"/>
      <c r="F63" s="9"/>
      <c r="G63" s="37"/>
      <c r="H63" s="9"/>
      <c r="I63" s="9"/>
      <c r="J63" s="37"/>
      <c r="K63" s="9"/>
      <c r="L63" s="9"/>
      <c r="M63" s="3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</row>
    <row r="64" spans="2:92" x14ac:dyDescent="0.3">
      <c r="B64" s="9"/>
      <c r="C64" s="9"/>
      <c r="D64" s="37"/>
      <c r="E64" s="9"/>
      <c r="F64" s="9"/>
      <c r="G64" s="37"/>
      <c r="H64" s="9"/>
      <c r="I64" s="9"/>
      <c r="J64" s="37"/>
      <c r="K64" s="9"/>
      <c r="L64" s="9"/>
      <c r="M64" s="3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</row>
    <row r="65" spans="2:92" x14ac:dyDescent="0.3">
      <c r="B65" s="9"/>
      <c r="C65" s="9"/>
      <c r="D65" s="37"/>
      <c r="E65" s="9"/>
      <c r="F65" s="9"/>
      <c r="G65" s="37"/>
      <c r="H65" s="9"/>
      <c r="I65" s="9"/>
      <c r="J65" s="37"/>
      <c r="K65" s="9"/>
      <c r="L65" s="9"/>
      <c r="M65" s="3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</row>
    <row r="66" spans="2:92" x14ac:dyDescent="0.3">
      <c r="B66" s="9"/>
      <c r="C66" s="9"/>
      <c r="D66" s="37"/>
      <c r="E66" s="9"/>
      <c r="F66" s="9"/>
      <c r="G66" s="37"/>
      <c r="H66" s="9"/>
      <c r="I66" s="9"/>
      <c r="J66" s="37"/>
      <c r="K66" s="9"/>
      <c r="L66" s="9"/>
      <c r="M66" s="3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</row>
    <row r="67" spans="2:92" x14ac:dyDescent="0.3">
      <c r="B67" s="9"/>
      <c r="C67" s="9"/>
      <c r="D67" s="37"/>
      <c r="E67" s="9"/>
      <c r="F67" s="9"/>
      <c r="G67" s="37"/>
      <c r="H67" s="9"/>
      <c r="I67" s="9"/>
      <c r="J67" s="37"/>
      <c r="K67" s="9"/>
      <c r="L67" s="9"/>
      <c r="M67" s="37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</row>
    <row r="68" spans="2:92" x14ac:dyDescent="0.3">
      <c r="B68" s="9"/>
      <c r="C68" s="9"/>
      <c r="D68" s="37"/>
      <c r="E68" s="9"/>
      <c r="F68" s="9"/>
      <c r="G68" s="37"/>
      <c r="H68" s="9"/>
      <c r="I68" s="9"/>
      <c r="J68" s="37"/>
      <c r="K68" s="9"/>
      <c r="L68" s="9"/>
      <c r="M68" s="3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</row>
    <row r="69" spans="2:92" x14ac:dyDescent="0.3">
      <c r="B69" s="9"/>
      <c r="C69" s="9"/>
      <c r="D69" s="37"/>
      <c r="E69" s="9"/>
      <c r="F69" s="9"/>
      <c r="G69" s="37"/>
      <c r="H69" s="9"/>
      <c r="I69" s="9"/>
      <c r="J69" s="37"/>
      <c r="K69" s="9"/>
      <c r="L69" s="9"/>
      <c r="M69" s="37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</row>
    <row r="70" spans="2:92" x14ac:dyDescent="0.3">
      <c r="B70" s="9"/>
      <c r="C70" s="9"/>
      <c r="D70" s="37"/>
      <c r="E70" s="9"/>
      <c r="F70" s="9"/>
      <c r="G70" s="37"/>
      <c r="H70" s="9"/>
      <c r="I70" s="9"/>
      <c r="J70" s="37"/>
      <c r="K70" s="9"/>
      <c r="L70" s="9"/>
      <c r="M70" s="3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</row>
    <row r="71" spans="2:92" x14ac:dyDescent="0.3">
      <c r="B71" s="9"/>
      <c r="C71" s="9"/>
      <c r="D71" s="37"/>
      <c r="E71" s="9"/>
      <c r="F71" s="9"/>
      <c r="G71" s="37"/>
      <c r="H71" s="9"/>
      <c r="I71" s="9"/>
      <c r="J71" s="37"/>
      <c r="K71" s="9"/>
      <c r="L71" s="9"/>
      <c r="M71" s="3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</row>
    <row r="72" spans="2:92" x14ac:dyDescent="0.3">
      <c r="B72" s="9"/>
      <c r="C72" s="9"/>
      <c r="D72" s="37"/>
      <c r="E72" s="9"/>
      <c r="F72" s="9"/>
      <c r="G72" s="37"/>
      <c r="H72" s="9"/>
      <c r="I72" s="9"/>
      <c r="J72" s="37"/>
      <c r="K72" s="9"/>
      <c r="L72" s="9"/>
      <c r="M72" s="3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</row>
    <row r="73" spans="2:92" x14ac:dyDescent="0.3">
      <c r="B73" s="9"/>
      <c r="C73" s="9"/>
      <c r="D73" s="37"/>
      <c r="E73" s="9"/>
      <c r="F73" s="9"/>
      <c r="G73" s="37"/>
      <c r="H73" s="9"/>
      <c r="I73" s="9"/>
      <c r="J73" s="37"/>
      <c r="K73" s="9"/>
      <c r="L73" s="9"/>
      <c r="M73" s="3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</row>
    <row r="74" spans="2:92" x14ac:dyDescent="0.3">
      <c r="B74" s="9"/>
      <c r="C74" s="9"/>
      <c r="D74" s="37"/>
      <c r="E74" s="9"/>
      <c r="F74" s="9"/>
      <c r="G74" s="37"/>
      <c r="H74" s="9"/>
      <c r="I74" s="9"/>
      <c r="J74" s="37"/>
      <c r="K74" s="9"/>
      <c r="L74" s="9"/>
      <c r="M74" s="37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</row>
    <row r="75" spans="2:92" x14ac:dyDescent="0.3">
      <c r="B75" s="9"/>
      <c r="C75" s="9"/>
      <c r="D75" s="37"/>
      <c r="E75" s="9"/>
      <c r="F75" s="9"/>
      <c r="G75" s="37"/>
      <c r="H75" s="9"/>
      <c r="I75" s="9"/>
      <c r="J75" s="37"/>
      <c r="K75" s="9"/>
      <c r="L75" s="9"/>
      <c r="M75" s="37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</row>
    <row r="76" spans="2:92" x14ac:dyDescent="0.3">
      <c r="B76" s="9"/>
      <c r="C76" s="9"/>
      <c r="D76" s="37"/>
      <c r="E76" s="9"/>
      <c r="F76" s="9"/>
      <c r="G76" s="37"/>
      <c r="H76" s="9"/>
      <c r="I76" s="9"/>
      <c r="J76" s="37"/>
      <c r="K76" s="9"/>
      <c r="L76" s="9"/>
      <c r="M76" s="37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</row>
    <row r="77" spans="2:92" x14ac:dyDescent="0.3">
      <c r="B77" s="9"/>
      <c r="C77" s="9"/>
      <c r="D77" s="37"/>
      <c r="E77" s="9"/>
      <c r="F77" s="9"/>
      <c r="G77" s="37"/>
      <c r="H77" s="9"/>
      <c r="I77" s="9"/>
      <c r="J77" s="37"/>
      <c r="K77" s="9"/>
      <c r="L77" s="9"/>
      <c r="M77" s="37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</row>
    <row r="78" spans="2:92" x14ac:dyDescent="0.3">
      <c r="B78" s="9"/>
      <c r="C78" s="9"/>
      <c r="D78" s="37"/>
      <c r="E78" s="9"/>
      <c r="F78" s="9"/>
      <c r="G78" s="37"/>
      <c r="H78" s="9"/>
      <c r="I78" s="9"/>
      <c r="J78" s="37"/>
      <c r="K78" s="9"/>
      <c r="L78" s="9"/>
      <c r="M78" s="3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</row>
    <row r="79" spans="2:92" x14ac:dyDescent="0.3">
      <c r="B79" s="9"/>
      <c r="C79" s="9"/>
      <c r="D79" s="37"/>
      <c r="E79" s="9"/>
      <c r="F79" s="9"/>
      <c r="G79" s="37"/>
      <c r="H79" s="9"/>
      <c r="I79" s="9"/>
      <c r="J79" s="37"/>
      <c r="K79" s="9"/>
      <c r="L79" s="9"/>
      <c r="M79" s="37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</row>
    <row r="80" spans="2:92" x14ac:dyDescent="0.3">
      <c r="B80" s="9"/>
      <c r="C80" s="9"/>
      <c r="D80" s="37"/>
      <c r="E80" s="9"/>
      <c r="F80" s="9"/>
      <c r="G80" s="37"/>
      <c r="H80" s="9"/>
      <c r="I80" s="9"/>
      <c r="J80" s="37"/>
      <c r="K80" s="9"/>
      <c r="L80" s="9"/>
      <c r="M80" s="3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</row>
    <row r="81" spans="2:92" x14ac:dyDescent="0.3">
      <c r="B81" s="9"/>
      <c r="C81" s="9"/>
      <c r="D81" s="37"/>
      <c r="E81" s="9"/>
      <c r="F81" s="9"/>
      <c r="G81" s="37"/>
      <c r="H81" s="9"/>
      <c r="I81" s="9"/>
      <c r="J81" s="37"/>
      <c r="K81" s="9"/>
      <c r="L81" s="9"/>
      <c r="M81" s="3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</row>
    <row r="82" spans="2:92" x14ac:dyDescent="0.3">
      <c r="B82" s="9"/>
      <c r="C82" s="9"/>
      <c r="D82" s="37"/>
      <c r="E82" s="9"/>
      <c r="F82" s="9"/>
      <c r="G82" s="37"/>
      <c r="H82" s="9"/>
      <c r="I82" s="9"/>
      <c r="J82" s="37"/>
      <c r="K82" s="9"/>
      <c r="L82" s="9"/>
      <c r="M82" s="3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</row>
    <row r="83" spans="2:92" x14ac:dyDescent="0.3">
      <c r="B83" s="9"/>
      <c r="C83" s="9"/>
      <c r="D83" s="37"/>
      <c r="E83" s="9"/>
      <c r="F83" s="9"/>
      <c r="G83" s="37"/>
      <c r="H83" s="9"/>
      <c r="I83" s="9"/>
      <c r="J83" s="37"/>
      <c r="K83" s="9"/>
      <c r="L83" s="9"/>
      <c r="M83" s="3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</row>
    <row r="84" spans="2:92" x14ac:dyDescent="0.3">
      <c r="B84" s="9"/>
      <c r="C84" s="9"/>
      <c r="D84" s="37"/>
      <c r="E84" s="9"/>
      <c r="F84" s="9"/>
      <c r="G84" s="37"/>
      <c r="H84" s="9"/>
      <c r="I84" s="9"/>
      <c r="J84" s="37"/>
      <c r="K84" s="9"/>
      <c r="L84" s="9"/>
      <c r="M84" s="37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</row>
    <row r="85" spans="2:92" x14ac:dyDescent="0.3">
      <c r="B85" s="9"/>
      <c r="C85" s="9"/>
      <c r="D85" s="37"/>
      <c r="E85" s="9"/>
      <c r="F85" s="9"/>
      <c r="G85" s="37"/>
      <c r="H85" s="9"/>
      <c r="I85" s="9"/>
      <c r="J85" s="37"/>
      <c r="K85" s="9"/>
      <c r="L85" s="9"/>
      <c r="M85" s="37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</row>
    <row r="86" spans="2:92" x14ac:dyDescent="0.3">
      <c r="B86" s="9"/>
      <c r="C86" s="9"/>
      <c r="D86" s="37"/>
      <c r="E86" s="9"/>
      <c r="F86" s="9"/>
      <c r="G86" s="37"/>
      <c r="H86" s="9"/>
      <c r="I86" s="9"/>
      <c r="J86" s="37"/>
      <c r="K86" s="9"/>
      <c r="L86" s="9"/>
      <c r="M86" s="37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</row>
    <row r="87" spans="2:92" x14ac:dyDescent="0.3">
      <c r="B87" s="9"/>
      <c r="C87" s="9"/>
      <c r="D87" s="37"/>
      <c r="E87" s="9"/>
      <c r="F87" s="9"/>
      <c r="G87" s="37"/>
      <c r="H87" s="9"/>
      <c r="I87" s="9"/>
      <c r="J87" s="37"/>
      <c r="K87" s="9"/>
      <c r="L87" s="9"/>
      <c r="M87" s="37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</row>
    <row r="88" spans="2:92" x14ac:dyDescent="0.3">
      <c r="B88" s="9"/>
      <c r="C88" s="9"/>
      <c r="D88" s="37"/>
      <c r="E88" s="9"/>
      <c r="F88" s="9"/>
      <c r="G88" s="37"/>
      <c r="H88" s="9"/>
      <c r="I88" s="9"/>
      <c r="J88" s="37"/>
      <c r="K88" s="9"/>
      <c r="L88" s="9"/>
      <c r="M88" s="37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</row>
    <row r="89" spans="2:92" x14ac:dyDescent="0.3">
      <c r="B89" s="9"/>
      <c r="C89" s="9"/>
      <c r="D89" s="37"/>
      <c r="E89" s="9"/>
      <c r="F89" s="9"/>
      <c r="G89" s="37"/>
      <c r="H89" s="9"/>
      <c r="I89" s="9"/>
      <c r="J89" s="37"/>
      <c r="K89" s="9"/>
      <c r="L89" s="9"/>
      <c r="M89" s="37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</row>
    <row r="90" spans="2:92" x14ac:dyDescent="0.3">
      <c r="B90" s="9"/>
      <c r="C90" s="9"/>
      <c r="D90" s="37"/>
      <c r="E90" s="9"/>
      <c r="F90" s="9"/>
      <c r="G90" s="37"/>
      <c r="H90" s="9"/>
      <c r="I90" s="9"/>
      <c r="J90" s="37"/>
      <c r="K90" s="9"/>
      <c r="L90" s="9"/>
      <c r="M90" s="37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</row>
    <row r="91" spans="2:92" x14ac:dyDescent="0.3">
      <c r="B91" s="9"/>
      <c r="C91" s="9"/>
      <c r="D91" s="37"/>
      <c r="E91" s="9"/>
      <c r="F91" s="9"/>
      <c r="G91" s="37"/>
      <c r="H91" s="9"/>
      <c r="I91" s="9"/>
      <c r="J91" s="37"/>
      <c r="K91" s="9"/>
      <c r="L91" s="9"/>
      <c r="M91" s="37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</row>
    <row r="92" spans="2:92" x14ac:dyDescent="0.3">
      <c r="B92" s="9"/>
      <c r="C92" s="9"/>
      <c r="D92" s="37"/>
      <c r="E92" s="9"/>
      <c r="F92" s="9"/>
      <c r="G92" s="37"/>
      <c r="H92" s="9"/>
      <c r="I92" s="9"/>
      <c r="J92" s="37"/>
      <c r="K92" s="9"/>
      <c r="L92" s="9"/>
      <c r="M92" s="37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</row>
    <row r="93" spans="2:92" x14ac:dyDescent="0.3">
      <c r="B93" s="9"/>
      <c r="C93" s="9"/>
      <c r="D93" s="37"/>
      <c r="E93" s="9"/>
      <c r="F93" s="9"/>
      <c r="G93" s="37"/>
      <c r="H93" s="9"/>
      <c r="I93" s="9"/>
      <c r="J93" s="37"/>
      <c r="K93" s="9"/>
      <c r="L93" s="9"/>
      <c r="M93" s="37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</row>
    <row r="94" spans="2:92" x14ac:dyDescent="0.3">
      <c r="B94" s="9"/>
      <c r="C94" s="9"/>
      <c r="D94" s="37"/>
      <c r="E94" s="9"/>
      <c r="F94" s="9"/>
      <c r="G94" s="37"/>
      <c r="H94" s="9"/>
      <c r="I94" s="9"/>
      <c r="J94" s="37"/>
      <c r="K94" s="9"/>
      <c r="L94" s="9"/>
      <c r="M94" s="37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</row>
    <row r="95" spans="2:92" x14ac:dyDescent="0.3">
      <c r="B95" s="9"/>
      <c r="C95" s="9"/>
      <c r="D95" s="37"/>
      <c r="E95" s="9"/>
      <c r="F95" s="9"/>
      <c r="G95" s="37"/>
      <c r="H95" s="9"/>
      <c r="I95" s="9"/>
      <c r="J95" s="37"/>
      <c r="K95" s="9"/>
      <c r="L95" s="9"/>
      <c r="M95" s="37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</row>
    <row r="96" spans="2:92" x14ac:dyDescent="0.3">
      <c r="B96" s="9"/>
      <c r="C96" s="9"/>
      <c r="D96" s="37"/>
      <c r="E96" s="9"/>
      <c r="F96" s="9"/>
      <c r="G96" s="37"/>
      <c r="H96" s="9"/>
      <c r="I96" s="9"/>
      <c r="J96" s="37"/>
      <c r="K96" s="9"/>
      <c r="L96" s="9"/>
      <c r="M96" s="37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</row>
    <row r="97" spans="2:92" x14ac:dyDescent="0.3">
      <c r="B97" s="9"/>
      <c r="C97" s="9"/>
      <c r="D97" s="37"/>
      <c r="E97" s="9"/>
      <c r="F97" s="9"/>
      <c r="G97" s="37"/>
      <c r="H97" s="9"/>
      <c r="I97" s="9"/>
      <c r="J97" s="37"/>
      <c r="K97" s="9"/>
      <c r="L97" s="9"/>
      <c r="M97" s="37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</row>
    <row r="98" spans="2:92" x14ac:dyDescent="0.3">
      <c r="B98" s="9"/>
      <c r="C98" s="9"/>
      <c r="D98" s="37"/>
      <c r="E98" s="9"/>
      <c r="F98" s="9"/>
      <c r="G98" s="37"/>
      <c r="H98" s="9"/>
      <c r="I98" s="9"/>
      <c r="J98" s="37"/>
      <c r="K98" s="9"/>
      <c r="L98" s="9"/>
      <c r="M98" s="37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</row>
    <row r="99" spans="2:92" x14ac:dyDescent="0.3">
      <c r="B99" s="9"/>
      <c r="C99" s="9"/>
      <c r="D99" s="37"/>
      <c r="E99" s="9"/>
      <c r="F99" s="9"/>
      <c r="G99" s="37"/>
      <c r="H99" s="9"/>
      <c r="I99" s="9"/>
      <c r="J99" s="37"/>
      <c r="K99" s="9"/>
      <c r="L99" s="9"/>
      <c r="M99" s="37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</row>
    <row r="100" spans="2:92" x14ac:dyDescent="0.3">
      <c r="B100" s="9"/>
      <c r="C100" s="9"/>
      <c r="D100" s="37"/>
      <c r="E100" s="9"/>
      <c r="F100" s="9"/>
      <c r="G100" s="37"/>
      <c r="H100" s="9"/>
      <c r="I100" s="9"/>
      <c r="J100" s="37"/>
      <c r="K100" s="9"/>
      <c r="L100" s="9"/>
      <c r="M100" s="37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</row>
    <row r="101" spans="2:92" x14ac:dyDescent="0.3">
      <c r="B101" s="9"/>
      <c r="C101" s="9"/>
      <c r="D101" s="37"/>
      <c r="E101" s="9"/>
      <c r="F101" s="9"/>
      <c r="G101" s="37"/>
      <c r="H101" s="9"/>
      <c r="I101" s="9"/>
      <c r="J101" s="37"/>
      <c r="K101" s="9"/>
      <c r="L101" s="9"/>
      <c r="M101" s="37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</row>
    <row r="102" spans="2:92" x14ac:dyDescent="0.3">
      <c r="B102" s="9"/>
      <c r="C102" s="9"/>
      <c r="D102" s="37"/>
      <c r="E102" s="9"/>
      <c r="F102" s="9"/>
      <c r="G102" s="37"/>
      <c r="H102" s="9"/>
      <c r="I102" s="9"/>
      <c r="J102" s="37"/>
      <c r="K102" s="9"/>
      <c r="L102" s="9"/>
      <c r="M102" s="37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</row>
    <row r="103" spans="2:92" x14ac:dyDescent="0.3">
      <c r="B103" s="9"/>
      <c r="C103" s="9"/>
      <c r="D103" s="37"/>
      <c r="E103" s="9"/>
      <c r="F103" s="9"/>
      <c r="G103" s="37"/>
      <c r="H103" s="9"/>
      <c r="I103" s="9"/>
      <c r="J103" s="37"/>
      <c r="K103" s="9"/>
      <c r="L103" s="9"/>
      <c r="M103" s="37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</row>
    <row r="104" spans="2:92" x14ac:dyDescent="0.3">
      <c r="B104" s="9"/>
      <c r="C104" s="9"/>
      <c r="D104" s="37"/>
      <c r="E104" s="9"/>
      <c r="F104" s="9"/>
      <c r="G104" s="37"/>
      <c r="H104" s="9"/>
      <c r="I104" s="9"/>
      <c r="J104" s="37"/>
      <c r="K104" s="9"/>
      <c r="L104" s="9"/>
      <c r="M104" s="37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</row>
    <row r="105" spans="2:92" x14ac:dyDescent="0.3">
      <c r="B105" s="9"/>
      <c r="C105" s="9"/>
      <c r="D105" s="37"/>
      <c r="E105" s="9"/>
      <c r="F105" s="9"/>
      <c r="G105" s="37"/>
      <c r="H105" s="9"/>
      <c r="I105" s="9"/>
      <c r="J105" s="37"/>
      <c r="K105" s="9"/>
      <c r="L105" s="9"/>
      <c r="M105" s="37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</row>
    <row r="106" spans="2:92" x14ac:dyDescent="0.3">
      <c r="B106" s="9"/>
      <c r="C106" s="9"/>
      <c r="D106" s="37"/>
      <c r="E106" s="9"/>
      <c r="F106" s="9"/>
      <c r="G106" s="37"/>
      <c r="H106" s="9"/>
      <c r="I106" s="9"/>
      <c r="J106" s="37"/>
      <c r="K106" s="9"/>
      <c r="L106" s="9"/>
      <c r="M106" s="37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</row>
    <row r="107" spans="2:92" x14ac:dyDescent="0.3">
      <c r="B107" s="9"/>
      <c r="C107" s="9"/>
      <c r="D107" s="37"/>
      <c r="E107" s="9"/>
      <c r="F107" s="9"/>
      <c r="G107" s="37"/>
      <c r="H107" s="9"/>
      <c r="I107" s="9"/>
      <c r="J107" s="37"/>
      <c r="K107" s="9"/>
      <c r="L107" s="9"/>
      <c r="M107" s="37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</row>
    <row r="108" spans="2:92" x14ac:dyDescent="0.3">
      <c r="B108" s="9"/>
      <c r="C108" s="9"/>
      <c r="D108" s="37"/>
      <c r="E108" s="9"/>
      <c r="F108" s="9"/>
      <c r="G108" s="37"/>
      <c r="H108" s="9"/>
      <c r="I108" s="9"/>
      <c r="J108" s="37"/>
      <c r="K108" s="9"/>
      <c r="L108" s="9"/>
      <c r="M108" s="37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</row>
    <row r="109" spans="2:92" x14ac:dyDescent="0.3">
      <c r="B109" s="9"/>
      <c r="C109" s="9"/>
      <c r="D109" s="37"/>
      <c r="E109" s="9"/>
      <c r="F109" s="9"/>
      <c r="G109" s="37"/>
      <c r="H109" s="9"/>
      <c r="I109" s="9"/>
      <c r="J109" s="37"/>
      <c r="K109" s="9"/>
      <c r="L109" s="9"/>
      <c r="M109" s="37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</row>
    <row r="110" spans="2:92" x14ac:dyDescent="0.3">
      <c r="B110" s="9"/>
      <c r="C110" s="9"/>
      <c r="D110" s="37"/>
      <c r="E110" s="9"/>
      <c r="F110" s="9"/>
      <c r="G110" s="37"/>
      <c r="H110" s="9"/>
      <c r="I110" s="9"/>
      <c r="J110" s="37"/>
      <c r="K110" s="9"/>
      <c r="L110" s="9"/>
      <c r="M110" s="37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</row>
    <row r="111" spans="2:92" x14ac:dyDescent="0.3">
      <c r="B111" s="9"/>
      <c r="C111" s="9"/>
      <c r="D111" s="37"/>
      <c r="E111" s="9"/>
      <c r="F111" s="9"/>
      <c r="G111" s="37"/>
      <c r="H111" s="9"/>
      <c r="I111" s="9"/>
      <c r="J111" s="37"/>
      <c r="K111" s="9"/>
      <c r="L111" s="9"/>
      <c r="M111" s="37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</row>
    <row r="112" spans="2:92" x14ac:dyDescent="0.3">
      <c r="B112" s="9"/>
      <c r="C112" s="9"/>
      <c r="D112" s="37"/>
      <c r="E112" s="9"/>
      <c r="F112" s="9"/>
      <c r="G112" s="37"/>
      <c r="H112" s="9"/>
      <c r="I112" s="9"/>
      <c r="J112" s="37"/>
      <c r="K112" s="9"/>
      <c r="L112" s="9"/>
      <c r="M112" s="37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</row>
    <row r="113" spans="2:92" x14ac:dyDescent="0.3">
      <c r="B113" s="9"/>
      <c r="C113" s="9"/>
      <c r="D113" s="37"/>
      <c r="E113" s="9"/>
      <c r="F113" s="9"/>
      <c r="G113" s="37"/>
      <c r="H113" s="9"/>
      <c r="I113" s="9"/>
      <c r="J113" s="37"/>
      <c r="K113" s="9"/>
      <c r="L113" s="9"/>
      <c r="M113" s="37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</row>
    <row r="114" spans="2:92" x14ac:dyDescent="0.3">
      <c r="B114" s="9"/>
      <c r="C114" s="9"/>
      <c r="D114" s="37"/>
      <c r="E114" s="9"/>
      <c r="F114" s="9"/>
      <c r="G114" s="37"/>
      <c r="H114" s="9"/>
      <c r="I114" s="9"/>
      <c r="J114" s="37"/>
      <c r="K114" s="9"/>
      <c r="L114" s="9"/>
      <c r="M114" s="37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</row>
    <row r="115" spans="2:92" x14ac:dyDescent="0.3">
      <c r="B115" s="9"/>
      <c r="C115" s="9"/>
      <c r="D115" s="37"/>
      <c r="E115" s="9"/>
      <c r="F115" s="9"/>
      <c r="G115" s="37"/>
      <c r="H115" s="9"/>
      <c r="I115" s="9"/>
      <c r="J115" s="37"/>
      <c r="K115" s="9"/>
      <c r="L115" s="9"/>
      <c r="M115" s="37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</row>
    <row r="116" spans="2:92" x14ac:dyDescent="0.3">
      <c r="B116" s="9"/>
      <c r="C116" s="9"/>
      <c r="D116" s="37"/>
      <c r="E116" s="9"/>
      <c r="F116" s="9"/>
      <c r="G116" s="37"/>
      <c r="H116" s="9"/>
      <c r="I116" s="9"/>
      <c r="J116" s="37"/>
      <c r="K116" s="9"/>
      <c r="L116" s="9"/>
      <c r="M116" s="37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</row>
    <row r="117" spans="2:92" x14ac:dyDescent="0.3">
      <c r="B117" s="9"/>
      <c r="C117" s="9"/>
      <c r="D117" s="37"/>
      <c r="E117" s="9"/>
      <c r="F117" s="9"/>
      <c r="G117" s="37"/>
      <c r="H117" s="9"/>
      <c r="I117" s="9"/>
      <c r="J117" s="37"/>
      <c r="K117" s="9"/>
      <c r="L117" s="9"/>
      <c r="M117" s="37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</row>
    <row r="118" spans="2:92" x14ac:dyDescent="0.3">
      <c r="B118" s="9"/>
      <c r="C118" s="9"/>
      <c r="D118" s="37"/>
      <c r="E118" s="9"/>
      <c r="F118" s="9"/>
      <c r="G118" s="37"/>
      <c r="H118" s="9"/>
      <c r="I118" s="9"/>
      <c r="J118" s="37"/>
      <c r="K118" s="9"/>
      <c r="L118" s="9"/>
      <c r="M118" s="37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</row>
    <row r="119" spans="2:92" x14ac:dyDescent="0.3">
      <c r="B119" s="9"/>
      <c r="C119" s="9"/>
      <c r="D119" s="37"/>
      <c r="E119" s="9"/>
      <c r="F119" s="9"/>
      <c r="G119" s="37"/>
      <c r="H119" s="9"/>
      <c r="I119" s="9"/>
      <c r="J119" s="37"/>
      <c r="K119" s="9"/>
      <c r="L119" s="9"/>
      <c r="M119" s="37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</row>
    <row r="120" spans="2:92" x14ac:dyDescent="0.3">
      <c r="B120" s="9"/>
      <c r="C120" s="9"/>
      <c r="D120" s="37"/>
      <c r="E120" s="9"/>
      <c r="F120" s="9"/>
      <c r="G120" s="37"/>
      <c r="H120" s="9"/>
      <c r="I120" s="9"/>
      <c r="J120" s="37"/>
      <c r="K120" s="9"/>
      <c r="L120" s="9"/>
      <c r="M120" s="37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</row>
    <row r="121" spans="2:92" x14ac:dyDescent="0.3">
      <c r="B121" s="9"/>
      <c r="C121" s="9"/>
      <c r="D121" s="37"/>
      <c r="E121" s="9"/>
      <c r="F121" s="9"/>
      <c r="G121" s="37"/>
      <c r="H121" s="9"/>
      <c r="I121" s="9"/>
      <c r="J121" s="37"/>
      <c r="K121" s="9"/>
      <c r="L121" s="9"/>
      <c r="M121" s="37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</row>
    <row r="122" spans="2:92" x14ac:dyDescent="0.3">
      <c r="B122" s="9"/>
      <c r="C122" s="9"/>
      <c r="D122" s="37"/>
      <c r="E122" s="9"/>
      <c r="F122" s="9"/>
      <c r="G122" s="37"/>
      <c r="H122" s="9"/>
      <c r="I122" s="9"/>
      <c r="J122" s="37"/>
      <c r="K122" s="9"/>
      <c r="L122" s="9"/>
      <c r="M122" s="37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</row>
    <row r="123" spans="2:92" x14ac:dyDescent="0.3">
      <c r="B123" s="9"/>
      <c r="C123" s="9"/>
      <c r="D123" s="37"/>
      <c r="E123" s="9"/>
      <c r="F123" s="9"/>
      <c r="G123" s="37"/>
      <c r="H123" s="9"/>
      <c r="I123" s="9"/>
      <c r="J123" s="37"/>
      <c r="K123" s="9"/>
      <c r="L123" s="9"/>
      <c r="M123" s="37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</row>
    <row r="124" spans="2:92" x14ac:dyDescent="0.3">
      <c r="B124" s="9"/>
      <c r="C124" s="9"/>
      <c r="D124" s="37"/>
      <c r="E124" s="9"/>
      <c r="F124" s="9"/>
      <c r="G124" s="37"/>
      <c r="H124" s="9"/>
      <c r="I124" s="9"/>
      <c r="J124" s="37"/>
      <c r="K124" s="9"/>
      <c r="L124" s="9"/>
      <c r="M124" s="37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</row>
    <row r="125" spans="2:92" x14ac:dyDescent="0.3">
      <c r="B125" s="9"/>
      <c r="C125" s="9"/>
      <c r="D125" s="37"/>
      <c r="E125" s="9"/>
      <c r="F125" s="9"/>
      <c r="G125" s="37"/>
      <c r="H125" s="9"/>
      <c r="I125" s="9"/>
      <c r="J125" s="37"/>
      <c r="K125" s="9"/>
      <c r="L125" s="9"/>
      <c r="M125" s="37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</row>
    <row r="126" spans="2:92" x14ac:dyDescent="0.3">
      <c r="B126" s="9"/>
      <c r="C126" s="9"/>
      <c r="D126" s="37"/>
      <c r="E126" s="9"/>
      <c r="F126" s="9"/>
      <c r="G126" s="37"/>
      <c r="H126" s="9"/>
      <c r="I126" s="9"/>
      <c r="J126" s="37"/>
      <c r="K126" s="9"/>
      <c r="L126" s="9"/>
      <c r="M126" s="37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</row>
    <row r="127" spans="2:92" x14ac:dyDescent="0.3">
      <c r="B127" s="9"/>
      <c r="C127" s="9"/>
      <c r="D127" s="37"/>
      <c r="E127" s="9"/>
      <c r="F127" s="9"/>
      <c r="G127" s="37"/>
      <c r="H127" s="9"/>
      <c r="I127" s="9"/>
      <c r="J127" s="37"/>
      <c r="K127" s="9"/>
      <c r="L127" s="9"/>
      <c r="M127" s="37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</row>
    <row r="128" spans="2:92" x14ac:dyDescent="0.3">
      <c r="B128" s="9"/>
      <c r="C128" s="9"/>
      <c r="D128" s="37"/>
      <c r="E128" s="9"/>
      <c r="F128" s="9"/>
      <c r="G128" s="37"/>
      <c r="H128" s="9"/>
      <c r="I128" s="9"/>
      <c r="J128" s="37"/>
      <c r="K128" s="9"/>
      <c r="L128" s="9"/>
      <c r="M128" s="37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</row>
    <row r="129" spans="2:92" x14ac:dyDescent="0.3">
      <c r="B129" s="9"/>
      <c r="C129" s="9"/>
      <c r="D129" s="37"/>
      <c r="E129" s="9"/>
      <c r="F129" s="9"/>
      <c r="G129" s="37"/>
      <c r="H129" s="9"/>
      <c r="I129" s="9"/>
      <c r="J129" s="37"/>
      <c r="K129" s="9"/>
      <c r="L129" s="9"/>
      <c r="M129" s="37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</row>
    <row r="130" spans="2:92" x14ac:dyDescent="0.3">
      <c r="B130" s="9"/>
      <c r="C130" s="9"/>
      <c r="D130" s="37"/>
      <c r="E130" s="9"/>
      <c r="F130" s="9"/>
      <c r="G130" s="37"/>
      <c r="H130" s="9"/>
      <c r="I130" s="9"/>
      <c r="J130" s="37"/>
      <c r="K130" s="9"/>
      <c r="L130" s="9"/>
      <c r="M130" s="37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</row>
    <row r="131" spans="2:92" x14ac:dyDescent="0.3">
      <c r="B131" s="9"/>
      <c r="C131" s="9"/>
      <c r="D131" s="37"/>
      <c r="E131" s="9"/>
      <c r="F131" s="9"/>
      <c r="G131" s="37"/>
      <c r="H131" s="9"/>
      <c r="I131" s="9"/>
      <c r="J131" s="37"/>
      <c r="K131" s="9"/>
      <c r="L131" s="9"/>
      <c r="M131" s="37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</row>
    <row r="132" spans="2:92" x14ac:dyDescent="0.3">
      <c r="B132" s="9"/>
      <c r="C132" s="9"/>
      <c r="D132" s="37"/>
      <c r="E132" s="9"/>
      <c r="F132" s="9"/>
      <c r="G132" s="37"/>
      <c r="H132" s="9"/>
      <c r="I132" s="9"/>
      <c r="J132" s="37"/>
      <c r="K132" s="9"/>
      <c r="L132" s="9"/>
      <c r="M132" s="37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</row>
    <row r="133" spans="2:92" x14ac:dyDescent="0.3">
      <c r="B133" s="9"/>
      <c r="C133" s="9"/>
      <c r="D133" s="37"/>
      <c r="E133" s="9"/>
      <c r="F133" s="9"/>
      <c r="G133" s="37"/>
      <c r="H133" s="9"/>
      <c r="I133" s="9"/>
      <c r="J133" s="37"/>
      <c r="K133" s="9"/>
      <c r="L133" s="9"/>
      <c r="M133" s="37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</row>
    <row r="134" spans="2:92" x14ac:dyDescent="0.3">
      <c r="B134" s="9"/>
      <c r="C134" s="9"/>
      <c r="D134" s="37"/>
      <c r="E134" s="9"/>
      <c r="F134" s="9"/>
      <c r="G134" s="37"/>
      <c r="H134" s="9"/>
      <c r="I134" s="9"/>
      <c r="J134" s="37"/>
      <c r="K134" s="9"/>
      <c r="L134" s="9"/>
      <c r="M134" s="37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</row>
    <row r="135" spans="2:92" x14ac:dyDescent="0.3">
      <c r="B135" s="9"/>
      <c r="C135" s="9"/>
      <c r="D135" s="37"/>
      <c r="E135" s="9"/>
      <c r="F135" s="9"/>
      <c r="G135" s="37"/>
      <c r="H135" s="9"/>
      <c r="I135" s="9"/>
      <c r="J135" s="37"/>
      <c r="K135" s="9"/>
      <c r="L135" s="9"/>
      <c r="M135" s="37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</row>
    <row r="136" spans="2:92" x14ac:dyDescent="0.3">
      <c r="B136" s="9"/>
      <c r="C136" s="9"/>
      <c r="D136" s="37"/>
      <c r="E136" s="9"/>
      <c r="F136" s="9"/>
      <c r="G136" s="37"/>
      <c r="H136" s="9"/>
      <c r="I136" s="9"/>
      <c r="J136" s="37"/>
      <c r="K136" s="9"/>
      <c r="L136" s="9"/>
      <c r="M136" s="37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</row>
    <row r="137" spans="2:92" x14ac:dyDescent="0.3">
      <c r="B137" s="9"/>
      <c r="C137" s="9"/>
      <c r="D137" s="37"/>
      <c r="E137" s="9"/>
      <c r="F137" s="9"/>
      <c r="G137" s="37"/>
      <c r="H137" s="9"/>
      <c r="I137" s="9"/>
      <c r="J137" s="37"/>
      <c r="K137" s="9"/>
      <c r="L137" s="9"/>
      <c r="M137" s="37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</row>
    <row r="138" spans="2:92" x14ac:dyDescent="0.3">
      <c r="B138" s="9"/>
      <c r="C138" s="9"/>
      <c r="D138" s="37"/>
      <c r="E138" s="9"/>
      <c r="F138" s="9"/>
      <c r="G138" s="37"/>
      <c r="H138" s="9"/>
      <c r="I138" s="9"/>
      <c r="J138" s="37"/>
      <c r="K138" s="9"/>
      <c r="L138" s="9"/>
      <c r="M138" s="37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</row>
    <row r="139" spans="2:92" x14ac:dyDescent="0.3">
      <c r="B139" s="9"/>
      <c r="C139" s="9"/>
      <c r="D139" s="37"/>
      <c r="E139" s="9"/>
      <c r="F139" s="9"/>
      <c r="G139" s="37"/>
      <c r="H139" s="9"/>
      <c r="I139" s="9"/>
      <c r="J139" s="37"/>
      <c r="K139" s="9"/>
      <c r="L139" s="9"/>
      <c r="M139" s="37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</row>
    <row r="140" spans="2:92" x14ac:dyDescent="0.3">
      <c r="B140" s="9"/>
      <c r="C140" s="9"/>
      <c r="D140" s="37"/>
      <c r="E140" s="9"/>
      <c r="F140" s="9"/>
      <c r="G140" s="37"/>
      <c r="H140" s="9"/>
      <c r="I140" s="9"/>
      <c r="J140" s="37"/>
      <c r="K140" s="9"/>
      <c r="L140" s="9"/>
      <c r="M140" s="37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</row>
    <row r="141" spans="2:92" x14ac:dyDescent="0.3">
      <c r="B141" s="9"/>
      <c r="C141" s="9"/>
      <c r="D141" s="37"/>
      <c r="E141" s="9"/>
      <c r="F141" s="9"/>
      <c r="G141" s="37"/>
      <c r="H141" s="9"/>
      <c r="I141" s="9"/>
      <c r="J141" s="37"/>
      <c r="K141" s="9"/>
      <c r="L141" s="9"/>
      <c r="M141" s="37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</row>
    <row r="142" spans="2:92" x14ac:dyDescent="0.3">
      <c r="B142" s="9"/>
      <c r="C142" s="9"/>
      <c r="D142" s="37"/>
      <c r="E142" s="9"/>
      <c r="F142" s="9"/>
      <c r="G142" s="37"/>
      <c r="H142" s="9"/>
      <c r="I142" s="9"/>
      <c r="J142" s="37"/>
      <c r="K142" s="9"/>
      <c r="L142" s="9"/>
      <c r="M142" s="37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</row>
    <row r="143" spans="2:92" x14ac:dyDescent="0.3">
      <c r="B143" s="9"/>
      <c r="C143" s="9"/>
      <c r="D143" s="37"/>
      <c r="E143" s="9"/>
      <c r="F143" s="9"/>
      <c r="G143" s="37"/>
      <c r="H143" s="9"/>
      <c r="I143" s="9"/>
      <c r="J143" s="37"/>
      <c r="K143" s="9"/>
      <c r="L143" s="9"/>
      <c r="M143" s="37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</row>
    <row r="144" spans="2:92" x14ac:dyDescent="0.3">
      <c r="B144" s="9"/>
      <c r="C144" s="9"/>
      <c r="D144" s="37"/>
      <c r="E144" s="9"/>
      <c r="F144" s="9"/>
      <c r="G144" s="37"/>
      <c r="H144" s="9"/>
      <c r="I144" s="9"/>
      <c r="J144" s="37"/>
      <c r="K144" s="9"/>
      <c r="L144" s="9"/>
      <c r="M144" s="37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</row>
    <row r="145" spans="2:92" x14ac:dyDescent="0.3">
      <c r="B145" s="9"/>
      <c r="C145" s="9"/>
      <c r="D145" s="37"/>
      <c r="E145" s="9"/>
      <c r="F145" s="9"/>
      <c r="G145" s="37"/>
      <c r="H145" s="9"/>
      <c r="I145" s="9"/>
      <c r="J145" s="37"/>
      <c r="K145" s="9"/>
      <c r="L145" s="9"/>
      <c r="M145" s="37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</row>
    <row r="146" spans="2:92" x14ac:dyDescent="0.3">
      <c r="B146" s="9"/>
      <c r="C146" s="9"/>
      <c r="D146" s="37"/>
      <c r="E146" s="9"/>
      <c r="F146" s="9"/>
      <c r="G146" s="37"/>
      <c r="H146" s="9"/>
      <c r="I146" s="9"/>
      <c r="J146" s="37"/>
      <c r="K146" s="9"/>
      <c r="L146" s="9"/>
      <c r="M146" s="37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</row>
    <row r="147" spans="2:92" x14ac:dyDescent="0.3">
      <c r="B147" s="9"/>
      <c r="C147" s="9"/>
      <c r="D147" s="37"/>
      <c r="E147" s="9"/>
      <c r="F147" s="9"/>
      <c r="G147" s="37"/>
      <c r="H147" s="9"/>
      <c r="I147" s="9"/>
      <c r="J147" s="37"/>
      <c r="K147" s="9"/>
      <c r="L147" s="9"/>
      <c r="M147" s="37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</row>
    <row r="148" spans="2:92" x14ac:dyDescent="0.3">
      <c r="B148" s="9"/>
      <c r="C148" s="9"/>
      <c r="D148" s="37"/>
      <c r="E148" s="9"/>
      <c r="F148" s="9"/>
      <c r="G148" s="37"/>
      <c r="H148" s="9"/>
      <c r="I148" s="9"/>
      <c r="J148" s="37"/>
      <c r="K148" s="9"/>
      <c r="L148" s="9"/>
      <c r="M148" s="37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</row>
    <row r="149" spans="2:92" x14ac:dyDescent="0.3">
      <c r="B149" s="9"/>
      <c r="C149" s="9"/>
      <c r="D149" s="37"/>
      <c r="E149" s="9"/>
      <c r="F149" s="9"/>
      <c r="G149" s="37"/>
      <c r="H149" s="9"/>
      <c r="I149" s="9"/>
      <c r="J149" s="37"/>
      <c r="K149" s="9"/>
      <c r="L149" s="9"/>
      <c r="M149" s="37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</row>
    <row r="150" spans="2:92" x14ac:dyDescent="0.3">
      <c r="B150" s="9"/>
      <c r="C150" s="9"/>
      <c r="D150" s="37"/>
      <c r="E150" s="9"/>
      <c r="F150" s="9"/>
      <c r="G150" s="37"/>
      <c r="H150" s="9"/>
      <c r="I150" s="9"/>
      <c r="J150" s="37"/>
      <c r="K150" s="9"/>
      <c r="L150" s="9"/>
      <c r="M150" s="37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</row>
    <row r="151" spans="2:92" x14ac:dyDescent="0.3">
      <c r="B151" s="9"/>
      <c r="C151" s="9"/>
      <c r="D151" s="37"/>
      <c r="E151" s="9"/>
      <c r="F151" s="9"/>
      <c r="G151" s="37"/>
      <c r="H151" s="9"/>
      <c r="I151" s="9"/>
      <c r="J151" s="37"/>
      <c r="K151" s="9"/>
      <c r="L151" s="9"/>
      <c r="M151" s="37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</row>
    <row r="152" spans="2:92" x14ac:dyDescent="0.3">
      <c r="B152" s="9"/>
      <c r="C152" s="9"/>
      <c r="D152" s="37"/>
      <c r="E152" s="9"/>
      <c r="F152" s="9"/>
      <c r="G152" s="37"/>
      <c r="H152" s="9"/>
      <c r="I152" s="9"/>
      <c r="J152" s="37"/>
      <c r="K152" s="9"/>
      <c r="L152" s="9"/>
      <c r="M152" s="37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</row>
    <row r="153" spans="2:92" x14ac:dyDescent="0.3">
      <c r="B153" s="9"/>
      <c r="C153" s="9"/>
      <c r="D153" s="37"/>
      <c r="E153" s="9"/>
      <c r="F153" s="9"/>
      <c r="G153" s="37"/>
      <c r="H153" s="9"/>
      <c r="I153" s="9"/>
      <c r="J153" s="37"/>
      <c r="K153" s="9"/>
      <c r="L153" s="9"/>
      <c r="M153" s="37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</row>
    <row r="154" spans="2:92" x14ac:dyDescent="0.3">
      <c r="B154" s="9"/>
      <c r="C154" s="9"/>
      <c r="D154" s="37"/>
      <c r="E154" s="9"/>
      <c r="F154" s="9"/>
      <c r="G154" s="37"/>
      <c r="H154" s="9"/>
      <c r="I154" s="9"/>
      <c r="J154" s="37"/>
      <c r="K154" s="9"/>
      <c r="L154" s="9"/>
      <c r="M154" s="37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</row>
    <row r="155" spans="2:92" x14ac:dyDescent="0.3">
      <c r="B155" s="9"/>
      <c r="C155" s="9"/>
      <c r="D155" s="37"/>
      <c r="E155" s="9"/>
      <c r="F155" s="9"/>
      <c r="G155" s="37"/>
      <c r="H155" s="9"/>
      <c r="I155" s="9"/>
      <c r="J155" s="37"/>
      <c r="K155" s="9"/>
      <c r="L155" s="9"/>
      <c r="M155" s="37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</row>
    <row r="156" spans="2:92" x14ac:dyDescent="0.3">
      <c r="B156" s="9"/>
      <c r="C156" s="9"/>
      <c r="D156" s="37"/>
      <c r="E156" s="9"/>
      <c r="F156" s="9"/>
      <c r="G156" s="37"/>
      <c r="H156" s="9"/>
      <c r="I156" s="9"/>
      <c r="J156" s="37"/>
      <c r="K156" s="9"/>
      <c r="L156" s="9"/>
      <c r="M156" s="37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</row>
    <row r="157" spans="2:92" x14ac:dyDescent="0.3">
      <c r="B157" s="9"/>
      <c r="C157" s="9"/>
      <c r="D157" s="37"/>
      <c r="E157" s="9"/>
      <c r="F157" s="9"/>
      <c r="G157" s="37"/>
      <c r="H157" s="9"/>
      <c r="I157" s="9"/>
      <c r="J157" s="37"/>
      <c r="K157" s="9"/>
      <c r="L157" s="9"/>
      <c r="M157" s="37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</row>
    <row r="158" spans="2:92" x14ac:dyDescent="0.3">
      <c r="B158" s="9"/>
      <c r="C158" s="9"/>
      <c r="D158" s="37"/>
      <c r="E158" s="9"/>
      <c r="F158" s="9"/>
      <c r="G158" s="37"/>
      <c r="H158" s="9"/>
      <c r="I158" s="9"/>
      <c r="J158" s="37"/>
      <c r="K158" s="9"/>
      <c r="L158" s="9"/>
      <c r="M158" s="37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</row>
    <row r="159" spans="2:92" x14ac:dyDescent="0.3">
      <c r="B159" s="9"/>
      <c r="C159" s="9"/>
      <c r="D159" s="37"/>
      <c r="E159" s="9"/>
      <c r="F159" s="9"/>
      <c r="G159" s="37"/>
      <c r="H159" s="9"/>
      <c r="I159" s="9"/>
      <c r="J159" s="37"/>
      <c r="K159" s="9"/>
      <c r="L159" s="9"/>
      <c r="M159" s="37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</row>
    <row r="160" spans="2:92" x14ac:dyDescent="0.3">
      <c r="B160" s="9"/>
      <c r="C160" s="9"/>
      <c r="D160" s="37"/>
      <c r="E160" s="9"/>
      <c r="F160" s="9"/>
      <c r="G160" s="37"/>
      <c r="H160" s="9"/>
      <c r="I160" s="9"/>
      <c r="J160" s="37"/>
      <c r="K160" s="9"/>
      <c r="L160" s="9"/>
      <c r="M160" s="37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</row>
    <row r="161" spans="2:92" x14ac:dyDescent="0.3">
      <c r="B161" s="9"/>
      <c r="C161" s="9"/>
      <c r="D161" s="37"/>
      <c r="E161" s="9"/>
      <c r="F161" s="9"/>
      <c r="G161" s="37"/>
      <c r="H161" s="9"/>
      <c r="I161" s="9"/>
      <c r="J161" s="37"/>
      <c r="K161" s="9"/>
      <c r="L161" s="9"/>
      <c r="M161" s="37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</row>
    <row r="162" spans="2:92" x14ac:dyDescent="0.3">
      <c r="B162" s="9"/>
      <c r="C162" s="9"/>
      <c r="D162" s="37"/>
      <c r="E162" s="9"/>
      <c r="F162" s="9"/>
      <c r="G162" s="37"/>
      <c r="H162" s="9"/>
      <c r="I162" s="9"/>
      <c r="J162" s="37"/>
      <c r="K162" s="9"/>
      <c r="L162" s="9"/>
      <c r="M162" s="37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</row>
    <row r="163" spans="2:92" x14ac:dyDescent="0.3">
      <c r="B163" s="9"/>
      <c r="C163" s="9"/>
      <c r="D163" s="37"/>
      <c r="E163" s="9"/>
      <c r="F163" s="9"/>
      <c r="G163" s="37"/>
      <c r="H163" s="9"/>
      <c r="I163" s="9"/>
      <c r="J163" s="37"/>
      <c r="K163" s="9"/>
      <c r="L163" s="9"/>
      <c r="M163" s="37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</row>
    <row r="164" spans="2:92" x14ac:dyDescent="0.3">
      <c r="B164" s="9"/>
      <c r="C164" s="9"/>
      <c r="D164" s="37"/>
      <c r="E164" s="9"/>
      <c r="F164" s="9"/>
      <c r="G164" s="37"/>
      <c r="H164" s="9"/>
      <c r="I164" s="9"/>
      <c r="J164" s="37"/>
      <c r="K164" s="9"/>
      <c r="L164" s="9"/>
      <c r="M164" s="37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</row>
    <row r="165" spans="2:92" x14ac:dyDescent="0.3">
      <c r="B165" s="9"/>
      <c r="C165" s="9"/>
      <c r="D165" s="37"/>
      <c r="E165" s="9"/>
      <c r="F165" s="9"/>
      <c r="G165" s="37"/>
      <c r="H165" s="9"/>
      <c r="I165" s="9"/>
      <c r="J165" s="37"/>
      <c r="K165" s="9"/>
      <c r="L165" s="9"/>
      <c r="M165" s="37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</row>
    <row r="166" spans="2:92" x14ac:dyDescent="0.3">
      <c r="B166" s="9"/>
      <c r="C166" s="9"/>
      <c r="D166" s="37"/>
      <c r="E166" s="9"/>
      <c r="F166" s="9"/>
      <c r="G166" s="37"/>
      <c r="H166" s="9"/>
      <c r="I166" s="9"/>
      <c r="J166" s="37"/>
      <c r="K166" s="9"/>
      <c r="L166" s="9"/>
      <c r="M166" s="37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</row>
    <row r="167" spans="2:92" x14ac:dyDescent="0.3">
      <c r="B167" s="9"/>
      <c r="C167" s="9"/>
      <c r="D167" s="37"/>
      <c r="E167" s="9"/>
      <c r="F167" s="9"/>
      <c r="G167" s="37"/>
      <c r="H167" s="9"/>
      <c r="I167" s="9"/>
      <c r="J167" s="37"/>
      <c r="K167" s="9"/>
      <c r="L167" s="9"/>
      <c r="M167" s="37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</row>
    <row r="168" spans="2:92" x14ac:dyDescent="0.3">
      <c r="B168" s="9"/>
      <c r="C168" s="9"/>
      <c r="D168" s="37"/>
      <c r="E168" s="9"/>
      <c r="F168" s="9"/>
      <c r="G168" s="37"/>
      <c r="H168" s="9"/>
      <c r="I168" s="9"/>
      <c r="J168" s="37"/>
      <c r="K168" s="9"/>
      <c r="L168" s="9"/>
      <c r="M168" s="37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</row>
    <row r="169" spans="2:92" x14ac:dyDescent="0.3">
      <c r="B169" s="9"/>
      <c r="C169" s="9"/>
      <c r="D169" s="37"/>
      <c r="E169" s="9"/>
      <c r="F169" s="9"/>
      <c r="G169" s="37"/>
      <c r="H169" s="9"/>
      <c r="I169" s="9"/>
      <c r="J169" s="37"/>
      <c r="K169" s="9"/>
      <c r="L169" s="9"/>
      <c r="M169" s="37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</row>
    <row r="170" spans="2:92" x14ac:dyDescent="0.3">
      <c r="B170" s="9"/>
      <c r="C170" s="9"/>
      <c r="D170" s="37"/>
      <c r="E170" s="9"/>
      <c r="F170" s="9"/>
      <c r="G170" s="37"/>
      <c r="H170" s="9"/>
      <c r="I170" s="9"/>
      <c r="J170" s="37"/>
      <c r="K170" s="9"/>
      <c r="L170" s="9"/>
      <c r="M170" s="37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</row>
    <row r="171" spans="2:92" x14ac:dyDescent="0.3">
      <c r="B171" s="9"/>
      <c r="C171" s="9"/>
      <c r="D171" s="37"/>
      <c r="E171" s="9"/>
      <c r="F171" s="9"/>
      <c r="G171" s="37"/>
      <c r="H171" s="9"/>
      <c r="I171" s="9"/>
      <c r="J171" s="37"/>
      <c r="K171" s="9"/>
      <c r="L171" s="9"/>
      <c r="M171" s="37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</row>
    <row r="172" spans="2:92" x14ac:dyDescent="0.3">
      <c r="B172" s="9"/>
      <c r="C172" s="9"/>
      <c r="D172" s="37"/>
      <c r="E172" s="9"/>
      <c r="F172" s="9"/>
      <c r="G172" s="37"/>
      <c r="H172" s="9"/>
      <c r="I172" s="9"/>
      <c r="J172" s="37"/>
      <c r="K172" s="9"/>
      <c r="L172" s="9"/>
      <c r="M172" s="37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</row>
    <row r="173" spans="2:92" x14ac:dyDescent="0.3">
      <c r="B173" s="9"/>
      <c r="C173" s="9"/>
      <c r="D173" s="37"/>
      <c r="E173" s="9"/>
      <c r="F173" s="9"/>
      <c r="G173" s="37"/>
      <c r="H173" s="9"/>
      <c r="I173" s="9"/>
      <c r="J173" s="37"/>
      <c r="K173" s="9"/>
      <c r="L173" s="9"/>
      <c r="M173" s="37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</row>
    <row r="174" spans="2:92" x14ac:dyDescent="0.3">
      <c r="B174" s="9"/>
      <c r="C174" s="9"/>
      <c r="D174" s="37"/>
      <c r="E174" s="9"/>
      <c r="F174" s="9"/>
      <c r="G174" s="37"/>
      <c r="H174" s="9"/>
      <c r="I174" s="9"/>
      <c r="J174" s="37"/>
      <c r="K174" s="9"/>
      <c r="L174" s="9"/>
      <c r="M174" s="37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</row>
    <row r="175" spans="2:92" x14ac:dyDescent="0.3">
      <c r="B175" s="9"/>
      <c r="C175" s="9"/>
      <c r="D175" s="37"/>
      <c r="E175" s="9"/>
      <c r="F175" s="9"/>
      <c r="G175" s="37"/>
      <c r="H175" s="9"/>
      <c r="I175" s="9"/>
      <c r="J175" s="37"/>
      <c r="K175" s="9"/>
      <c r="L175" s="9"/>
      <c r="M175" s="37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</row>
    <row r="176" spans="2:92" x14ac:dyDescent="0.3">
      <c r="B176" s="9"/>
      <c r="C176" s="9"/>
      <c r="D176" s="37"/>
      <c r="E176" s="9"/>
      <c r="F176" s="9"/>
      <c r="G176" s="37"/>
      <c r="H176" s="9"/>
      <c r="I176" s="9"/>
      <c r="J176" s="37"/>
      <c r="K176" s="9"/>
      <c r="L176" s="9"/>
      <c r="M176" s="37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</row>
    <row r="177" spans="2:92" x14ac:dyDescent="0.3">
      <c r="B177" s="9"/>
      <c r="C177" s="9"/>
      <c r="D177" s="37"/>
      <c r="E177" s="9"/>
      <c r="F177" s="9"/>
      <c r="G177" s="37"/>
      <c r="H177" s="9"/>
      <c r="I177" s="9"/>
      <c r="J177" s="37"/>
      <c r="K177" s="9"/>
      <c r="L177" s="9"/>
      <c r="M177" s="37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</row>
    <row r="178" spans="2:92" x14ac:dyDescent="0.3">
      <c r="B178" s="9"/>
      <c r="C178" s="9"/>
      <c r="D178" s="37"/>
      <c r="E178" s="9"/>
      <c r="F178" s="9"/>
      <c r="G178" s="37"/>
      <c r="H178" s="9"/>
      <c r="I178" s="9"/>
      <c r="J178" s="37"/>
      <c r="K178" s="9"/>
      <c r="L178" s="9"/>
      <c r="M178" s="37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</row>
    <row r="179" spans="2:92" x14ac:dyDescent="0.3">
      <c r="B179" s="9"/>
      <c r="C179" s="9"/>
      <c r="D179" s="37"/>
      <c r="E179" s="9"/>
      <c r="F179" s="9"/>
      <c r="G179" s="37"/>
      <c r="H179" s="9"/>
      <c r="I179" s="9"/>
      <c r="J179" s="37"/>
      <c r="K179" s="9"/>
      <c r="L179" s="9"/>
      <c r="M179" s="37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</row>
    <row r="180" spans="2:92" x14ac:dyDescent="0.3">
      <c r="B180" s="9"/>
      <c r="C180" s="9"/>
      <c r="D180" s="37"/>
      <c r="E180" s="9"/>
      <c r="F180" s="9"/>
      <c r="G180" s="37"/>
      <c r="H180" s="9"/>
      <c r="I180" s="9"/>
      <c r="J180" s="37"/>
      <c r="K180" s="9"/>
      <c r="L180" s="9"/>
      <c r="M180" s="37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</row>
    <row r="181" spans="2:92" x14ac:dyDescent="0.3">
      <c r="B181" s="9"/>
      <c r="C181" s="9"/>
      <c r="D181" s="37"/>
      <c r="E181" s="9"/>
      <c r="F181" s="9"/>
      <c r="G181" s="37"/>
      <c r="H181" s="9"/>
      <c r="I181" s="9"/>
      <c r="J181" s="37"/>
      <c r="K181" s="9"/>
      <c r="L181" s="9"/>
      <c r="M181" s="37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</row>
    <row r="182" spans="2:92" x14ac:dyDescent="0.3">
      <c r="B182" s="9"/>
      <c r="C182" s="9"/>
      <c r="D182" s="37"/>
      <c r="E182" s="9"/>
      <c r="F182" s="9"/>
      <c r="G182" s="37"/>
      <c r="H182" s="9"/>
      <c r="I182" s="9"/>
      <c r="J182" s="37"/>
      <c r="K182" s="9"/>
      <c r="L182" s="9"/>
      <c r="M182" s="37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</row>
    <row r="183" spans="2:92" x14ac:dyDescent="0.3">
      <c r="B183" s="9"/>
      <c r="C183" s="9"/>
      <c r="D183" s="37"/>
      <c r="E183" s="9"/>
      <c r="F183" s="9"/>
      <c r="G183" s="37"/>
      <c r="H183" s="9"/>
      <c r="I183" s="9"/>
      <c r="J183" s="37"/>
      <c r="K183" s="9"/>
      <c r="L183" s="9"/>
      <c r="M183" s="37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</row>
    <row r="184" spans="2:92" x14ac:dyDescent="0.3">
      <c r="B184" s="9"/>
      <c r="C184" s="9"/>
      <c r="D184" s="37"/>
      <c r="E184" s="9"/>
      <c r="F184" s="9"/>
      <c r="G184" s="37"/>
      <c r="H184" s="9"/>
      <c r="I184" s="9"/>
      <c r="J184" s="37"/>
      <c r="K184" s="9"/>
      <c r="L184" s="9"/>
      <c r="M184" s="37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</row>
    <row r="185" spans="2:92" x14ac:dyDescent="0.3">
      <c r="B185" s="9"/>
      <c r="C185" s="9"/>
      <c r="D185" s="37"/>
      <c r="E185" s="9"/>
      <c r="F185" s="9"/>
      <c r="G185" s="37"/>
      <c r="H185" s="9"/>
      <c r="I185" s="9"/>
      <c r="J185" s="37"/>
      <c r="K185" s="9"/>
      <c r="L185" s="9"/>
      <c r="M185" s="37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</row>
    <row r="186" spans="2:92" x14ac:dyDescent="0.3">
      <c r="B186" s="9"/>
      <c r="C186" s="9"/>
      <c r="D186" s="37"/>
      <c r="E186" s="9"/>
      <c r="F186" s="9"/>
      <c r="G186" s="37"/>
      <c r="H186" s="9"/>
      <c r="I186" s="9"/>
      <c r="J186" s="37"/>
      <c r="K186" s="9"/>
      <c r="L186" s="9"/>
      <c r="M186" s="37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</row>
    <row r="187" spans="2:92" x14ac:dyDescent="0.3">
      <c r="B187" s="9"/>
      <c r="C187" s="9"/>
      <c r="D187" s="37"/>
      <c r="E187" s="9"/>
      <c r="F187" s="9"/>
      <c r="G187" s="37"/>
      <c r="H187" s="9"/>
      <c r="I187" s="9"/>
      <c r="J187" s="37"/>
      <c r="K187" s="9"/>
      <c r="L187" s="9"/>
      <c r="M187" s="37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</row>
    <row r="188" spans="2:92" x14ac:dyDescent="0.3">
      <c r="B188" s="9"/>
      <c r="C188" s="9"/>
      <c r="D188" s="37"/>
      <c r="E188" s="9"/>
      <c r="F188" s="9"/>
      <c r="G188" s="37"/>
      <c r="H188" s="9"/>
      <c r="I188" s="9"/>
      <c r="J188" s="37"/>
      <c r="K188" s="9"/>
      <c r="L188" s="9"/>
      <c r="M188" s="37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</row>
    <row r="189" spans="2:92" x14ac:dyDescent="0.3">
      <c r="B189" s="9"/>
      <c r="C189" s="9"/>
      <c r="D189" s="37"/>
      <c r="E189" s="9"/>
      <c r="F189" s="9"/>
      <c r="G189" s="37"/>
      <c r="H189" s="9"/>
      <c r="I189" s="9"/>
      <c r="J189" s="37"/>
      <c r="K189" s="9"/>
      <c r="L189" s="9"/>
      <c r="M189" s="37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</row>
    <row r="190" spans="2:92" x14ac:dyDescent="0.3">
      <c r="B190" s="9"/>
      <c r="C190" s="9"/>
      <c r="D190" s="37"/>
      <c r="E190" s="9"/>
      <c r="F190" s="9"/>
      <c r="G190" s="37"/>
      <c r="H190" s="9"/>
      <c r="I190" s="9"/>
      <c r="J190" s="37"/>
      <c r="K190" s="9"/>
      <c r="L190" s="9"/>
      <c r="M190" s="37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</row>
    <row r="191" spans="2:92" x14ac:dyDescent="0.3">
      <c r="B191" s="9"/>
      <c r="C191" s="9"/>
      <c r="D191" s="37"/>
      <c r="E191" s="9"/>
      <c r="F191" s="9"/>
      <c r="G191" s="37"/>
      <c r="H191" s="9"/>
      <c r="I191" s="9"/>
      <c r="J191" s="37"/>
      <c r="K191" s="9"/>
      <c r="L191" s="9"/>
      <c r="M191" s="37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</row>
    <row r="192" spans="2:92" x14ac:dyDescent="0.3">
      <c r="B192" s="9"/>
      <c r="C192" s="9"/>
      <c r="D192" s="37"/>
      <c r="E192" s="9"/>
      <c r="F192" s="9"/>
      <c r="G192" s="37"/>
      <c r="H192" s="9"/>
      <c r="I192" s="9"/>
      <c r="J192" s="37"/>
      <c r="K192" s="9"/>
      <c r="L192" s="9"/>
      <c r="M192" s="37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</row>
    <row r="193" spans="2:92" x14ac:dyDescent="0.3">
      <c r="B193" s="9"/>
      <c r="C193" s="9"/>
      <c r="D193" s="37"/>
      <c r="E193" s="9"/>
      <c r="F193" s="9"/>
      <c r="G193" s="37"/>
      <c r="H193" s="9"/>
      <c r="I193" s="9"/>
      <c r="J193" s="37"/>
      <c r="K193" s="9"/>
      <c r="L193" s="9"/>
      <c r="M193" s="37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</row>
    <row r="194" spans="2:92" x14ac:dyDescent="0.3">
      <c r="B194" s="9"/>
      <c r="C194" s="9"/>
      <c r="D194" s="37"/>
      <c r="E194" s="9"/>
      <c r="F194" s="9"/>
      <c r="G194" s="37"/>
      <c r="H194" s="9"/>
      <c r="I194" s="9"/>
      <c r="J194" s="37"/>
      <c r="K194" s="9"/>
      <c r="L194" s="9"/>
      <c r="M194" s="37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</row>
    <row r="195" spans="2:92" x14ac:dyDescent="0.3">
      <c r="B195" s="9"/>
      <c r="C195" s="9"/>
      <c r="D195" s="37"/>
      <c r="E195" s="9"/>
      <c r="F195" s="9"/>
      <c r="G195" s="37"/>
      <c r="H195" s="9"/>
      <c r="I195" s="9"/>
      <c r="J195" s="37"/>
      <c r="K195" s="9"/>
      <c r="L195" s="9"/>
      <c r="M195" s="37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</row>
    <row r="196" spans="2:92" x14ac:dyDescent="0.3">
      <c r="B196" s="9"/>
      <c r="C196" s="9"/>
      <c r="D196" s="37"/>
      <c r="E196" s="9"/>
      <c r="F196" s="9"/>
      <c r="G196" s="37"/>
      <c r="H196" s="9"/>
      <c r="I196" s="9"/>
      <c r="J196" s="37"/>
      <c r="K196" s="9"/>
      <c r="L196" s="9"/>
      <c r="M196" s="37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</row>
    <row r="197" spans="2:92" x14ac:dyDescent="0.3">
      <c r="B197" s="9"/>
      <c r="C197" s="9"/>
      <c r="D197" s="37"/>
      <c r="E197" s="9"/>
      <c r="F197" s="9"/>
      <c r="G197" s="37"/>
      <c r="H197" s="9"/>
      <c r="I197" s="9"/>
      <c r="J197" s="37"/>
      <c r="K197" s="9"/>
      <c r="L197" s="9"/>
      <c r="M197" s="37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</row>
    <row r="198" spans="2:92" x14ac:dyDescent="0.3">
      <c r="B198" s="9"/>
      <c r="C198" s="9"/>
      <c r="D198" s="37"/>
      <c r="E198" s="9"/>
      <c r="F198" s="9"/>
      <c r="G198" s="37"/>
      <c r="H198" s="9"/>
      <c r="I198" s="9"/>
      <c r="J198" s="37"/>
      <c r="K198" s="9"/>
      <c r="L198" s="9"/>
      <c r="M198" s="37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</row>
    <row r="199" spans="2:92" x14ac:dyDescent="0.3">
      <c r="B199" s="9"/>
      <c r="C199" s="9"/>
      <c r="D199" s="37"/>
      <c r="E199" s="9"/>
      <c r="F199" s="9"/>
      <c r="G199" s="37"/>
      <c r="H199" s="9"/>
      <c r="I199" s="9"/>
      <c r="J199" s="37"/>
      <c r="K199" s="9"/>
      <c r="L199" s="9"/>
      <c r="M199" s="37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</row>
    <row r="200" spans="2:92" x14ac:dyDescent="0.3">
      <c r="B200" s="9"/>
      <c r="C200" s="9"/>
      <c r="D200" s="37"/>
      <c r="E200" s="9"/>
      <c r="F200" s="9"/>
      <c r="G200" s="37"/>
      <c r="H200" s="9"/>
      <c r="I200" s="9"/>
      <c r="J200" s="37"/>
      <c r="K200" s="9"/>
      <c r="L200" s="9"/>
      <c r="M200" s="37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</row>
    <row r="201" spans="2:92" x14ac:dyDescent="0.3">
      <c r="B201" s="9"/>
      <c r="C201" s="9"/>
      <c r="D201" s="37"/>
      <c r="E201" s="9"/>
      <c r="F201" s="9"/>
      <c r="G201" s="37"/>
      <c r="H201" s="9"/>
      <c r="I201" s="9"/>
      <c r="J201" s="37"/>
      <c r="K201" s="9"/>
      <c r="L201" s="9"/>
      <c r="M201" s="37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</row>
    <row r="202" spans="2:92" x14ac:dyDescent="0.3">
      <c r="B202" s="9"/>
      <c r="C202" s="9"/>
      <c r="D202" s="37"/>
      <c r="E202" s="9"/>
      <c r="F202" s="9"/>
      <c r="G202" s="37"/>
      <c r="H202" s="9"/>
      <c r="I202" s="9"/>
      <c r="J202" s="37"/>
      <c r="K202" s="9"/>
      <c r="L202" s="9"/>
      <c r="M202" s="37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</row>
    <row r="203" spans="2:92" x14ac:dyDescent="0.3">
      <c r="B203" s="9"/>
      <c r="C203" s="9"/>
      <c r="D203" s="37"/>
      <c r="E203" s="9"/>
      <c r="F203" s="9"/>
      <c r="G203" s="37"/>
      <c r="H203" s="9"/>
      <c r="I203" s="9"/>
      <c r="J203" s="37"/>
      <c r="K203" s="9"/>
      <c r="L203" s="9"/>
      <c r="M203" s="37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</row>
    <row r="204" spans="2:92" x14ac:dyDescent="0.3">
      <c r="B204" s="9"/>
      <c r="C204" s="9"/>
      <c r="D204" s="37"/>
      <c r="E204" s="9"/>
      <c r="F204" s="9"/>
      <c r="G204" s="37"/>
      <c r="H204" s="9"/>
      <c r="I204" s="9"/>
      <c r="J204" s="37"/>
      <c r="K204" s="9"/>
      <c r="L204" s="9"/>
      <c r="M204" s="37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</row>
    <row r="205" spans="2:92" x14ac:dyDescent="0.3">
      <c r="B205" s="9"/>
      <c r="C205" s="9"/>
      <c r="D205" s="37"/>
      <c r="E205" s="9"/>
      <c r="F205" s="9"/>
      <c r="G205" s="37"/>
      <c r="H205" s="9"/>
      <c r="I205" s="9"/>
      <c r="J205" s="37"/>
      <c r="K205" s="9"/>
      <c r="L205" s="9"/>
      <c r="M205" s="37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</row>
    <row r="206" spans="2:92" x14ac:dyDescent="0.3">
      <c r="B206" s="9"/>
      <c r="C206" s="9"/>
      <c r="D206" s="37"/>
      <c r="E206" s="9"/>
      <c r="F206" s="9"/>
      <c r="G206" s="37"/>
      <c r="H206" s="9"/>
      <c r="I206" s="9"/>
      <c r="J206" s="37"/>
      <c r="K206" s="9"/>
      <c r="L206" s="9"/>
      <c r="M206" s="37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</row>
    <row r="207" spans="2:92" x14ac:dyDescent="0.3">
      <c r="B207" s="9"/>
      <c r="C207" s="9"/>
      <c r="D207" s="37"/>
      <c r="E207" s="9"/>
      <c r="F207" s="9"/>
      <c r="G207" s="37"/>
      <c r="H207" s="9"/>
      <c r="I207" s="9"/>
      <c r="J207" s="37"/>
      <c r="K207" s="9"/>
      <c r="L207" s="9"/>
      <c r="M207" s="37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</row>
    <row r="208" spans="2:92" x14ac:dyDescent="0.3">
      <c r="B208" s="9"/>
      <c r="C208" s="9"/>
      <c r="D208" s="37"/>
      <c r="E208" s="9"/>
      <c r="F208" s="9"/>
      <c r="G208" s="37"/>
      <c r="H208" s="9"/>
      <c r="I208" s="9"/>
      <c r="J208" s="37"/>
      <c r="K208" s="9"/>
      <c r="L208" s="9"/>
      <c r="M208" s="37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</row>
    <row r="209" spans="2:92" x14ac:dyDescent="0.3">
      <c r="B209" s="9"/>
      <c r="C209" s="9"/>
      <c r="D209" s="37"/>
      <c r="E209" s="9"/>
      <c r="F209" s="9"/>
      <c r="G209" s="37"/>
      <c r="H209" s="9"/>
      <c r="I209" s="9"/>
      <c r="J209" s="37"/>
      <c r="K209" s="9"/>
      <c r="L209" s="9"/>
      <c r="M209" s="37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</row>
    <row r="210" spans="2:92" x14ac:dyDescent="0.3">
      <c r="B210" s="9"/>
      <c r="C210" s="9"/>
      <c r="D210" s="37"/>
      <c r="E210" s="9"/>
      <c r="F210" s="9"/>
      <c r="G210" s="37"/>
      <c r="H210" s="9"/>
      <c r="I210" s="9"/>
      <c r="J210" s="37"/>
      <c r="K210" s="9"/>
      <c r="L210" s="9"/>
      <c r="M210" s="37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</row>
    <row r="211" spans="2:92" x14ac:dyDescent="0.3">
      <c r="B211" s="9"/>
      <c r="C211" s="9"/>
      <c r="D211" s="37"/>
      <c r="E211" s="9"/>
      <c r="F211" s="9"/>
      <c r="G211" s="37"/>
      <c r="H211" s="9"/>
      <c r="I211" s="9"/>
      <c r="J211" s="37"/>
      <c r="K211" s="9"/>
      <c r="L211" s="9"/>
      <c r="M211" s="37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</row>
    <row r="212" spans="2:92" x14ac:dyDescent="0.3">
      <c r="B212" s="9"/>
      <c r="C212" s="9"/>
      <c r="D212" s="37"/>
      <c r="E212" s="9"/>
      <c r="F212" s="9"/>
      <c r="G212" s="37"/>
      <c r="H212" s="9"/>
      <c r="I212" s="9"/>
      <c r="J212" s="37"/>
      <c r="K212" s="9"/>
      <c r="L212" s="9"/>
      <c r="M212" s="37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</row>
    <row r="213" spans="2:92" x14ac:dyDescent="0.3">
      <c r="B213" s="9"/>
      <c r="C213" s="9"/>
      <c r="D213" s="37"/>
      <c r="E213" s="9"/>
      <c r="F213" s="9"/>
      <c r="G213" s="37"/>
      <c r="H213" s="9"/>
      <c r="I213" s="9"/>
      <c r="J213" s="37"/>
      <c r="K213" s="9"/>
      <c r="L213" s="9"/>
      <c r="M213" s="37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</row>
    <row r="214" spans="2:92" x14ac:dyDescent="0.3">
      <c r="B214" s="9"/>
      <c r="C214" s="9"/>
      <c r="D214" s="37"/>
      <c r="E214" s="9"/>
      <c r="F214" s="9"/>
      <c r="G214" s="37"/>
      <c r="H214" s="9"/>
      <c r="I214" s="9"/>
      <c r="J214" s="37"/>
      <c r="K214" s="9"/>
      <c r="L214" s="9"/>
      <c r="M214" s="37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</row>
    <row r="215" spans="2:92" x14ac:dyDescent="0.3">
      <c r="B215" s="9"/>
      <c r="C215" s="9"/>
      <c r="D215" s="37"/>
      <c r="E215" s="9"/>
      <c r="F215" s="9"/>
      <c r="G215" s="37"/>
      <c r="H215" s="9"/>
      <c r="I215" s="9"/>
      <c r="J215" s="37"/>
      <c r="K215" s="9"/>
      <c r="L215" s="9"/>
      <c r="M215" s="37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</row>
    <row r="216" spans="2:92" x14ac:dyDescent="0.3">
      <c r="B216" s="9"/>
      <c r="C216" s="9"/>
      <c r="D216" s="37"/>
      <c r="E216" s="9"/>
      <c r="F216" s="9"/>
      <c r="G216" s="37"/>
      <c r="H216" s="9"/>
      <c r="I216" s="9"/>
      <c r="J216" s="37"/>
      <c r="K216" s="9"/>
      <c r="L216" s="9"/>
      <c r="M216" s="37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</row>
    <row r="217" spans="2:92" x14ac:dyDescent="0.3">
      <c r="B217" s="9"/>
      <c r="C217" s="9"/>
      <c r="D217" s="37"/>
      <c r="E217" s="9"/>
      <c r="F217" s="9"/>
      <c r="G217" s="37"/>
      <c r="H217" s="9"/>
      <c r="I217" s="9"/>
      <c r="J217" s="37"/>
      <c r="K217" s="9"/>
      <c r="L217" s="9"/>
      <c r="M217" s="37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</row>
    <row r="218" spans="2:92" x14ac:dyDescent="0.3">
      <c r="B218" s="9"/>
      <c r="C218" s="9"/>
      <c r="D218" s="37"/>
      <c r="E218" s="9"/>
      <c r="F218" s="9"/>
      <c r="G218" s="37"/>
      <c r="H218" s="9"/>
      <c r="I218" s="9"/>
      <c r="J218" s="37"/>
      <c r="K218" s="9"/>
      <c r="L218" s="9"/>
      <c r="M218" s="37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</row>
    <row r="219" spans="2:92" x14ac:dyDescent="0.3">
      <c r="B219" s="9"/>
      <c r="C219" s="9"/>
      <c r="D219" s="37"/>
      <c r="E219" s="9"/>
      <c r="F219" s="9"/>
      <c r="G219" s="37"/>
      <c r="H219" s="9"/>
      <c r="I219" s="9"/>
      <c r="J219" s="37"/>
      <c r="K219" s="9"/>
      <c r="L219" s="9"/>
      <c r="M219" s="37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</row>
    <row r="220" spans="2:92" x14ac:dyDescent="0.3">
      <c r="B220" s="9"/>
      <c r="C220" s="9"/>
      <c r="D220" s="37"/>
      <c r="E220" s="9"/>
      <c r="F220" s="9"/>
      <c r="G220" s="37"/>
      <c r="H220" s="9"/>
      <c r="I220" s="9"/>
      <c r="J220" s="37"/>
      <c r="K220" s="9"/>
      <c r="L220" s="9"/>
      <c r="M220" s="37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</row>
    <row r="221" spans="2:92" x14ac:dyDescent="0.3">
      <c r="B221" s="9"/>
      <c r="C221" s="9"/>
      <c r="D221" s="37"/>
      <c r="E221" s="9"/>
      <c r="F221" s="9"/>
      <c r="G221" s="37"/>
      <c r="H221" s="9"/>
      <c r="I221" s="9"/>
      <c r="J221" s="37"/>
      <c r="K221" s="9"/>
      <c r="L221" s="9"/>
      <c r="M221" s="37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</row>
    <row r="222" spans="2:92" x14ac:dyDescent="0.3">
      <c r="B222" s="9"/>
      <c r="C222" s="9"/>
      <c r="D222" s="37"/>
      <c r="E222" s="9"/>
      <c r="F222" s="9"/>
      <c r="G222" s="37"/>
      <c r="H222" s="9"/>
      <c r="I222" s="9"/>
      <c r="J222" s="37"/>
      <c r="K222" s="9"/>
      <c r="L222" s="9"/>
      <c r="M222" s="37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</row>
    <row r="223" spans="2:92" x14ac:dyDescent="0.3">
      <c r="B223" s="9"/>
      <c r="C223" s="9"/>
      <c r="D223" s="37"/>
      <c r="E223" s="9"/>
      <c r="F223" s="9"/>
      <c r="G223" s="37"/>
      <c r="H223" s="9"/>
      <c r="I223" s="9"/>
      <c r="J223" s="37"/>
      <c r="K223" s="9"/>
      <c r="L223" s="9"/>
      <c r="M223" s="37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</row>
    <row r="224" spans="2:92" x14ac:dyDescent="0.3">
      <c r="B224" s="9"/>
      <c r="C224" s="9"/>
      <c r="D224" s="37"/>
      <c r="E224" s="9"/>
      <c r="F224" s="9"/>
      <c r="G224" s="37"/>
      <c r="H224" s="9"/>
      <c r="I224" s="9"/>
      <c r="J224" s="37"/>
      <c r="K224" s="9"/>
      <c r="L224" s="9"/>
      <c r="M224" s="37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</row>
    <row r="225" spans="2:92" x14ac:dyDescent="0.3">
      <c r="B225" s="9"/>
      <c r="C225" s="9"/>
      <c r="D225" s="37"/>
      <c r="E225" s="9"/>
      <c r="F225" s="9"/>
      <c r="G225" s="37"/>
      <c r="H225" s="9"/>
      <c r="I225" s="9"/>
      <c r="J225" s="37"/>
      <c r="K225" s="9"/>
      <c r="L225" s="9"/>
      <c r="M225" s="37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</row>
    <row r="226" spans="2:92" x14ac:dyDescent="0.3">
      <c r="B226" s="9"/>
      <c r="C226" s="9"/>
      <c r="D226" s="37"/>
      <c r="E226" s="9"/>
      <c r="F226" s="9"/>
      <c r="G226" s="37"/>
      <c r="H226" s="9"/>
      <c r="I226" s="9"/>
      <c r="J226" s="37"/>
      <c r="K226" s="9"/>
      <c r="L226" s="9"/>
      <c r="M226" s="37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</row>
    <row r="227" spans="2:92" x14ac:dyDescent="0.3">
      <c r="B227" s="9"/>
      <c r="C227" s="9"/>
      <c r="D227" s="37"/>
      <c r="E227" s="9"/>
      <c r="F227" s="9"/>
      <c r="G227" s="37"/>
      <c r="H227" s="9"/>
      <c r="I227" s="9"/>
      <c r="J227" s="37"/>
      <c r="K227" s="9"/>
      <c r="L227" s="9"/>
      <c r="M227" s="37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</row>
    <row r="228" spans="2:92" x14ac:dyDescent="0.3">
      <c r="B228" s="9"/>
      <c r="C228" s="9"/>
      <c r="D228" s="37"/>
      <c r="E228" s="9"/>
      <c r="F228" s="9"/>
      <c r="G228" s="37"/>
      <c r="H228" s="9"/>
      <c r="I228" s="9"/>
      <c r="J228" s="37"/>
      <c r="K228" s="9"/>
      <c r="L228" s="9"/>
      <c r="M228" s="37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</row>
    <row r="229" spans="2:92" x14ac:dyDescent="0.3">
      <c r="B229" s="9"/>
      <c r="C229" s="9"/>
      <c r="D229" s="37"/>
      <c r="E229" s="9"/>
      <c r="F229" s="9"/>
      <c r="G229" s="37"/>
      <c r="H229" s="9"/>
      <c r="I229" s="9"/>
      <c r="J229" s="37"/>
      <c r="K229" s="9"/>
      <c r="L229" s="9"/>
      <c r="M229" s="37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</row>
    <row r="230" spans="2:92" x14ac:dyDescent="0.3">
      <c r="B230" s="9"/>
      <c r="C230" s="9"/>
      <c r="D230" s="37"/>
      <c r="E230" s="9"/>
      <c r="F230" s="9"/>
      <c r="G230" s="37"/>
      <c r="H230" s="9"/>
      <c r="I230" s="9"/>
      <c r="J230" s="37"/>
      <c r="K230" s="9"/>
      <c r="L230" s="9"/>
      <c r="M230" s="37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</row>
    <row r="231" spans="2:92" x14ac:dyDescent="0.3">
      <c r="B231" s="9"/>
      <c r="C231" s="9"/>
      <c r="D231" s="37"/>
      <c r="E231" s="9"/>
      <c r="F231" s="9"/>
      <c r="G231" s="37"/>
      <c r="H231" s="9"/>
      <c r="I231" s="9"/>
      <c r="J231" s="37"/>
      <c r="K231" s="9"/>
      <c r="L231" s="9"/>
      <c r="M231" s="37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</row>
    <row r="232" spans="2:92" x14ac:dyDescent="0.3">
      <c r="B232" s="9"/>
      <c r="C232" s="9"/>
      <c r="D232" s="37"/>
      <c r="E232" s="9"/>
      <c r="F232" s="9"/>
      <c r="G232" s="37"/>
      <c r="H232" s="9"/>
      <c r="I232" s="9"/>
      <c r="J232" s="37"/>
      <c r="K232" s="9"/>
      <c r="L232" s="9"/>
      <c r="M232" s="37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</row>
    <row r="233" spans="2:92" x14ac:dyDescent="0.3">
      <c r="B233" s="9"/>
      <c r="C233" s="9"/>
      <c r="D233" s="37"/>
      <c r="E233" s="9"/>
      <c r="F233" s="9"/>
      <c r="G233" s="37"/>
      <c r="H233" s="9"/>
      <c r="I233" s="9"/>
      <c r="J233" s="37"/>
      <c r="K233" s="9"/>
      <c r="L233" s="9"/>
      <c r="M233" s="37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</row>
    <row r="234" spans="2:92" x14ac:dyDescent="0.3">
      <c r="B234" s="9"/>
      <c r="C234" s="9"/>
      <c r="D234" s="37"/>
      <c r="E234" s="9"/>
      <c r="F234" s="9"/>
      <c r="G234" s="37"/>
      <c r="H234" s="9"/>
      <c r="I234" s="9"/>
      <c r="J234" s="37"/>
      <c r="K234" s="9"/>
      <c r="L234" s="9"/>
      <c r="M234" s="37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</row>
    <row r="235" spans="2:92" x14ac:dyDescent="0.3">
      <c r="B235" s="9"/>
      <c r="C235" s="9"/>
      <c r="D235" s="37"/>
      <c r="E235" s="9"/>
      <c r="F235" s="9"/>
      <c r="G235" s="37"/>
      <c r="H235" s="9"/>
      <c r="I235" s="9"/>
      <c r="J235" s="37"/>
      <c r="K235" s="9"/>
      <c r="L235" s="9"/>
      <c r="M235" s="37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</row>
    <row r="236" spans="2:92" x14ac:dyDescent="0.3">
      <c r="B236" s="9"/>
      <c r="C236" s="9"/>
      <c r="D236" s="37"/>
      <c r="E236" s="9"/>
      <c r="F236" s="9"/>
      <c r="G236" s="37"/>
      <c r="H236" s="9"/>
      <c r="I236" s="9"/>
      <c r="J236" s="37"/>
      <c r="K236" s="9"/>
      <c r="L236" s="9"/>
      <c r="M236" s="37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</row>
    <row r="237" spans="2:92" x14ac:dyDescent="0.3">
      <c r="B237" s="9"/>
      <c r="C237" s="9"/>
      <c r="D237" s="37"/>
      <c r="E237" s="9"/>
      <c r="F237" s="9"/>
      <c r="G237" s="37"/>
      <c r="H237" s="9"/>
      <c r="I237" s="9"/>
      <c r="J237" s="37"/>
      <c r="K237" s="9"/>
      <c r="L237" s="9"/>
      <c r="M237" s="37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</row>
    <row r="238" spans="2:92" x14ac:dyDescent="0.3">
      <c r="B238" s="9"/>
      <c r="C238" s="9"/>
      <c r="D238" s="37"/>
      <c r="E238" s="9"/>
      <c r="F238" s="9"/>
      <c r="G238" s="37"/>
      <c r="H238" s="9"/>
      <c r="I238" s="9"/>
      <c r="J238" s="37"/>
      <c r="K238" s="9"/>
      <c r="L238" s="9"/>
      <c r="M238" s="37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</row>
    <row r="239" spans="2:92" x14ac:dyDescent="0.3">
      <c r="B239" s="9"/>
      <c r="C239" s="9"/>
      <c r="D239" s="37"/>
      <c r="E239" s="9"/>
      <c r="F239" s="9"/>
      <c r="G239" s="37"/>
      <c r="H239" s="9"/>
      <c r="I239" s="9"/>
      <c r="J239" s="37"/>
      <c r="K239" s="9"/>
      <c r="L239" s="9"/>
      <c r="M239" s="37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</row>
    <row r="240" spans="2:92" x14ac:dyDescent="0.3">
      <c r="B240" s="9"/>
      <c r="C240" s="9"/>
      <c r="D240" s="37"/>
      <c r="E240" s="9"/>
      <c r="F240" s="9"/>
      <c r="G240" s="37"/>
      <c r="H240" s="9"/>
      <c r="I240" s="9"/>
      <c r="J240" s="37"/>
      <c r="K240" s="9"/>
      <c r="L240" s="9"/>
      <c r="M240" s="37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</row>
    <row r="241" spans="2:92" x14ac:dyDescent="0.3">
      <c r="B241" s="9"/>
      <c r="C241" s="9"/>
      <c r="D241" s="37"/>
      <c r="E241" s="9"/>
      <c r="F241" s="9"/>
      <c r="G241" s="37"/>
      <c r="H241" s="9"/>
      <c r="I241" s="9"/>
      <c r="J241" s="37"/>
      <c r="K241" s="9"/>
      <c r="L241" s="9"/>
      <c r="M241" s="37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</row>
    <row r="242" spans="2:92" x14ac:dyDescent="0.3">
      <c r="B242" s="9"/>
      <c r="C242" s="9"/>
      <c r="D242" s="37"/>
      <c r="E242" s="9"/>
      <c r="F242" s="9"/>
      <c r="G242" s="37"/>
      <c r="H242" s="9"/>
      <c r="I242" s="9"/>
      <c r="J242" s="37"/>
      <c r="K242" s="9"/>
      <c r="L242" s="9"/>
      <c r="M242" s="37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</row>
    <row r="243" spans="2:92" x14ac:dyDescent="0.3">
      <c r="B243" s="9"/>
      <c r="C243" s="9"/>
      <c r="D243" s="37"/>
      <c r="E243" s="9"/>
      <c r="F243" s="9"/>
      <c r="G243" s="37"/>
      <c r="H243" s="9"/>
      <c r="I243" s="9"/>
      <c r="J243" s="37"/>
      <c r="K243" s="9"/>
      <c r="L243" s="9"/>
      <c r="M243" s="37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</row>
    <row r="244" spans="2:92" x14ac:dyDescent="0.3">
      <c r="B244" s="9"/>
      <c r="C244" s="9"/>
      <c r="D244" s="37"/>
      <c r="E244" s="9"/>
      <c r="F244" s="9"/>
      <c r="G244" s="37"/>
      <c r="H244" s="9"/>
      <c r="I244" s="9"/>
      <c r="J244" s="37"/>
      <c r="K244" s="9"/>
      <c r="L244" s="9"/>
      <c r="M244" s="37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</row>
    <row r="245" spans="2:92" x14ac:dyDescent="0.3">
      <c r="B245" s="9"/>
      <c r="C245" s="9"/>
      <c r="D245" s="37"/>
      <c r="E245" s="9"/>
      <c r="F245" s="9"/>
      <c r="G245" s="37"/>
      <c r="H245" s="9"/>
      <c r="I245" s="9"/>
      <c r="J245" s="37"/>
      <c r="K245" s="9"/>
      <c r="L245" s="9"/>
      <c r="M245" s="37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</row>
    <row r="246" spans="2:92" x14ac:dyDescent="0.3">
      <c r="B246" s="9"/>
      <c r="C246" s="9"/>
      <c r="D246" s="37"/>
      <c r="E246" s="9"/>
      <c r="F246" s="9"/>
      <c r="G246" s="37"/>
      <c r="H246" s="9"/>
      <c r="I246" s="9"/>
      <c r="J246" s="37"/>
      <c r="K246" s="9"/>
      <c r="L246" s="9"/>
      <c r="M246" s="37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</row>
    <row r="247" spans="2:92" x14ac:dyDescent="0.3">
      <c r="B247" s="9"/>
      <c r="C247" s="9"/>
      <c r="D247" s="37"/>
      <c r="E247" s="9"/>
      <c r="F247" s="9"/>
      <c r="G247" s="37"/>
      <c r="H247" s="9"/>
      <c r="I247" s="9"/>
      <c r="J247" s="37"/>
      <c r="K247" s="9"/>
      <c r="L247" s="9"/>
      <c r="M247" s="37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</row>
    <row r="248" spans="2:92" x14ac:dyDescent="0.3">
      <c r="B248" s="9"/>
      <c r="C248" s="9"/>
      <c r="D248" s="37"/>
      <c r="E248" s="9"/>
      <c r="F248" s="9"/>
      <c r="G248" s="37"/>
      <c r="H248" s="9"/>
      <c r="I248" s="9"/>
      <c r="J248" s="37"/>
      <c r="K248" s="9"/>
      <c r="L248" s="9"/>
      <c r="M248" s="37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</row>
    <row r="249" spans="2:92" x14ac:dyDescent="0.3">
      <c r="B249" s="9"/>
      <c r="C249" s="9"/>
      <c r="D249" s="37"/>
      <c r="E249" s="9"/>
      <c r="F249" s="9"/>
      <c r="G249" s="37"/>
      <c r="H249" s="9"/>
      <c r="I249" s="9"/>
      <c r="J249" s="37"/>
      <c r="K249" s="9"/>
      <c r="L249" s="9"/>
      <c r="M249" s="37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</row>
    <row r="250" spans="2:92" x14ac:dyDescent="0.3">
      <c r="B250" s="9"/>
      <c r="C250" s="9"/>
      <c r="D250" s="37"/>
      <c r="E250" s="9"/>
      <c r="F250" s="9"/>
      <c r="G250" s="37"/>
      <c r="H250" s="9"/>
      <c r="I250" s="9"/>
      <c r="J250" s="37"/>
      <c r="K250" s="9"/>
      <c r="L250" s="9"/>
      <c r="M250" s="37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</row>
    <row r="251" spans="2:92" x14ac:dyDescent="0.3">
      <c r="B251" s="9"/>
      <c r="C251" s="9"/>
      <c r="D251" s="37"/>
      <c r="E251" s="9"/>
      <c r="F251" s="9"/>
      <c r="G251" s="37"/>
      <c r="H251" s="9"/>
      <c r="I251" s="9"/>
      <c r="J251" s="37"/>
      <c r="K251" s="9"/>
      <c r="L251" s="9"/>
      <c r="M251" s="37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</row>
    <row r="252" spans="2:92" x14ac:dyDescent="0.3">
      <c r="B252" s="9"/>
      <c r="C252" s="9"/>
      <c r="D252" s="37"/>
      <c r="E252" s="9"/>
      <c r="F252" s="9"/>
      <c r="G252" s="37"/>
      <c r="H252" s="9"/>
      <c r="I252" s="9"/>
      <c r="J252" s="37"/>
      <c r="K252" s="9"/>
      <c r="L252" s="9"/>
      <c r="M252" s="37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</row>
    <row r="253" spans="2:92" x14ac:dyDescent="0.3">
      <c r="B253" s="9"/>
      <c r="C253" s="9"/>
      <c r="D253" s="37"/>
      <c r="E253" s="9"/>
      <c r="F253" s="9"/>
      <c r="G253" s="37"/>
      <c r="H253" s="9"/>
      <c r="I253" s="9"/>
      <c r="J253" s="37"/>
      <c r="K253" s="9"/>
      <c r="L253" s="9"/>
      <c r="M253" s="37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</row>
    <row r="254" spans="2:92" x14ac:dyDescent="0.3">
      <c r="B254" s="9"/>
      <c r="C254" s="9"/>
      <c r="D254" s="37"/>
      <c r="E254" s="9"/>
      <c r="F254" s="9"/>
      <c r="G254" s="37"/>
      <c r="H254" s="9"/>
      <c r="I254" s="9"/>
      <c r="J254" s="37"/>
      <c r="K254" s="9"/>
      <c r="L254" s="9"/>
      <c r="M254" s="37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</row>
    <row r="255" spans="2:92" x14ac:dyDescent="0.3">
      <c r="B255" s="9"/>
      <c r="C255" s="9"/>
      <c r="D255" s="37"/>
      <c r="E255" s="9"/>
      <c r="F255" s="9"/>
      <c r="G255" s="37"/>
      <c r="H255" s="9"/>
      <c r="I255" s="9"/>
      <c r="J255" s="37"/>
      <c r="K255" s="9"/>
      <c r="L255" s="9"/>
      <c r="M255" s="37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</row>
    <row r="256" spans="2:92" x14ac:dyDescent="0.3">
      <c r="B256" s="9"/>
      <c r="C256" s="9"/>
      <c r="D256" s="37"/>
      <c r="E256" s="9"/>
      <c r="F256" s="9"/>
      <c r="G256" s="37"/>
      <c r="H256" s="9"/>
      <c r="I256" s="9"/>
      <c r="J256" s="37"/>
      <c r="K256" s="9"/>
      <c r="L256" s="9"/>
      <c r="M256" s="37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</row>
    <row r="257" spans="2:92" x14ac:dyDescent="0.3">
      <c r="B257" s="9"/>
      <c r="C257" s="9"/>
      <c r="D257" s="37"/>
      <c r="E257" s="9"/>
      <c r="F257" s="9"/>
      <c r="G257" s="37"/>
      <c r="H257" s="9"/>
      <c r="I257" s="9"/>
      <c r="J257" s="37"/>
      <c r="K257" s="9"/>
      <c r="L257" s="9"/>
      <c r="M257" s="37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</row>
    <row r="258" spans="2:92" x14ac:dyDescent="0.3">
      <c r="B258" s="9"/>
      <c r="C258" s="9"/>
      <c r="D258" s="37"/>
      <c r="E258" s="9"/>
      <c r="F258" s="9"/>
      <c r="G258" s="37"/>
      <c r="H258" s="9"/>
      <c r="I258" s="9"/>
      <c r="J258" s="37"/>
      <c r="K258" s="9"/>
      <c r="L258" s="9"/>
      <c r="M258" s="37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</row>
    <row r="259" spans="2:92" x14ac:dyDescent="0.3">
      <c r="B259" s="9"/>
      <c r="C259" s="9"/>
      <c r="D259" s="37"/>
      <c r="E259" s="9"/>
      <c r="F259" s="9"/>
      <c r="G259" s="37"/>
      <c r="H259" s="9"/>
      <c r="I259" s="9"/>
      <c r="J259" s="37"/>
      <c r="K259" s="9"/>
      <c r="L259" s="9"/>
      <c r="M259" s="37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</row>
    <row r="260" spans="2:92" x14ac:dyDescent="0.3">
      <c r="B260" s="9"/>
      <c r="C260" s="9"/>
      <c r="D260" s="37"/>
      <c r="E260" s="9"/>
      <c r="F260" s="9"/>
      <c r="G260" s="37"/>
      <c r="H260" s="9"/>
      <c r="I260" s="9"/>
      <c r="J260" s="37"/>
      <c r="K260" s="9"/>
      <c r="L260" s="9"/>
      <c r="M260" s="37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</row>
    <row r="261" spans="2:92" x14ac:dyDescent="0.3">
      <c r="B261" s="9"/>
      <c r="C261" s="9"/>
      <c r="D261" s="37"/>
      <c r="E261" s="9"/>
      <c r="F261" s="9"/>
      <c r="G261" s="37"/>
      <c r="H261" s="9"/>
      <c r="I261" s="9"/>
      <c r="J261" s="37"/>
      <c r="K261" s="9"/>
      <c r="L261" s="9"/>
      <c r="M261" s="37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</row>
    <row r="262" spans="2:92" x14ac:dyDescent="0.3">
      <c r="B262" s="9"/>
      <c r="C262" s="9"/>
      <c r="D262" s="37"/>
      <c r="E262" s="9"/>
      <c r="F262" s="9"/>
      <c r="G262" s="37"/>
      <c r="H262" s="9"/>
      <c r="I262" s="9"/>
      <c r="J262" s="37"/>
      <c r="K262" s="9"/>
      <c r="L262" s="9"/>
      <c r="M262" s="37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</row>
    <row r="263" spans="2:92" x14ac:dyDescent="0.3">
      <c r="B263" s="9"/>
      <c r="C263" s="9"/>
      <c r="D263" s="37"/>
      <c r="E263" s="9"/>
      <c r="F263" s="9"/>
      <c r="G263" s="37"/>
      <c r="H263" s="9"/>
      <c r="I263" s="9"/>
      <c r="J263" s="37"/>
      <c r="K263" s="9"/>
      <c r="L263" s="9"/>
      <c r="M263" s="37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</row>
    <row r="264" spans="2:92" x14ac:dyDescent="0.3">
      <c r="B264" s="9"/>
      <c r="C264" s="9"/>
      <c r="D264" s="37"/>
      <c r="E264" s="9"/>
      <c r="F264" s="9"/>
      <c r="G264" s="37"/>
      <c r="H264" s="9"/>
      <c r="I264" s="9"/>
      <c r="J264" s="37"/>
      <c r="K264" s="9"/>
      <c r="L264" s="9"/>
      <c r="M264" s="37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</row>
    <row r="265" spans="2:92" x14ac:dyDescent="0.3">
      <c r="B265" s="9"/>
      <c r="C265" s="9"/>
      <c r="D265" s="37"/>
      <c r="E265" s="9"/>
      <c r="F265" s="9"/>
      <c r="G265" s="37"/>
      <c r="H265" s="9"/>
      <c r="I265" s="9"/>
      <c r="J265" s="37"/>
      <c r="K265" s="9"/>
      <c r="L265" s="9"/>
      <c r="M265" s="37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</row>
    <row r="266" spans="2:92" x14ac:dyDescent="0.3">
      <c r="B266" s="9"/>
      <c r="C266" s="9"/>
      <c r="D266" s="37"/>
      <c r="E266" s="9"/>
      <c r="F266" s="9"/>
      <c r="G266" s="37"/>
      <c r="H266" s="9"/>
      <c r="I266" s="9"/>
      <c r="J266" s="37"/>
      <c r="K266" s="9"/>
      <c r="L266" s="9"/>
      <c r="M266" s="37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</row>
    <row r="267" spans="2:92" x14ac:dyDescent="0.3">
      <c r="B267" s="9"/>
      <c r="C267" s="9"/>
      <c r="D267" s="37"/>
      <c r="E267" s="9"/>
      <c r="F267" s="9"/>
      <c r="G267" s="37"/>
      <c r="H267" s="9"/>
      <c r="I267" s="9"/>
      <c r="J267" s="37"/>
      <c r="K267" s="9"/>
      <c r="L267" s="9"/>
      <c r="M267" s="37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</row>
    <row r="268" spans="2:92" x14ac:dyDescent="0.3">
      <c r="B268" s="9"/>
      <c r="C268" s="9"/>
      <c r="D268" s="37"/>
      <c r="E268" s="9"/>
      <c r="F268" s="9"/>
      <c r="G268" s="37"/>
      <c r="H268" s="9"/>
      <c r="I268" s="9"/>
      <c r="J268" s="37"/>
      <c r="K268" s="9"/>
      <c r="L268" s="9"/>
      <c r="M268" s="37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</row>
    <row r="269" spans="2:92" x14ac:dyDescent="0.3">
      <c r="B269" s="9"/>
      <c r="C269" s="9"/>
      <c r="D269" s="37"/>
      <c r="E269" s="9"/>
      <c r="F269" s="9"/>
      <c r="G269" s="37"/>
      <c r="H269" s="9"/>
      <c r="I269" s="9"/>
      <c r="J269" s="37"/>
      <c r="K269" s="9"/>
      <c r="L269" s="9"/>
      <c r="M269" s="37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</row>
    <row r="270" spans="2:92" x14ac:dyDescent="0.3">
      <c r="B270" s="9"/>
      <c r="C270" s="9"/>
      <c r="D270" s="37"/>
      <c r="E270" s="9"/>
      <c r="F270" s="9"/>
      <c r="G270" s="37"/>
      <c r="H270" s="9"/>
      <c r="I270" s="9"/>
      <c r="J270" s="37"/>
      <c r="K270" s="9"/>
      <c r="L270" s="9"/>
      <c r="M270" s="37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</row>
    <row r="271" spans="2:92" x14ac:dyDescent="0.3">
      <c r="B271" s="9"/>
      <c r="C271" s="9"/>
      <c r="D271" s="37"/>
      <c r="E271" s="9"/>
      <c r="F271" s="9"/>
      <c r="G271" s="37"/>
      <c r="H271" s="9"/>
      <c r="I271" s="9"/>
      <c r="J271" s="37"/>
      <c r="K271" s="9"/>
      <c r="L271" s="9"/>
      <c r="M271" s="37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</row>
    <row r="272" spans="2:92" x14ac:dyDescent="0.3">
      <c r="B272" s="9"/>
      <c r="C272" s="9"/>
      <c r="D272" s="37"/>
      <c r="E272" s="9"/>
      <c r="F272" s="9"/>
      <c r="G272" s="37"/>
      <c r="H272" s="9"/>
      <c r="I272" s="9"/>
      <c r="J272" s="37"/>
      <c r="K272" s="9"/>
      <c r="L272" s="9"/>
      <c r="M272" s="37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</row>
    <row r="273" spans="2:92" x14ac:dyDescent="0.3">
      <c r="B273" s="9"/>
      <c r="C273" s="9"/>
      <c r="D273" s="37"/>
      <c r="E273" s="9"/>
      <c r="F273" s="9"/>
      <c r="G273" s="37"/>
      <c r="H273" s="9"/>
      <c r="I273" s="9"/>
      <c r="J273" s="37"/>
      <c r="K273" s="9"/>
      <c r="L273" s="9"/>
      <c r="M273" s="37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</row>
    <row r="274" spans="2:92" x14ac:dyDescent="0.3">
      <c r="B274" s="9"/>
      <c r="C274" s="9"/>
      <c r="D274" s="37"/>
      <c r="E274" s="9"/>
      <c r="F274" s="9"/>
      <c r="G274" s="37"/>
      <c r="H274" s="9"/>
      <c r="I274" s="9"/>
      <c r="J274" s="37"/>
      <c r="K274" s="9"/>
      <c r="L274" s="9"/>
      <c r="M274" s="37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</row>
    <row r="275" spans="2:92" x14ac:dyDescent="0.3">
      <c r="B275" s="9"/>
      <c r="C275" s="9"/>
      <c r="D275" s="37"/>
      <c r="E275" s="9"/>
      <c r="F275" s="9"/>
      <c r="G275" s="37"/>
      <c r="H275" s="9"/>
      <c r="I275" s="9"/>
      <c r="J275" s="37"/>
      <c r="K275" s="9"/>
      <c r="L275" s="9"/>
      <c r="M275" s="37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</row>
    <row r="276" spans="2:92" x14ac:dyDescent="0.3">
      <c r="B276" s="9"/>
      <c r="C276" s="9"/>
      <c r="D276" s="37"/>
      <c r="E276" s="9"/>
      <c r="F276" s="9"/>
      <c r="G276" s="37"/>
      <c r="H276" s="9"/>
      <c r="I276" s="9"/>
      <c r="J276" s="37"/>
      <c r="K276" s="9"/>
      <c r="L276" s="9"/>
      <c r="M276" s="37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</row>
    <row r="277" spans="2:92" x14ac:dyDescent="0.3">
      <c r="B277" s="9"/>
      <c r="C277" s="9"/>
      <c r="D277" s="37"/>
      <c r="E277" s="9"/>
      <c r="F277" s="9"/>
      <c r="G277" s="37"/>
      <c r="H277" s="9"/>
      <c r="I277" s="9"/>
      <c r="J277" s="37"/>
      <c r="K277" s="9"/>
      <c r="L277" s="9"/>
      <c r="M277" s="37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</row>
    <row r="278" spans="2:92" x14ac:dyDescent="0.3">
      <c r="B278" s="9"/>
      <c r="C278" s="9"/>
      <c r="D278" s="37"/>
      <c r="E278" s="9"/>
      <c r="F278" s="9"/>
      <c r="G278" s="37"/>
      <c r="H278" s="9"/>
      <c r="I278" s="9"/>
      <c r="J278" s="37"/>
      <c r="K278" s="9"/>
      <c r="L278" s="9"/>
      <c r="M278" s="37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</row>
    <row r="279" spans="2:92" x14ac:dyDescent="0.3">
      <c r="B279" s="9"/>
      <c r="C279" s="9"/>
      <c r="D279" s="37"/>
      <c r="E279" s="9"/>
      <c r="F279" s="9"/>
      <c r="G279" s="37"/>
      <c r="H279" s="9"/>
      <c r="I279" s="9"/>
      <c r="J279" s="37"/>
      <c r="K279" s="9"/>
      <c r="L279" s="9"/>
      <c r="M279" s="37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</row>
    <row r="280" spans="2:92" x14ac:dyDescent="0.3">
      <c r="B280" s="9"/>
      <c r="C280" s="9"/>
      <c r="D280" s="37"/>
      <c r="E280" s="9"/>
      <c r="F280" s="9"/>
      <c r="G280" s="37"/>
      <c r="H280" s="9"/>
      <c r="I280" s="9"/>
      <c r="J280" s="37"/>
      <c r="K280" s="9"/>
      <c r="L280" s="9"/>
      <c r="M280" s="37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</row>
    <row r="281" spans="2:92" x14ac:dyDescent="0.3">
      <c r="B281" s="9"/>
      <c r="C281" s="9"/>
      <c r="D281" s="37"/>
      <c r="E281" s="9"/>
      <c r="F281" s="9"/>
      <c r="G281" s="37"/>
      <c r="H281" s="9"/>
      <c r="I281" s="9"/>
      <c r="J281" s="37"/>
      <c r="K281" s="9"/>
      <c r="L281" s="9"/>
      <c r="M281" s="37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</row>
    <row r="282" spans="2:92" x14ac:dyDescent="0.3">
      <c r="B282" s="9"/>
      <c r="C282" s="9"/>
      <c r="D282" s="37"/>
      <c r="E282" s="9"/>
      <c r="F282" s="9"/>
      <c r="G282" s="37"/>
      <c r="H282" s="9"/>
      <c r="I282" s="9"/>
      <c r="J282" s="37"/>
      <c r="K282" s="9"/>
      <c r="L282" s="9"/>
      <c r="M282" s="37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</row>
    <row r="283" spans="2:92" x14ac:dyDescent="0.3">
      <c r="B283" s="9"/>
      <c r="C283" s="9"/>
      <c r="D283" s="37"/>
      <c r="E283" s="9"/>
      <c r="F283" s="9"/>
      <c r="G283" s="37"/>
      <c r="H283" s="9"/>
      <c r="I283" s="9"/>
      <c r="J283" s="37"/>
      <c r="K283" s="9"/>
      <c r="L283" s="9"/>
      <c r="M283" s="37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</row>
    <row r="284" spans="2:92" x14ac:dyDescent="0.3">
      <c r="B284" s="9"/>
      <c r="C284" s="9"/>
      <c r="D284" s="37"/>
      <c r="E284" s="9"/>
      <c r="F284" s="9"/>
      <c r="G284" s="37"/>
      <c r="H284" s="9"/>
      <c r="I284" s="9"/>
      <c r="J284" s="37"/>
      <c r="K284" s="9"/>
      <c r="L284" s="9"/>
      <c r="M284" s="37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</row>
    <row r="285" spans="2:92" x14ac:dyDescent="0.3">
      <c r="B285" s="9"/>
      <c r="C285" s="9"/>
      <c r="D285" s="37"/>
      <c r="E285" s="9"/>
      <c r="F285" s="9"/>
      <c r="G285" s="37"/>
      <c r="H285" s="9"/>
      <c r="I285" s="9"/>
      <c r="J285" s="37"/>
      <c r="K285" s="9"/>
      <c r="L285" s="9"/>
      <c r="M285" s="37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</row>
    <row r="286" spans="2:92" x14ac:dyDescent="0.3">
      <c r="B286" s="9"/>
      <c r="C286" s="9"/>
      <c r="D286" s="37"/>
      <c r="E286" s="9"/>
      <c r="F286" s="9"/>
      <c r="G286" s="37"/>
      <c r="H286" s="9"/>
      <c r="I286" s="9"/>
      <c r="J286" s="37"/>
      <c r="K286" s="9"/>
      <c r="L286" s="9"/>
      <c r="M286" s="37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</row>
    <row r="287" spans="2:92" x14ac:dyDescent="0.3">
      <c r="B287" s="9"/>
      <c r="C287" s="9"/>
      <c r="D287" s="37"/>
      <c r="E287" s="9"/>
      <c r="F287" s="9"/>
      <c r="G287" s="37"/>
      <c r="H287" s="9"/>
      <c r="I287" s="9"/>
      <c r="J287" s="37"/>
      <c r="K287" s="9"/>
      <c r="L287" s="9"/>
      <c r="M287" s="37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</row>
    <row r="288" spans="2:92" x14ac:dyDescent="0.3">
      <c r="B288" s="9"/>
      <c r="C288" s="9"/>
      <c r="D288" s="37"/>
      <c r="E288" s="9"/>
      <c r="F288" s="9"/>
      <c r="G288" s="37"/>
      <c r="H288" s="9"/>
      <c r="I288" s="9"/>
      <c r="J288" s="37"/>
      <c r="K288" s="9"/>
      <c r="L288" s="9"/>
      <c r="M288" s="37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</row>
    <row r="289" spans="2:92" x14ac:dyDescent="0.3">
      <c r="B289" s="9"/>
      <c r="C289" s="9"/>
      <c r="D289" s="37"/>
      <c r="E289" s="9"/>
      <c r="F289" s="9"/>
      <c r="G289" s="37"/>
      <c r="H289" s="9"/>
      <c r="I289" s="9"/>
      <c r="J289" s="37"/>
      <c r="K289" s="9"/>
      <c r="L289" s="9"/>
      <c r="M289" s="37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</row>
    <row r="290" spans="2:92" x14ac:dyDescent="0.3">
      <c r="B290" s="9"/>
      <c r="C290" s="9"/>
      <c r="D290" s="37"/>
      <c r="E290" s="9"/>
      <c r="F290" s="9"/>
      <c r="G290" s="37"/>
      <c r="H290" s="9"/>
      <c r="I290" s="9"/>
      <c r="J290" s="37"/>
      <c r="K290" s="9"/>
      <c r="L290" s="9"/>
      <c r="M290" s="37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</row>
    <row r="291" spans="2:92" x14ac:dyDescent="0.3">
      <c r="B291" s="9"/>
      <c r="C291" s="9"/>
      <c r="D291" s="37"/>
      <c r="E291" s="9"/>
      <c r="F291" s="9"/>
      <c r="G291" s="37"/>
      <c r="H291" s="9"/>
      <c r="I291" s="9"/>
      <c r="J291" s="37"/>
      <c r="K291" s="9"/>
      <c r="L291" s="9"/>
      <c r="M291" s="37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</row>
    <row r="292" spans="2:92" x14ac:dyDescent="0.3">
      <c r="B292" s="9"/>
      <c r="C292" s="9"/>
      <c r="D292" s="37"/>
      <c r="E292" s="9"/>
      <c r="F292" s="9"/>
      <c r="G292" s="37"/>
      <c r="H292" s="9"/>
      <c r="I292" s="9"/>
      <c r="J292" s="37"/>
      <c r="K292" s="9"/>
      <c r="L292" s="9"/>
      <c r="M292" s="37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</row>
    <row r="293" spans="2:92" x14ac:dyDescent="0.3">
      <c r="B293" s="9"/>
      <c r="C293" s="9"/>
      <c r="D293" s="37"/>
      <c r="E293" s="9"/>
      <c r="F293" s="9"/>
      <c r="G293" s="37"/>
      <c r="H293" s="9"/>
      <c r="I293" s="9"/>
      <c r="J293" s="37"/>
      <c r="K293" s="9"/>
      <c r="L293" s="9"/>
      <c r="M293" s="37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</row>
    <row r="294" spans="2:92" x14ac:dyDescent="0.3">
      <c r="B294" s="9"/>
      <c r="C294" s="9"/>
      <c r="D294" s="37"/>
      <c r="E294" s="9"/>
      <c r="F294" s="9"/>
      <c r="G294" s="37"/>
      <c r="H294" s="9"/>
      <c r="I294" s="9"/>
      <c r="J294" s="37"/>
      <c r="K294" s="9"/>
      <c r="L294" s="9"/>
      <c r="M294" s="37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</row>
    <row r="295" spans="2:92" x14ac:dyDescent="0.3">
      <c r="B295" s="9"/>
      <c r="C295" s="9"/>
      <c r="D295" s="37"/>
      <c r="E295" s="9"/>
      <c r="F295" s="9"/>
      <c r="G295" s="37"/>
      <c r="H295" s="9"/>
      <c r="I295" s="9"/>
      <c r="J295" s="37"/>
      <c r="K295" s="9"/>
      <c r="L295" s="9"/>
      <c r="M295" s="37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</row>
    <row r="296" spans="2:92" x14ac:dyDescent="0.3">
      <c r="B296" s="9"/>
      <c r="C296" s="9"/>
      <c r="D296" s="37"/>
      <c r="E296" s="9"/>
      <c r="F296" s="9"/>
      <c r="G296" s="37"/>
      <c r="H296" s="9"/>
      <c r="I296" s="9"/>
      <c r="J296" s="37"/>
      <c r="K296" s="9"/>
      <c r="L296" s="9"/>
      <c r="M296" s="37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</row>
    <row r="297" spans="2:92" x14ac:dyDescent="0.3">
      <c r="B297" s="9"/>
      <c r="C297" s="9"/>
      <c r="D297" s="37"/>
      <c r="E297" s="9"/>
      <c r="F297" s="9"/>
      <c r="G297" s="37"/>
      <c r="H297" s="9"/>
      <c r="I297" s="9"/>
      <c r="J297" s="37"/>
      <c r="K297" s="9"/>
      <c r="L297" s="9"/>
      <c r="M297" s="37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</row>
    <row r="298" spans="2:92" x14ac:dyDescent="0.3">
      <c r="B298" s="9"/>
      <c r="C298" s="9"/>
      <c r="D298" s="37"/>
      <c r="E298" s="9"/>
      <c r="F298" s="9"/>
      <c r="G298" s="37"/>
      <c r="H298" s="9"/>
      <c r="I298" s="9"/>
      <c r="J298" s="37"/>
      <c r="K298" s="9"/>
      <c r="L298" s="9"/>
      <c r="M298" s="37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</row>
    <row r="299" spans="2:92" x14ac:dyDescent="0.3">
      <c r="B299" s="9"/>
      <c r="C299" s="9"/>
      <c r="D299" s="37"/>
      <c r="E299" s="9"/>
      <c r="F299" s="9"/>
      <c r="G299" s="37"/>
      <c r="H299" s="9"/>
      <c r="I299" s="9"/>
      <c r="J299" s="37"/>
      <c r="K299" s="9"/>
      <c r="L299" s="9"/>
      <c r="M299" s="37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</row>
    <row r="300" spans="2:92" x14ac:dyDescent="0.3">
      <c r="B300" s="9"/>
      <c r="C300" s="9"/>
      <c r="D300" s="37"/>
      <c r="E300" s="9"/>
      <c r="F300" s="9"/>
      <c r="G300" s="37"/>
      <c r="H300" s="9"/>
      <c r="I300" s="9"/>
      <c r="J300" s="37"/>
      <c r="K300" s="9"/>
      <c r="L300" s="9"/>
      <c r="M300" s="37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</row>
    <row r="301" spans="2:92" x14ac:dyDescent="0.3">
      <c r="B301" s="9"/>
      <c r="C301" s="9"/>
      <c r="D301" s="37"/>
      <c r="E301" s="9"/>
      <c r="F301" s="9"/>
      <c r="G301" s="37"/>
      <c r="H301" s="9"/>
      <c r="I301" s="9"/>
      <c r="J301" s="37"/>
      <c r="K301" s="9"/>
      <c r="L301" s="9"/>
      <c r="M301" s="37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</row>
    <row r="302" spans="2:92" x14ac:dyDescent="0.3">
      <c r="B302" s="9"/>
      <c r="C302" s="9"/>
      <c r="D302" s="37"/>
      <c r="E302" s="9"/>
      <c r="F302" s="9"/>
      <c r="G302" s="37"/>
      <c r="H302" s="9"/>
      <c r="I302" s="9"/>
      <c r="J302" s="37"/>
      <c r="K302" s="9"/>
      <c r="L302" s="9"/>
      <c r="M302" s="37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</row>
    <row r="303" spans="2:92" x14ac:dyDescent="0.3">
      <c r="B303" s="9"/>
      <c r="C303" s="9"/>
      <c r="D303" s="37"/>
      <c r="E303" s="9"/>
      <c r="F303" s="9"/>
      <c r="G303" s="37"/>
      <c r="H303" s="9"/>
      <c r="I303" s="9"/>
      <c r="J303" s="37"/>
      <c r="K303" s="9"/>
      <c r="L303" s="9"/>
      <c r="M303" s="37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</row>
    <row r="304" spans="2:92" x14ac:dyDescent="0.3">
      <c r="B304" s="9"/>
      <c r="C304" s="9"/>
      <c r="D304" s="37"/>
      <c r="E304" s="9"/>
      <c r="F304" s="9"/>
      <c r="G304" s="37"/>
      <c r="H304" s="9"/>
      <c r="I304" s="9"/>
      <c r="J304" s="37"/>
      <c r="K304" s="9"/>
      <c r="L304" s="9"/>
      <c r="M304" s="37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</row>
    <row r="305" spans="2:92" x14ac:dyDescent="0.3">
      <c r="B305" s="9"/>
      <c r="C305" s="9"/>
      <c r="D305" s="37"/>
      <c r="E305" s="9"/>
      <c r="F305" s="9"/>
      <c r="G305" s="37"/>
      <c r="H305" s="9"/>
      <c r="I305" s="9"/>
      <c r="J305" s="37"/>
      <c r="K305" s="9"/>
      <c r="L305" s="9"/>
      <c r="M305" s="37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</row>
    <row r="306" spans="2:92" x14ac:dyDescent="0.3">
      <c r="B306" s="9"/>
      <c r="C306" s="9"/>
      <c r="D306" s="37"/>
      <c r="E306" s="9"/>
      <c r="F306" s="9"/>
      <c r="G306" s="37"/>
      <c r="H306" s="9"/>
      <c r="I306" s="9"/>
      <c r="J306" s="37"/>
      <c r="K306" s="9"/>
      <c r="L306" s="9"/>
      <c r="M306" s="37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</row>
    <row r="307" spans="2:92" x14ac:dyDescent="0.3">
      <c r="B307" s="9"/>
      <c r="C307" s="9"/>
      <c r="D307" s="37"/>
      <c r="E307" s="9"/>
      <c r="F307" s="9"/>
      <c r="G307" s="37"/>
      <c r="H307" s="9"/>
      <c r="I307" s="9"/>
      <c r="J307" s="37"/>
      <c r="K307" s="9"/>
      <c r="L307" s="9"/>
      <c r="M307" s="37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</row>
    <row r="308" spans="2:92" x14ac:dyDescent="0.3">
      <c r="B308" s="9"/>
      <c r="C308" s="9"/>
      <c r="D308" s="37"/>
      <c r="E308" s="9"/>
      <c r="F308" s="9"/>
      <c r="G308" s="37"/>
      <c r="H308" s="9"/>
      <c r="I308" s="9"/>
      <c r="J308" s="37"/>
      <c r="K308" s="9"/>
      <c r="L308" s="9"/>
      <c r="M308" s="37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</row>
    <row r="309" spans="2:92" x14ac:dyDescent="0.3">
      <c r="B309" s="9"/>
      <c r="C309" s="9"/>
      <c r="D309" s="37"/>
      <c r="E309" s="9"/>
      <c r="F309" s="9"/>
      <c r="G309" s="37"/>
      <c r="H309" s="9"/>
      <c r="I309" s="9"/>
      <c r="J309" s="37"/>
      <c r="K309" s="9"/>
      <c r="L309" s="9"/>
      <c r="M309" s="37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</row>
    <row r="310" spans="2:92" x14ac:dyDescent="0.3">
      <c r="B310" s="9"/>
      <c r="C310" s="9"/>
      <c r="D310" s="37"/>
      <c r="E310" s="9"/>
      <c r="F310" s="9"/>
      <c r="G310" s="37"/>
      <c r="H310" s="9"/>
      <c r="I310" s="9"/>
      <c r="J310" s="37"/>
      <c r="K310" s="9"/>
      <c r="L310" s="9"/>
      <c r="M310" s="37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</row>
    <row r="311" spans="2:92" x14ac:dyDescent="0.3">
      <c r="B311" s="9"/>
      <c r="C311" s="9"/>
      <c r="D311" s="37"/>
      <c r="E311" s="9"/>
      <c r="F311" s="9"/>
      <c r="G311" s="37"/>
      <c r="H311" s="9"/>
      <c r="I311" s="9"/>
      <c r="J311" s="37"/>
      <c r="K311" s="9"/>
      <c r="L311" s="9"/>
      <c r="M311" s="37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</row>
    <row r="312" spans="2:92" x14ac:dyDescent="0.3">
      <c r="B312" s="9"/>
      <c r="C312" s="9"/>
      <c r="D312" s="37"/>
      <c r="E312" s="9"/>
      <c r="F312" s="9"/>
      <c r="G312" s="37"/>
      <c r="H312" s="9"/>
      <c r="I312" s="9"/>
      <c r="J312" s="37"/>
      <c r="K312" s="9"/>
      <c r="L312" s="9"/>
      <c r="M312" s="37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</row>
    <row r="313" spans="2:92" x14ac:dyDescent="0.3">
      <c r="B313" s="9"/>
      <c r="C313" s="9"/>
      <c r="D313" s="37"/>
      <c r="E313" s="9"/>
      <c r="F313" s="9"/>
      <c r="G313" s="37"/>
      <c r="H313" s="9"/>
      <c r="I313" s="9"/>
      <c r="J313" s="37"/>
      <c r="K313" s="9"/>
      <c r="L313" s="9"/>
      <c r="M313" s="37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</row>
    <row r="314" spans="2:92" x14ac:dyDescent="0.3">
      <c r="B314" s="9"/>
      <c r="C314" s="9"/>
      <c r="D314" s="37"/>
      <c r="E314" s="9"/>
      <c r="F314" s="9"/>
      <c r="G314" s="37"/>
      <c r="H314" s="9"/>
      <c r="I314" s="9"/>
      <c r="J314" s="37"/>
      <c r="K314" s="9"/>
      <c r="L314" s="9"/>
      <c r="M314" s="37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</row>
    <row r="315" spans="2:92" x14ac:dyDescent="0.3">
      <c r="B315" s="9"/>
      <c r="C315" s="9"/>
      <c r="D315" s="37"/>
      <c r="E315" s="9"/>
      <c r="F315" s="9"/>
      <c r="G315" s="37"/>
      <c r="H315" s="9"/>
      <c r="I315" s="9"/>
      <c r="J315" s="37"/>
      <c r="K315" s="9"/>
      <c r="L315" s="9"/>
      <c r="M315" s="37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</row>
    <row r="316" spans="2:92" x14ac:dyDescent="0.3">
      <c r="B316" s="9"/>
      <c r="C316" s="9"/>
      <c r="D316" s="37"/>
      <c r="E316" s="9"/>
      <c r="F316" s="9"/>
      <c r="G316" s="37"/>
      <c r="H316" s="9"/>
      <c r="I316" s="9"/>
      <c r="J316" s="37"/>
      <c r="K316" s="9"/>
      <c r="L316" s="9"/>
      <c r="M316" s="37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</row>
    <row r="317" spans="2:92" x14ac:dyDescent="0.3">
      <c r="B317" s="9"/>
      <c r="C317" s="9"/>
      <c r="D317" s="37"/>
      <c r="E317" s="9"/>
      <c r="F317" s="9"/>
      <c r="G317" s="37"/>
      <c r="H317" s="9"/>
      <c r="I317" s="9"/>
      <c r="J317" s="37"/>
      <c r="K317" s="9"/>
      <c r="L317" s="9"/>
      <c r="M317" s="37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</row>
    <row r="318" spans="2:92" x14ac:dyDescent="0.3">
      <c r="B318" s="9"/>
      <c r="C318" s="9"/>
      <c r="D318" s="37"/>
      <c r="E318" s="9"/>
      <c r="F318" s="9"/>
      <c r="G318" s="37"/>
      <c r="H318" s="9"/>
      <c r="I318" s="9"/>
      <c r="J318" s="37"/>
      <c r="K318" s="9"/>
      <c r="L318" s="9"/>
      <c r="M318" s="37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</row>
    <row r="319" spans="2:92" x14ac:dyDescent="0.3">
      <c r="B319" s="9"/>
      <c r="C319" s="9"/>
      <c r="D319" s="37"/>
      <c r="E319" s="9"/>
      <c r="F319" s="9"/>
      <c r="G319" s="37"/>
      <c r="H319" s="9"/>
      <c r="I319" s="9"/>
      <c r="J319" s="37"/>
      <c r="K319" s="9"/>
      <c r="L319" s="9"/>
      <c r="M319" s="37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</row>
    <row r="320" spans="2:92" x14ac:dyDescent="0.3">
      <c r="B320" s="9"/>
      <c r="C320" s="9"/>
      <c r="D320" s="37"/>
      <c r="E320" s="9"/>
      <c r="F320" s="9"/>
      <c r="G320" s="37"/>
      <c r="H320" s="9"/>
      <c r="I320" s="9"/>
      <c r="J320" s="37"/>
      <c r="K320" s="9"/>
      <c r="L320" s="9"/>
      <c r="M320" s="37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</row>
    <row r="321" spans="2:92" x14ac:dyDescent="0.3">
      <c r="B321" s="9"/>
      <c r="C321" s="9"/>
      <c r="D321" s="37"/>
      <c r="E321" s="9"/>
      <c r="F321" s="9"/>
      <c r="G321" s="37"/>
      <c r="H321" s="9"/>
      <c r="I321" s="9"/>
      <c r="J321" s="37"/>
      <c r="K321" s="9"/>
      <c r="L321" s="9"/>
      <c r="M321" s="37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</row>
    <row r="322" spans="2:92" x14ac:dyDescent="0.3">
      <c r="B322" s="9"/>
      <c r="C322" s="9"/>
      <c r="D322" s="37"/>
      <c r="E322" s="9"/>
      <c r="F322" s="9"/>
      <c r="G322" s="37"/>
      <c r="H322" s="9"/>
      <c r="I322" s="9"/>
      <c r="J322" s="37"/>
      <c r="K322" s="9"/>
      <c r="L322" s="9"/>
      <c r="M322" s="37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</row>
    <row r="323" spans="2:92" x14ac:dyDescent="0.3">
      <c r="B323" s="9"/>
      <c r="C323" s="9"/>
      <c r="D323" s="37"/>
      <c r="E323" s="9"/>
      <c r="F323" s="9"/>
      <c r="G323" s="37"/>
      <c r="H323" s="9"/>
      <c r="I323" s="9"/>
      <c r="J323" s="37"/>
      <c r="K323" s="9"/>
      <c r="L323" s="9"/>
      <c r="M323" s="37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</row>
    <row r="324" spans="2:92" x14ac:dyDescent="0.3">
      <c r="B324" s="9"/>
      <c r="C324" s="9"/>
      <c r="D324" s="37"/>
      <c r="E324" s="9"/>
      <c r="F324" s="9"/>
      <c r="G324" s="37"/>
      <c r="H324" s="9"/>
      <c r="I324" s="9"/>
      <c r="J324" s="37"/>
      <c r="K324" s="9"/>
      <c r="L324" s="9"/>
      <c r="M324" s="37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</row>
    <row r="325" spans="2:92" x14ac:dyDescent="0.3">
      <c r="B325" s="9"/>
      <c r="C325" s="9"/>
      <c r="D325" s="37"/>
      <c r="E325" s="9"/>
      <c r="F325" s="9"/>
      <c r="G325" s="37"/>
      <c r="H325" s="9"/>
      <c r="I325" s="9"/>
      <c r="J325" s="37"/>
      <c r="K325" s="9"/>
      <c r="L325" s="9"/>
      <c r="M325" s="37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</row>
    <row r="326" spans="2:92" x14ac:dyDescent="0.3">
      <c r="B326" s="9"/>
      <c r="C326" s="9"/>
      <c r="D326" s="37"/>
      <c r="E326" s="9"/>
      <c r="F326" s="9"/>
      <c r="G326" s="37"/>
      <c r="H326" s="9"/>
      <c r="I326" s="9"/>
      <c r="J326" s="37"/>
      <c r="K326" s="9"/>
      <c r="L326" s="9"/>
      <c r="M326" s="37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</row>
    <row r="327" spans="2:92" x14ac:dyDescent="0.3">
      <c r="B327" s="9"/>
      <c r="C327" s="9"/>
      <c r="D327" s="37"/>
      <c r="E327" s="9"/>
      <c r="F327" s="9"/>
      <c r="G327" s="37"/>
      <c r="H327" s="9"/>
      <c r="I327" s="9"/>
      <c r="J327" s="37"/>
      <c r="K327" s="9"/>
      <c r="L327" s="9"/>
      <c r="M327" s="37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</row>
    <row r="328" spans="2:92" x14ac:dyDescent="0.3">
      <c r="B328" s="9"/>
      <c r="C328" s="9"/>
      <c r="D328" s="37"/>
      <c r="E328" s="9"/>
      <c r="F328" s="9"/>
      <c r="G328" s="37"/>
      <c r="H328" s="9"/>
      <c r="I328" s="9"/>
      <c r="J328" s="37"/>
      <c r="K328" s="9"/>
      <c r="L328" s="9"/>
      <c r="M328" s="37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</row>
    <row r="329" spans="2:92" x14ac:dyDescent="0.3">
      <c r="B329" s="9"/>
      <c r="C329" s="9"/>
      <c r="D329" s="37"/>
      <c r="E329" s="9"/>
      <c r="F329" s="9"/>
      <c r="G329" s="37"/>
      <c r="H329" s="9"/>
      <c r="I329" s="9"/>
      <c r="J329" s="37"/>
      <c r="K329" s="9"/>
      <c r="L329" s="9"/>
      <c r="M329" s="37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</row>
    <row r="330" spans="2:92" x14ac:dyDescent="0.3">
      <c r="B330" s="9"/>
      <c r="C330" s="9"/>
      <c r="D330" s="37"/>
      <c r="E330" s="9"/>
      <c r="F330" s="9"/>
      <c r="G330" s="37"/>
      <c r="H330" s="9"/>
      <c r="I330" s="9"/>
      <c r="J330" s="37"/>
      <c r="K330" s="9"/>
      <c r="L330" s="9"/>
      <c r="M330" s="37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</row>
    <row r="331" spans="2:92" x14ac:dyDescent="0.3">
      <c r="B331" s="9"/>
      <c r="C331" s="9"/>
      <c r="D331" s="37"/>
      <c r="E331" s="9"/>
      <c r="F331" s="9"/>
      <c r="G331" s="37"/>
      <c r="H331" s="9"/>
      <c r="I331" s="9"/>
      <c r="J331" s="37"/>
      <c r="K331" s="9"/>
      <c r="L331" s="9"/>
      <c r="M331" s="37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</row>
    <row r="332" spans="2:92" x14ac:dyDescent="0.3">
      <c r="B332" s="9"/>
      <c r="C332" s="9"/>
      <c r="D332" s="37"/>
      <c r="E332" s="9"/>
      <c r="F332" s="9"/>
      <c r="G332" s="37"/>
      <c r="H332" s="9"/>
      <c r="I332" s="9"/>
      <c r="J332" s="37"/>
      <c r="K332" s="9"/>
      <c r="L332" s="9"/>
      <c r="M332" s="37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</row>
    <row r="333" spans="2:92" x14ac:dyDescent="0.3">
      <c r="B333" s="9"/>
      <c r="C333" s="9"/>
      <c r="D333" s="37"/>
      <c r="E333" s="9"/>
      <c r="F333" s="9"/>
      <c r="G333" s="37"/>
      <c r="H333" s="9"/>
      <c r="I333" s="9"/>
      <c r="J333" s="37"/>
      <c r="K333" s="9"/>
      <c r="L333" s="9"/>
      <c r="M333" s="37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</row>
    <row r="334" spans="2:92" x14ac:dyDescent="0.3">
      <c r="B334" s="9"/>
      <c r="C334" s="9"/>
      <c r="D334" s="37"/>
      <c r="E334" s="9"/>
      <c r="F334" s="9"/>
      <c r="G334" s="37"/>
      <c r="H334" s="9"/>
      <c r="I334" s="9"/>
      <c r="J334" s="37"/>
      <c r="K334" s="9"/>
      <c r="L334" s="9"/>
      <c r="M334" s="37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</row>
    <row r="335" spans="2:92" x14ac:dyDescent="0.3">
      <c r="B335" s="9"/>
      <c r="C335" s="9"/>
      <c r="D335" s="37"/>
      <c r="E335" s="9"/>
      <c r="F335" s="9"/>
      <c r="G335" s="37"/>
      <c r="H335" s="9"/>
      <c r="I335" s="9"/>
      <c r="J335" s="37"/>
      <c r="K335" s="9"/>
      <c r="L335" s="9"/>
      <c r="M335" s="37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</row>
    <row r="336" spans="2:92" x14ac:dyDescent="0.3">
      <c r="B336" s="9"/>
      <c r="C336" s="9"/>
      <c r="D336" s="37"/>
      <c r="E336" s="9"/>
      <c r="F336" s="9"/>
      <c r="G336" s="37"/>
      <c r="H336" s="9"/>
      <c r="I336" s="9"/>
      <c r="J336" s="37"/>
      <c r="K336" s="9"/>
      <c r="L336" s="9"/>
      <c r="M336" s="37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</row>
    <row r="337" spans="2:92" x14ac:dyDescent="0.3">
      <c r="B337" s="9"/>
      <c r="C337" s="9"/>
      <c r="D337" s="37"/>
      <c r="E337" s="9"/>
      <c r="F337" s="9"/>
      <c r="G337" s="37"/>
      <c r="H337" s="9"/>
      <c r="I337" s="9"/>
      <c r="J337" s="37"/>
      <c r="K337" s="9"/>
      <c r="L337" s="9"/>
      <c r="M337" s="37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</row>
    <row r="338" spans="2:92" x14ac:dyDescent="0.3">
      <c r="B338" s="9"/>
      <c r="C338" s="9"/>
      <c r="D338" s="37"/>
      <c r="E338" s="9"/>
      <c r="F338" s="9"/>
      <c r="G338" s="37"/>
      <c r="H338" s="9"/>
      <c r="I338" s="9"/>
      <c r="J338" s="37"/>
      <c r="K338" s="9"/>
      <c r="L338" s="9"/>
      <c r="M338" s="37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</row>
    <row r="339" spans="2:92" x14ac:dyDescent="0.3">
      <c r="B339" s="9"/>
      <c r="C339" s="9"/>
      <c r="D339" s="37"/>
      <c r="E339" s="9"/>
      <c r="F339" s="9"/>
      <c r="G339" s="37"/>
      <c r="H339" s="9"/>
      <c r="I339" s="9"/>
      <c r="J339" s="37"/>
      <c r="K339" s="9"/>
      <c r="L339" s="9"/>
      <c r="M339" s="37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</row>
    <row r="340" spans="2:92" x14ac:dyDescent="0.3">
      <c r="B340" s="9"/>
      <c r="C340" s="9"/>
      <c r="D340" s="37"/>
      <c r="E340" s="9"/>
      <c r="F340" s="9"/>
      <c r="G340" s="37"/>
      <c r="H340" s="9"/>
      <c r="I340" s="9"/>
      <c r="J340" s="37"/>
      <c r="K340" s="9"/>
      <c r="L340" s="9"/>
      <c r="M340" s="37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</row>
    <row r="341" spans="2:92" x14ac:dyDescent="0.3">
      <c r="B341" s="9"/>
      <c r="C341" s="9"/>
      <c r="D341" s="37"/>
      <c r="E341" s="9"/>
      <c r="F341" s="9"/>
      <c r="G341" s="37"/>
      <c r="H341" s="9"/>
      <c r="I341" s="9"/>
      <c r="J341" s="37"/>
      <c r="K341" s="9"/>
      <c r="L341" s="9"/>
      <c r="M341" s="37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</row>
    <row r="342" spans="2:92" x14ac:dyDescent="0.3">
      <c r="B342" s="9"/>
      <c r="C342" s="9"/>
      <c r="D342" s="37"/>
      <c r="E342" s="9"/>
      <c r="F342" s="9"/>
      <c r="G342" s="37"/>
      <c r="H342" s="9"/>
      <c r="I342" s="9"/>
      <c r="J342" s="37"/>
      <c r="K342" s="9"/>
      <c r="L342" s="9"/>
      <c r="M342" s="37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</row>
    <row r="343" spans="2:92" x14ac:dyDescent="0.3">
      <c r="B343" s="9"/>
      <c r="C343" s="9"/>
      <c r="D343" s="37"/>
      <c r="E343" s="9"/>
      <c r="F343" s="9"/>
      <c r="G343" s="37"/>
      <c r="H343" s="9"/>
      <c r="I343" s="9"/>
      <c r="J343" s="37"/>
      <c r="K343" s="9"/>
      <c r="L343" s="9"/>
      <c r="M343" s="37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</row>
    <row r="344" spans="2:92" x14ac:dyDescent="0.3">
      <c r="B344" s="9"/>
      <c r="C344" s="9"/>
      <c r="D344" s="37"/>
      <c r="E344" s="9"/>
      <c r="F344" s="9"/>
      <c r="G344" s="37"/>
      <c r="H344" s="9"/>
      <c r="I344" s="9"/>
      <c r="J344" s="37"/>
      <c r="K344" s="9"/>
      <c r="L344" s="9"/>
      <c r="M344" s="37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</row>
    <row r="345" spans="2:92" x14ac:dyDescent="0.3">
      <c r="B345" s="9"/>
      <c r="C345" s="9"/>
      <c r="D345" s="37"/>
      <c r="E345" s="9"/>
      <c r="F345" s="9"/>
      <c r="G345" s="37"/>
      <c r="H345" s="9"/>
      <c r="I345" s="9"/>
      <c r="J345" s="37"/>
      <c r="K345" s="9"/>
      <c r="L345" s="9"/>
      <c r="M345" s="37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</row>
    <row r="346" spans="2:92" x14ac:dyDescent="0.3">
      <c r="B346" s="9"/>
      <c r="C346" s="9"/>
      <c r="D346" s="37"/>
      <c r="E346" s="9"/>
      <c r="F346" s="9"/>
      <c r="G346" s="37"/>
      <c r="H346" s="9"/>
      <c r="I346" s="9"/>
      <c r="J346" s="37"/>
      <c r="K346" s="9"/>
      <c r="L346" s="9"/>
      <c r="M346" s="37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</row>
    <row r="347" spans="2:92" x14ac:dyDescent="0.3">
      <c r="B347" s="9"/>
      <c r="C347" s="9"/>
      <c r="D347" s="37"/>
      <c r="E347" s="9"/>
      <c r="F347" s="9"/>
      <c r="G347" s="37"/>
      <c r="H347" s="9"/>
      <c r="I347" s="9"/>
      <c r="J347" s="37"/>
      <c r="K347" s="9"/>
      <c r="L347" s="9"/>
      <c r="M347" s="37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</row>
    <row r="348" spans="2:92" x14ac:dyDescent="0.3">
      <c r="B348" s="9"/>
      <c r="C348" s="9"/>
      <c r="D348" s="37"/>
      <c r="E348" s="9"/>
      <c r="F348" s="9"/>
      <c r="G348" s="37"/>
      <c r="H348" s="9"/>
      <c r="I348" s="9"/>
      <c r="J348" s="37"/>
      <c r="K348" s="9"/>
      <c r="L348" s="9"/>
      <c r="M348" s="37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</row>
    <row r="349" spans="2:92" x14ac:dyDescent="0.3">
      <c r="B349" s="9"/>
      <c r="C349" s="9"/>
      <c r="D349" s="37"/>
      <c r="E349" s="9"/>
      <c r="F349" s="9"/>
      <c r="G349" s="37"/>
      <c r="H349" s="9"/>
      <c r="I349" s="9"/>
      <c r="J349" s="37"/>
      <c r="K349" s="9"/>
      <c r="L349" s="9"/>
      <c r="M349" s="37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</row>
    <row r="350" spans="2:92" x14ac:dyDescent="0.3">
      <c r="B350" s="9"/>
      <c r="C350" s="9"/>
      <c r="D350" s="37"/>
      <c r="E350" s="9"/>
      <c r="F350" s="9"/>
      <c r="G350" s="37"/>
      <c r="H350" s="9"/>
      <c r="I350" s="9"/>
      <c r="J350" s="37"/>
      <c r="K350" s="9"/>
      <c r="L350" s="9"/>
      <c r="M350" s="37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</row>
    <row r="351" spans="2:92" x14ac:dyDescent="0.3">
      <c r="B351" s="9"/>
      <c r="C351" s="9"/>
      <c r="D351" s="37"/>
      <c r="E351" s="9"/>
      <c r="F351" s="9"/>
      <c r="G351" s="37"/>
      <c r="H351" s="9"/>
      <c r="I351" s="9"/>
      <c r="J351" s="37"/>
      <c r="K351" s="9"/>
      <c r="L351" s="9"/>
      <c r="M351" s="37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</row>
    <row r="352" spans="2:92" x14ac:dyDescent="0.3">
      <c r="B352" s="9"/>
      <c r="C352" s="9"/>
      <c r="D352" s="37"/>
      <c r="E352" s="9"/>
      <c r="F352" s="9"/>
      <c r="G352" s="37"/>
      <c r="H352" s="9"/>
      <c r="I352" s="9"/>
      <c r="J352" s="37"/>
      <c r="K352" s="9"/>
      <c r="L352" s="9"/>
      <c r="M352" s="37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</row>
    <row r="353" spans="2:92" x14ac:dyDescent="0.3">
      <c r="B353" s="9"/>
      <c r="C353" s="9"/>
      <c r="D353" s="37"/>
      <c r="E353" s="9"/>
      <c r="F353" s="9"/>
      <c r="G353" s="37"/>
      <c r="H353" s="9"/>
      <c r="I353" s="9"/>
      <c r="J353" s="37"/>
      <c r="K353" s="9"/>
      <c r="L353" s="9"/>
      <c r="M353" s="37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</row>
    <row r="354" spans="2:92" x14ac:dyDescent="0.3">
      <c r="B354" s="9"/>
      <c r="C354" s="9"/>
      <c r="D354" s="37"/>
      <c r="E354" s="9"/>
      <c r="F354" s="9"/>
      <c r="G354" s="37"/>
      <c r="H354" s="9"/>
      <c r="I354" s="9"/>
      <c r="J354" s="37"/>
      <c r="K354" s="9"/>
      <c r="L354" s="9"/>
      <c r="M354" s="37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</row>
    <row r="355" spans="2:92" x14ac:dyDescent="0.3">
      <c r="B355" s="9"/>
      <c r="C355" s="9"/>
      <c r="D355" s="37"/>
      <c r="E355" s="9"/>
      <c r="F355" s="9"/>
      <c r="G355" s="37"/>
      <c r="H355" s="9"/>
      <c r="I355" s="9"/>
      <c r="J355" s="37"/>
      <c r="K355" s="9"/>
      <c r="L355" s="9"/>
      <c r="M355" s="37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</row>
    <row r="356" spans="2:92" x14ac:dyDescent="0.3">
      <c r="B356" s="9"/>
      <c r="C356" s="9"/>
      <c r="D356" s="37"/>
      <c r="E356" s="9"/>
      <c r="F356" s="9"/>
      <c r="G356" s="37"/>
      <c r="H356" s="9"/>
      <c r="I356" s="9"/>
      <c r="J356" s="37"/>
      <c r="K356" s="9"/>
      <c r="L356" s="9"/>
      <c r="M356" s="37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</row>
    <row r="357" spans="2:92" x14ac:dyDescent="0.3">
      <c r="B357" s="9"/>
      <c r="C357" s="9"/>
      <c r="D357" s="37"/>
      <c r="E357" s="9"/>
      <c r="F357" s="9"/>
      <c r="G357" s="37"/>
      <c r="H357" s="9"/>
      <c r="I357" s="9"/>
      <c r="J357" s="37"/>
      <c r="K357" s="9"/>
      <c r="L357" s="9"/>
      <c r="M357" s="37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</row>
    <row r="358" spans="2:92" x14ac:dyDescent="0.3">
      <c r="B358" s="9"/>
      <c r="C358" s="9"/>
      <c r="D358" s="37"/>
      <c r="E358" s="9"/>
      <c r="F358" s="9"/>
      <c r="G358" s="37"/>
      <c r="H358" s="9"/>
      <c r="I358" s="9"/>
      <c r="J358" s="37"/>
      <c r="K358" s="9"/>
      <c r="L358" s="9"/>
      <c r="M358" s="37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</row>
    <row r="359" spans="2:92" x14ac:dyDescent="0.3">
      <c r="B359" s="9"/>
      <c r="C359" s="9"/>
      <c r="D359" s="37"/>
      <c r="E359" s="9"/>
      <c r="F359" s="9"/>
      <c r="G359" s="37"/>
      <c r="H359" s="9"/>
      <c r="I359" s="9"/>
      <c r="J359" s="37"/>
      <c r="K359" s="9"/>
      <c r="L359" s="9"/>
      <c r="M359" s="37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</row>
    <row r="360" spans="2:92" x14ac:dyDescent="0.3">
      <c r="B360" s="9"/>
      <c r="C360" s="9"/>
      <c r="D360" s="37"/>
      <c r="E360" s="9"/>
      <c r="F360" s="9"/>
      <c r="G360" s="37"/>
      <c r="H360" s="9"/>
      <c r="I360" s="9"/>
      <c r="J360" s="37"/>
      <c r="K360" s="9"/>
      <c r="L360" s="9"/>
      <c r="M360" s="37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</row>
    <row r="361" spans="2:92" x14ac:dyDescent="0.3">
      <c r="B361" s="9"/>
      <c r="C361" s="9"/>
      <c r="D361" s="37"/>
      <c r="E361" s="9"/>
      <c r="F361" s="9"/>
      <c r="G361" s="37"/>
      <c r="H361" s="9"/>
      <c r="I361" s="9"/>
      <c r="J361" s="37"/>
      <c r="K361" s="9"/>
      <c r="L361" s="9"/>
      <c r="M361" s="37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</row>
    <row r="362" spans="2:92" x14ac:dyDescent="0.3">
      <c r="B362" s="9"/>
      <c r="C362" s="9"/>
      <c r="D362" s="37"/>
      <c r="E362" s="9"/>
      <c r="F362" s="9"/>
      <c r="G362" s="37"/>
      <c r="H362" s="9"/>
      <c r="I362" s="9"/>
      <c r="J362" s="37"/>
      <c r="K362" s="9"/>
      <c r="L362" s="9"/>
      <c r="M362" s="37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</row>
    <row r="363" spans="2:92" x14ac:dyDescent="0.3">
      <c r="B363" s="9"/>
      <c r="C363" s="9"/>
      <c r="D363" s="37"/>
      <c r="E363" s="9"/>
      <c r="F363" s="9"/>
      <c r="G363" s="37"/>
      <c r="H363" s="9"/>
      <c r="I363" s="9"/>
      <c r="J363" s="37"/>
      <c r="K363" s="9"/>
      <c r="L363" s="9"/>
      <c r="M363" s="37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</row>
    <row r="364" spans="2:92" x14ac:dyDescent="0.3">
      <c r="B364" s="9"/>
      <c r="C364" s="9"/>
      <c r="D364" s="37"/>
      <c r="E364" s="9"/>
      <c r="F364" s="9"/>
      <c r="G364" s="37"/>
      <c r="H364" s="9"/>
      <c r="I364" s="9"/>
      <c r="J364" s="37"/>
      <c r="K364" s="9"/>
      <c r="L364" s="9"/>
      <c r="M364" s="37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</row>
    <row r="365" spans="2:92" x14ac:dyDescent="0.3">
      <c r="B365" s="9"/>
      <c r="C365" s="9"/>
      <c r="D365" s="37"/>
      <c r="E365" s="9"/>
      <c r="F365" s="9"/>
      <c r="G365" s="37"/>
      <c r="H365" s="9"/>
      <c r="I365" s="9"/>
      <c r="J365" s="37"/>
      <c r="K365" s="9"/>
      <c r="L365" s="9"/>
      <c r="M365" s="37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</row>
    <row r="366" spans="2:92" x14ac:dyDescent="0.3">
      <c r="B366" s="9"/>
      <c r="C366" s="9"/>
      <c r="D366" s="37"/>
      <c r="E366" s="9"/>
      <c r="F366" s="9"/>
      <c r="G366" s="37"/>
      <c r="H366" s="9"/>
      <c r="I366" s="9"/>
      <c r="J366" s="37"/>
      <c r="K366" s="9"/>
      <c r="L366" s="9"/>
      <c r="M366" s="37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</row>
    <row r="367" spans="2:92" x14ac:dyDescent="0.3">
      <c r="B367" s="9"/>
      <c r="C367" s="9"/>
      <c r="D367" s="37"/>
      <c r="E367" s="9"/>
      <c r="F367" s="9"/>
      <c r="G367" s="37"/>
      <c r="H367" s="9"/>
      <c r="I367" s="9"/>
      <c r="J367" s="37"/>
      <c r="K367" s="9"/>
      <c r="L367" s="9"/>
      <c r="M367" s="37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</row>
    <row r="368" spans="2:92" x14ac:dyDescent="0.3">
      <c r="B368" s="9"/>
      <c r="C368" s="9"/>
      <c r="D368" s="37"/>
      <c r="E368" s="9"/>
      <c r="F368" s="9"/>
      <c r="G368" s="37"/>
      <c r="H368" s="9"/>
      <c r="I368" s="9"/>
      <c r="J368" s="37"/>
      <c r="K368" s="9"/>
      <c r="L368" s="9"/>
      <c r="M368" s="37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</row>
    <row r="369" spans="2:92" x14ac:dyDescent="0.3">
      <c r="B369" s="9"/>
      <c r="C369" s="9"/>
      <c r="D369" s="37"/>
      <c r="E369" s="9"/>
      <c r="F369" s="9"/>
      <c r="G369" s="37"/>
      <c r="H369" s="9"/>
      <c r="I369" s="9"/>
      <c r="J369" s="37"/>
      <c r="K369" s="9"/>
      <c r="L369" s="9"/>
      <c r="M369" s="37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</row>
    <row r="370" spans="2:92" x14ac:dyDescent="0.3">
      <c r="B370" s="9"/>
      <c r="C370" s="9"/>
      <c r="D370" s="37"/>
      <c r="E370" s="9"/>
      <c r="F370" s="9"/>
      <c r="G370" s="37"/>
      <c r="H370" s="9"/>
      <c r="I370" s="9"/>
      <c r="J370" s="37"/>
      <c r="K370" s="9"/>
      <c r="L370" s="9"/>
      <c r="M370" s="37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</row>
    <row r="371" spans="2:92" x14ac:dyDescent="0.3">
      <c r="B371" s="9"/>
      <c r="C371" s="9"/>
      <c r="D371" s="37"/>
      <c r="E371" s="9"/>
      <c r="F371" s="9"/>
      <c r="G371" s="37"/>
      <c r="H371" s="9"/>
      <c r="I371" s="9"/>
      <c r="J371" s="37"/>
      <c r="K371" s="9"/>
      <c r="L371" s="9"/>
      <c r="M371" s="37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</row>
    <row r="372" spans="2:92" x14ac:dyDescent="0.3">
      <c r="B372" s="9"/>
      <c r="C372" s="9"/>
      <c r="D372" s="37"/>
      <c r="E372" s="9"/>
      <c r="F372" s="9"/>
      <c r="G372" s="37"/>
      <c r="H372" s="9"/>
      <c r="I372" s="9"/>
      <c r="J372" s="37"/>
      <c r="K372" s="9"/>
      <c r="L372" s="9"/>
      <c r="M372" s="37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</row>
    <row r="373" spans="2:92" x14ac:dyDescent="0.3">
      <c r="B373" s="9"/>
      <c r="C373" s="9"/>
      <c r="D373" s="37"/>
      <c r="E373" s="9"/>
      <c r="F373" s="9"/>
      <c r="G373" s="37"/>
      <c r="H373" s="9"/>
      <c r="I373" s="9"/>
      <c r="J373" s="37"/>
      <c r="K373" s="9"/>
      <c r="L373" s="9"/>
      <c r="M373" s="37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</row>
    <row r="374" spans="2:92" x14ac:dyDescent="0.3">
      <c r="B374" s="9"/>
      <c r="C374" s="9"/>
      <c r="D374" s="37"/>
      <c r="E374" s="9"/>
      <c r="F374" s="9"/>
      <c r="G374" s="37"/>
      <c r="H374" s="9"/>
      <c r="I374" s="9"/>
      <c r="J374" s="37"/>
      <c r="K374" s="9"/>
      <c r="L374" s="9"/>
      <c r="M374" s="37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</row>
    <row r="375" spans="2:92" x14ac:dyDescent="0.3">
      <c r="B375" s="9"/>
      <c r="C375" s="9"/>
      <c r="D375" s="37"/>
      <c r="E375" s="9"/>
      <c r="F375" s="9"/>
      <c r="G375" s="37"/>
      <c r="H375" s="9"/>
      <c r="I375" s="9"/>
      <c r="J375" s="37"/>
      <c r="K375" s="9"/>
      <c r="L375" s="9"/>
      <c r="M375" s="37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</row>
    <row r="376" spans="2:92" x14ac:dyDescent="0.3">
      <c r="B376" s="9"/>
      <c r="C376" s="9"/>
      <c r="D376" s="37"/>
      <c r="E376" s="9"/>
      <c r="F376" s="9"/>
      <c r="G376" s="37"/>
      <c r="H376" s="9"/>
      <c r="I376" s="9"/>
      <c r="J376" s="37"/>
      <c r="K376" s="9"/>
      <c r="L376" s="9"/>
      <c r="M376" s="37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</row>
    <row r="377" spans="2:92" x14ac:dyDescent="0.3">
      <c r="B377" s="9"/>
      <c r="C377" s="9"/>
      <c r="D377" s="37"/>
      <c r="E377" s="9"/>
      <c r="F377" s="9"/>
      <c r="G377" s="37"/>
      <c r="H377" s="9"/>
      <c r="I377" s="9"/>
      <c r="J377" s="37"/>
      <c r="K377" s="9"/>
      <c r="L377" s="9"/>
      <c r="M377" s="37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</row>
    <row r="378" spans="2:92" x14ac:dyDescent="0.3">
      <c r="B378" s="9"/>
      <c r="C378" s="9"/>
      <c r="D378" s="37"/>
      <c r="E378" s="9"/>
      <c r="F378" s="9"/>
      <c r="G378" s="37"/>
      <c r="H378" s="9"/>
      <c r="I378" s="9"/>
      <c r="J378" s="37"/>
      <c r="K378" s="9"/>
      <c r="L378" s="9"/>
      <c r="M378" s="37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</row>
    <row r="379" spans="2:92" x14ac:dyDescent="0.3">
      <c r="B379" s="9"/>
      <c r="C379" s="9"/>
      <c r="D379" s="37"/>
      <c r="E379" s="9"/>
      <c r="F379" s="9"/>
      <c r="G379" s="37"/>
      <c r="H379" s="9"/>
      <c r="I379" s="9"/>
      <c r="J379" s="37"/>
      <c r="K379" s="9"/>
      <c r="L379" s="9"/>
      <c r="M379" s="37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</row>
    <row r="380" spans="2:92" x14ac:dyDescent="0.3">
      <c r="B380" s="9"/>
      <c r="C380" s="9"/>
      <c r="D380" s="37"/>
      <c r="E380" s="9"/>
      <c r="F380" s="9"/>
      <c r="G380" s="37"/>
      <c r="H380" s="9"/>
      <c r="I380" s="9"/>
      <c r="J380" s="37"/>
      <c r="K380" s="9"/>
      <c r="L380" s="9"/>
      <c r="M380" s="37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</row>
    <row r="381" spans="2:92" x14ac:dyDescent="0.3">
      <c r="B381" s="9"/>
      <c r="C381" s="9"/>
      <c r="D381" s="37"/>
      <c r="E381" s="9"/>
      <c r="F381" s="9"/>
      <c r="G381" s="37"/>
      <c r="H381" s="9"/>
      <c r="I381" s="9"/>
      <c r="J381" s="37"/>
      <c r="K381" s="9"/>
      <c r="L381" s="9"/>
      <c r="M381" s="37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</row>
    <row r="382" spans="2:92" x14ac:dyDescent="0.3">
      <c r="B382" s="9"/>
      <c r="C382" s="9"/>
      <c r="D382" s="37"/>
      <c r="E382" s="9"/>
      <c r="F382" s="9"/>
      <c r="G382" s="37"/>
      <c r="H382" s="9"/>
      <c r="I382" s="9"/>
      <c r="J382" s="37"/>
      <c r="K382" s="9"/>
      <c r="L382" s="9"/>
      <c r="M382" s="37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</row>
    <row r="383" spans="2:92" x14ac:dyDescent="0.3">
      <c r="B383" s="9"/>
      <c r="C383" s="9"/>
      <c r="D383" s="37"/>
      <c r="E383" s="9"/>
      <c r="F383" s="9"/>
      <c r="G383" s="37"/>
      <c r="H383" s="9"/>
      <c r="I383" s="9"/>
      <c r="J383" s="37"/>
      <c r="K383" s="9"/>
      <c r="L383" s="9"/>
      <c r="M383" s="37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</row>
    <row r="384" spans="2:92" x14ac:dyDescent="0.3">
      <c r="B384" s="9"/>
      <c r="C384" s="9"/>
      <c r="D384" s="37"/>
      <c r="E384" s="9"/>
      <c r="F384" s="9"/>
      <c r="G384" s="37"/>
      <c r="H384" s="9"/>
      <c r="I384" s="9"/>
      <c r="J384" s="37"/>
      <c r="K384" s="9"/>
      <c r="L384" s="9"/>
      <c r="M384" s="37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</row>
    <row r="385" spans="2:92" x14ac:dyDescent="0.3">
      <c r="B385" s="9"/>
      <c r="C385" s="9"/>
      <c r="D385" s="37"/>
      <c r="E385" s="9"/>
      <c r="F385" s="9"/>
      <c r="G385" s="37"/>
      <c r="H385" s="9"/>
      <c r="I385" s="9"/>
      <c r="J385" s="37"/>
      <c r="K385" s="9"/>
      <c r="L385" s="9"/>
      <c r="M385" s="37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</row>
    <row r="386" spans="2:92" x14ac:dyDescent="0.3">
      <c r="B386" s="9"/>
      <c r="C386" s="9"/>
      <c r="D386" s="37"/>
      <c r="E386" s="9"/>
      <c r="F386" s="9"/>
      <c r="G386" s="37"/>
      <c r="H386" s="9"/>
      <c r="I386" s="9"/>
      <c r="J386" s="37"/>
      <c r="K386" s="9"/>
      <c r="L386" s="9"/>
      <c r="M386" s="37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</row>
    <row r="387" spans="2:92" x14ac:dyDescent="0.3">
      <c r="B387" s="9"/>
      <c r="C387" s="9"/>
      <c r="D387" s="37"/>
      <c r="E387" s="9"/>
      <c r="F387" s="9"/>
      <c r="G387" s="37"/>
      <c r="H387" s="9"/>
      <c r="I387" s="9"/>
      <c r="J387" s="37"/>
      <c r="K387" s="9"/>
      <c r="L387" s="9"/>
      <c r="M387" s="37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</row>
    <row r="388" spans="2:92" x14ac:dyDescent="0.3">
      <c r="B388" s="9"/>
      <c r="C388" s="9"/>
      <c r="D388" s="37"/>
      <c r="E388" s="9"/>
      <c r="F388" s="9"/>
      <c r="G388" s="37"/>
      <c r="H388" s="9"/>
      <c r="I388" s="9"/>
      <c r="J388" s="37"/>
      <c r="K388" s="9"/>
      <c r="L388" s="9"/>
      <c r="M388" s="37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</row>
    <row r="389" spans="2:92" x14ac:dyDescent="0.3">
      <c r="B389" s="9"/>
      <c r="C389" s="9"/>
      <c r="D389" s="37"/>
      <c r="E389" s="9"/>
      <c r="F389" s="9"/>
      <c r="G389" s="37"/>
      <c r="H389" s="9"/>
      <c r="I389" s="9"/>
      <c r="J389" s="37"/>
      <c r="K389" s="9"/>
      <c r="L389" s="9"/>
      <c r="M389" s="37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</row>
    <row r="390" spans="2:92" x14ac:dyDescent="0.3">
      <c r="B390" s="9"/>
      <c r="C390" s="9"/>
      <c r="D390" s="37"/>
      <c r="E390" s="9"/>
      <c r="F390" s="9"/>
      <c r="G390" s="37"/>
      <c r="H390" s="9"/>
      <c r="I390" s="9"/>
      <c r="J390" s="37"/>
      <c r="K390" s="9"/>
      <c r="L390" s="9"/>
      <c r="M390" s="37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</row>
    <row r="391" spans="2:92" x14ac:dyDescent="0.3">
      <c r="B391" s="9"/>
      <c r="C391" s="9"/>
      <c r="D391" s="37"/>
      <c r="E391" s="9"/>
      <c r="F391" s="9"/>
      <c r="G391" s="37"/>
      <c r="H391" s="9"/>
      <c r="I391" s="9"/>
      <c r="J391" s="37"/>
      <c r="K391" s="9"/>
      <c r="L391" s="9"/>
      <c r="M391" s="37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</row>
    <row r="392" spans="2:92" x14ac:dyDescent="0.3">
      <c r="B392" s="9"/>
      <c r="C392" s="9"/>
      <c r="D392" s="37"/>
      <c r="E392" s="9"/>
      <c r="F392" s="9"/>
      <c r="G392" s="37"/>
      <c r="H392" s="9"/>
      <c r="I392" s="9"/>
      <c r="J392" s="37"/>
      <c r="K392" s="9"/>
      <c r="L392" s="9"/>
      <c r="M392" s="37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</row>
    <row r="393" spans="2:92" x14ac:dyDescent="0.3">
      <c r="B393" s="9"/>
      <c r="C393" s="9"/>
      <c r="D393" s="37"/>
      <c r="E393" s="9"/>
      <c r="F393" s="9"/>
      <c r="G393" s="37"/>
      <c r="H393" s="9"/>
      <c r="I393" s="9"/>
      <c r="J393" s="37"/>
      <c r="K393" s="9"/>
      <c r="L393" s="9"/>
      <c r="M393" s="37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</row>
    <row r="394" spans="2:92" x14ac:dyDescent="0.3">
      <c r="B394" s="9"/>
      <c r="C394" s="9"/>
      <c r="D394" s="37"/>
      <c r="E394" s="9"/>
      <c r="F394" s="9"/>
      <c r="G394" s="37"/>
      <c r="H394" s="9"/>
      <c r="I394" s="9"/>
      <c r="J394" s="37"/>
      <c r="K394" s="9"/>
      <c r="L394" s="9"/>
      <c r="M394" s="37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</row>
    <row r="395" spans="2:92" x14ac:dyDescent="0.3">
      <c r="B395" s="9"/>
      <c r="C395" s="9"/>
      <c r="D395" s="37"/>
      <c r="E395" s="9"/>
      <c r="F395" s="9"/>
      <c r="G395" s="37"/>
      <c r="H395" s="9"/>
      <c r="I395" s="9"/>
      <c r="J395" s="37"/>
      <c r="K395" s="9"/>
      <c r="L395" s="9"/>
      <c r="M395" s="37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</row>
    <row r="396" spans="2:92" x14ac:dyDescent="0.3">
      <c r="B396" s="9"/>
      <c r="C396" s="9"/>
      <c r="D396" s="37"/>
      <c r="E396" s="9"/>
      <c r="F396" s="9"/>
      <c r="G396" s="37"/>
      <c r="H396" s="9"/>
      <c r="I396" s="9"/>
      <c r="J396" s="37"/>
      <c r="K396" s="9"/>
      <c r="L396" s="9"/>
      <c r="M396" s="37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</row>
    <row r="397" spans="2:92" x14ac:dyDescent="0.3">
      <c r="B397" s="9"/>
      <c r="C397" s="9"/>
      <c r="D397" s="37"/>
      <c r="E397" s="9"/>
      <c r="F397" s="9"/>
      <c r="G397" s="37"/>
      <c r="H397" s="9"/>
      <c r="I397" s="9"/>
      <c r="J397" s="37"/>
      <c r="K397" s="9"/>
      <c r="L397" s="9"/>
      <c r="M397" s="37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</row>
    <row r="398" spans="2:92" x14ac:dyDescent="0.3">
      <c r="B398" s="9"/>
      <c r="C398" s="9"/>
      <c r="D398" s="37"/>
      <c r="E398" s="9"/>
      <c r="F398" s="9"/>
      <c r="G398" s="37"/>
      <c r="H398" s="9"/>
      <c r="I398" s="9"/>
      <c r="J398" s="37"/>
      <c r="K398" s="9"/>
      <c r="L398" s="9"/>
      <c r="M398" s="37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</row>
    <row r="399" spans="2:92" x14ac:dyDescent="0.3">
      <c r="B399" s="9"/>
      <c r="C399" s="9"/>
      <c r="D399" s="37"/>
      <c r="E399" s="9"/>
      <c r="F399" s="9"/>
      <c r="G399" s="37"/>
      <c r="H399" s="9"/>
      <c r="I399" s="9"/>
      <c r="J399" s="37"/>
      <c r="K399" s="9"/>
      <c r="L399" s="9"/>
      <c r="M399" s="37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</row>
    <row r="400" spans="2:92" x14ac:dyDescent="0.3">
      <c r="B400" s="9"/>
      <c r="C400" s="9"/>
      <c r="D400" s="37"/>
      <c r="E400" s="9"/>
      <c r="F400" s="9"/>
      <c r="G400" s="37"/>
      <c r="H400" s="9"/>
      <c r="I400" s="9"/>
      <c r="J400" s="37"/>
      <c r="K400" s="9"/>
      <c r="L400" s="9"/>
      <c r="M400" s="37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</row>
    <row r="401" spans="2:92" x14ac:dyDescent="0.3">
      <c r="B401" s="9"/>
      <c r="C401" s="9"/>
      <c r="D401" s="37"/>
      <c r="E401" s="9"/>
      <c r="F401" s="9"/>
      <c r="G401" s="37"/>
      <c r="H401" s="9"/>
      <c r="I401" s="9"/>
      <c r="J401" s="37"/>
      <c r="K401" s="9"/>
      <c r="L401" s="9"/>
      <c r="M401" s="37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</row>
    <row r="402" spans="2:92" x14ac:dyDescent="0.3">
      <c r="B402" s="9"/>
      <c r="C402" s="9"/>
      <c r="D402" s="37"/>
      <c r="E402" s="9"/>
      <c r="F402" s="9"/>
      <c r="G402" s="37"/>
      <c r="H402" s="9"/>
      <c r="I402" s="9"/>
      <c r="J402" s="37"/>
      <c r="K402" s="9"/>
      <c r="L402" s="9"/>
      <c r="M402" s="37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</row>
    <row r="403" spans="2:92" x14ac:dyDescent="0.3">
      <c r="B403" s="9"/>
      <c r="C403" s="9"/>
      <c r="D403" s="37"/>
      <c r="E403" s="9"/>
      <c r="F403" s="9"/>
      <c r="G403" s="37"/>
      <c r="H403" s="9"/>
      <c r="I403" s="9"/>
      <c r="J403" s="37"/>
      <c r="K403" s="9"/>
      <c r="L403" s="9"/>
      <c r="M403" s="37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</row>
    <row r="404" spans="2:92" x14ac:dyDescent="0.3">
      <c r="B404" s="9"/>
      <c r="C404" s="9"/>
      <c r="D404" s="37"/>
      <c r="E404" s="9"/>
      <c r="F404" s="9"/>
      <c r="G404" s="37"/>
      <c r="H404" s="9"/>
      <c r="I404" s="9"/>
      <c r="J404" s="37"/>
      <c r="K404" s="9"/>
      <c r="L404" s="9"/>
      <c r="M404" s="37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</row>
    <row r="405" spans="2:92" x14ac:dyDescent="0.3">
      <c r="B405" s="9"/>
      <c r="C405" s="9"/>
      <c r="D405" s="37"/>
      <c r="E405" s="9"/>
      <c r="F405" s="9"/>
      <c r="G405" s="37"/>
      <c r="H405" s="9"/>
      <c r="I405" s="9"/>
      <c r="J405" s="37"/>
      <c r="K405" s="9"/>
      <c r="L405" s="9"/>
      <c r="M405" s="37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</row>
    <row r="406" spans="2:92" x14ac:dyDescent="0.3">
      <c r="B406" s="9"/>
      <c r="C406" s="9"/>
      <c r="D406" s="37"/>
      <c r="E406" s="9"/>
      <c r="F406" s="9"/>
      <c r="G406" s="37"/>
      <c r="H406" s="9"/>
      <c r="I406" s="9"/>
      <c r="J406" s="37"/>
      <c r="K406" s="9"/>
      <c r="L406" s="9"/>
      <c r="M406" s="37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</row>
    <row r="407" spans="2:92" x14ac:dyDescent="0.3">
      <c r="B407" s="9"/>
      <c r="C407" s="9"/>
      <c r="D407" s="37"/>
      <c r="E407" s="9"/>
      <c r="F407" s="9"/>
      <c r="G407" s="37"/>
      <c r="H407" s="9"/>
      <c r="I407" s="9"/>
      <c r="J407" s="37"/>
      <c r="K407" s="9"/>
      <c r="L407" s="9"/>
      <c r="M407" s="37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</row>
    <row r="408" spans="2:92" x14ac:dyDescent="0.3">
      <c r="B408" s="9"/>
      <c r="C408" s="9"/>
      <c r="D408" s="37"/>
      <c r="E408" s="9"/>
      <c r="F408" s="9"/>
      <c r="G408" s="37"/>
      <c r="H408" s="9"/>
      <c r="I408" s="9"/>
      <c r="J408" s="37"/>
      <c r="K408" s="9"/>
      <c r="L408" s="9"/>
      <c r="M408" s="37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</row>
    <row r="409" spans="2:92" x14ac:dyDescent="0.3">
      <c r="B409" s="9"/>
      <c r="C409" s="9"/>
      <c r="D409" s="37"/>
      <c r="E409" s="9"/>
      <c r="F409" s="9"/>
      <c r="G409" s="37"/>
      <c r="H409" s="9"/>
      <c r="I409" s="9"/>
      <c r="J409" s="37"/>
      <c r="K409" s="9"/>
      <c r="L409" s="9"/>
      <c r="M409" s="37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</row>
    <row r="410" spans="2:92" x14ac:dyDescent="0.3">
      <c r="B410" s="9"/>
      <c r="C410" s="9"/>
      <c r="D410" s="37"/>
      <c r="E410" s="9"/>
      <c r="F410" s="9"/>
      <c r="G410" s="37"/>
      <c r="H410" s="9"/>
      <c r="I410" s="9"/>
      <c r="J410" s="37"/>
      <c r="K410" s="9"/>
      <c r="L410" s="9"/>
      <c r="M410" s="37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</row>
    <row r="411" spans="2:92" x14ac:dyDescent="0.3">
      <c r="B411" s="9"/>
      <c r="C411" s="9"/>
      <c r="D411" s="37"/>
      <c r="E411" s="9"/>
      <c r="F411" s="9"/>
      <c r="G411" s="37"/>
      <c r="H411" s="9"/>
      <c r="I411" s="9"/>
      <c r="J411" s="37"/>
      <c r="K411" s="9"/>
      <c r="L411" s="9"/>
      <c r="M411" s="37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</row>
    <row r="412" spans="2:92" x14ac:dyDescent="0.3">
      <c r="B412" s="9"/>
      <c r="C412" s="9"/>
      <c r="D412" s="37"/>
      <c r="E412" s="9"/>
      <c r="F412" s="9"/>
      <c r="G412" s="37"/>
      <c r="H412" s="9"/>
      <c r="I412" s="9"/>
      <c r="J412" s="37"/>
      <c r="K412" s="9"/>
      <c r="L412" s="9"/>
      <c r="M412" s="37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</row>
    <row r="413" spans="2:92" x14ac:dyDescent="0.3">
      <c r="B413" s="9"/>
      <c r="C413" s="9"/>
      <c r="D413" s="37"/>
      <c r="E413" s="9"/>
      <c r="F413" s="9"/>
      <c r="G413" s="37"/>
      <c r="H413" s="9"/>
      <c r="I413" s="9"/>
      <c r="J413" s="37"/>
      <c r="K413" s="9"/>
      <c r="L413" s="9"/>
      <c r="M413" s="37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</row>
    <row r="414" spans="2:92" x14ac:dyDescent="0.3">
      <c r="B414" s="9"/>
      <c r="C414" s="9"/>
      <c r="D414" s="37"/>
      <c r="E414" s="9"/>
      <c r="F414" s="9"/>
      <c r="G414" s="37"/>
      <c r="H414" s="9"/>
      <c r="I414" s="9"/>
      <c r="J414" s="37"/>
      <c r="K414" s="9"/>
      <c r="L414" s="9"/>
      <c r="M414" s="37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</row>
    <row r="415" spans="2:92" x14ac:dyDescent="0.3">
      <c r="B415" s="9"/>
      <c r="C415" s="9"/>
      <c r="D415" s="37"/>
      <c r="E415" s="9"/>
      <c r="F415" s="9"/>
      <c r="G415" s="37"/>
      <c r="H415" s="9"/>
      <c r="I415" s="9"/>
      <c r="J415" s="37"/>
      <c r="K415" s="9"/>
      <c r="L415" s="9"/>
      <c r="M415" s="37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</row>
  </sheetData>
  <mergeCells count="32">
    <mergeCell ref="B22:B24"/>
    <mergeCell ref="C23:E23"/>
    <mergeCell ref="F23:H23"/>
    <mergeCell ref="I23:K23"/>
    <mergeCell ref="L23:N23"/>
    <mergeCell ref="B2:B3"/>
    <mergeCell ref="B10:B14"/>
    <mergeCell ref="C11:D11"/>
    <mergeCell ref="G11:H11"/>
    <mergeCell ref="D2:E2"/>
    <mergeCell ref="F2:G2"/>
    <mergeCell ref="C2:C3"/>
    <mergeCell ref="H2:I2"/>
    <mergeCell ref="E11:F11"/>
    <mergeCell ref="L2:M2"/>
    <mergeCell ref="N2:O2"/>
    <mergeCell ref="L9:BP9"/>
    <mergeCell ref="J2:K2"/>
    <mergeCell ref="I11:J11"/>
    <mergeCell ref="M11:N11"/>
    <mergeCell ref="S11:T11"/>
    <mergeCell ref="O11:P11"/>
    <mergeCell ref="Q11:R11"/>
    <mergeCell ref="K11:L11"/>
    <mergeCell ref="AD23:AF23"/>
    <mergeCell ref="C22:AF22"/>
    <mergeCell ref="X23:Z23"/>
    <mergeCell ref="AA23:AC23"/>
    <mergeCell ref="C10:T10"/>
    <mergeCell ref="U23:W23"/>
    <mergeCell ref="O23:Q23"/>
    <mergeCell ref="R23:T23"/>
  </mergeCells>
  <pageMargins left="0.7" right="0.7" top="0.75" bottom="0.75" header="0.3" footer="0.3"/>
  <ignoredErrors>
    <ignoredError sqref="N5:N8" formula="1"/>
    <ignoredError sqref="D4:E4 D6:E8 E5" numberStoredAsText="1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35D0-9E80-4AAA-9A24-28AAA1AF0219}">
  <sheetPr>
    <tabColor rgb="FFFFFF00"/>
  </sheetPr>
  <dimension ref="A1:BI97"/>
  <sheetViews>
    <sheetView zoomScale="70" zoomScaleNormal="70" workbookViewId="0">
      <pane xSplit="8" ySplit="1" topLeftCell="AA78" activePane="bottomRight" state="frozen"/>
      <selection pane="topRight" activeCell="I1" sqref="I1"/>
      <selection pane="bottomLeft" activeCell="A2" sqref="A2"/>
      <selection pane="bottomRight" activeCell="AJ93" sqref="AJ93"/>
    </sheetView>
  </sheetViews>
  <sheetFormatPr baseColWidth="10" defaultRowHeight="14.4" x14ac:dyDescent="0.3"/>
  <cols>
    <col min="2" max="2" width="8.77734375" customWidth="1"/>
    <col min="3" max="3" width="12.21875" bestFit="1" customWidth="1"/>
    <col min="4" max="8" width="11.33203125" hidden="1" customWidth="1"/>
    <col min="9" max="9" width="15.21875" style="321" bestFit="1" customWidth="1"/>
    <col min="10" max="10" width="9.88671875" style="70" customWidth="1"/>
    <col min="11" max="11" width="10.109375" style="70" customWidth="1"/>
    <col min="12" max="12" width="10.6640625" style="70" customWidth="1"/>
    <col min="13" max="13" width="9.77734375" style="70" hidden="1" customWidth="1"/>
    <col min="14" max="14" width="13.77734375" style="70" customWidth="1"/>
    <col min="15" max="15" width="10.88671875" style="70" customWidth="1"/>
    <col min="16" max="16" width="19.109375" style="70" customWidth="1"/>
    <col min="17" max="17" width="17" style="70" customWidth="1"/>
    <col min="18" max="18" width="19.6640625" style="70" hidden="1" customWidth="1"/>
    <col min="19" max="19" width="15.21875" style="70" customWidth="1"/>
    <col min="20" max="20" width="12.88671875" style="70" customWidth="1"/>
    <col min="21" max="21" width="17.21875" style="70" customWidth="1"/>
    <col min="22" max="22" width="17.88671875" style="70" customWidth="1"/>
    <col min="23" max="23" width="16.109375" style="70" hidden="1" customWidth="1"/>
    <col min="24" max="24" width="16.77734375" style="70" customWidth="1"/>
    <col min="25" max="29" width="11.33203125" style="70" customWidth="1"/>
    <col min="30" max="30" width="16.21875" style="70" customWidth="1"/>
    <col min="31" max="31" width="25.21875" style="70" customWidth="1"/>
    <col min="32" max="32" width="19.6640625" style="70" customWidth="1"/>
    <col min="33" max="33" width="21.6640625" style="70" hidden="1" customWidth="1"/>
    <col min="34" max="34" width="20.33203125" style="70" customWidth="1"/>
    <col min="35" max="36" width="19.6640625" style="70" customWidth="1"/>
    <col min="37" max="37" width="16.33203125" customWidth="1"/>
    <col min="38" max="39" width="17.33203125" customWidth="1"/>
    <col min="40" max="40" width="17.33203125" hidden="1" customWidth="1"/>
    <col min="41" max="41" width="17.33203125" customWidth="1"/>
    <col min="42" max="46" width="16.109375" customWidth="1"/>
    <col min="47" max="47" width="18.109375" customWidth="1"/>
    <col min="48" max="49" width="18.33203125" customWidth="1"/>
    <col min="50" max="50" width="17.88671875" hidden="1" customWidth="1"/>
    <col min="51" max="51" width="19.6640625" customWidth="1"/>
    <col min="52" max="52" width="13.88671875" bestFit="1" customWidth="1"/>
    <col min="53" max="53" width="12.21875" customWidth="1"/>
    <col min="54" max="54" width="13.109375" customWidth="1"/>
    <col min="55" max="55" width="13" hidden="1" customWidth="1"/>
    <col min="56" max="56" width="11.21875" hidden="1" customWidth="1"/>
  </cols>
  <sheetData>
    <row r="1" spans="1:61" s="237" customFormat="1" ht="58.2" thickBot="1" x14ac:dyDescent="0.35">
      <c r="A1" s="215" t="s">
        <v>27</v>
      </c>
      <c r="B1" s="215" t="s">
        <v>79</v>
      </c>
      <c r="C1" s="216" t="s">
        <v>26</v>
      </c>
      <c r="D1" s="217" t="s">
        <v>23</v>
      </c>
      <c r="E1" s="218" t="s">
        <v>22</v>
      </c>
      <c r="F1" s="219" t="s">
        <v>21</v>
      </c>
      <c r="G1" s="219" t="s">
        <v>20</v>
      </c>
      <c r="H1" s="218" t="s">
        <v>19</v>
      </c>
      <c r="I1" s="320" t="s">
        <v>166</v>
      </c>
      <c r="J1" s="319" t="s">
        <v>129</v>
      </c>
      <c r="K1" s="220" t="s">
        <v>130</v>
      </c>
      <c r="L1" s="220" t="s">
        <v>131</v>
      </c>
      <c r="M1" s="220" t="s">
        <v>132</v>
      </c>
      <c r="N1" s="221" t="s">
        <v>133</v>
      </c>
      <c r="O1" s="222" t="s">
        <v>134</v>
      </c>
      <c r="P1" s="223" t="s">
        <v>135</v>
      </c>
      <c r="Q1" s="223" t="s">
        <v>136</v>
      </c>
      <c r="R1" s="223" t="s">
        <v>137</v>
      </c>
      <c r="S1" s="223" t="s">
        <v>138</v>
      </c>
      <c r="T1" s="224" t="s">
        <v>140</v>
      </c>
      <c r="U1" s="225" t="s">
        <v>141</v>
      </c>
      <c r="V1" s="226" t="s">
        <v>142</v>
      </c>
      <c r="W1" s="226" t="s">
        <v>143</v>
      </c>
      <c r="X1" s="227" t="s">
        <v>139</v>
      </c>
      <c r="Y1" s="228" t="s">
        <v>97</v>
      </c>
      <c r="Z1" s="229" t="s">
        <v>98</v>
      </c>
      <c r="AA1" s="230" t="s">
        <v>99</v>
      </c>
      <c r="AB1" s="230" t="s">
        <v>100</v>
      </c>
      <c r="AC1" s="231" t="s">
        <v>101</v>
      </c>
      <c r="AD1" s="232" t="s">
        <v>144</v>
      </c>
      <c r="AE1" s="233" t="s">
        <v>148</v>
      </c>
      <c r="AF1" s="234" t="s">
        <v>147</v>
      </c>
      <c r="AG1" s="234" t="s">
        <v>146</v>
      </c>
      <c r="AH1" s="235" t="s">
        <v>145</v>
      </c>
      <c r="AI1" s="404" t="s">
        <v>102</v>
      </c>
      <c r="AJ1" s="404" t="s">
        <v>330</v>
      </c>
      <c r="AK1" s="210" t="s">
        <v>103</v>
      </c>
      <c r="AL1" s="211" t="s">
        <v>104</v>
      </c>
      <c r="AM1" s="211" t="s">
        <v>105</v>
      </c>
      <c r="AN1" s="211" t="s">
        <v>106</v>
      </c>
      <c r="AO1" s="212" t="s">
        <v>107</v>
      </c>
      <c r="AP1" s="236" t="s">
        <v>128</v>
      </c>
      <c r="AQ1" s="229" t="s">
        <v>127</v>
      </c>
      <c r="AR1" s="230" t="s">
        <v>126</v>
      </c>
      <c r="AS1" s="230" t="s">
        <v>125</v>
      </c>
      <c r="AT1" s="231" t="s">
        <v>124</v>
      </c>
      <c r="AU1" s="236" t="s">
        <v>108</v>
      </c>
      <c r="AV1" s="230" t="s">
        <v>109</v>
      </c>
      <c r="AW1" s="230" t="s">
        <v>110</v>
      </c>
      <c r="AX1" s="230" t="s">
        <v>111</v>
      </c>
      <c r="AY1" s="231" t="s">
        <v>112</v>
      </c>
      <c r="AZ1" s="213" t="s">
        <v>73</v>
      </c>
      <c r="BA1" s="213" t="s">
        <v>74</v>
      </c>
      <c r="BB1" s="213" t="s">
        <v>115</v>
      </c>
      <c r="BC1" s="213" t="s">
        <v>113</v>
      </c>
      <c r="BD1" s="214" t="s">
        <v>114</v>
      </c>
    </row>
    <row r="2" spans="1:61" ht="15" thickBot="1" x14ac:dyDescent="0.35">
      <c r="A2" s="180">
        <v>45992</v>
      </c>
      <c r="B2" s="260">
        <f>DAY(Tabla2[[#This Row],[FECHA]])</f>
        <v>1</v>
      </c>
      <c r="C2" s="181" t="s">
        <v>28</v>
      </c>
      <c r="D2" s="182"/>
      <c r="E2" s="183"/>
      <c r="F2" s="184"/>
      <c r="G2" s="184"/>
      <c r="H2" s="183"/>
      <c r="I2" s="390">
        <f>Tabla2[[#This Row],[VOLUMEN ENVIADO A RO (m3)]]/Tabla2[[#This Row],[Q DE OPERACIÓN (m3/h)]]</f>
        <v>0</v>
      </c>
      <c r="J2" s="373">
        <v>0</v>
      </c>
      <c r="K2" s="373">
        <v>52</v>
      </c>
      <c r="L2" s="375">
        <v>32</v>
      </c>
      <c r="M2" s="374">
        <v>0</v>
      </c>
      <c r="N2" s="375">
        <v>0</v>
      </c>
      <c r="O2" s="238">
        <v>0</v>
      </c>
      <c r="P2" s="239">
        <v>456.14035087719299</v>
      </c>
      <c r="Q2" s="239">
        <v>280.70175438596493</v>
      </c>
      <c r="R2" s="239">
        <v>0</v>
      </c>
      <c r="S2" s="240">
        <v>0</v>
      </c>
      <c r="T2" s="241">
        <v>0</v>
      </c>
      <c r="U2" s="242">
        <v>0</v>
      </c>
      <c r="V2" s="242">
        <v>0</v>
      </c>
      <c r="W2" s="242">
        <v>0</v>
      </c>
      <c r="X2" s="243">
        <v>0</v>
      </c>
      <c r="Y2" s="244">
        <v>1.18</v>
      </c>
      <c r="Z2" s="244">
        <v>1.28</v>
      </c>
      <c r="AA2" s="244">
        <v>1.2</v>
      </c>
      <c r="AB2" s="244">
        <v>1.53</v>
      </c>
      <c r="AC2" s="244">
        <v>1.2</v>
      </c>
      <c r="AD2" s="241">
        <v>0</v>
      </c>
      <c r="AE2" s="242">
        <v>0</v>
      </c>
      <c r="AF2" s="242">
        <v>0</v>
      </c>
      <c r="AG2" s="242">
        <v>0</v>
      </c>
      <c r="AH2" s="243">
        <v>0</v>
      </c>
      <c r="AI2" s="561">
        <v>0</v>
      </c>
      <c r="AJ2" s="411">
        <v>55</v>
      </c>
      <c r="AK2" s="185" t="e">
        <f t="shared" ref="AK2:AO2" si="0">(AD2*1000)/$AI2</f>
        <v>#DIV/0!</v>
      </c>
      <c r="AL2" s="186" t="e">
        <f t="shared" si="0"/>
        <v>#DIV/0!</v>
      </c>
      <c r="AM2" s="186" t="e">
        <f t="shared" si="0"/>
        <v>#DIV/0!</v>
      </c>
      <c r="AN2" s="186" t="e">
        <f t="shared" si="0"/>
        <v>#DIV/0!</v>
      </c>
      <c r="AO2" s="187" t="e">
        <f t="shared" si="0"/>
        <v>#DIV/0!</v>
      </c>
      <c r="AP2" s="159">
        <v>1550</v>
      </c>
      <c r="AQ2" s="160">
        <v>19462</v>
      </c>
      <c r="AR2" s="160">
        <v>36854</v>
      </c>
      <c r="AS2" s="160">
        <v>1560</v>
      </c>
      <c r="AT2" s="161">
        <v>3640</v>
      </c>
      <c r="AU2" s="159">
        <f t="shared" ref="AU2:AU65" si="1">AP2*(AE2*0.8)</f>
        <v>0</v>
      </c>
      <c r="AV2" s="160">
        <f>AQ2*(AF2*0.012)</f>
        <v>0</v>
      </c>
      <c r="AW2" s="160">
        <f>AR2*(AG2*0.044)</f>
        <v>0</v>
      </c>
      <c r="AX2" s="160">
        <f t="shared" ref="AX2:AX65" si="2">AS2*AH2</f>
        <v>0</v>
      </c>
      <c r="AY2" s="161">
        <f t="shared" ref="AY2:AY65" si="3">AT2*(AI2*0.025)</f>
        <v>0</v>
      </c>
      <c r="AZ2" s="159">
        <f t="shared" ref="AZ2:AZ33" si="4">AU2+AV2+AW2+AX2+AY2</f>
        <v>0</v>
      </c>
      <c r="BA2" s="160">
        <v>1000</v>
      </c>
      <c r="BB2" s="160" t="e">
        <f>$AZ2/AI2</f>
        <v>#DIV/0!</v>
      </c>
      <c r="BC2" s="157" t="e">
        <f>$AZ2/#REF!</f>
        <v>#REF!</v>
      </c>
      <c r="BD2" s="158" t="e">
        <f>$AZ2/#REF!</f>
        <v>#REF!</v>
      </c>
    </row>
    <row r="3" spans="1:61" ht="15" thickBot="1" x14ac:dyDescent="0.35">
      <c r="A3" s="188">
        <f>+A2</f>
        <v>45992</v>
      </c>
      <c r="B3" s="261">
        <f>DAY(Tabla2[[#This Row],[FECHA]])</f>
        <v>1</v>
      </c>
      <c r="C3" s="189" t="s">
        <v>29</v>
      </c>
      <c r="D3" s="190"/>
      <c r="E3" s="191"/>
      <c r="F3" s="192"/>
      <c r="G3" s="192"/>
      <c r="H3" s="191"/>
      <c r="I3" s="390">
        <f>Tabla2[[#This Row],[VOLUMEN ENVIADO A RO (m3)]]/Tabla2[[#This Row],[Q DE OPERACIÓN (m3/h)]]</f>
        <v>0</v>
      </c>
      <c r="J3" s="373">
        <v>0</v>
      </c>
      <c r="K3" s="377">
        <v>52</v>
      </c>
      <c r="L3" s="378">
        <v>32</v>
      </c>
      <c r="M3" s="377">
        <v>0</v>
      </c>
      <c r="N3" s="378">
        <v>0</v>
      </c>
      <c r="O3" s="245">
        <v>0</v>
      </c>
      <c r="P3" s="246">
        <v>456.14035087719299</v>
      </c>
      <c r="Q3" s="246">
        <v>280.70175438596493</v>
      </c>
      <c r="R3" s="246">
        <v>0</v>
      </c>
      <c r="S3" s="247">
        <v>0</v>
      </c>
      <c r="T3" s="241">
        <v>0</v>
      </c>
      <c r="U3" s="242">
        <v>0</v>
      </c>
      <c r="V3" s="242">
        <v>0</v>
      </c>
      <c r="W3" s="242">
        <v>0</v>
      </c>
      <c r="X3" s="243">
        <v>0</v>
      </c>
      <c r="Y3" s="248">
        <v>1.18</v>
      </c>
      <c r="Z3" s="248">
        <v>1.28</v>
      </c>
      <c r="AA3" s="248">
        <v>1.2</v>
      </c>
      <c r="AB3" s="248">
        <v>1.53</v>
      </c>
      <c r="AC3" s="248">
        <v>1.2</v>
      </c>
      <c r="AD3" s="241">
        <v>0</v>
      </c>
      <c r="AE3" s="242">
        <v>0</v>
      </c>
      <c r="AF3" s="242">
        <v>0</v>
      </c>
      <c r="AG3" s="242">
        <v>0</v>
      </c>
      <c r="AH3" s="243">
        <v>0</v>
      </c>
      <c r="AI3" s="562">
        <v>0</v>
      </c>
      <c r="AJ3" s="411">
        <v>55</v>
      </c>
      <c r="AK3" s="185" t="e">
        <f t="shared" ref="AK3:AK66" si="5">(AD3*1000)/$AI3</f>
        <v>#DIV/0!</v>
      </c>
      <c r="AL3" s="186" t="e">
        <f t="shared" ref="AL3:AL66" si="6">(AE3*1000)/$AI3</f>
        <v>#DIV/0!</v>
      </c>
      <c r="AM3" s="186" t="e">
        <f t="shared" ref="AM3:AM66" si="7">(AF3*1000)/$AI3</f>
        <v>#DIV/0!</v>
      </c>
      <c r="AN3" s="186" t="e">
        <f t="shared" ref="AN3:AN66" si="8">(AG3*1000)/$AI3</f>
        <v>#DIV/0!</v>
      </c>
      <c r="AO3" s="187" t="e">
        <f t="shared" ref="AO3:AO66" si="9">(AH3*1000)/$AI3</f>
        <v>#DIV/0!</v>
      </c>
      <c r="AP3" s="159">
        <f t="shared" ref="AP3:AT18" si="10">AP2</f>
        <v>1550</v>
      </c>
      <c r="AQ3" s="160">
        <f t="shared" si="10"/>
        <v>19462</v>
      </c>
      <c r="AR3" s="160">
        <f t="shared" si="10"/>
        <v>36854</v>
      </c>
      <c r="AS3" s="160">
        <f t="shared" si="10"/>
        <v>1560</v>
      </c>
      <c r="AT3" s="161">
        <f t="shared" si="10"/>
        <v>3640</v>
      </c>
      <c r="AU3" s="159">
        <f t="shared" si="1"/>
        <v>0</v>
      </c>
      <c r="AV3" s="160">
        <f t="shared" ref="AV3:AV66" si="11">AQ3*(AF3*0.012)</f>
        <v>0</v>
      </c>
      <c r="AW3" s="160">
        <f t="shared" ref="AW3:AW66" si="12">AR3*(AG3*0.044)</f>
        <v>0</v>
      </c>
      <c r="AX3" s="160">
        <f t="shared" si="2"/>
        <v>0</v>
      </c>
      <c r="AY3" s="161">
        <f t="shared" si="3"/>
        <v>0</v>
      </c>
      <c r="AZ3" s="159">
        <f t="shared" si="4"/>
        <v>0</v>
      </c>
      <c r="BA3" s="160">
        <v>1000</v>
      </c>
      <c r="BB3" s="160" t="e">
        <f>AZ3/AI3</f>
        <v>#DIV/0!</v>
      </c>
      <c r="BC3" s="157" t="e">
        <f>$AZ3/#REF!</f>
        <v>#REF!</v>
      </c>
      <c r="BD3" s="158" t="e">
        <f>$AZ3/#REF!</f>
        <v>#REF!</v>
      </c>
    </row>
    <row r="4" spans="1:61" ht="15" thickBot="1" x14ac:dyDescent="0.35">
      <c r="A4" s="193">
        <f>+A3</f>
        <v>45992</v>
      </c>
      <c r="B4" s="262">
        <f>DAY(Tabla2[[#This Row],[FECHA]])</f>
        <v>1</v>
      </c>
      <c r="C4" s="194" t="s">
        <v>30</v>
      </c>
      <c r="D4" s="195"/>
      <c r="E4" s="196"/>
      <c r="F4" s="197"/>
      <c r="G4" s="198"/>
      <c r="H4" s="199"/>
      <c r="I4" s="390">
        <f>Tabla2[[#This Row],[VOLUMEN ENVIADO A RO (m3)]]/Tabla2[[#This Row],[Q DE OPERACIÓN (m3/h)]]</f>
        <v>0</v>
      </c>
      <c r="J4" s="373">
        <v>0</v>
      </c>
      <c r="K4" s="380">
        <v>52</v>
      </c>
      <c r="L4" s="381">
        <v>32</v>
      </c>
      <c r="M4" s="380">
        <v>0</v>
      </c>
      <c r="N4" s="381">
        <v>0</v>
      </c>
      <c r="O4" s="249">
        <v>0</v>
      </c>
      <c r="P4" s="250">
        <v>456.14035087719299</v>
      </c>
      <c r="Q4" s="250">
        <v>280.70175438596493</v>
      </c>
      <c r="R4" s="250">
        <v>0</v>
      </c>
      <c r="S4" s="251">
        <v>0</v>
      </c>
      <c r="T4" s="241">
        <v>0</v>
      </c>
      <c r="U4" s="242">
        <v>0</v>
      </c>
      <c r="V4" s="242">
        <v>0</v>
      </c>
      <c r="W4" s="242">
        <v>0</v>
      </c>
      <c r="X4" s="243">
        <v>0</v>
      </c>
      <c r="Y4" s="248">
        <v>1.18</v>
      </c>
      <c r="Z4" s="248">
        <v>1.28</v>
      </c>
      <c r="AA4" s="248">
        <v>1.2</v>
      </c>
      <c r="AB4" s="248">
        <v>1.53</v>
      </c>
      <c r="AC4" s="248">
        <v>1.2</v>
      </c>
      <c r="AD4" s="252">
        <v>0</v>
      </c>
      <c r="AE4" s="253">
        <v>0</v>
      </c>
      <c r="AF4" s="253">
        <v>0</v>
      </c>
      <c r="AG4" s="253">
        <v>0</v>
      </c>
      <c r="AH4" s="254">
        <v>0</v>
      </c>
      <c r="AI4" s="563">
        <v>0</v>
      </c>
      <c r="AJ4" s="411">
        <v>55</v>
      </c>
      <c r="AK4" s="185" t="e">
        <f t="shared" si="5"/>
        <v>#DIV/0!</v>
      </c>
      <c r="AL4" s="186" t="e">
        <f t="shared" si="6"/>
        <v>#DIV/0!</v>
      </c>
      <c r="AM4" s="186" t="e">
        <f t="shared" si="7"/>
        <v>#DIV/0!</v>
      </c>
      <c r="AN4" s="186" t="e">
        <f t="shared" si="8"/>
        <v>#DIV/0!</v>
      </c>
      <c r="AO4" s="187" t="e">
        <f t="shared" si="9"/>
        <v>#DIV/0!</v>
      </c>
      <c r="AP4" s="159">
        <f t="shared" si="10"/>
        <v>1550</v>
      </c>
      <c r="AQ4" s="160">
        <f t="shared" si="10"/>
        <v>19462</v>
      </c>
      <c r="AR4" s="160">
        <f t="shared" si="10"/>
        <v>36854</v>
      </c>
      <c r="AS4" s="160">
        <f t="shared" si="10"/>
        <v>1560</v>
      </c>
      <c r="AT4" s="161">
        <f t="shared" si="10"/>
        <v>3640</v>
      </c>
      <c r="AU4" s="162">
        <f t="shared" si="1"/>
        <v>0</v>
      </c>
      <c r="AV4" s="163">
        <f t="shared" si="11"/>
        <v>0</v>
      </c>
      <c r="AW4" s="163">
        <f t="shared" si="12"/>
        <v>0</v>
      </c>
      <c r="AX4" s="163">
        <f t="shared" si="2"/>
        <v>0</v>
      </c>
      <c r="AY4" s="164">
        <f t="shared" si="3"/>
        <v>0</v>
      </c>
      <c r="AZ4" s="162">
        <f t="shared" si="4"/>
        <v>0</v>
      </c>
      <c r="BA4" s="163">
        <v>1000</v>
      </c>
      <c r="BB4" s="163" t="e">
        <f>AZ4/AI4</f>
        <v>#DIV/0!</v>
      </c>
      <c r="BC4" s="153"/>
      <c r="BD4" s="156"/>
      <c r="BF4" s="408"/>
      <c r="BH4" s="409"/>
      <c r="BI4" s="408"/>
    </row>
    <row r="5" spans="1:61" ht="15" thickBot="1" x14ac:dyDescent="0.35">
      <c r="A5" s="200">
        <f>+A4+1</f>
        <v>45993</v>
      </c>
      <c r="B5" s="150">
        <f>DAY(Tabla2[[#This Row],[FECHA]])</f>
        <v>2</v>
      </c>
      <c r="C5" s="181" t="s">
        <v>28</v>
      </c>
      <c r="D5" s="201"/>
      <c r="E5" s="202"/>
      <c r="F5" s="203"/>
      <c r="G5" s="203"/>
      <c r="H5" s="202"/>
      <c r="I5" s="390">
        <f>Tabla2[[#This Row],[VOLUMEN ENVIADO A RO (m3)]]/Tabla2[[#This Row],[Q DE OPERACIÓN (m3/h)]]</f>
        <v>0</v>
      </c>
      <c r="J5" s="373">
        <v>0</v>
      </c>
      <c r="K5" s="374">
        <v>52</v>
      </c>
      <c r="L5" s="375">
        <v>32</v>
      </c>
      <c r="M5" s="374">
        <v>0</v>
      </c>
      <c r="N5" s="375">
        <v>0</v>
      </c>
      <c r="O5" s="255">
        <v>0</v>
      </c>
      <c r="P5" s="256">
        <v>456.14035087719299</v>
      </c>
      <c r="Q5" s="239">
        <v>280.70175438596493</v>
      </c>
      <c r="R5" s="256">
        <v>0</v>
      </c>
      <c r="S5" s="256">
        <v>0</v>
      </c>
      <c r="T5" s="241">
        <v>0</v>
      </c>
      <c r="U5" s="242">
        <v>0</v>
      </c>
      <c r="V5" s="242">
        <v>0</v>
      </c>
      <c r="W5" s="242">
        <v>0</v>
      </c>
      <c r="X5" s="243">
        <v>0</v>
      </c>
      <c r="Y5" s="248">
        <v>1.18</v>
      </c>
      <c r="Z5" s="248">
        <v>1.28</v>
      </c>
      <c r="AA5" s="248">
        <v>1.2</v>
      </c>
      <c r="AB5" s="248">
        <v>1.53</v>
      </c>
      <c r="AC5" s="248">
        <v>1.2</v>
      </c>
      <c r="AD5" s="257">
        <v>0</v>
      </c>
      <c r="AE5" s="258">
        <v>0</v>
      </c>
      <c r="AF5" s="258">
        <v>0</v>
      </c>
      <c r="AG5" s="258">
        <v>0</v>
      </c>
      <c r="AH5" s="259">
        <v>0</v>
      </c>
      <c r="AI5" s="561">
        <v>0</v>
      </c>
      <c r="AJ5" s="411">
        <v>55</v>
      </c>
      <c r="AK5" s="185" t="e">
        <f t="shared" si="5"/>
        <v>#DIV/0!</v>
      </c>
      <c r="AL5" s="186" t="e">
        <f t="shared" si="6"/>
        <v>#DIV/0!</v>
      </c>
      <c r="AM5" s="186" t="e">
        <f t="shared" si="7"/>
        <v>#DIV/0!</v>
      </c>
      <c r="AN5" s="186" t="e">
        <f t="shared" si="8"/>
        <v>#DIV/0!</v>
      </c>
      <c r="AO5" s="187" t="e">
        <f t="shared" si="9"/>
        <v>#DIV/0!</v>
      </c>
      <c r="AP5" s="159">
        <f t="shared" si="10"/>
        <v>1550</v>
      </c>
      <c r="AQ5" s="160">
        <f t="shared" si="10"/>
        <v>19462</v>
      </c>
      <c r="AR5" s="160">
        <f t="shared" si="10"/>
        <v>36854</v>
      </c>
      <c r="AS5" s="160">
        <f t="shared" si="10"/>
        <v>1560</v>
      </c>
      <c r="AT5" s="161">
        <f t="shared" si="10"/>
        <v>3640</v>
      </c>
      <c r="AU5" s="159">
        <f t="shared" si="1"/>
        <v>0</v>
      </c>
      <c r="AV5" s="160">
        <f t="shared" si="11"/>
        <v>0</v>
      </c>
      <c r="AW5" s="160">
        <f t="shared" si="12"/>
        <v>0</v>
      </c>
      <c r="AX5" s="160">
        <f t="shared" si="2"/>
        <v>0</v>
      </c>
      <c r="AY5" s="161">
        <f t="shared" si="3"/>
        <v>0</v>
      </c>
      <c r="AZ5" s="159">
        <f t="shared" si="4"/>
        <v>0</v>
      </c>
      <c r="BA5" s="160">
        <v>1000</v>
      </c>
      <c r="BB5" s="160" t="e">
        <f>AZ5/AI5</f>
        <v>#DIV/0!</v>
      </c>
      <c r="BC5" s="154"/>
      <c r="BD5" s="155"/>
      <c r="BF5" s="408"/>
      <c r="BH5" s="409"/>
      <c r="BI5" s="408"/>
    </row>
    <row r="6" spans="1:61" ht="15" thickBot="1" x14ac:dyDescent="0.35">
      <c r="A6" s="204">
        <f>+A5</f>
        <v>45993</v>
      </c>
      <c r="B6" s="263">
        <f>DAY(Tabla2[[#This Row],[FECHA]])</f>
        <v>2</v>
      </c>
      <c r="C6" s="189" t="s">
        <v>29</v>
      </c>
      <c r="D6" s="190"/>
      <c r="E6" s="191"/>
      <c r="F6" s="192"/>
      <c r="G6" s="192"/>
      <c r="H6" s="191"/>
      <c r="I6" s="390">
        <f>Tabla2[[#This Row],[VOLUMEN ENVIADO A RO (m3)]]/Tabla2[[#This Row],[Q DE OPERACIÓN (m3/h)]]</f>
        <v>4.680890909090909</v>
      </c>
      <c r="J6" s="373">
        <v>0</v>
      </c>
      <c r="K6" s="377">
        <v>52</v>
      </c>
      <c r="L6" s="378">
        <v>32</v>
      </c>
      <c r="M6" s="377">
        <v>0</v>
      </c>
      <c r="N6" s="378">
        <v>0</v>
      </c>
      <c r="O6" s="245">
        <v>0</v>
      </c>
      <c r="P6" s="246">
        <v>456.14035087719299</v>
      </c>
      <c r="Q6" s="246">
        <v>280.70175438596493</v>
      </c>
      <c r="R6" s="246">
        <v>0</v>
      </c>
      <c r="S6" s="246">
        <v>0</v>
      </c>
      <c r="T6" s="241">
        <v>0</v>
      </c>
      <c r="U6" s="242">
        <v>0</v>
      </c>
      <c r="V6" s="242">
        <v>0</v>
      </c>
      <c r="W6" s="242">
        <v>0</v>
      </c>
      <c r="X6" s="243">
        <v>0</v>
      </c>
      <c r="Y6" s="248">
        <v>1.18</v>
      </c>
      <c r="Z6" s="248">
        <v>1.28</v>
      </c>
      <c r="AA6" s="248">
        <v>1.2</v>
      </c>
      <c r="AB6" s="248">
        <v>1.53</v>
      </c>
      <c r="AC6" s="248">
        <v>1.2</v>
      </c>
      <c r="AD6" s="241">
        <v>0</v>
      </c>
      <c r="AE6" s="242">
        <v>0</v>
      </c>
      <c r="AF6" s="242">
        <v>0</v>
      </c>
      <c r="AG6" s="242">
        <v>0</v>
      </c>
      <c r="AH6" s="243">
        <v>0</v>
      </c>
      <c r="AI6" s="562">
        <v>257.44900000000001</v>
      </c>
      <c r="AJ6" s="411">
        <v>55</v>
      </c>
      <c r="AK6" s="185">
        <f t="shared" si="5"/>
        <v>0</v>
      </c>
      <c r="AL6" s="186">
        <f t="shared" si="6"/>
        <v>0</v>
      </c>
      <c r="AM6" s="186">
        <f t="shared" si="7"/>
        <v>0</v>
      </c>
      <c r="AN6" s="186">
        <f t="shared" si="8"/>
        <v>0</v>
      </c>
      <c r="AO6" s="187">
        <f t="shared" si="9"/>
        <v>0</v>
      </c>
      <c r="AP6" s="159">
        <f t="shared" si="10"/>
        <v>1550</v>
      </c>
      <c r="AQ6" s="160">
        <f t="shared" si="10"/>
        <v>19462</v>
      </c>
      <c r="AR6" s="160">
        <f t="shared" si="10"/>
        <v>36854</v>
      </c>
      <c r="AS6" s="160">
        <f t="shared" si="10"/>
        <v>1560</v>
      </c>
      <c r="AT6" s="161">
        <f t="shared" si="10"/>
        <v>3640</v>
      </c>
      <c r="AU6" s="159">
        <f t="shared" si="1"/>
        <v>0</v>
      </c>
      <c r="AV6" s="160">
        <f t="shared" si="11"/>
        <v>0</v>
      </c>
      <c r="AW6" s="160">
        <f t="shared" si="12"/>
        <v>0</v>
      </c>
      <c r="AX6" s="160">
        <f t="shared" si="2"/>
        <v>0</v>
      </c>
      <c r="AY6" s="161">
        <f t="shared" si="3"/>
        <v>23427.859</v>
      </c>
      <c r="AZ6" s="159">
        <f t="shared" si="4"/>
        <v>23427.859</v>
      </c>
      <c r="BA6" s="160">
        <v>1000</v>
      </c>
      <c r="BB6" s="160">
        <f>AZ6/AI6</f>
        <v>91</v>
      </c>
      <c r="BC6" s="154"/>
      <c r="BD6" s="155"/>
      <c r="BF6" s="408"/>
      <c r="BH6" s="409"/>
      <c r="BI6" s="408"/>
    </row>
    <row r="7" spans="1:61" ht="15" thickBot="1" x14ac:dyDescent="0.35">
      <c r="A7" s="205">
        <f>+A6</f>
        <v>45993</v>
      </c>
      <c r="B7" s="264">
        <f>DAY(Tabla2[[#This Row],[FECHA]])</f>
        <v>2</v>
      </c>
      <c r="C7" s="194" t="s">
        <v>30</v>
      </c>
      <c r="D7" s="195"/>
      <c r="E7" s="196"/>
      <c r="F7" s="197"/>
      <c r="G7" s="198"/>
      <c r="H7" s="199"/>
      <c r="I7" s="390">
        <f>Tabla2[[#This Row],[VOLUMEN ENVIADO A RO (m3)]]/Tabla2[[#This Row],[Q DE OPERACIÓN (m3/h)]]</f>
        <v>0</v>
      </c>
      <c r="J7" s="373">
        <v>0</v>
      </c>
      <c r="K7" s="380">
        <v>52</v>
      </c>
      <c r="L7" s="381">
        <v>32</v>
      </c>
      <c r="M7" s="380">
        <v>0</v>
      </c>
      <c r="N7" s="381">
        <v>0</v>
      </c>
      <c r="O7" s="249">
        <v>0</v>
      </c>
      <c r="P7" s="250">
        <v>456.14035087719299</v>
      </c>
      <c r="Q7" s="250">
        <v>280.70175438596493</v>
      </c>
      <c r="R7" s="250">
        <v>0</v>
      </c>
      <c r="S7" s="250">
        <v>0</v>
      </c>
      <c r="T7" s="241">
        <v>0</v>
      </c>
      <c r="U7" s="242">
        <v>0</v>
      </c>
      <c r="V7" s="242">
        <v>0</v>
      </c>
      <c r="W7" s="242">
        <v>0</v>
      </c>
      <c r="X7" s="243">
        <v>0</v>
      </c>
      <c r="Y7" s="248">
        <v>1.18</v>
      </c>
      <c r="Z7" s="248">
        <v>1.28</v>
      </c>
      <c r="AA7" s="248">
        <v>1.2</v>
      </c>
      <c r="AB7" s="248">
        <v>1.53</v>
      </c>
      <c r="AC7" s="248">
        <v>1.2</v>
      </c>
      <c r="AD7" s="252">
        <v>0</v>
      </c>
      <c r="AE7" s="253">
        <v>0</v>
      </c>
      <c r="AF7" s="253">
        <v>0</v>
      </c>
      <c r="AG7" s="253">
        <v>0</v>
      </c>
      <c r="AH7" s="254">
        <v>0</v>
      </c>
      <c r="AI7" s="563">
        <v>0</v>
      </c>
      <c r="AJ7" s="411">
        <v>55</v>
      </c>
      <c r="AK7" s="185" t="e">
        <f t="shared" si="5"/>
        <v>#DIV/0!</v>
      </c>
      <c r="AL7" s="186" t="e">
        <f t="shared" si="6"/>
        <v>#DIV/0!</v>
      </c>
      <c r="AM7" s="186" t="e">
        <f t="shared" si="7"/>
        <v>#DIV/0!</v>
      </c>
      <c r="AN7" s="186" t="e">
        <f t="shared" si="8"/>
        <v>#DIV/0!</v>
      </c>
      <c r="AO7" s="187" t="e">
        <f t="shared" si="9"/>
        <v>#DIV/0!</v>
      </c>
      <c r="AP7" s="159">
        <f t="shared" si="10"/>
        <v>1550</v>
      </c>
      <c r="AQ7" s="160">
        <f t="shared" si="10"/>
        <v>19462</v>
      </c>
      <c r="AR7" s="160">
        <f t="shared" si="10"/>
        <v>36854</v>
      </c>
      <c r="AS7" s="160">
        <f t="shared" si="10"/>
        <v>1560</v>
      </c>
      <c r="AT7" s="161">
        <f t="shared" si="10"/>
        <v>3640</v>
      </c>
      <c r="AU7" s="162">
        <f t="shared" si="1"/>
        <v>0</v>
      </c>
      <c r="AV7" s="163">
        <f t="shared" si="11"/>
        <v>0</v>
      </c>
      <c r="AW7" s="163">
        <f t="shared" si="12"/>
        <v>0</v>
      </c>
      <c r="AX7" s="163">
        <f t="shared" si="2"/>
        <v>0</v>
      </c>
      <c r="AY7" s="164">
        <f t="shared" si="3"/>
        <v>0</v>
      </c>
      <c r="AZ7" s="162">
        <f t="shared" si="4"/>
        <v>0</v>
      </c>
      <c r="BA7" s="163">
        <v>1000</v>
      </c>
      <c r="BB7" s="163" t="e">
        <f>AZ7/AI9</f>
        <v>#DIV/0!</v>
      </c>
      <c r="BC7" s="153"/>
      <c r="BD7" s="156"/>
      <c r="BF7" s="408"/>
      <c r="BH7" s="409"/>
      <c r="BI7" s="408"/>
    </row>
    <row r="8" spans="1:61" ht="15" thickBot="1" x14ac:dyDescent="0.35">
      <c r="A8" s="200">
        <f>+A7+1</f>
        <v>45994</v>
      </c>
      <c r="B8" s="150">
        <f>DAY(Tabla2[[#This Row],[FECHA]])</f>
        <v>3</v>
      </c>
      <c r="C8" s="181" t="s">
        <v>28</v>
      </c>
      <c r="D8" s="201"/>
      <c r="E8" s="202"/>
      <c r="F8" s="203"/>
      <c r="G8" s="203"/>
      <c r="H8" s="202"/>
      <c r="I8" s="390">
        <f>Tabla2[[#This Row],[VOLUMEN ENVIADO A RO (m3)]]/Tabla2[[#This Row],[Q DE OPERACIÓN (m3/h)]]</f>
        <v>0</v>
      </c>
      <c r="J8" s="373">
        <v>0</v>
      </c>
      <c r="K8" s="374">
        <v>52</v>
      </c>
      <c r="L8" s="375">
        <v>32</v>
      </c>
      <c r="M8" s="374">
        <v>0</v>
      </c>
      <c r="N8" s="375">
        <v>0</v>
      </c>
      <c r="O8" s="255">
        <v>0</v>
      </c>
      <c r="P8" s="256">
        <v>456.14035087719299</v>
      </c>
      <c r="Q8" s="239">
        <v>280.70175438596493</v>
      </c>
      <c r="R8" s="256">
        <v>0</v>
      </c>
      <c r="S8" s="256">
        <v>0</v>
      </c>
      <c r="T8" s="241">
        <v>0</v>
      </c>
      <c r="U8" s="242">
        <v>0</v>
      </c>
      <c r="V8" s="242">
        <v>0</v>
      </c>
      <c r="W8" s="242">
        <v>0</v>
      </c>
      <c r="X8" s="243">
        <v>0</v>
      </c>
      <c r="Y8" s="248">
        <v>1.18</v>
      </c>
      <c r="Z8" s="248">
        <v>1.28</v>
      </c>
      <c r="AA8" s="248">
        <v>1.2</v>
      </c>
      <c r="AB8" s="248">
        <v>1.53</v>
      </c>
      <c r="AC8" s="248">
        <v>1.2</v>
      </c>
      <c r="AD8" s="257">
        <v>0</v>
      </c>
      <c r="AE8" s="258">
        <v>0</v>
      </c>
      <c r="AF8" s="258">
        <v>0</v>
      </c>
      <c r="AG8" s="258">
        <v>0</v>
      </c>
      <c r="AH8" s="259">
        <v>0</v>
      </c>
      <c r="AI8" s="561">
        <v>0</v>
      </c>
      <c r="AJ8" s="411">
        <v>55</v>
      </c>
      <c r="AK8" s="185" t="e">
        <f t="shared" si="5"/>
        <v>#DIV/0!</v>
      </c>
      <c r="AL8" s="186" t="e">
        <f t="shared" si="6"/>
        <v>#DIV/0!</v>
      </c>
      <c r="AM8" s="186" t="e">
        <f t="shared" si="7"/>
        <v>#DIV/0!</v>
      </c>
      <c r="AN8" s="186" t="e">
        <f t="shared" si="8"/>
        <v>#DIV/0!</v>
      </c>
      <c r="AO8" s="187" t="e">
        <f t="shared" si="9"/>
        <v>#DIV/0!</v>
      </c>
      <c r="AP8" s="159">
        <f t="shared" si="10"/>
        <v>1550</v>
      </c>
      <c r="AQ8" s="160">
        <f t="shared" si="10"/>
        <v>19462</v>
      </c>
      <c r="AR8" s="160">
        <f t="shared" si="10"/>
        <v>36854</v>
      </c>
      <c r="AS8" s="160">
        <f t="shared" si="10"/>
        <v>1560</v>
      </c>
      <c r="AT8" s="161">
        <f t="shared" si="10"/>
        <v>3640</v>
      </c>
      <c r="AU8" s="159">
        <f t="shared" si="1"/>
        <v>0</v>
      </c>
      <c r="AV8" s="160">
        <f t="shared" si="11"/>
        <v>0</v>
      </c>
      <c r="AW8" s="160">
        <f t="shared" si="12"/>
        <v>0</v>
      </c>
      <c r="AX8" s="160">
        <f t="shared" si="2"/>
        <v>0</v>
      </c>
      <c r="AY8" s="161">
        <f t="shared" si="3"/>
        <v>0</v>
      </c>
      <c r="AZ8" s="159">
        <f t="shared" si="4"/>
        <v>0</v>
      </c>
      <c r="BA8" s="160">
        <v>1000</v>
      </c>
      <c r="BB8" s="160" t="e">
        <f>AZ8/AI12</f>
        <v>#DIV/0!</v>
      </c>
      <c r="BC8" s="154"/>
      <c r="BD8" s="155"/>
      <c r="BF8" s="408"/>
      <c r="BH8" s="409"/>
      <c r="BI8" s="408"/>
    </row>
    <row r="9" spans="1:61" ht="15" thickBot="1" x14ac:dyDescent="0.35">
      <c r="A9" s="204">
        <f>+A8</f>
        <v>45994</v>
      </c>
      <c r="B9" s="263">
        <f>DAY(Tabla2[[#This Row],[FECHA]])</f>
        <v>3</v>
      </c>
      <c r="C9" s="189" t="s">
        <v>29</v>
      </c>
      <c r="D9" s="190"/>
      <c r="E9" s="191"/>
      <c r="F9" s="192"/>
      <c r="G9" s="192"/>
      <c r="H9" s="191"/>
      <c r="I9" s="390">
        <f>Tabla2[[#This Row],[VOLUMEN ENVIADO A RO (m3)]]/Tabla2[[#This Row],[Q DE OPERACIÓN (m3/h)]]</f>
        <v>0</v>
      </c>
      <c r="J9" s="373">
        <v>0</v>
      </c>
      <c r="K9" s="377">
        <v>52</v>
      </c>
      <c r="L9" s="378">
        <v>32</v>
      </c>
      <c r="M9" s="377">
        <v>0</v>
      </c>
      <c r="N9" s="378">
        <v>0</v>
      </c>
      <c r="O9" s="245">
        <v>0</v>
      </c>
      <c r="P9" s="246">
        <v>456.14035087719299</v>
      </c>
      <c r="Q9" s="246">
        <v>280.70175438596493</v>
      </c>
      <c r="R9" s="246">
        <v>0</v>
      </c>
      <c r="S9" s="246">
        <v>0</v>
      </c>
      <c r="T9" s="241">
        <v>0</v>
      </c>
      <c r="U9" s="242">
        <v>0</v>
      </c>
      <c r="V9" s="242">
        <v>0</v>
      </c>
      <c r="W9" s="242">
        <v>0</v>
      </c>
      <c r="X9" s="243">
        <v>0</v>
      </c>
      <c r="Y9" s="248">
        <v>1.18</v>
      </c>
      <c r="Z9" s="248">
        <v>1.28</v>
      </c>
      <c r="AA9" s="248">
        <v>1.2</v>
      </c>
      <c r="AB9" s="248">
        <v>1.53</v>
      </c>
      <c r="AC9" s="248">
        <v>1.2</v>
      </c>
      <c r="AD9" s="241">
        <v>0</v>
      </c>
      <c r="AE9" s="242">
        <v>0</v>
      </c>
      <c r="AF9" s="242">
        <v>0</v>
      </c>
      <c r="AG9" s="242">
        <v>0</v>
      </c>
      <c r="AH9" s="243">
        <v>0</v>
      </c>
      <c r="AI9" s="562">
        <v>0</v>
      </c>
      <c r="AJ9" s="411">
        <v>55</v>
      </c>
      <c r="AK9" s="185" t="e">
        <f t="shared" si="5"/>
        <v>#DIV/0!</v>
      </c>
      <c r="AL9" s="186" t="e">
        <f t="shared" si="6"/>
        <v>#DIV/0!</v>
      </c>
      <c r="AM9" s="186" t="e">
        <f t="shared" si="7"/>
        <v>#DIV/0!</v>
      </c>
      <c r="AN9" s="186" t="e">
        <f t="shared" si="8"/>
        <v>#DIV/0!</v>
      </c>
      <c r="AO9" s="187" t="e">
        <f t="shared" si="9"/>
        <v>#DIV/0!</v>
      </c>
      <c r="AP9" s="159">
        <f t="shared" si="10"/>
        <v>1550</v>
      </c>
      <c r="AQ9" s="160">
        <f t="shared" si="10"/>
        <v>19462</v>
      </c>
      <c r="AR9" s="160">
        <f t="shared" si="10"/>
        <v>36854</v>
      </c>
      <c r="AS9" s="160">
        <f t="shared" si="10"/>
        <v>1560</v>
      </c>
      <c r="AT9" s="161">
        <f t="shared" si="10"/>
        <v>3640</v>
      </c>
      <c r="AU9" s="159">
        <f t="shared" si="1"/>
        <v>0</v>
      </c>
      <c r="AV9" s="160">
        <f t="shared" si="11"/>
        <v>0</v>
      </c>
      <c r="AW9" s="160">
        <f t="shared" si="12"/>
        <v>0</v>
      </c>
      <c r="AX9" s="160">
        <f t="shared" si="2"/>
        <v>0</v>
      </c>
      <c r="AY9" s="161">
        <f t="shared" si="3"/>
        <v>0</v>
      </c>
      <c r="AZ9" s="159">
        <f t="shared" si="4"/>
        <v>0</v>
      </c>
      <c r="BA9" s="160">
        <v>1000</v>
      </c>
      <c r="BB9" s="160" t="e">
        <f>AZ9/AI15</f>
        <v>#DIV/0!</v>
      </c>
      <c r="BC9" s="154"/>
      <c r="BD9" s="155"/>
      <c r="BF9" s="408"/>
      <c r="BH9" s="409"/>
      <c r="BI9" s="408"/>
    </row>
    <row r="10" spans="1:61" ht="15" thickBot="1" x14ac:dyDescent="0.35">
      <c r="A10" s="205">
        <f>+A9</f>
        <v>45994</v>
      </c>
      <c r="B10" s="264">
        <f>DAY(Tabla2[[#This Row],[FECHA]])</f>
        <v>3</v>
      </c>
      <c r="C10" s="194" t="s">
        <v>30</v>
      </c>
      <c r="D10" s="195"/>
      <c r="E10" s="196"/>
      <c r="F10" s="197"/>
      <c r="G10" s="198"/>
      <c r="H10" s="199"/>
      <c r="I10" s="390">
        <f>Tabla2[[#This Row],[VOLUMEN ENVIADO A RO (m3)]]/Tabla2[[#This Row],[Q DE OPERACIÓN (m3/h)]]</f>
        <v>0</v>
      </c>
      <c r="J10" s="373">
        <v>0</v>
      </c>
      <c r="K10" s="380">
        <v>52</v>
      </c>
      <c r="L10" s="381">
        <v>32</v>
      </c>
      <c r="M10" s="380">
        <v>0</v>
      </c>
      <c r="N10" s="381">
        <v>0</v>
      </c>
      <c r="O10" s="245">
        <v>0</v>
      </c>
      <c r="P10" s="250">
        <v>456.14035087719299</v>
      </c>
      <c r="Q10" s="250">
        <v>280.70175438596493</v>
      </c>
      <c r="R10" s="250">
        <v>0</v>
      </c>
      <c r="S10" s="250">
        <v>0</v>
      </c>
      <c r="T10" s="241">
        <v>0</v>
      </c>
      <c r="U10" s="242">
        <v>0</v>
      </c>
      <c r="V10" s="242">
        <v>0</v>
      </c>
      <c r="W10" s="242">
        <v>0</v>
      </c>
      <c r="X10" s="243">
        <v>0</v>
      </c>
      <c r="Y10" s="248">
        <v>1.18</v>
      </c>
      <c r="Z10" s="248">
        <v>1.28</v>
      </c>
      <c r="AA10" s="248">
        <v>1.2</v>
      </c>
      <c r="AB10" s="248">
        <v>1.53</v>
      </c>
      <c r="AC10" s="248">
        <v>1.2</v>
      </c>
      <c r="AD10" s="252">
        <v>0</v>
      </c>
      <c r="AE10" s="253">
        <v>0</v>
      </c>
      <c r="AF10" s="253">
        <v>0</v>
      </c>
      <c r="AG10" s="253">
        <v>0</v>
      </c>
      <c r="AH10" s="254">
        <v>0</v>
      </c>
      <c r="AI10" s="563">
        <v>0</v>
      </c>
      <c r="AJ10" s="411">
        <v>55</v>
      </c>
      <c r="AK10" s="185" t="e">
        <f t="shared" si="5"/>
        <v>#DIV/0!</v>
      </c>
      <c r="AL10" s="186" t="e">
        <f t="shared" si="6"/>
        <v>#DIV/0!</v>
      </c>
      <c r="AM10" s="186" t="e">
        <f t="shared" si="7"/>
        <v>#DIV/0!</v>
      </c>
      <c r="AN10" s="186" t="e">
        <f t="shared" si="8"/>
        <v>#DIV/0!</v>
      </c>
      <c r="AO10" s="187" t="e">
        <f t="shared" si="9"/>
        <v>#DIV/0!</v>
      </c>
      <c r="AP10" s="159">
        <f t="shared" si="10"/>
        <v>1550</v>
      </c>
      <c r="AQ10" s="160">
        <f t="shared" si="10"/>
        <v>19462</v>
      </c>
      <c r="AR10" s="160">
        <f t="shared" si="10"/>
        <v>36854</v>
      </c>
      <c r="AS10" s="160">
        <f t="shared" si="10"/>
        <v>1560</v>
      </c>
      <c r="AT10" s="161">
        <f t="shared" si="10"/>
        <v>3640</v>
      </c>
      <c r="AU10" s="162">
        <f t="shared" si="1"/>
        <v>0</v>
      </c>
      <c r="AV10" s="163">
        <f t="shared" si="11"/>
        <v>0</v>
      </c>
      <c r="AW10" s="163">
        <f t="shared" si="12"/>
        <v>0</v>
      </c>
      <c r="AX10" s="163">
        <f t="shared" si="2"/>
        <v>0</v>
      </c>
      <c r="AY10" s="164">
        <f t="shared" si="3"/>
        <v>0</v>
      </c>
      <c r="AZ10" s="162">
        <f t="shared" si="4"/>
        <v>0</v>
      </c>
      <c r="BA10" s="163">
        <v>1000</v>
      </c>
      <c r="BB10" s="163">
        <f>AZ10/AI18</f>
        <v>0</v>
      </c>
      <c r="BC10" s="153"/>
      <c r="BD10" s="156"/>
      <c r="BF10" s="408"/>
      <c r="BH10" s="409"/>
      <c r="BI10" s="408"/>
    </row>
    <row r="11" spans="1:61" ht="15" thickBot="1" x14ac:dyDescent="0.35">
      <c r="A11" s="200">
        <f>+A10+1</f>
        <v>45995</v>
      </c>
      <c r="B11" s="150">
        <f>DAY(Tabla2[[#This Row],[FECHA]])</f>
        <v>4</v>
      </c>
      <c r="C11" s="181" t="s">
        <v>28</v>
      </c>
      <c r="D11" s="201"/>
      <c r="E11" s="202"/>
      <c r="F11" s="203"/>
      <c r="G11" s="203"/>
      <c r="H11" s="202"/>
      <c r="I11" s="390">
        <f>Tabla2[[#This Row],[VOLUMEN ENVIADO A RO (m3)]]/Tabla2[[#This Row],[Q DE OPERACIÓN (m3/h)]]</f>
        <v>0</v>
      </c>
      <c r="J11" s="373">
        <v>0</v>
      </c>
      <c r="K11" s="377">
        <v>52</v>
      </c>
      <c r="L11" s="378">
        <v>32</v>
      </c>
      <c r="M11" s="374">
        <v>0</v>
      </c>
      <c r="N11" s="378">
        <v>0</v>
      </c>
      <c r="O11" s="245">
        <v>0</v>
      </c>
      <c r="P11" s="256">
        <v>456.14035087719299</v>
      </c>
      <c r="Q11" s="239">
        <v>280.70175438596493</v>
      </c>
      <c r="R11" s="256">
        <v>0</v>
      </c>
      <c r="S11" s="256">
        <v>0</v>
      </c>
      <c r="T11" s="241">
        <v>0</v>
      </c>
      <c r="U11" s="242">
        <v>0</v>
      </c>
      <c r="V11" s="242">
        <v>0</v>
      </c>
      <c r="W11" s="242">
        <v>0</v>
      </c>
      <c r="X11" s="243">
        <v>0</v>
      </c>
      <c r="Y11" s="248">
        <v>1.18</v>
      </c>
      <c r="Z11" s="248">
        <v>1.28</v>
      </c>
      <c r="AA11" s="248">
        <v>1.2</v>
      </c>
      <c r="AB11" s="248">
        <v>1.53</v>
      </c>
      <c r="AC11" s="248">
        <v>1.2</v>
      </c>
      <c r="AD11" s="257">
        <v>0</v>
      </c>
      <c r="AE11" s="258">
        <v>0</v>
      </c>
      <c r="AF11" s="258">
        <v>0</v>
      </c>
      <c r="AG11" s="258">
        <v>0</v>
      </c>
      <c r="AH11" s="259">
        <v>0</v>
      </c>
      <c r="AI11" s="561">
        <v>0</v>
      </c>
      <c r="AJ11" s="411">
        <v>55</v>
      </c>
      <c r="AK11" s="185" t="e">
        <f t="shared" si="5"/>
        <v>#DIV/0!</v>
      </c>
      <c r="AL11" s="186" t="e">
        <f t="shared" si="6"/>
        <v>#DIV/0!</v>
      </c>
      <c r="AM11" s="186" t="e">
        <f t="shared" si="7"/>
        <v>#DIV/0!</v>
      </c>
      <c r="AN11" s="186" t="e">
        <f t="shared" si="8"/>
        <v>#DIV/0!</v>
      </c>
      <c r="AO11" s="187" t="e">
        <f t="shared" si="9"/>
        <v>#DIV/0!</v>
      </c>
      <c r="AP11" s="159">
        <f t="shared" si="10"/>
        <v>1550</v>
      </c>
      <c r="AQ11" s="160">
        <f t="shared" si="10"/>
        <v>19462</v>
      </c>
      <c r="AR11" s="160">
        <f t="shared" si="10"/>
        <v>36854</v>
      </c>
      <c r="AS11" s="160">
        <f t="shared" si="10"/>
        <v>1560</v>
      </c>
      <c r="AT11" s="161">
        <f t="shared" si="10"/>
        <v>3640</v>
      </c>
      <c r="AU11" s="159">
        <f t="shared" si="1"/>
        <v>0</v>
      </c>
      <c r="AV11" s="160">
        <f t="shared" si="11"/>
        <v>0</v>
      </c>
      <c r="AW11" s="160">
        <f t="shared" si="12"/>
        <v>0</v>
      </c>
      <c r="AX11" s="160">
        <f t="shared" si="2"/>
        <v>0</v>
      </c>
      <c r="AY11" s="161">
        <f t="shared" si="3"/>
        <v>0</v>
      </c>
      <c r="AZ11" s="159">
        <f t="shared" si="4"/>
        <v>0</v>
      </c>
      <c r="BA11" s="160">
        <v>1000</v>
      </c>
      <c r="BB11" s="160">
        <f>AZ11/AI21</f>
        <v>0</v>
      </c>
      <c r="BC11" s="154"/>
      <c r="BD11" s="155"/>
      <c r="BF11" s="408"/>
      <c r="BH11" s="409"/>
      <c r="BI11" s="408"/>
    </row>
    <row r="12" spans="1:61" ht="15" thickBot="1" x14ac:dyDescent="0.35">
      <c r="A12" s="204">
        <f>+A11</f>
        <v>45995</v>
      </c>
      <c r="B12" s="263">
        <f>DAY(Tabla2[[#This Row],[FECHA]])</f>
        <v>4</v>
      </c>
      <c r="C12" s="189" t="s">
        <v>29</v>
      </c>
      <c r="D12" s="190"/>
      <c r="E12" s="191"/>
      <c r="F12" s="192"/>
      <c r="G12" s="192"/>
      <c r="H12" s="191"/>
      <c r="I12" s="390">
        <f>Tabla2[[#This Row],[VOLUMEN ENVIADO A RO (m3)]]/Tabla2[[#This Row],[Q DE OPERACIÓN (m3/h)]]</f>
        <v>0</v>
      </c>
      <c r="J12" s="373">
        <v>0</v>
      </c>
      <c r="K12" s="377">
        <v>52</v>
      </c>
      <c r="L12" s="378">
        <v>32</v>
      </c>
      <c r="M12" s="377">
        <v>0</v>
      </c>
      <c r="N12" s="378">
        <v>0</v>
      </c>
      <c r="O12" s="245">
        <v>0</v>
      </c>
      <c r="P12" s="246">
        <v>456.14035087719299</v>
      </c>
      <c r="Q12" s="246">
        <v>280.70175438596493</v>
      </c>
      <c r="R12" s="246">
        <v>0</v>
      </c>
      <c r="S12" s="246">
        <v>0</v>
      </c>
      <c r="T12" s="241">
        <v>0</v>
      </c>
      <c r="U12" s="242">
        <v>0</v>
      </c>
      <c r="V12" s="242">
        <v>0</v>
      </c>
      <c r="W12" s="242">
        <v>0</v>
      </c>
      <c r="X12" s="243">
        <v>0</v>
      </c>
      <c r="Y12" s="248">
        <v>1.18</v>
      </c>
      <c r="Z12" s="248">
        <v>1.28</v>
      </c>
      <c r="AA12" s="248">
        <v>1.2</v>
      </c>
      <c r="AB12" s="248">
        <v>1.53</v>
      </c>
      <c r="AC12" s="248">
        <v>1.2</v>
      </c>
      <c r="AD12" s="241">
        <v>0</v>
      </c>
      <c r="AE12" s="242">
        <v>0</v>
      </c>
      <c r="AF12" s="242">
        <v>0</v>
      </c>
      <c r="AG12" s="242">
        <v>0</v>
      </c>
      <c r="AH12" s="243">
        <v>0</v>
      </c>
      <c r="AI12" s="562">
        <v>0</v>
      </c>
      <c r="AJ12" s="411">
        <v>55</v>
      </c>
      <c r="AK12" s="185" t="e">
        <f t="shared" si="5"/>
        <v>#DIV/0!</v>
      </c>
      <c r="AL12" s="186" t="e">
        <f t="shared" si="6"/>
        <v>#DIV/0!</v>
      </c>
      <c r="AM12" s="186" t="e">
        <f t="shared" si="7"/>
        <v>#DIV/0!</v>
      </c>
      <c r="AN12" s="186" t="e">
        <f t="shared" si="8"/>
        <v>#DIV/0!</v>
      </c>
      <c r="AO12" s="187" t="e">
        <f t="shared" si="9"/>
        <v>#DIV/0!</v>
      </c>
      <c r="AP12" s="159">
        <f t="shared" si="10"/>
        <v>1550</v>
      </c>
      <c r="AQ12" s="160">
        <f t="shared" si="10"/>
        <v>19462</v>
      </c>
      <c r="AR12" s="160">
        <f t="shared" si="10"/>
        <v>36854</v>
      </c>
      <c r="AS12" s="160">
        <f t="shared" si="10"/>
        <v>1560</v>
      </c>
      <c r="AT12" s="161">
        <f t="shared" si="10"/>
        <v>3640</v>
      </c>
      <c r="AU12" s="159">
        <f t="shared" si="1"/>
        <v>0</v>
      </c>
      <c r="AV12" s="160">
        <f t="shared" si="11"/>
        <v>0</v>
      </c>
      <c r="AW12" s="160">
        <f t="shared" si="12"/>
        <v>0</v>
      </c>
      <c r="AX12" s="160">
        <f t="shared" si="2"/>
        <v>0</v>
      </c>
      <c r="AY12" s="161">
        <f t="shared" si="3"/>
        <v>0</v>
      </c>
      <c r="AZ12" s="159">
        <f t="shared" si="4"/>
        <v>0</v>
      </c>
      <c r="BA12" s="160">
        <v>1000</v>
      </c>
      <c r="BB12" s="160">
        <f>AZ12/AI24</f>
        <v>0</v>
      </c>
      <c r="BC12" s="154"/>
      <c r="BD12" s="155"/>
      <c r="BF12" s="408"/>
      <c r="BH12" s="409"/>
      <c r="BI12" s="408"/>
    </row>
    <row r="13" spans="1:61" ht="15" thickBot="1" x14ac:dyDescent="0.35">
      <c r="A13" s="205">
        <f>+A12</f>
        <v>45995</v>
      </c>
      <c r="B13" s="264">
        <f>DAY(Tabla2[[#This Row],[FECHA]])</f>
        <v>4</v>
      </c>
      <c r="C13" s="194" t="s">
        <v>30</v>
      </c>
      <c r="D13" s="195"/>
      <c r="E13" s="196"/>
      <c r="F13" s="197"/>
      <c r="G13" s="198"/>
      <c r="H13" s="199"/>
      <c r="I13" s="390">
        <f>Tabla2[[#This Row],[VOLUMEN ENVIADO A RO (m3)]]/Tabla2[[#This Row],[Q DE OPERACIÓN (m3/h)]]</f>
        <v>0</v>
      </c>
      <c r="J13" s="373">
        <v>0</v>
      </c>
      <c r="K13" s="380">
        <v>52</v>
      </c>
      <c r="L13" s="381">
        <v>32</v>
      </c>
      <c r="M13" s="380">
        <v>0</v>
      </c>
      <c r="N13" s="381">
        <v>0</v>
      </c>
      <c r="O13" s="245">
        <v>0</v>
      </c>
      <c r="P13" s="250">
        <v>456.14035087719299</v>
      </c>
      <c r="Q13" s="250">
        <v>280.70175438596493</v>
      </c>
      <c r="R13" s="250">
        <v>0</v>
      </c>
      <c r="S13" s="250">
        <v>0</v>
      </c>
      <c r="T13" s="241">
        <v>0</v>
      </c>
      <c r="U13" s="242">
        <v>0</v>
      </c>
      <c r="V13" s="242">
        <v>0</v>
      </c>
      <c r="W13" s="242">
        <v>0</v>
      </c>
      <c r="X13" s="243">
        <v>0</v>
      </c>
      <c r="Y13" s="248">
        <v>1.18</v>
      </c>
      <c r="Z13" s="248">
        <v>1.28</v>
      </c>
      <c r="AA13" s="248">
        <v>1.2</v>
      </c>
      <c r="AB13" s="248">
        <v>1.53</v>
      </c>
      <c r="AC13" s="248">
        <v>1.2</v>
      </c>
      <c r="AD13" s="252">
        <v>0</v>
      </c>
      <c r="AE13" s="253">
        <v>0</v>
      </c>
      <c r="AF13" s="253">
        <v>0</v>
      </c>
      <c r="AG13" s="253">
        <v>0</v>
      </c>
      <c r="AH13" s="254">
        <v>0</v>
      </c>
      <c r="AI13" s="563">
        <v>0</v>
      </c>
      <c r="AJ13" s="411">
        <v>55</v>
      </c>
      <c r="AK13" s="185" t="e">
        <f t="shared" si="5"/>
        <v>#DIV/0!</v>
      </c>
      <c r="AL13" s="186" t="e">
        <f t="shared" si="6"/>
        <v>#DIV/0!</v>
      </c>
      <c r="AM13" s="186" t="e">
        <f t="shared" si="7"/>
        <v>#DIV/0!</v>
      </c>
      <c r="AN13" s="186" t="e">
        <f t="shared" si="8"/>
        <v>#DIV/0!</v>
      </c>
      <c r="AO13" s="187" t="e">
        <f t="shared" si="9"/>
        <v>#DIV/0!</v>
      </c>
      <c r="AP13" s="159">
        <f t="shared" si="10"/>
        <v>1550</v>
      </c>
      <c r="AQ13" s="160">
        <f t="shared" si="10"/>
        <v>19462</v>
      </c>
      <c r="AR13" s="160">
        <f t="shared" si="10"/>
        <v>36854</v>
      </c>
      <c r="AS13" s="160">
        <f t="shared" si="10"/>
        <v>1560</v>
      </c>
      <c r="AT13" s="161">
        <f t="shared" si="10"/>
        <v>3640</v>
      </c>
      <c r="AU13" s="162">
        <f t="shared" si="1"/>
        <v>0</v>
      </c>
      <c r="AV13" s="163">
        <f t="shared" si="11"/>
        <v>0</v>
      </c>
      <c r="AW13" s="163">
        <f t="shared" si="12"/>
        <v>0</v>
      </c>
      <c r="AX13" s="163">
        <f t="shared" si="2"/>
        <v>0</v>
      </c>
      <c r="AY13" s="164">
        <f t="shared" si="3"/>
        <v>0</v>
      </c>
      <c r="AZ13" s="162">
        <f t="shared" si="4"/>
        <v>0</v>
      </c>
      <c r="BA13" s="163">
        <v>1000</v>
      </c>
      <c r="BB13" s="163">
        <f>AZ13/AI27</f>
        <v>0</v>
      </c>
      <c r="BC13" s="153"/>
      <c r="BD13" s="156"/>
      <c r="BF13" s="408"/>
      <c r="BH13" s="409"/>
      <c r="BI13" s="408"/>
    </row>
    <row r="14" spans="1:61" ht="15" thickBot="1" x14ac:dyDescent="0.35">
      <c r="A14" s="200">
        <f>+A13+1</f>
        <v>45996</v>
      </c>
      <c r="B14" s="150">
        <f>DAY(Tabla2[[#This Row],[FECHA]])</f>
        <v>5</v>
      </c>
      <c r="C14" s="181" t="s">
        <v>28</v>
      </c>
      <c r="D14" s="201"/>
      <c r="E14" s="202"/>
      <c r="F14" s="203"/>
      <c r="G14" s="203"/>
      <c r="H14" s="202"/>
      <c r="I14" s="390">
        <f>Tabla2[[#This Row],[VOLUMEN ENVIADO A RO (m3)]]/Tabla2[[#This Row],[Q DE OPERACIÓN (m3/h)]]</f>
        <v>0</v>
      </c>
      <c r="J14" s="373">
        <v>0</v>
      </c>
      <c r="K14" s="374">
        <v>52</v>
      </c>
      <c r="L14" s="375">
        <v>32</v>
      </c>
      <c r="M14" s="374">
        <v>0</v>
      </c>
      <c r="N14" s="375">
        <v>0</v>
      </c>
      <c r="O14" s="245">
        <v>0</v>
      </c>
      <c r="P14" s="256">
        <v>456.14035087719299</v>
      </c>
      <c r="Q14" s="239">
        <v>280.70175438596493</v>
      </c>
      <c r="R14" s="256">
        <v>0</v>
      </c>
      <c r="S14" s="256">
        <v>0</v>
      </c>
      <c r="T14" s="241">
        <v>0</v>
      </c>
      <c r="U14" s="242">
        <v>0</v>
      </c>
      <c r="V14" s="242">
        <v>0</v>
      </c>
      <c r="W14" s="242">
        <v>0</v>
      </c>
      <c r="X14" s="243">
        <v>0</v>
      </c>
      <c r="Y14" s="248">
        <v>1.18</v>
      </c>
      <c r="Z14" s="248">
        <v>1.28</v>
      </c>
      <c r="AA14" s="248">
        <v>1.2</v>
      </c>
      <c r="AB14" s="248">
        <v>1.53</v>
      </c>
      <c r="AC14" s="248">
        <v>1.2</v>
      </c>
      <c r="AD14" s="257">
        <v>0</v>
      </c>
      <c r="AE14" s="258">
        <v>0</v>
      </c>
      <c r="AF14" s="258">
        <v>0</v>
      </c>
      <c r="AG14" s="258">
        <v>0</v>
      </c>
      <c r="AH14" s="259">
        <v>0</v>
      </c>
      <c r="AI14" s="561">
        <v>0</v>
      </c>
      <c r="AJ14" s="411">
        <v>55</v>
      </c>
      <c r="AK14" s="185" t="e">
        <f t="shared" si="5"/>
        <v>#DIV/0!</v>
      </c>
      <c r="AL14" s="186" t="e">
        <f t="shared" si="6"/>
        <v>#DIV/0!</v>
      </c>
      <c r="AM14" s="186" t="e">
        <f t="shared" si="7"/>
        <v>#DIV/0!</v>
      </c>
      <c r="AN14" s="186" t="e">
        <f t="shared" si="8"/>
        <v>#DIV/0!</v>
      </c>
      <c r="AO14" s="187" t="e">
        <f t="shared" si="9"/>
        <v>#DIV/0!</v>
      </c>
      <c r="AP14" s="159">
        <f t="shared" si="10"/>
        <v>1550</v>
      </c>
      <c r="AQ14" s="160">
        <f t="shared" si="10"/>
        <v>19462</v>
      </c>
      <c r="AR14" s="160">
        <f t="shared" si="10"/>
        <v>36854</v>
      </c>
      <c r="AS14" s="160">
        <f t="shared" si="10"/>
        <v>1560</v>
      </c>
      <c r="AT14" s="161">
        <f t="shared" si="10"/>
        <v>3640</v>
      </c>
      <c r="AU14" s="159">
        <f t="shared" si="1"/>
        <v>0</v>
      </c>
      <c r="AV14" s="160">
        <f t="shared" si="11"/>
        <v>0</v>
      </c>
      <c r="AW14" s="160">
        <f t="shared" si="12"/>
        <v>0</v>
      </c>
      <c r="AX14" s="160">
        <f t="shared" si="2"/>
        <v>0</v>
      </c>
      <c r="AY14" s="161">
        <f t="shared" si="3"/>
        <v>0</v>
      </c>
      <c r="AZ14" s="159">
        <f t="shared" si="4"/>
        <v>0</v>
      </c>
      <c r="BA14" s="160">
        <v>1000</v>
      </c>
      <c r="BB14" s="160">
        <f>AZ14/AI30</f>
        <v>0</v>
      </c>
      <c r="BC14" s="154"/>
      <c r="BD14" s="155"/>
      <c r="BF14" s="408"/>
      <c r="BH14" s="409"/>
      <c r="BI14" s="408"/>
    </row>
    <row r="15" spans="1:61" ht="15" thickBot="1" x14ac:dyDescent="0.35">
      <c r="A15" s="204">
        <f>+A14</f>
        <v>45996</v>
      </c>
      <c r="B15" s="263">
        <f>DAY(Tabla2[[#This Row],[FECHA]])</f>
        <v>5</v>
      </c>
      <c r="C15" s="189" t="s">
        <v>29</v>
      </c>
      <c r="D15" s="182"/>
      <c r="E15" s="183"/>
      <c r="F15" s="184"/>
      <c r="G15" s="184"/>
      <c r="H15" s="183"/>
      <c r="I15" s="390">
        <f>Tabla2[[#This Row],[VOLUMEN ENVIADO A RO (m3)]]/Tabla2[[#This Row],[Q DE OPERACIÓN (m3/h)]]</f>
        <v>0</v>
      </c>
      <c r="J15" s="373">
        <v>0</v>
      </c>
      <c r="K15" s="377">
        <v>52</v>
      </c>
      <c r="L15" s="378">
        <v>32</v>
      </c>
      <c r="M15" s="377">
        <v>0</v>
      </c>
      <c r="N15" s="378">
        <v>0</v>
      </c>
      <c r="O15" s="245">
        <v>0</v>
      </c>
      <c r="P15" s="246">
        <v>456.14035087719299</v>
      </c>
      <c r="Q15" s="246">
        <v>280.70175438596493</v>
      </c>
      <c r="R15" s="246">
        <v>0</v>
      </c>
      <c r="S15" s="246">
        <v>0</v>
      </c>
      <c r="T15" s="241">
        <v>0</v>
      </c>
      <c r="U15" s="242">
        <v>0</v>
      </c>
      <c r="V15" s="242">
        <v>0</v>
      </c>
      <c r="W15" s="242">
        <v>0</v>
      </c>
      <c r="X15" s="243">
        <v>0</v>
      </c>
      <c r="Y15" s="248">
        <v>1.18</v>
      </c>
      <c r="Z15" s="248">
        <v>1.28</v>
      </c>
      <c r="AA15" s="248">
        <v>1.2</v>
      </c>
      <c r="AB15" s="248">
        <v>1.53</v>
      </c>
      <c r="AC15" s="248">
        <v>1.2</v>
      </c>
      <c r="AD15" s="241">
        <v>0</v>
      </c>
      <c r="AE15" s="242">
        <v>0</v>
      </c>
      <c r="AF15" s="242">
        <v>0</v>
      </c>
      <c r="AG15" s="242">
        <v>0</v>
      </c>
      <c r="AH15" s="243">
        <v>0</v>
      </c>
      <c r="AI15" s="562">
        <v>0</v>
      </c>
      <c r="AJ15" s="411">
        <v>55</v>
      </c>
      <c r="AK15" s="185" t="e">
        <f t="shared" si="5"/>
        <v>#DIV/0!</v>
      </c>
      <c r="AL15" s="186" t="e">
        <f t="shared" si="6"/>
        <v>#DIV/0!</v>
      </c>
      <c r="AM15" s="186" t="e">
        <f t="shared" si="7"/>
        <v>#DIV/0!</v>
      </c>
      <c r="AN15" s="186" t="e">
        <f t="shared" si="8"/>
        <v>#DIV/0!</v>
      </c>
      <c r="AO15" s="187" t="e">
        <f t="shared" si="9"/>
        <v>#DIV/0!</v>
      </c>
      <c r="AP15" s="159">
        <f t="shared" si="10"/>
        <v>1550</v>
      </c>
      <c r="AQ15" s="160">
        <f t="shared" si="10"/>
        <v>19462</v>
      </c>
      <c r="AR15" s="160">
        <f t="shared" si="10"/>
        <v>36854</v>
      </c>
      <c r="AS15" s="160">
        <f t="shared" si="10"/>
        <v>1560</v>
      </c>
      <c r="AT15" s="161">
        <f t="shared" si="10"/>
        <v>3640</v>
      </c>
      <c r="AU15" s="159">
        <f t="shared" si="1"/>
        <v>0</v>
      </c>
      <c r="AV15" s="160">
        <f t="shared" si="11"/>
        <v>0</v>
      </c>
      <c r="AW15" s="160">
        <f t="shared" si="12"/>
        <v>0</v>
      </c>
      <c r="AX15" s="160">
        <f t="shared" si="2"/>
        <v>0</v>
      </c>
      <c r="AY15" s="161">
        <f t="shared" si="3"/>
        <v>0</v>
      </c>
      <c r="AZ15" s="159">
        <f t="shared" si="4"/>
        <v>0</v>
      </c>
      <c r="BA15" s="160">
        <v>1000</v>
      </c>
      <c r="BB15" s="160" t="e">
        <f>AZ15/AI33</f>
        <v>#DIV/0!</v>
      </c>
      <c r="BC15" s="154"/>
      <c r="BD15" s="155"/>
      <c r="BF15" s="408"/>
      <c r="BH15" s="409"/>
      <c r="BI15" s="408"/>
    </row>
    <row r="16" spans="1:61" ht="15" thickBot="1" x14ac:dyDescent="0.35">
      <c r="A16" s="205">
        <f>+A15</f>
        <v>45996</v>
      </c>
      <c r="B16" s="264">
        <f>DAY(Tabla2[[#This Row],[FECHA]])</f>
        <v>5</v>
      </c>
      <c r="C16" s="194" t="s">
        <v>30</v>
      </c>
      <c r="D16" s="206"/>
      <c r="E16" s="207"/>
      <c r="F16" s="208"/>
      <c r="G16" s="208"/>
      <c r="H16" s="207"/>
      <c r="I16" s="390">
        <f>Tabla2[[#This Row],[VOLUMEN ENVIADO A RO (m3)]]/Tabla2[[#This Row],[Q DE OPERACIÓN (m3/h)]]</f>
        <v>5.0586000000000002</v>
      </c>
      <c r="J16" s="373">
        <v>0</v>
      </c>
      <c r="K16" s="380">
        <v>52</v>
      </c>
      <c r="L16" s="381">
        <v>32</v>
      </c>
      <c r="M16" s="380">
        <v>0</v>
      </c>
      <c r="N16" s="381">
        <v>0</v>
      </c>
      <c r="O16" s="245">
        <v>0</v>
      </c>
      <c r="P16" s="250">
        <v>456.14035087719299</v>
      </c>
      <c r="Q16" s="250">
        <v>280.70175438596493</v>
      </c>
      <c r="R16" s="250">
        <v>0</v>
      </c>
      <c r="S16" s="250">
        <v>0</v>
      </c>
      <c r="T16" s="241">
        <v>0</v>
      </c>
      <c r="U16" s="242">
        <v>0</v>
      </c>
      <c r="V16" s="242">
        <v>0</v>
      </c>
      <c r="W16" s="242">
        <v>0</v>
      </c>
      <c r="X16" s="243">
        <v>0</v>
      </c>
      <c r="Y16" s="248">
        <v>1.18</v>
      </c>
      <c r="Z16" s="248">
        <v>1.28</v>
      </c>
      <c r="AA16" s="248">
        <v>1.2</v>
      </c>
      <c r="AB16" s="248">
        <v>1.53</v>
      </c>
      <c r="AC16" s="248">
        <v>1.2</v>
      </c>
      <c r="AD16" s="252">
        <v>0</v>
      </c>
      <c r="AE16" s="253">
        <v>0</v>
      </c>
      <c r="AF16" s="253">
        <v>0</v>
      </c>
      <c r="AG16" s="253">
        <v>0</v>
      </c>
      <c r="AH16" s="254">
        <v>0</v>
      </c>
      <c r="AI16" s="563">
        <v>278.22300000000001</v>
      </c>
      <c r="AJ16" s="411">
        <v>55</v>
      </c>
      <c r="AK16" s="185">
        <f t="shared" si="5"/>
        <v>0</v>
      </c>
      <c r="AL16" s="186">
        <f t="shared" si="6"/>
        <v>0</v>
      </c>
      <c r="AM16" s="186">
        <f t="shared" si="7"/>
        <v>0</v>
      </c>
      <c r="AN16" s="186">
        <f t="shared" si="8"/>
        <v>0</v>
      </c>
      <c r="AO16" s="187">
        <f t="shared" si="9"/>
        <v>0</v>
      </c>
      <c r="AP16" s="159">
        <f t="shared" si="10"/>
        <v>1550</v>
      </c>
      <c r="AQ16" s="160">
        <f t="shared" si="10"/>
        <v>19462</v>
      </c>
      <c r="AR16" s="160">
        <f t="shared" si="10"/>
        <v>36854</v>
      </c>
      <c r="AS16" s="160">
        <f t="shared" si="10"/>
        <v>1560</v>
      </c>
      <c r="AT16" s="161">
        <f t="shared" si="10"/>
        <v>3640</v>
      </c>
      <c r="AU16" s="162">
        <f t="shared" si="1"/>
        <v>0</v>
      </c>
      <c r="AV16" s="163">
        <f t="shared" si="11"/>
        <v>0</v>
      </c>
      <c r="AW16" s="163">
        <f t="shared" si="12"/>
        <v>0</v>
      </c>
      <c r="AX16" s="163">
        <f t="shared" si="2"/>
        <v>0</v>
      </c>
      <c r="AY16" s="164">
        <f t="shared" si="3"/>
        <v>25318.293000000001</v>
      </c>
      <c r="AZ16" s="162">
        <f t="shared" si="4"/>
        <v>25318.293000000001</v>
      </c>
      <c r="BA16" s="163">
        <v>1000</v>
      </c>
      <c r="BB16" s="163" t="e">
        <f>AZ16/AI36</f>
        <v>#DIV/0!</v>
      </c>
      <c r="BC16" s="153"/>
      <c r="BD16" s="156"/>
      <c r="BF16" s="408"/>
      <c r="BH16" s="409"/>
      <c r="BI16" s="408"/>
    </row>
    <row r="17" spans="1:61" ht="15" thickBot="1" x14ac:dyDescent="0.35">
      <c r="A17" s="200">
        <f>+A16+1</f>
        <v>45997</v>
      </c>
      <c r="B17" s="265">
        <f>DAY(Tabla2[[#This Row],[FECHA]])</f>
        <v>6</v>
      </c>
      <c r="C17" s="209" t="s">
        <v>28</v>
      </c>
      <c r="D17" s="201"/>
      <c r="E17" s="202"/>
      <c r="F17" s="203"/>
      <c r="G17" s="203"/>
      <c r="H17" s="202"/>
      <c r="I17" s="390">
        <f>Tabla2[[#This Row],[VOLUMEN ENVIADO A RO (m3)]]/Tabla2[[#This Row],[Q DE OPERACIÓN (m3/h)]]</f>
        <v>2.4370909090909088</v>
      </c>
      <c r="J17" s="373">
        <v>0</v>
      </c>
      <c r="K17" s="374">
        <v>52</v>
      </c>
      <c r="L17" s="375">
        <v>32</v>
      </c>
      <c r="M17" s="374">
        <v>0</v>
      </c>
      <c r="N17" s="375">
        <v>0</v>
      </c>
      <c r="O17" s="245">
        <v>0</v>
      </c>
      <c r="P17" s="256">
        <v>456.14035087719299</v>
      </c>
      <c r="Q17" s="239">
        <v>280.70175438596493</v>
      </c>
      <c r="R17" s="256">
        <v>0</v>
      </c>
      <c r="S17" s="256">
        <v>0</v>
      </c>
      <c r="T17" s="241">
        <v>0</v>
      </c>
      <c r="U17" s="242">
        <v>0</v>
      </c>
      <c r="V17" s="242">
        <v>0</v>
      </c>
      <c r="W17" s="242">
        <v>0</v>
      </c>
      <c r="X17" s="243">
        <v>0</v>
      </c>
      <c r="Y17" s="248">
        <v>1.18</v>
      </c>
      <c r="Z17" s="248">
        <v>1.28</v>
      </c>
      <c r="AA17" s="248">
        <v>1.2</v>
      </c>
      <c r="AB17" s="248">
        <v>1.53</v>
      </c>
      <c r="AC17" s="248">
        <v>1.2</v>
      </c>
      <c r="AD17" s="257">
        <v>0</v>
      </c>
      <c r="AE17" s="258">
        <v>0</v>
      </c>
      <c r="AF17" s="258">
        <v>0</v>
      </c>
      <c r="AG17" s="258">
        <v>0</v>
      </c>
      <c r="AH17" s="259">
        <v>0</v>
      </c>
      <c r="AI17" s="561">
        <v>134.04</v>
      </c>
      <c r="AJ17" s="411">
        <v>55</v>
      </c>
      <c r="AK17" s="185">
        <f t="shared" si="5"/>
        <v>0</v>
      </c>
      <c r="AL17" s="186">
        <f t="shared" si="6"/>
        <v>0</v>
      </c>
      <c r="AM17" s="186">
        <f t="shared" si="7"/>
        <v>0</v>
      </c>
      <c r="AN17" s="186">
        <f t="shared" si="8"/>
        <v>0</v>
      </c>
      <c r="AO17" s="187">
        <f t="shared" si="9"/>
        <v>0</v>
      </c>
      <c r="AP17" s="159">
        <f t="shared" si="10"/>
        <v>1550</v>
      </c>
      <c r="AQ17" s="160">
        <f t="shared" si="10"/>
        <v>19462</v>
      </c>
      <c r="AR17" s="160">
        <f t="shared" si="10"/>
        <v>36854</v>
      </c>
      <c r="AS17" s="160">
        <f t="shared" si="10"/>
        <v>1560</v>
      </c>
      <c r="AT17" s="161">
        <f t="shared" si="10"/>
        <v>3640</v>
      </c>
      <c r="AU17" s="159">
        <f t="shared" si="1"/>
        <v>0</v>
      </c>
      <c r="AV17" s="160">
        <f t="shared" si="11"/>
        <v>0</v>
      </c>
      <c r="AW17" s="160">
        <f t="shared" si="12"/>
        <v>0</v>
      </c>
      <c r="AX17" s="160">
        <f t="shared" si="2"/>
        <v>0</v>
      </c>
      <c r="AY17" s="161">
        <f t="shared" si="3"/>
        <v>12197.64</v>
      </c>
      <c r="AZ17" s="159">
        <f t="shared" si="4"/>
        <v>12197.64</v>
      </c>
      <c r="BA17" s="160">
        <v>1000</v>
      </c>
      <c r="BB17" s="160" t="e">
        <f>AZ17/AI39</f>
        <v>#DIV/0!</v>
      </c>
      <c r="BC17" s="154"/>
      <c r="BD17" s="155"/>
      <c r="BF17" s="408"/>
      <c r="BH17" s="409"/>
      <c r="BI17" s="408"/>
    </row>
    <row r="18" spans="1:61" ht="15" thickBot="1" x14ac:dyDescent="0.35">
      <c r="A18" s="204">
        <f>+A17</f>
        <v>45997</v>
      </c>
      <c r="B18" s="263">
        <f>DAY(Tabla2[[#This Row],[FECHA]])</f>
        <v>6</v>
      </c>
      <c r="C18" s="189" t="s">
        <v>29</v>
      </c>
      <c r="D18" s="182"/>
      <c r="E18" s="183"/>
      <c r="F18" s="184"/>
      <c r="G18" s="184"/>
      <c r="H18" s="183"/>
      <c r="I18" s="390">
        <f>Tabla2[[#This Row],[VOLUMEN ENVIADO A RO (m3)]]/Tabla2[[#This Row],[Q DE OPERACIÓN (m3/h)]]</f>
        <v>3.2748545454545455</v>
      </c>
      <c r="J18" s="373">
        <v>0</v>
      </c>
      <c r="K18" s="377">
        <v>52</v>
      </c>
      <c r="L18" s="378">
        <v>32</v>
      </c>
      <c r="M18" s="377">
        <v>0</v>
      </c>
      <c r="N18" s="378">
        <v>0</v>
      </c>
      <c r="O18" s="245">
        <v>0</v>
      </c>
      <c r="P18" s="246">
        <v>456.14035087719299</v>
      </c>
      <c r="Q18" s="246">
        <v>280.70175438596493</v>
      </c>
      <c r="R18" s="246">
        <v>0</v>
      </c>
      <c r="S18" s="246">
        <v>0</v>
      </c>
      <c r="T18" s="241">
        <v>0</v>
      </c>
      <c r="U18" s="242">
        <v>17.543859649122794</v>
      </c>
      <c r="V18" s="242">
        <v>0</v>
      </c>
      <c r="W18" s="242">
        <v>0</v>
      </c>
      <c r="X18" s="243">
        <v>0</v>
      </c>
      <c r="Y18" s="248">
        <v>1.18</v>
      </c>
      <c r="Z18" s="248">
        <v>1.28</v>
      </c>
      <c r="AA18" s="248">
        <v>1.2</v>
      </c>
      <c r="AB18" s="248">
        <v>1.53</v>
      </c>
      <c r="AC18" s="248">
        <v>1.2</v>
      </c>
      <c r="AD18" s="241">
        <v>0</v>
      </c>
      <c r="AE18" s="242">
        <v>22.456140350877178</v>
      </c>
      <c r="AF18" s="242">
        <v>0</v>
      </c>
      <c r="AG18" s="242">
        <v>0</v>
      </c>
      <c r="AH18" s="243">
        <v>0</v>
      </c>
      <c r="AI18" s="562">
        <v>180.11699999999999</v>
      </c>
      <c r="AJ18" s="411">
        <v>55</v>
      </c>
      <c r="AK18" s="185">
        <f t="shared" si="5"/>
        <v>0</v>
      </c>
      <c r="AL18" s="186">
        <f t="shared" si="6"/>
        <v>124.67529634002997</v>
      </c>
      <c r="AM18" s="186">
        <f t="shared" si="7"/>
        <v>0</v>
      </c>
      <c r="AN18" s="186">
        <f t="shared" si="8"/>
        <v>0</v>
      </c>
      <c r="AO18" s="187">
        <f t="shared" si="9"/>
        <v>0</v>
      </c>
      <c r="AP18" s="159">
        <f t="shared" si="10"/>
        <v>1550</v>
      </c>
      <c r="AQ18" s="160">
        <f t="shared" si="10"/>
        <v>19462</v>
      </c>
      <c r="AR18" s="160">
        <f t="shared" si="10"/>
        <v>36854</v>
      </c>
      <c r="AS18" s="160">
        <f t="shared" si="10"/>
        <v>1560</v>
      </c>
      <c r="AT18" s="161">
        <f t="shared" si="10"/>
        <v>3640</v>
      </c>
      <c r="AU18" s="159">
        <f t="shared" si="1"/>
        <v>27845.614035087699</v>
      </c>
      <c r="AV18" s="160">
        <f t="shared" si="11"/>
        <v>0</v>
      </c>
      <c r="AW18" s="160">
        <f t="shared" si="12"/>
        <v>0</v>
      </c>
      <c r="AX18" s="160">
        <f t="shared" si="2"/>
        <v>0</v>
      </c>
      <c r="AY18" s="161">
        <f t="shared" si="3"/>
        <v>16390.647000000001</v>
      </c>
      <c r="AZ18" s="159">
        <f t="shared" si="4"/>
        <v>44236.2610350877</v>
      </c>
      <c r="BA18" s="160">
        <v>1000</v>
      </c>
      <c r="BB18" s="160">
        <f>AZ18/AI42</f>
        <v>190.78702432950504</v>
      </c>
      <c r="BC18" s="154"/>
      <c r="BD18" s="155"/>
      <c r="BF18" s="408"/>
      <c r="BH18" s="409"/>
      <c r="BI18" s="408"/>
    </row>
    <row r="19" spans="1:61" ht="15" thickBot="1" x14ac:dyDescent="0.35">
      <c r="A19" s="205">
        <f>+A18</f>
        <v>45997</v>
      </c>
      <c r="B19" s="264">
        <f>DAY(Tabla2[[#This Row],[FECHA]])</f>
        <v>6</v>
      </c>
      <c r="C19" s="194" t="s">
        <v>30</v>
      </c>
      <c r="D19" s="206"/>
      <c r="E19" s="207"/>
      <c r="F19" s="208"/>
      <c r="G19" s="208"/>
      <c r="H19" s="207"/>
      <c r="I19" s="390">
        <f>Tabla2[[#This Row],[VOLUMEN ENVIADO A RO (m3)]]/Tabla2[[#This Row],[Q DE OPERACIÓN (m3/h)]]</f>
        <v>4.8302181818181813</v>
      </c>
      <c r="J19" s="373">
        <v>0</v>
      </c>
      <c r="K19" s="380">
        <v>50</v>
      </c>
      <c r="L19" s="381">
        <v>32</v>
      </c>
      <c r="M19" s="380">
        <v>0</v>
      </c>
      <c r="N19" s="381">
        <v>0</v>
      </c>
      <c r="O19" s="245">
        <v>0</v>
      </c>
      <c r="P19" s="250">
        <v>438.59649122807019</v>
      </c>
      <c r="Q19" s="250">
        <v>280.70175438596493</v>
      </c>
      <c r="R19" s="250">
        <v>0</v>
      </c>
      <c r="S19" s="250">
        <v>0</v>
      </c>
      <c r="T19" s="241">
        <v>0</v>
      </c>
      <c r="U19" s="242">
        <v>0</v>
      </c>
      <c r="V19" s="242">
        <v>0</v>
      </c>
      <c r="W19" s="242">
        <v>0</v>
      </c>
      <c r="X19" s="243">
        <v>0</v>
      </c>
      <c r="Y19" s="248">
        <v>1.18</v>
      </c>
      <c r="Z19" s="248">
        <v>1.28</v>
      </c>
      <c r="AA19" s="248">
        <v>1.2</v>
      </c>
      <c r="AB19" s="248">
        <v>1.53</v>
      </c>
      <c r="AC19" s="248">
        <v>1.2</v>
      </c>
      <c r="AD19" s="252">
        <v>0</v>
      </c>
      <c r="AE19" s="253">
        <v>0</v>
      </c>
      <c r="AF19" s="253">
        <v>0</v>
      </c>
      <c r="AG19" s="253">
        <v>0</v>
      </c>
      <c r="AH19" s="254">
        <v>0</v>
      </c>
      <c r="AI19" s="563">
        <v>265.66199999999998</v>
      </c>
      <c r="AJ19" s="411">
        <v>55</v>
      </c>
      <c r="AK19" s="185">
        <f t="shared" si="5"/>
        <v>0</v>
      </c>
      <c r="AL19" s="186">
        <f t="shared" si="6"/>
        <v>0</v>
      </c>
      <c r="AM19" s="186">
        <f t="shared" si="7"/>
        <v>0</v>
      </c>
      <c r="AN19" s="186">
        <f t="shared" si="8"/>
        <v>0</v>
      </c>
      <c r="AO19" s="187">
        <f t="shared" si="9"/>
        <v>0</v>
      </c>
      <c r="AP19" s="159">
        <f t="shared" ref="AP19:AT34" si="13">AP18</f>
        <v>1550</v>
      </c>
      <c r="AQ19" s="160">
        <f t="shared" si="13"/>
        <v>19462</v>
      </c>
      <c r="AR19" s="160">
        <f t="shared" si="13"/>
        <v>36854</v>
      </c>
      <c r="AS19" s="160">
        <f t="shared" si="13"/>
        <v>1560</v>
      </c>
      <c r="AT19" s="161">
        <f t="shared" si="13"/>
        <v>3640</v>
      </c>
      <c r="AU19" s="162">
        <f t="shared" si="1"/>
        <v>0</v>
      </c>
      <c r="AV19" s="163">
        <f t="shared" si="11"/>
        <v>0</v>
      </c>
      <c r="AW19" s="163">
        <f t="shared" si="12"/>
        <v>0</v>
      </c>
      <c r="AX19" s="163">
        <f t="shared" si="2"/>
        <v>0</v>
      </c>
      <c r="AY19" s="164">
        <f t="shared" si="3"/>
        <v>24175.241999999998</v>
      </c>
      <c r="AZ19" s="162">
        <f t="shared" si="4"/>
        <v>24175.241999999998</v>
      </c>
      <c r="BA19" s="163">
        <v>1000</v>
      </c>
      <c r="BB19" s="163">
        <f>AZ19/AI45</f>
        <v>55.194616438356164</v>
      </c>
      <c r="BC19" s="153"/>
      <c r="BD19" s="156"/>
      <c r="BF19" s="408"/>
      <c r="BH19" s="409"/>
      <c r="BI19" s="408"/>
    </row>
    <row r="20" spans="1:61" ht="15" thickBot="1" x14ac:dyDescent="0.35">
      <c r="A20" s="200">
        <f>+A19+1</f>
        <v>45998</v>
      </c>
      <c r="B20" s="265">
        <f>DAY(Tabla2[[#This Row],[FECHA]])</f>
        <v>7</v>
      </c>
      <c r="C20" s="209" t="s">
        <v>28</v>
      </c>
      <c r="D20" s="201"/>
      <c r="E20" s="202"/>
      <c r="F20" s="203"/>
      <c r="G20" s="203"/>
      <c r="H20" s="202"/>
      <c r="I20" s="390">
        <f>Tabla2[[#This Row],[VOLUMEN ENVIADO A RO (m3)]]/Tabla2[[#This Row],[Q DE OPERACIÓN (m3/h)]]</f>
        <v>1.3341636363636364</v>
      </c>
      <c r="J20" s="373">
        <v>0</v>
      </c>
      <c r="K20" s="374">
        <v>50</v>
      </c>
      <c r="L20" s="375">
        <v>32</v>
      </c>
      <c r="M20" s="374">
        <v>0</v>
      </c>
      <c r="N20" s="375">
        <v>0</v>
      </c>
      <c r="O20" s="245">
        <v>0</v>
      </c>
      <c r="P20" s="256">
        <v>438.59649122807019</v>
      </c>
      <c r="Q20" s="239">
        <v>280.70175438596493</v>
      </c>
      <c r="R20" s="256">
        <v>0</v>
      </c>
      <c r="S20" s="256">
        <v>0</v>
      </c>
      <c r="T20" s="241">
        <v>0</v>
      </c>
      <c r="U20" s="242">
        <v>43.859649122807014</v>
      </c>
      <c r="V20" s="242">
        <v>0</v>
      </c>
      <c r="W20" s="242">
        <v>0</v>
      </c>
      <c r="X20" s="243">
        <v>0</v>
      </c>
      <c r="Y20" s="248">
        <v>1.18</v>
      </c>
      <c r="Z20" s="248">
        <v>1.28</v>
      </c>
      <c r="AA20" s="248">
        <v>1.2</v>
      </c>
      <c r="AB20" s="248">
        <v>1.53</v>
      </c>
      <c r="AC20" s="248">
        <v>1.2</v>
      </c>
      <c r="AD20" s="257">
        <v>0</v>
      </c>
      <c r="AE20" s="258">
        <v>56.140350877192979</v>
      </c>
      <c r="AF20" s="258">
        <v>0</v>
      </c>
      <c r="AG20" s="258">
        <v>0</v>
      </c>
      <c r="AH20" s="259">
        <v>0</v>
      </c>
      <c r="AI20" s="561">
        <v>73.379000000000005</v>
      </c>
      <c r="AJ20" s="411">
        <v>55</v>
      </c>
      <c r="AK20" s="185">
        <f t="shared" si="5"/>
        <v>0</v>
      </c>
      <c r="AL20" s="186">
        <f t="shared" si="6"/>
        <v>765.07380690923799</v>
      </c>
      <c r="AM20" s="186">
        <f t="shared" si="7"/>
        <v>0</v>
      </c>
      <c r="AN20" s="186">
        <f t="shared" si="8"/>
        <v>0</v>
      </c>
      <c r="AO20" s="187">
        <f t="shared" si="9"/>
        <v>0</v>
      </c>
      <c r="AP20" s="159">
        <f t="shared" si="13"/>
        <v>1550</v>
      </c>
      <c r="AQ20" s="160">
        <f t="shared" si="13"/>
        <v>19462</v>
      </c>
      <c r="AR20" s="160">
        <f t="shared" si="13"/>
        <v>36854</v>
      </c>
      <c r="AS20" s="160">
        <f t="shared" si="13"/>
        <v>1560</v>
      </c>
      <c r="AT20" s="161">
        <f t="shared" si="13"/>
        <v>3640</v>
      </c>
      <c r="AU20" s="159">
        <f t="shared" si="1"/>
        <v>69614.035087719298</v>
      </c>
      <c r="AV20" s="160">
        <f t="shared" si="11"/>
        <v>0</v>
      </c>
      <c r="AW20" s="160">
        <f t="shared" si="12"/>
        <v>0</v>
      </c>
      <c r="AX20" s="160">
        <f t="shared" si="2"/>
        <v>0</v>
      </c>
      <c r="AY20" s="161">
        <f t="shared" si="3"/>
        <v>6677.4890000000014</v>
      </c>
      <c r="AZ20" s="159">
        <f t="shared" si="4"/>
        <v>76291.524087719299</v>
      </c>
      <c r="BA20" s="160">
        <v>1000</v>
      </c>
      <c r="BB20" s="160">
        <f>AZ20/AI48</f>
        <v>292.02720819956249</v>
      </c>
      <c r="BC20" s="154"/>
      <c r="BD20" s="155"/>
      <c r="BF20" s="408"/>
      <c r="BH20" s="409"/>
      <c r="BI20" s="408"/>
    </row>
    <row r="21" spans="1:61" ht="15" thickBot="1" x14ac:dyDescent="0.35">
      <c r="A21" s="204">
        <f>+A20</f>
        <v>45998</v>
      </c>
      <c r="B21" s="263">
        <f>DAY(Tabla2[[#This Row],[FECHA]])</f>
        <v>7</v>
      </c>
      <c r="C21" s="189" t="s">
        <v>29</v>
      </c>
      <c r="D21" s="182"/>
      <c r="E21" s="183"/>
      <c r="F21" s="184"/>
      <c r="G21" s="184"/>
      <c r="H21" s="183"/>
      <c r="I21" s="390">
        <f>Tabla2[[#This Row],[VOLUMEN ENVIADO A RO (m3)]]/Tabla2[[#This Row],[Q DE OPERACIÓN (m3/h)]]</f>
        <v>1.3341636363636364</v>
      </c>
      <c r="J21" s="373">
        <v>0</v>
      </c>
      <c r="K21" s="377">
        <v>45</v>
      </c>
      <c r="L21" s="378">
        <v>32</v>
      </c>
      <c r="M21" s="377">
        <v>0</v>
      </c>
      <c r="N21" s="378">
        <v>0</v>
      </c>
      <c r="O21" s="245">
        <v>0</v>
      </c>
      <c r="P21" s="246">
        <v>394.73684210526318</v>
      </c>
      <c r="Q21" s="246">
        <v>280.70175438596493</v>
      </c>
      <c r="R21" s="246">
        <v>0</v>
      </c>
      <c r="S21" s="246">
        <v>0</v>
      </c>
      <c r="T21" s="241">
        <v>0</v>
      </c>
      <c r="U21" s="242">
        <v>26.31578947368422</v>
      </c>
      <c r="V21" s="242">
        <v>0</v>
      </c>
      <c r="W21" s="242">
        <v>0</v>
      </c>
      <c r="X21" s="243">
        <v>0</v>
      </c>
      <c r="Y21" s="248">
        <v>1.18</v>
      </c>
      <c r="Z21" s="248">
        <v>1.28</v>
      </c>
      <c r="AA21" s="248">
        <v>1.2</v>
      </c>
      <c r="AB21" s="248">
        <v>1.53</v>
      </c>
      <c r="AC21" s="248">
        <v>1.2</v>
      </c>
      <c r="AD21" s="241">
        <v>0</v>
      </c>
      <c r="AE21" s="242">
        <v>33.684210526315802</v>
      </c>
      <c r="AF21" s="242">
        <v>0</v>
      </c>
      <c r="AG21" s="242">
        <v>0</v>
      </c>
      <c r="AH21" s="243">
        <v>0</v>
      </c>
      <c r="AI21" s="562">
        <v>73.379000000000005</v>
      </c>
      <c r="AJ21" s="411">
        <v>55</v>
      </c>
      <c r="AK21" s="185">
        <f t="shared" si="5"/>
        <v>0</v>
      </c>
      <c r="AL21" s="186">
        <f t="shared" si="6"/>
        <v>459.04428414554297</v>
      </c>
      <c r="AM21" s="186">
        <f t="shared" si="7"/>
        <v>0</v>
      </c>
      <c r="AN21" s="186">
        <f t="shared" si="8"/>
        <v>0</v>
      </c>
      <c r="AO21" s="187">
        <f t="shared" si="9"/>
        <v>0</v>
      </c>
      <c r="AP21" s="159">
        <f t="shared" si="13"/>
        <v>1550</v>
      </c>
      <c r="AQ21" s="160">
        <f t="shared" si="13"/>
        <v>19462</v>
      </c>
      <c r="AR21" s="160">
        <f t="shared" si="13"/>
        <v>36854</v>
      </c>
      <c r="AS21" s="160">
        <f t="shared" si="13"/>
        <v>1560</v>
      </c>
      <c r="AT21" s="161">
        <f t="shared" si="13"/>
        <v>3640</v>
      </c>
      <c r="AU21" s="159">
        <f t="shared" si="1"/>
        <v>41768.421052631602</v>
      </c>
      <c r="AV21" s="160">
        <f t="shared" si="11"/>
        <v>0</v>
      </c>
      <c r="AW21" s="160">
        <f t="shared" si="12"/>
        <v>0</v>
      </c>
      <c r="AX21" s="160">
        <f t="shared" si="2"/>
        <v>0</v>
      </c>
      <c r="AY21" s="161">
        <f t="shared" si="3"/>
        <v>6677.4890000000014</v>
      </c>
      <c r="AZ21" s="159">
        <f t="shared" si="4"/>
        <v>48445.910052631603</v>
      </c>
      <c r="BA21" s="160">
        <v>1000</v>
      </c>
      <c r="BB21" s="160">
        <f>AZ21/AI51</f>
        <v>431.05178443483942</v>
      </c>
      <c r="BC21" s="154"/>
      <c r="BD21" s="155"/>
      <c r="BF21" s="408"/>
      <c r="BH21" s="409"/>
      <c r="BI21" s="408"/>
    </row>
    <row r="22" spans="1:61" ht="15" thickBot="1" x14ac:dyDescent="0.35">
      <c r="A22" s="205">
        <f>+A21</f>
        <v>45998</v>
      </c>
      <c r="B22" s="264">
        <f>DAY(Tabla2[[#This Row],[FECHA]])</f>
        <v>7</v>
      </c>
      <c r="C22" s="194" t="s">
        <v>30</v>
      </c>
      <c r="D22" s="206"/>
      <c r="E22" s="207"/>
      <c r="F22" s="208"/>
      <c r="G22" s="208"/>
      <c r="H22" s="207"/>
      <c r="I22" s="390">
        <f>Tabla2[[#This Row],[VOLUMEN ENVIADO A RO (m3)]]/Tabla2[[#This Row],[Q DE OPERACIÓN (m3/h)]]</f>
        <v>2.668381818181818</v>
      </c>
      <c r="J22" s="373">
        <v>0</v>
      </c>
      <c r="K22" s="380">
        <v>42</v>
      </c>
      <c r="L22" s="381">
        <v>32</v>
      </c>
      <c r="M22" s="380">
        <v>0</v>
      </c>
      <c r="N22" s="381">
        <v>0</v>
      </c>
      <c r="O22" s="245">
        <v>0</v>
      </c>
      <c r="P22" s="250">
        <v>368.42105263157896</v>
      </c>
      <c r="Q22" s="250">
        <v>280.70175438596493</v>
      </c>
      <c r="R22" s="250">
        <v>0</v>
      </c>
      <c r="S22" s="250">
        <v>0</v>
      </c>
      <c r="T22" s="241">
        <v>0</v>
      </c>
      <c r="U22" s="242">
        <v>0</v>
      </c>
      <c r="V22" s="242">
        <v>71.929824561403507</v>
      </c>
      <c r="W22" s="242">
        <v>0</v>
      </c>
      <c r="X22" s="243">
        <v>0</v>
      </c>
      <c r="Y22" s="248">
        <v>1.18</v>
      </c>
      <c r="Z22" s="248">
        <v>1.28</v>
      </c>
      <c r="AA22" s="248">
        <v>1.2</v>
      </c>
      <c r="AB22" s="248">
        <v>1.53</v>
      </c>
      <c r="AC22" s="248">
        <v>1.2</v>
      </c>
      <c r="AD22" s="252">
        <v>0</v>
      </c>
      <c r="AE22" s="253">
        <v>0</v>
      </c>
      <c r="AF22" s="253">
        <v>86.315789473684205</v>
      </c>
      <c r="AG22" s="253">
        <v>0</v>
      </c>
      <c r="AH22" s="254">
        <v>0</v>
      </c>
      <c r="AI22" s="563">
        <v>146.761</v>
      </c>
      <c r="AJ22" s="411">
        <v>55</v>
      </c>
      <c r="AK22" s="185">
        <f t="shared" si="5"/>
        <v>0</v>
      </c>
      <c r="AL22" s="186">
        <f t="shared" si="6"/>
        <v>0</v>
      </c>
      <c r="AM22" s="186">
        <f t="shared" si="7"/>
        <v>588.13846644329351</v>
      </c>
      <c r="AN22" s="186">
        <f t="shared" si="8"/>
        <v>0</v>
      </c>
      <c r="AO22" s="187">
        <f t="shared" si="9"/>
        <v>0</v>
      </c>
      <c r="AP22" s="159">
        <f t="shared" si="13"/>
        <v>1550</v>
      </c>
      <c r="AQ22" s="160">
        <f t="shared" si="13"/>
        <v>19462</v>
      </c>
      <c r="AR22" s="160">
        <f t="shared" si="13"/>
        <v>36854</v>
      </c>
      <c r="AS22" s="160">
        <f t="shared" si="13"/>
        <v>1560</v>
      </c>
      <c r="AT22" s="161">
        <f t="shared" si="13"/>
        <v>3640</v>
      </c>
      <c r="AU22" s="162">
        <f t="shared" si="1"/>
        <v>0</v>
      </c>
      <c r="AV22" s="163">
        <f t="shared" si="11"/>
        <v>20158.534736842106</v>
      </c>
      <c r="AW22" s="163">
        <f t="shared" si="12"/>
        <v>0</v>
      </c>
      <c r="AX22" s="163">
        <f t="shared" si="2"/>
        <v>0</v>
      </c>
      <c r="AY22" s="164">
        <f t="shared" si="3"/>
        <v>13355.251</v>
      </c>
      <c r="AZ22" s="162">
        <f t="shared" si="4"/>
        <v>33513.78573684211</v>
      </c>
      <c r="BA22" s="163">
        <v>1000</v>
      </c>
      <c r="BB22" s="163" t="e">
        <f>AZ22/AI54</f>
        <v>#DIV/0!</v>
      </c>
      <c r="BC22" s="153"/>
      <c r="BD22" s="156"/>
      <c r="BF22" s="408"/>
      <c r="BH22" s="409"/>
      <c r="BI22" s="408"/>
    </row>
    <row r="23" spans="1:61" ht="15" thickBot="1" x14ac:dyDescent="0.35">
      <c r="A23" s="200">
        <f>+A22+1</f>
        <v>45999</v>
      </c>
      <c r="B23" s="265">
        <f>DAY(Tabla2[[#This Row],[FECHA]])</f>
        <v>8</v>
      </c>
      <c r="C23" s="209" t="s">
        <v>28</v>
      </c>
      <c r="D23" s="201"/>
      <c r="E23" s="202"/>
      <c r="F23" s="203"/>
      <c r="G23" s="203"/>
      <c r="H23" s="202"/>
      <c r="I23" s="390">
        <f>Tabla2[[#This Row],[VOLUMEN ENVIADO A RO (m3)]]/Tabla2[[#This Row],[Q DE OPERACIÓN (m3/h)]]</f>
        <v>0.19094545454545456</v>
      </c>
      <c r="J23" s="373">
        <v>0</v>
      </c>
      <c r="K23" s="374">
        <v>42</v>
      </c>
      <c r="L23" s="375">
        <v>58</v>
      </c>
      <c r="M23" s="374">
        <v>0</v>
      </c>
      <c r="N23" s="375">
        <v>0</v>
      </c>
      <c r="O23" s="245">
        <v>0</v>
      </c>
      <c r="P23" s="256">
        <v>368.42105263157896</v>
      </c>
      <c r="Q23" s="239">
        <v>508.77192982456143</v>
      </c>
      <c r="R23" s="256">
        <v>0</v>
      </c>
      <c r="S23" s="256">
        <v>0</v>
      </c>
      <c r="T23" s="241">
        <v>0</v>
      </c>
      <c r="U23" s="242">
        <v>0</v>
      </c>
      <c r="V23" s="242">
        <v>0</v>
      </c>
      <c r="W23" s="242">
        <v>0</v>
      </c>
      <c r="X23" s="243">
        <v>0</v>
      </c>
      <c r="Y23" s="248">
        <v>1.18</v>
      </c>
      <c r="Z23" s="248">
        <v>1.28</v>
      </c>
      <c r="AA23" s="248">
        <v>1.2</v>
      </c>
      <c r="AB23" s="248">
        <v>1.53</v>
      </c>
      <c r="AC23" s="248">
        <v>1.2</v>
      </c>
      <c r="AD23" s="257">
        <v>0</v>
      </c>
      <c r="AE23" s="258">
        <v>0</v>
      </c>
      <c r="AF23" s="258">
        <v>0</v>
      </c>
      <c r="AG23" s="258">
        <v>0</v>
      </c>
      <c r="AH23" s="259">
        <v>0</v>
      </c>
      <c r="AI23" s="561">
        <v>10.502000000000001</v>
      </c>
      <c r="AJ23" s="411">
        <v>55</v>
      </c>
      <c r="AK23" s="185">
        <f t="shared" si="5"/>
        <v>0</v>
      </c>
      <c r="AL23" s="186">
        <f t="shared" si="6"/>
        <v>0</v>
      </c>
      <c r="AM23" s="186">
        <f t="shared" si="7"/>
        <v>0</v>
      </c>
      <c r="AN23" s="186">
        <f t="shared" si="8"/>
        <v>0</v>
      </c>
      <c r="AO23" s="187">
        <f t="shared" si="9"/>
        <v>0</v>
      </c>
      <c r="AP23" s="159">
        <f t="shared" si="13"/>
        <v>1550</v>
      </c>
      <c r="AQ23" s="160">
        <f t="shared" si="13"/>
        <v>19462</v>
      </c>
      <c r="AR23" s="160">
        <f t="shared" si="13"/>
        <v>36854</v>
      </c>
      <c r="AS23" s="160">
        <f t="shared" si="13"/>
        <v>1560</v>
      </c>
      <c r="AT23" s="161">
        <f t="shared" si="13"/>
        <v>3640</v>
      </c>
      <c r="AU23" s="159">
        <f t="shared" si="1"/>
        <v>0</v>
      </c>
      <c r="AV23" s="160">
        <f t="shared" si="11"/>
        <v>0</v>
      </c>
      <c r="AW23" s="160">
        <f t="shared" si="12"/>
        <v>0</v>
      </c>
      <c r="AX23" s="160">
        <f t="shared" si="2"/>
        <v>0</v>
      </c>
      <c r="AY23" s="161">
        <f t="shared" si="3"/>
        <v>955.68200000000002</v>
      </c>
      <c r="AZ23" s="159">
        <f t="shared" si="4"/>
        <v>955.68200000000002</v>
      </c>
      <c r="BA23" s="160">
        <v>1000</v>
      </c>
      <c r="BB23" s="160">
        <f>AZ23/AI57</f>
        <v>3.7137661025511495</v>
      </c>
      <c r="BC23" s="154"/>
      <c r="BD23" s="155"/>
      <c r="BF23" s="408"/>
      <c r="BH23" s="409"/>
      <c r="BI23" s="408"/>
    </row>
    <row r="24" spans="1:61" ht="15" thickBot="1" x14ac:dyDescent="0.35">
      <c r="A24" s="204">
        <f>+A23</f>
        <v>45999</v>
      </c>
      <c r="B24" s="263">
        <f>DAY(Tabla2[[#This Row],[FECHA]])</f>
        <v>8</v>
      </c>
      <c r="C24" s="189" t="s">
        <v>29</v>
      </c>
      <c r="D24" s="182"/>
      <c r="E24" s="183"/>
      <c r="F24" s="184"/>
      <c r="G24" s="184"/>
      <c r="H24" s="183"/>
      <c r="I24" s="390">
        <f>Tabla2[[#This Row],[VOLUMEN ENVIADO A RO (m3)]]/Tabla2[[#This Row],[Q DE OPERACIÓN (m3/h)]]</f>
        <v>3.9779999999999998</v>
      </c>
      <c r="J24" s="373">
        <v>0</v>
      </c>
      <c r="K24" s="377">
        <v>42</v>
      </c>
      <c r="L24" s="378">
        <v>58</v>
      </c>
      <c r="M24" s="377">
        <v>0</v>
      </c>
      <c r="N24" s="378">
        <v>0</v>
      </c>
      <c r="O24" s="245">
        <v>0</v>
      </c>
      <c r="P24" s="246">
        <v>368.42105263157896</v>
      </c>
      <c r="Q24" s="246">
        <v>508.77192982456143</v>
      </c>
      <c r="R24" s="246">
        <v>0</v>
      </c>
      <c r="S24" s="246">
        <v>0</v>
      </c>
      <c r="T24" s="241">
        <v>0</v>
      </c>
      <c r="U24" s="242">
        <v>17.543859649122794</v>
      </c>
      <c r="V24" s="242">
        <v>0</v>
      </c>
      <c r="W24" s="242">
        <v>0</v>
      </c>
      <c r="X24" s="243">
        <v>0</v>
      </c>
      <c r="Y24" s="248">
        <v>1.18</v>
      </c>
      <c r="Z24" s="248">
        <v>1.28</v>
      </c>
      <c r="AA24" s="248">
        <v>1.2</v>
      </c>
      <c r="AB24" s="248">
        <v>1.53</v>
      </c>
      <c r="AC24" s="248">
        <v>1.2</v>
      </c>
      <c r="AD24" s="241">
        <v>0</v>
      </c>
      <c r="AE24" s="242">
        <v>22.456140350877178</v>
      </c>
      <c r="AF24" s="242">
        <v>0</v>
      </c>
      <c r="AG24" s="242">
        <v>0</v>
      </c>
      <c r="AH24" s="243">
        <v>0</v>
      </c>
      <c r="AI24" s="562">
        <v>218.79</v>
      </c>
      <c r="AJ24" s="411">
        <v>55</v>
      </c>
      <c r="AK24" s="185">
        <f t="shared" si="5"/>
        <v>0</v>
      </c>
      <c r="AL24" s="186">
        <f t="shared" si="6"/>
        <v>102.63787353570628</v>
      </c>
      <c r="AM24" s="186">
        <f t="shared" si="7"/>
        <v>0</v>
      </c>
      <c r="AN24" s="186">
        <f t="shared" si="8"/>
        <v>0</v>
      </c>
      <c r="AO24" s="187">
        <f t="shared" si="9"/>
        <v>0</v>
      </c>
      <c r="AP24" s="159">
        <f t="shared" si="13"/>
        <v>1550</v>
      </c>
      <c r="AQ24" s="160">
        <f t="shared" si="13"/>
        <v>19462</v>
      </c>
      <c r="AR24" s="160">
        <f t="shared" si="13"/>
        <v>36854</v>
      </c>
      <c r="AS24" s="160">
        <f t="shared" si="13"/>
        <v>1560</v>
      </c>
      <c r="AT24" s="161">
        <f t="shared" si="13"/>
        <v>3640</v>
      </c>
      <c r="AU24" s="159">
        <f t="shared" si="1"/>
        <v>27845.614035087699</v>
      </c>
      <c r="AV24" s="160">
        <f t="shared" si="11"/>
        <v>0</v>
      </c>
      <c r="AW24" s="160">
        <f t="shared" si="12"/>
        <v>0</v>
      </c>
      <c r="AX24" s="160">
        <f t="shared" si="2"/>
        <v>0</v>
      </c>
      <c r="AY24" s="161">
        <f t="shared" si="3"/>
        <v>19909.89</v>
      </c>
      <c r="AZ24" s="159">
        <f t="shared" si="4"/>
        <v>47755.504035087695</v>
      </c>
      <c r="BA24" s="160">
        <v>1000</v>
      </c>
      <c r="BB24" s="160">
        <f>AZ24/AI60</f>
        <v>314.54101428666826</v>
      </c>
      <c r="BC24" s="154"/>
      <c r="BD24" s="155"/>
      <c r="BF24" s="408"/>
      <c r="BH24" s="409"/>
      <c r="BI24" s="408"/>
    </row>
    <row r="25" spans="1:61" ht="15" thickBot="1" x14ac:dyDescent="0.35">
      <c r="A25" s="205">
        <f>+A24</f>
        <v>45999</v>
      </c>
      <c r="B25" s="264">
        <f>DAY(Tabla2[[#This Row],[FECHA]])</f>
        <v>8</v>
      </c>
      <c r="C25" s="194" t="s">
        <v>30</v>
      </c>
      <c r="D25" s="206"/>
      <c r="E25" s="207"/>
      <c r="F25" s="208"/>
      <c r="G25" s="208"/>
      <c r="H25" s="207"/>
      <c r="I25" s="390">
        <f>Tabla2[[#This Row],[VOLUMEN ENVIADO A RO (m3)]]/Tabla2[[#This Row],[Q DE OPERACIÓN (m3/h)]]</f>
        <v>6.0241090909090911</v>
      </c>
      <c r="J25" s="373">
        <v>0</v>
      </c>
      <c r="K25" s="380">
        <v>40</v>
      </c>
      <c r="L25" s="381">
        <v>58</v>
      </c>
      <c r="M25" s="380">
        <v>0</v>
      </c>
      <c r="N25" s="381">
        <v>0</v>
      </c>
      <c r="O25" s="245">
        <v>0</v>
      </c>
      <c r="P25" s="250">
        <v>350.87719298245617</v>
      </c>
      <c r="Q25" s="250">
        <v>508.77192982456143</v>
      </c>
      <c r="R25" s="250">
        <v>0</v>
      </c>
      <c r="S25" s="250">
        <v>0</v>
      </c>
      <c r="T25" s="241">
        <v>0</v>
      </c>
      <c r="U25" s="242">
        <v>0</v>
      </c>
      <c r="V25" s="242">
        <v>35.087719298245588</v>
      </c>
      <c r="W25" s="242">
        <v>0</v>
      </c>
      <c r="X25" s="243">
        <v>0</v>
      </c>
      <c r="Y25" s="248">
        <v>1.18</v>
      </c>
      <c r="Z25" s="248">
        <v>1.28</v>
      </c>
      <c r="AA25" s="248">
        <v>1.2</v>
      </c>
      <c r="AB25" s="248">
        <v>1.53</v>
      </c>
      <c r="AC25" s="248">
        <v>1.2</v>
      </c>
      <c r="AD25" s="252">
        <v>0</v>
      </c>
      <c r="AE25" s="253">
        <v>0</v>
      </c>
      <c r="AF25" s="253">
        <v>42.105263157894704</v>
      </c>
      <c r="AG25" s="253">
        <v>0</v>
      </c>
      <c r="AH25" s="254">
        <v>0</v>
      </c>
      <c r="AI25" s="563">
        <v>331.32600000000002</v>
      </c>
      <c r="AJ25" s="411">
        <v>55</v>
      </c>
      <c r="AK25" s="185">
        <f t="shared" si="5"/>
        <v>0</v>
      </c>
      <c r="AL25" s="186">
        <f t="shared" si="6"/>
        <v>0</v>
      </c>
      <c r="AM25" s="186">
        <f t="shared" si="7"/>
        <v>127.08107168738555</v>
      </c>
      <c r="AN25" s="186">
        <f t="shared" si="8"/>
        <v>0</v>
      </c>
      <c r="AO25" s="187">
        <f t="shared" si="9"/>
        <v>0</v>
      </c>
      <c r="AP25" s="159">
        <f t="shared" si="13"/>
        <v>1550</v>
      </c>
      <c r="AQ25" s="160">
        <f t="shared" si="13"/>
        <v>19462</v>
      </c>
      <c r="AR25" s="160">
        <f t="shared" si="13"/>
        <v>36854</v>
      </c>
      <c r="AS25" s="160">
        <f t="shared" si="13"/>
        <v>1560</v>
      </c>
      <c r="AT25" s="161">
        <f t="shared" si="13"/>
        <v>3640</v>
      </c>
      <c r="AU25" s="162">
        <f t="shared" si="1"/>
        <v>0</v>
      </c>
      <c r="AV25" s="163">
        <f t="shared" si="11"/>
        <v>9833.4315789473603</v>
      </c>
      <c r="AW25" s="163">
        <f t="shared" si="12"/>
        <v>0</v>
      </c>
      <c r="AX25" s="163">
        <f t="shared" si="2"/>
        <v>0</v>
      </c>
      <c r="AY25" s="164">
        <f t="shared" si="3"/>
        <v>30150.666000000005</v>
      </c>
      <c r="AZ25" s="162">
        <f t="shared" si="4"/>
        <v>39984.097578947367</v>
      </c>
      <c r="BA25" s="163">
        <v>1000</v>
      </c>
      <c r="BB25" s="163">
        <f>AZ25/AI63</f>
        <v>145.68756382358731</v>
      </c>
      <c r="BC25" s="153"/>
      <c r="BD25" s="156"/>
    </row>
    <row r="26" spans="1:61" ht="15" thickBot="1" x14ac:dyDescent="0.35">
      <c r="A26" s="200">
        <f>+A25+1</f>
        <v>46000</v>
      </c>
      <c r="B26" s="265">
        <f>DAY(Tabla2[[#This Row],[FECHA]])</f>
        <v>9</v>
      </c>
      <c r="C26" s="209" t="s">
        <v>28</v>
      </c>
      <c r="D26" s="201"/>
      <c r="E26" s="202"/>
      <c r="F26" s="203"/>
      <c r="G26" s="203"/>
      <c r="H26" s="202"/>
      <c r="I26" s="390">
        <f>Tabla2[[#This Row],[VOLUMEN ENVIADO A RO (m3)]]/Tabla2[[#This Row],[Q DE OPERACIÓN (m3/h)]]</f>
        <v>0.85053636363636365</v>
      </c>
      <c r="J26" s="373">
        <v>0</v>
      </c>
      <c r="K26" s="374">
        <v>40</v>
      </c>
      <c r="L26" s="375">
        <v>54</v>
      </c>
      <c r="M26" s="374">
        <v>0</v>
      </c>
      <c r="N26" s="375">
        <v>0</v>
      </c>
      <c r="O26" s="245">
        <v>0</v>
      </c>
      <c r="P26" s="256">
        <v>350.87719298245617</v>
      </c>
      <c r="Q26" s="239">
        <v>473.68421052631584</v>
      </c>
      <c r="R26" s="256">
        <v>0</v>
      </c>
      <c r="S26" s="256">
        <v>0</v>
      </c>
      <c r="T26" s="241">
        <v>0</v>
      </c>
      <c r="U26" s="242">
        <v>0</v>
      </c>
      <c r="V26" s="242">
        <v>0</v>
      </c>
      <c r="W26" s="242">
        <v>0</v>
      </c>
      <c r="X26" s="243">
        <v>0</v>
      </c>
      <c r="Y26" s="248">
        <v>1.18</v>
      </c>
      <c r="Z26" s="248">
        <v>1.28</v>
      </c>
      <c r="AA26" s="248">
        <v>1.2</v>
      </c>
      <c r="AB26" s="248">
        <v>1.53</v>
      </c>
      <c r="AC26" s="248">
        <v>1.2</v>
      </c>
      <c r="AD26" s="257">
        <v>0</v>
      </c>
      <c r="AE26" s="258">
        <v>0</v>
      </c>
      <c r="AF26" s="258">
        <v>0</v>
      </c>
      <c r="AG26" s="258">
        <v>0</v>
      </c>
      <c r="AH26" s="259">
        <v>0</v>
      </c>
      <c r="AI26" s="561">
        <v>46.779499999999999</v>
      </c>
      <c r="AJ26" s="411">
        <v>55</v>
      </c>
      <c r="AK26" s="185">
        <f t="shared" si="5"/>
        <v>0</v>
      </c>
      <c r="AL26" s="186">
        <f t="shared" si="6"/>
        <v>0</v>
      </c>
      <c r="AM26" s="186">
        <f t="shared" si="7"/>
        <v>0</v>
      </c>
      <c r="AN26" s="186">
        <f t="shared" si="8"/>
        <v>0</v>
      </c>
      <c r="AO26" s="187">
        <f t="shared" si="9"/>
        <v>0</v>
      </c>
      <c r="AP26" s="159">
        <f t="shared" si="13"/>
        <v>1550</v>
      </c>
      <c r="AQ26" s="160">
        <f t="shared" si="13"/>
        <v>19462</v>
      </c>
      <c r="AR26" s="160">
        <f t="shared" si="13"/>
        <v>36854</v>
      </c>
      <c r="AS26" s="160">
        <f t="shared" si="13"/>
        <v>1560</v>
      </c>
      <c r="AT26" s="161">
        <f t="shared" si="13"/>
        <v>3640</v>
      </c>
      <c r="AU26" s="159">
        <f t="shared" si="1"/>
        <v>0</v>
      </c>
      <c r="AV26" s="160">
        <f t="shared" si="11"/>
        <v>0</v>
      </c>
      <c r="AW26" s="160">
        <f t="shared" si="12"/>
        <v>0</v>
      </c>
      <c r="AX26" s="160">
        <f t="shared" si="2"/>
        <v>0</v>
      </c>
      <c r="AY26" s="161">
        <f t="shared" si="3"/>
        <v>4256.9345000000003</v>
      </c>
      <c r="AZ26" s="159">
        <f t="shared" si="4"/>
        <v>4256.9345000000003</v>
      </c>
      <c r="BA26" s="160">
        <v>1000</v>
      </c>
      <c r="BB26" s="160" t="e">
        <f>AZ26/#REF!</f>
        <v>#REF!</v>
      </c>
      <c r="BC26" s="154"/>
      <c r="BD26" s="155"/>
    </row>
    <row r="27" spans="1:61" ht="15" thickBot="1" x14ac:dyDescent="0.35">
      <c r="A27" s="204">
        <f>+A26</f>
        <v>46000</v>
      </c>
      <c r="B27" s="263">
        <f>DAY(Tabla2[[#This Row],[FECHA]])</f>
        <v>9</v>
      </c>
      <c r="C27" s="189" t="s">
        <v>29</v>
      </c>
      <c r="D27" s="182"/>
      <c r="E27" s="183"/>
      <c r="F27" s="184"/>
      <c r="G27" s="184"/>
      <c r="H27" s="183"/>
      <c r="I27" s="390">
        <f>Tabla2[[#This Row],[VOLUMEN ENVIADO A RO (m3)]]/Tabla2[[#This Row],[Q DE OPERACIÓN (m3/h)]]</f>
        <v>0.85053636363636365</v>
      </c>
      <c r="J27" s="373">
        <v>0</v>
      </c>
      <c r="K27" s="377">
        <v>40</v>
      </c>
      <c r="L27" s="378">
        <v>54</v>
      </c>
      <c r="M27" s="377">
        <v>0</v>
      </c>
      <c r="N27" s="378">
        <v>0</v>
      </c>
      <c r="O27" s="245">
        <v>0</v>
      </c>
      <c r="P27" s="246">
        <v>350.87719298245617</v>
      </c>
      <c r="Q27" s="246">
        <v>473.68421052631584</v>
      </c>
      <c r="R27" s="246">
        <v>0</v>
      </c>
      <c r="S27" s="246">
        <v>0</v>
      </c>
      <c r="T27" s="241">
        <v>0</v>
      </c>
      <c r="U27" s="242">
        <v>17.543859649122794</v>
      </c>
      <c r="V27" s="242">
        <v>0</v>
      </c>
      <c r="W27" s="242">
        <v>0</v>
      </c>
      <c r="X27" s="243">
        <v>0</v>
      </c>
      <c r="Y27" s="248">
        <v>1.18</v>
      </c>
      <c r="Z27" s="248">
        <v>1.28</v>
      </c>
      <c r="AA27" s="248">
        <v>1.2</v>
      </c>
      <c r="AB27" s="248">
        <v>1.53</v>
      </c>
      <c r="AC27" s="248">
        <v>1.2</v>
      </c>
      <c r="AD27" s="241">
        <v>0</v>
      </c>
      <c r="AE27" s="242">
        <v>22.456140350877178</v>
      </c>
      <c r="AF27" s="242">
        <v>0</v>
      </c>
      <c r="AG27" s="242">
        <v>0</v>
      </c>
      <c r="AH27" s="243">
        <v>0</v>
      </c>
      <c r="AI27" s="562">
        <v>46.779499999999999</v>
      </c>
      <c r="AJ27" s="411">
        <v>55</v>
      </c>
      <c r="AK27" s="185">
        <f t="shared" si="5"/>
        <v>0</v>
      </c>
      <c r="AL27" s="186">
        <f t="shared" si="6"/>
        <v>480.04233373330578</v>
      </c>
      <c r="AM27" s="186">
        <f t="shared" si="7"/>
        <v>0</v>
      </c>
      <c r="AN27" s="186">
        <f t="shared" si="8"/>
        <v>0</v>
      </c>
      <c r="AO27" s="187">
        <f t="shared" si="9"/>
        <v>0</v>
      </c>
      <c r="AP27" s="159">
        <f t="shared" si="13"/>
        <v>1550</v>
      </c>
      <c r="AQ27" s="160">
        <f t="shared" si="13"/>
        <v>19462</v>
      </c>
      <c r="AR27" s="160">
        <f t="shared" si="13"/>
        <v>36854</v>
      </c>
      <c r="AS27" s="160">
        <f t="shared" si="13"/>
        <v>1560</v>
      </c>
      <c r="AT27" s="161">
        <f t="shared" si="13"/>
        <v>3640</v>
      </c>
      <c r="AU27" s="159">
        <f t="shared" si="1"/>
        <v>27845.614035087699</v>
      </c>
      <c r="AV27" s="160">
        <f t="shared" si="11"/>
        <v>0</v>
      </c>
      <c r="AW27" s="160">
        <f t="shared" si="12"/>
        <v>0</v>
      </c>
      <c r="AX27" s="160">
        <f t="shared" si="2"/>
        <v>0</v>
      </c>
      <c r="AY27" s="161">
        <f t="shared" si="3"/>
        <v>4256.9345000000003</v>
      </c>
      <c r="AZ27" s="159">
        <f t="shared" si="4"/>
        <v>32102.548535087699</v>
      </c>
      <c r="BA27" s="160">
        <v>1000</v>
      </c>
      <c r="BB27" s="160" t="e">
        <f>AZ27/#REF!</f>
        <v>#REF!</v>
      </c>
      <c r="BC27" s="154"/>
      <c r="BD27" s="155"/>
    </row>
    <row r="28" spans="1:61" ht="15" thickBot="1" x14ac:dyDescent="0.35">
      <c r="A28" s="205">
        <f>+A27</f>
        <v>46000</v>
      </c>
      <c r="B28" s="264">
        <f>DAY(Tabla2[[#This Row],[FECHA]])</f>
        <v>9</v>
      </c>
      <c r="C28" s="194" t="s">
        <v>30</v>
      </c>
      <c r="D28" s="206"/>
      <c r="E28" s="207"/>
      <c r="F28" s="208"/>
      <c r="G28" s="208"/>
      <c r="H28" s="207"/>
      <c r="I28" s="390">
        <f>Tabla2[[#This Row],[VOLUMEN ENVIADO A RO (m3)]]/Tabla2[[#This Row],[Q DE OPERACIÓN (m3/h)]]</f>
        <v>4.5947272727272725</v>
      </c>
      <c r="J28" s="373">
        <v>0</v>
      </c>
      <c r="K28" s="380">
        <v>38</v>
      </c>
      <c r="L28" s="381">
        <v>54</v>
      </c>
      <c r="M28" s="374">
        <v>0</v>
      </c>
      <c r="N28" s="381">
        <v>0</v>
      </c>
      <c r="O28" s="245">
        <v>0</v>
      </c>
      <c r="P28" s="250">
        <v>333.33333333333337</v>
      </c>
      <c r="Q28" s="250">
        <v>473.68421052631584</v>
      </c>
      <c r="R28" s="250">
        <v>0</v>
      </c>
      <c r="S28" s="250">
        <v>0</v>
      </c>
      <c r="T28" s="241">
        <v>0</v>
      </c>
      <c r="U28" s="242">
        <v>289.47368421052636</v>
      </c>
      <c r="V28" s="242">
        <v>17.543859649122851</v>
      </c>
      <c r="W28" s="242">
        <v>0</v>
      </c>
      <c r="X28" s="243">
        <v>0</v>
      </c>
      <c r="Y28" s="248">
        <v>1.18</v>
      </c>
      <c r="Z28" s="248">
        <v>1.28</v>
      </c>
      <c r="AA28" s="248">
        <v>1.2</v>
      </c>
      <c r="AB28" s="248">
        <v>1.53</v>
      </c>
      <c r="AC28" s="248">
        <v>1.2</v>
      </c>
      <c r="AD28" s="252">
        <v>0</v>
      </c>
      <c r="AE28" s="253">
        <v>370.52631578947376</v>
      </c>
      <c r="AF28" s="253">
        <v>21.05263157894742</v>
      </c>
      <c r="AG28" s="253">
        <v>0</v>
      </c>
      <c r="AH28" s="254">
        <v>0</v>
      </c>
      <c r="AI28" s="563">
        <v>252.71</v>
      </c>
      <c r="AJ28" s="411">
        <v>55</v>
      </c>
      <c r="AK28" s="185">
        <f t="shared" si="5"/>
        <v>0</v>
      </c>
      <c r="AL28" s="186">
        <f t="shared" si="6"/>
        <v>1466.2115301708432</v>
      </c>
      <c r="AM28" s="186">
        <f t="shared" si="7"/>
        <v>83.307473305161722</v>
      </c>
      <c r="AN28" s="186">
        <f t="shared" si="8"/>
        <v>0</v>
      </c>
      <c r="AO28" s="187">
        <f t="shared" si="9"/>
        <v>0</v>
      </c>
      <c r="AP28" s="159">
        <f t="shared" si="13"/>
        <v>1550</v>
      </c>
      <c r="AQ28" s="160">
        <f t="shared" si="13"/>
        <v>19462</v>
      </c>
      <c r="AR28" s="160">
        <f t="shared" si="13"/>
        <v>36854</v>
      </c>
      <c r="AS28" s="160">
        <f t="shared" si="13"/>
        <v>1560</v>
      </c>
      <c r="AT28" s="161">
        <f t="shared" si="13"/>
        <v>3640</v>
      </c>
      <c r="AU28" s="162">
        <f t="shared" si="1"/>
        <v>459452.63157894748</v>
      </c>
      <c r="AV28" s="163">
        <f t="shared" si="11"/>
        <v>4916.7157894736965</v>
      </c>
      <c r="AW28" s="163">
        <f t="shared" si="12"/>
        <v>0</v>
      </c>
      <c r="AX28" s="163">
        <f t="shared" si="2"/>
        <v>0</v>
      </c>
      <c r="AY28" s="164">
        <f t="shared" si="3"/>
        <v>22996.61</v>
      </c>
      <c r="AZ28" s="162">
        <f t="shared" si="4"/>
        <v>487365.95736842114</v>
      </c>
      <c r="BA28" s="163">
        <v>1000</v>
      </c>
      <c r="BB28" s="163" t="e">
        <f>AZ28/#REF!</f>
        <v>#REF!</v>
      </c>
      <c r="BC28" s="153"/>
      <c r="BD28" s="156"/>
    </row>
    <row r="29" spans="1:61" ht="15" thickBot="1" x14ac:dyDescent="0.35">
      <c r="A29" s="200">
        <f>+A28+1</f>
        <v>46001</v>
      </c>
      <c r="B29" s="265">
        <f>DAY(Tabla2[[#This Row],[FECHA]])</f>
        <v>10</v>
      </c>
      <c r="C29" s="209" t="s">
        <v>28</v>
      </c>
      <c r="D29" s="201"/>
      <c r="E29" s="202"/>
      <c r="F29" s="203"/>
      <c r="G29" s="203"/>
      <c r="H29" s="202"/>
      <c r="I29" s="390">
        <f>Tabla2[[#This Row],[VOLUMEN ENVIADO A RO (m3)]]/Tabla2[[#This Row],[Q DE OPERACIÓN (m3/h)]]</f>
        <v>2.6456727272727272</v>
      </c>
      <c r="J29" s="373">
        <v>0</v>
      </c>
      <c r="K29" s="374">
        <v>5</v>
      </c>
      <c r="L29" s="375">
        <v>52</v>
      </c>
      <c r="M29" s="374">
        <v>0</v>
      </c>
      <c r="N29" s="375">
        <v>0</v>
      </c>
      <c r="O29" s="245">
        <v>0</v>
      </c>
      <c r="P29" s="256">
        <v>43.859649122807021</v>
      </c>
      <c r="Q29" s="239">
        <v>456.14035087719299</v>
      </c>
      <c r="R29" s="256">
        <v>0</v>
      </c>
      <c r="S29" s="256">
        <v>0</v>
      </c>
      <c r="T29" s="241">
        <v>0</v>
      </c>
      <c r="U29" s="242">
        <v>0</v>
      </c>
      <c r="V29" s="242">
        <v>0</v>
      </c>
      <c r="W29" s="242">
        <v>0</v>
      </c>
      <c r="X29" s="243">
        <v>0</v>
      </c>
      <c r="Y29" s="248">
        <v>1.18</v>
      </c>
      <c r="Z29" s="248">
        <v>1.28</v>
      </c>
      <c r="AA29" s="248">
        <v>1.2</v>
      </c>
      <c r="AB29" s="248">
        <v>1.53</v>
      </c>
      <c r="AC29" s="248">
        <v>1.2</v>
      </c>
      <c r="AD29" s="257">
        <v>0</v>
      </c>
      <c r="AE29" s="258">
        <v>0</v>
      </c>
      <c r="AF29" s="258">
        <v>0</v>
      </c>
      <c r="AG29" s="258">
        <v>0</v>
      </c>
      <c r="AH29" s="259">
        <v>0</v>
      </c>
      <c r="AI29" s="561">
        <v>145.512</v>
      </c>
      <c r="AJ29" s="411">
        <v>55</v>
      </c>
      <c r="AK29" s="185">
        <f t="shared" si="5"/>
        <v>0</v>
      </c>
      <c r="AL29" s="186">
        <f t="shared" si="6"/>
        <v>0</v>
      </c>
      <c r="AM29" s="186">
        <f t="shared" si="7"/>
        <v>0</v>
      </c>
      <c r="AN29" s="186">
        <f t="shared" si="8"/>
        <v>0</v>
      </c>
      <c r="AO29" s="187">
        <f t="shared" si="9"/>
        <v>0</v>
      </c>
      <c r="AP29" s="159">
        <f t="shared" si="13"/>
        <v>1550</v>
      </c>
      <c r="AQ29" s="160">
        <f t="shared" si="13"/>
        <v>19462</v>
      </c>
      <c r="AR29" s="160">
        <f t="shared" si="13"/>
        <v>36854</v>
      </c>
      <c r="AS29" s="160">
        <f t="shared" si="13"/>
        <v>1560</v>
      </c>
      <c r="AT29" s="161">
        <f t="shared" si="13"/>
        <v>3640</v>
      </c>
      <c r="AU29" s="159">
        <f t="shared" si="1"/>
        <v>0</v>
      </c>
      <c r="AV29" s="160">
        <f t="shared" si="11"/>
        <v>0</v>
      </c>
      <c r="AW29" s="160">
        <f t="shared" si="12"/>
        <v>0</v>
      </c>
      <c r="AX29" s="160">
        <f t="shared" si="2"/>
        <v>0</v>
      </c>
      <c r="AY29" s="161">
        <f t="shared" si="3"/>
        <v>13241.592000000001</v>
      </c>
      <c r="AZ29" s="159">
        <f t="shared" si="4"/>
        <v>13241.592000000001</v>
      </c>
      <c r="BA29" s="160">
        <v>1000</v>
      </c>
      <c r="BB29" s="160" t="e">
        <f>AZ29/#REF!</f>
        <v>#REF!</v>
      </c>
      <c r="BC29" s="154"/>
      <c r="BD29" s="155"/>
    </row>
    <row r="30" spans="1:61" ht="15" thickBot="1" x14ac:dyDescent="0.35">
      <c r="A30" s="204">
        <f>+A29</f>
        <v>46001</v>
      </c>
      <c r="B30" s="263">
        <f>DAY(Tabla2[[#This Row],[FECHA]])</f>
        <v>10</v>
      </c>
      <c r="C30" s="189" t="s">
        <v>29</v>
      </c>
      <c r="D30" s="182"/>
      <c r="E30" s="183"/>
      <c r="F30" s="184"/>
      <c r="G30" s="184"/>
      <c r="H30" s="183"/>
      <c r="I30" s="390">
        <f>Tabla2[[#This Row],[VOLUMEN ENVIADO A RO (m3)]]/Tabla2[[#This Row],[Q DE OPERACIÓN (m3/h)]]</f>
        <v>2.0209999999999999</v>
      </c>
      <c r="J30" s="373">
        <v>0</v>
      </c>
      <c r="K30" s="377">
        <v>5</v>
      </c>
      <c r="L30" s="375">
        <v>52</v>
      </c>
      <c r="M30" s="374">
        <v>0</v>
      </c>
      <c r="N30" s="378">
        <v>0</v>
      </c>
      <c r="O30" s="245">
        <v>0</v>
      </c>
      <c r="P30" s="246">
        <v>43.859649122807021</v>
      </c>
      <c r="Q30" s="246">
        <v>456.14035087719299</v>
      </c>
      <c r="R30" s="246">
        <v>0</v>
      </c>
      <c r="S30" s="246">
        <v>0</v>
      </c>
      <c r="T30" s="241">
        <v>0</v>
      </c>
      <c r="U30" s="242">
        <v>0</v>
      </c>
      <c r="V30" s="242">
        <v>0</v>
      </c>
      <c r="W30" s="242">
        <v>0</v>
      </c>
      <c r="X30" s="243">
        <v>0</v>
      </c>
      <c r="Y30" s="248">
        <v>1.18</v>
      </c>
      <c r="Z30" s="248">
        <v>1.28</v>
      </c>
      <c r="AA30" s="248">
        <v>1.2</v>
      </c>
      <c r="AB30" s="248">
        <v>1.53</v>
      </c>
      <c r="AC30" s="248">
        <v>1.2</v>
      </c>
      <c r="AD30" s="241">
        <v>0</v>
      </c>
      <c r="AE30" s="242">
        <v>0</v>
      </c>
      <c r="AF30" s="242">
        <v>0</v>
      </c>
      <c r="AG30" s="242">
        <v>0</v>
      </c>
      <c r="AH30" s="243">
        <v>0</v>
      </c>
      <c r="AI30" s="562">
        <v>111.155</v>
      </c>
      <c r="AJ30" s="411">
        <v>55</v>
      </c>
      <c r="AK30" s="185">
        <f t="shared" si="5"/>
        <v>0</v>
      </c>
      <c r="AL30" s="186">
        <f t="shared" si="6"/>
        <v>0</v>
      </c>
      <c r="AM30" s="186">
        <f t="shared" si="7"/>
        <v>0</v>
      </c>
      <c r="AN30" s="186">
        <f t="shared" si="8"/>
        <v>0</v>
      </c>
      <c r="AO30" s="187">
        <f t="shared" si="9"/>
        <v>0</v>
      </c>
      <c r="AP30" s="159">
        <f t="shared" si="13"/>
        <v>1550</v>
      </c>
      <c r="AQ30" s="160">
        <f t="shared" si="13"/>
        <v>19462</v>
      </c>
      <c r="AR30" s="160">
        <f t="shared" si="13"/>
        <v>36854</v>
      </c>
      <c r="AS30" s="160">
        <f t="shared" si="13"/>
        <v>1560</v>
      </c>
      <c r="AT30" s="161">
        <f t="shared" si="13"/>
        <v>3640</v>
      </c>
      <c r="AU30" s="159">
        <f t="shared" si="1"/>
        <v>0</v>
      </c>
      <c r="AV30" s="160">
        <f t="shared" si="11"/>
        <v>0</v>
      </c>
      <c r="AW30" s="160">
        <f t="shared" si="12"/>
        <v>0</v>
      </c>
      <c r="AX30" s="160">
        <f t="shared" si="2"/>
        <v>0</v>
      </c>
      <c r="AY30" s="161">
        <f t="shared" si="3"/>
        <v>10115.105000000001</v>
      </c>
      <c r="AZ30" s="159">
        <f t="shared" si="4"/>
        <v>10115.105000000001</v>
      </c>
      <c r="BA30" s="160">
        <v>1000</v>
      </c>
      <c r="BB30" s="160" t="e">
        <f>AZ30/#REF!</f>
        <v>#REF!</v>
      </c>
      <c r="BC30" s="154"/>
      <c r="BD30" s="155"/>
    </row>
    <row r="31" spans="1:61" ht="15" thickBot="1" x14ac:dyDescent="0.35">
      <c r="A31" s="205">
        <f>+A30</f>
        <v>46001</v>
      </c>
      <c r="B31" s="264">
        <f>DAY(Tabla2[[#This Row],[FECHA]])</f>
        <v>10</v>
      </c>
      <c r="C31" s="194" t="s">
        <v>30</v>
      </c>
      <c r="D31" s="206"/>
      <c r="E31" s="207"/>
      <c r="F31" s="208"/>
      <c r="G31" s="208"/>
      <c r="H31" s="207"/>
      <c r="I31" s="390">
        <f>Tabla2[[#This Row],[VOLUMEN ENVIADO A RO (m3)]]/Tabla2[[#This Row],[Q DE OPERACIÓN (m3/h)]]</f>
        <v>0</v>
      </c>
      <c r="J31" s="373">
        <v>0</v>
      </c>
      <c r="K31" s="380">
        <v>5</v>
      </c>
      <c r="L31" s="375">
        <v>52</v>
      </c>
      <c r="M31" s="374">
        <v>0</v>
      </c>
      <c r="N31" s="381">
        <v>0</v>
      </c>
      <c r="O31" s="245">
        <v>0</v>
      </c>
      <c r="P31" s="250">
        <v>43.859649122807021</v>
      </c>
      <c r="Q31" s="250">
        <v>456.14035087719299</v>
      </c>
      <c r="R31" s="250">
        <v>0</v>
      </c>
      <c r="S31" s="250">
        <v>0</v>
      </c>
      <c r="T31" s="241">
        <v>0</v>
      </c>
      <c r="U31" s="242">
        <v>0</v>
      </c>
      <c r="V31" s="242">
        <v>35.087719298245588</v>
      </c>
      <c r="W31" s="242">
        <v>0</v>
      </c>
      <c r="X31" s="243">
        <v>0</v>
      </c>
      <c r="Y31" s="248">
        <v>1.18</v>
      </c>
      <c r="Z31" s="248">
        <v>1.28</v>
      </c>
      <c r="AA31" s="248">
        <v>1.2</v>
      </c>
      <c r="AB31" s="248">
        <v>1.53</v>
      </c>
      <c r="AC31" s="248">
        <v>1.2</v>
      </c>
      <c r="AD31" s="252">
        <v>0</v>
      </c>
      <c r="AE31" s="253">
        <v>0</v>
      </c>
      <c r="AF31" s="253">
        <v>42.105263157894704</v>
      </c>
      <c r="AG31" s="253">
        <v>0</v>
      </c>
      <c r="AH31" s="254">
        <v>0</v>
      </c>
      <c r="AI31" s="563">
        <v>0</v>
      </c>
      <c r="AJ31" s="411">
        <v>55</v>
      </c>
      <c r="AK31" s="185" t="e">
        <f t="shared" si="5"/>
        <v>#DIV/0!</v>
      </c>
      <c r="AL31" s="186" t="e">
        <f t="shared" si="6"/>
        <v>#DIV/0!</v>
      </c>
      <c r="AM31" s="186" t="e">
        <f t="shared" si="7"/>
        <v>#DIV/0!</v>
      </c>
      <c r="AN31" s="186" t="e">
        <f t="shared" si="8"/>
        <v>#DIV/0!</v>
      </c>
      <c r="AO31" s="187" t="e">
        <f t="shared" si="9"/>
        <v>#DIV/0!</v>
      </c>
      <c r="AP31" s="159">
        <f t="shared" si="13"/>
        <v>1550</v>
      </c>
      <c r="AQ31" s="160">
        <f t="shared" si="13"/>
        <v>19462</v>
      </c>
      <c r="AR31" s="160">
        <f t="shared" si="13"/>
        <v>36854</v>
      </c>
      <c r="AS31" s="160">
        <f t="shared" si="13"/>
        <v>1560</v>
      </c>
      <c r="AT31" s="161">
        <f t="shared" si="13"/>
        <v>3640</v>
      </c>
      <c r="AU31" s="162">
        <f t="shared" si="1"/>
        <v>0</v>
      </c>
      <c r="AV31" s="163">
        <f t="shared" si="11"/>
        <v>9833.4315789473603</v>
      </c>
      <c r="AW31" s="163">
        <f t="shared" si="12"/>
        <v>0</v>
      </c>
      <c r="AX31" s="163">
        <f t="shared" si="2"/>
        <v>0</v>
      </c>
      <c r="AY31" s="164">
        <f t="shared" si="3"/>
        <v>0</v>
      </c>
      <c r="AZ31" s="162">
        <f t="shared" si="4"/>
        <v>9833.4315789473603</v>
      </c>
      <c r="BA31" s="163">
        <v>1000</v>
      </c>
      <c r="BB31" s="163" t="e">
        <f>AZ31/#REF!</f>
        <v>#REF!</v>
      </c>
      <c r="BC31" s="153"/>
      <c r="BD31" s="156"/>
    </row>
    <row r="32" spans="1:61" ht="15" thickBot="1" x14ac:dyDescent="0.35">
      <c r="A32" s="200">
        <f>+A31+1</f>
        <v>46002</v>
      </c>
      <c r="B32" s="265">
        <f>DAY(Tabla2[[#This Row],[FECHA]])</f>
        <v>11</v>
      </c>
      <c r="C32" s="209" t="s">
        <v>28</v>
      </c>
      <c r="D32" s="201"/>
      <c r="E32" s="202"/>
      <c r="F32" s="203"/>
      <c r="G32" s="203"/>
      <c r="H32" s="202"/>
      <c r="I32" s="390">
        <f>Tabla2[[#This Row],[VOLUMEN ENVIADO A RO (m3)]]/Tabla2[[#This Row],[Q DE OPERACIÓN (m3/h)]]</f>
        <v>0</v>
      </c>
      <c r="J32" s="373">
        <v>0</v>
      </c>
      <c r="K32" s="374">
        <v>5</v>
      </c>
      <c r="L32" s="375">
        <v>48</v>
      </c>
      <c r="M32" s="374">
        <v>0</v>
      </c>
      <c r="N32" s="375">
        <v>0</v>
      </c>
      <c r="O32" s="245">
        <v>0</v>
      </c>
      <c r="P32" s="256">
        <v>43.859649122807021</v>
      </c>
      <c r="Q32" s="239">
        <v>421.0526315789474</v>
      </c>
      <c r="R32" s="256">
        <v>0</v>
      </c>
      <c r="S32" s="256">
        <v>0</v>
      </c>
      <c r="T32" s="241">
        <v>0</v>
      </c>
      <c r="U32" s="242">
        <v>0</v>
      </c>
      <c r="V32" s="242">
        <v>377.19298245614038</v>
      </c>
      <c r="W32" s="242">
        <v>0</v>
      </c>
      <c r="X32" s="243">
        <v>0</v>
      </c>
      <c r="Y32" s="248">
        <v>1.18</v>
      </c>
      <c r="Z32" s="248">
        <v>1.28</v>
      </c>
      <c r="AA32" s="248">
        <v>1.2</v>
      </c>
      <c r="AB32" s="248">
        <v>1.53</v>
      </c>
      <c r="AC32" s="248">
        <v>1.2</v>
      </c>
      <c r="AD32" s="257">
        <v>0</v>
      </c>
      <c r="AE32" s="258">
        <v>0</v>
      </c>
      <c r="AF32" s="258">
        <v>452.63157894736844</v>
      </c>
      <c r="AG32" s="258">
        <v>0</v>
      </c>
      <c r="AH32" s="259">
        <v>0</v>
      </c>
      <c r="AI32" s="561">
        <v>0</v>
      </c>
      <c r="AJ32" s="411">
        <v>55</v>
      </c>
      <c r="AK32" s="185" t="e">
        <f t="shared" si="5"/>
        <v>#DIV/0!</v>
      </c>
      <c r="AL32" s="186" t="e">
        <f t="shared" si="6"/>
        <v>#DIV/0!</v>
      </c>
      <c r="AM32" s="186" t="e">
        <f t="shared" si="7"/>
        <v>#DIV/0!</v>
      </c>
      <c r="AN32" s="186" t="e">
        <f t="shared" si="8"/>
        <v>#DIV/0!</v>
      </c>
      <c r="AO32" s="187" t="e">
        <f t="shared" si="9"/>
        <v>#DIV/0!</v>
      </c>
      <c r="AP32" s="159">
        <f t="shared" si="13"/>
        <v>1550</v>
      </c>
      <c r="AQ32" s="160">
        <f t="shared" si="13"/>
        <v>19462</v>
      </c>
      <c r="AR32" s="160">
        <f t="shared" si="13"/>
        <v>36854</v>
      </c>
      <c r="AS32" s="160">
        <f t="shared" si="13"/>
        <v>1560</v>
      </c>
      <c r="AT32" s="161">
        <f t="shared" si="13"/>
        <v>3640</v>
      </c>
      <c r="AU32" s="159">
        <f t="shared" si="1"/>
        <v>0</v>
      </c>
      <c r="AV32" s="160">
        <f t="shared" si="11"/>
        <v>105709.3894736842</v>
      </c>
      <c r="AW32" s="160">
        <f t="shared" si="12"/>
        <v>0</v>
      </c>
      <c r="AX32" s="160">
        <f t="shared" si="2"/>
        <v>0</v>
      </c>
      <c r="AY32" s="161">
        <f t="shared" si="3"/>
        <v>0</v>
      </c>
      <c r="AZ32" s="159">
        <f t="shared" si="4"/>
        <v>105709.3894736842</v>
      </c>
      <c r="BA32" s="160">
        <v>1000</v>
      </c>
      <c r="BB32" s="160" t="e">
        <f>AZ32/#REF!</f>
        <v>#REF!</v>
      </c>
      <c r="BC32" s="154"/>
      <c r="BD32" s="155"/>
    </row>
    <row r="33" spans="1:56" ht="15" thickBot="1" x14ac:dyDescent="0.35">
      <c r="A33" s="204">
        <f>+A32</f>
        <v>46002</v>
      </c>
      <c r="B33" s="263">
        <f>DAY(Tabla2[[#This Row],[FECHA]])</f>
        <v>11</v>
      </c>
      <c r="C33" s="189" t="s">
        <v>29</v>
      </c>
      <c r="D33" s="182"/>
      <c r="E33" s="183"/>
      <c r="F33" s="184"/>
      <c r="G33" s="184"/>
      <c r="H33" s="183"/>
      <c r="I33" s="390">
        <f>Tabla2[[#This Row],[VOLUMEN ENVIADO A RO (m3)]]/Tabla2[[#This Row],[Q DE OPERACIÓN (m3/h)]]</f>
        <v>0</v>
      </c>
      <c r="J33" s="373">
        <v>0</v>
      </c>
      <c r="K33" s="377">
        <v>5</v>
      </c>
      <c r="L33" s="375">
        <v>5</v>
      </c>
      <c r="M33" s="377">
        <v>0</v>
      </c>
      <c r="N33" s="378">
        <v>0</v>
      </c>
      <c r="O33" s="245">
        <v>0</v>
      </c>
      <c r="P33" s="246">
        <v>43.859649122807021</v>
      </c>
      <c r="Q33" s="246">
        <v>43.859649122807021</v>
      </c>
      <c r="R33" s="246">
        <v>0</v>
      </c>
      <c r="S33" s="246">
        <v>0</v>
      </c>
      <c r="T33" s="241">
        <v>0</v>
      </c>
      <c r="U33" s="242">
        <v>0</v>
      </c>
      <c r="V33" s="242">
        <v>0</v>
      </c>
      <c r="W33" s="242">
        <v>0</v>
      </c>
      <c r="X33" s="243">
        <v>0</v>
      </c>
      <c r="Y33" s="248">
        <v>1.18</v>
      </c>
      <c r="Z33" s="248">
        <v>1.28</v>
      </c>
      <c r="AA33" s="248">
        <v>1.2</v>
      </c>
      <c r="AB33" s="248">
        <v>1.53</v>
      </c>
      <c r="AC33" s="248">
        <v>1.2</v>
      </c>
      <c r="AD33" s="241">
        <v>0</v>
      </c>
      <c r="AE33" s="242">
        <v>0</v>
      </c>
      <c r="AF33" s="242">
        <v>0</v>
      </c>
      <c r="AG33" s="242">
        <v>0</v>
      </c>
      <c r="AH33" s="243">
        <v>0</v>
      </c>
      <c r="AI33" s="562">
        <v>0</v>
      </c>
      <c r="AJ33" s="411">
        <v>55</v>
      </c>
      <c r="AK33" s="185" t="e">
        <f t="shared" si="5"/>
        <v>#DIV/0!</v>
      </c>
      <c r="AL33" s="186" t="e">
        <f t="shared" si="6"/>
        <v>#DIV/0!</v>
      </c>
      <c r="AM33" s="186" t="e">
        <f t="shared" si="7"/>
        <v>#DIV/0!</v>
      </c>
      <c r="AN33" s="186" t="e">
        <f t="shared" si="8"/>
        <v>#DIV/0!</v>
      </c>
      <c r="AO33" s="187" t="e">
        <f t="shared" si="9"/>
        <v>#DIV/0!</v>
      </c>
      <c r="AP33" s="159">
        <f t="shared" si="13"/>
        <v>1550</v>
      </c>
      <c r="AQ33" s="160">
        <f t="shared" si="13"/>
        <v>19462</v>
      </c>
      <c r="AR33" s="160">
        <f t="shared" si="13"/>
        <v>36854</v>
      </c>
      <c r="AS33" s="160">
        <f t="shared" si="13"/>
        <v>1560</v>
      </c>
      <c r="AT33" s="161">
        <f t="shared" si="13"/>
        <v>3640</v>
      </c>
      <c r="AU33" s="159">
        <f t="shared" si="1"/>
        <v>0</v>
      </c>
      <c r="AV33" s="160">
        <f t="shared" si="11"/>
        <v>0</v>
      </c>
      <c r="AW33" s="160">
        <f t="shared" si="12"/>
        <v>0</v>
      </c>
      <c r="AX33" s="160">
        <f t="shared" si="2"/>
        <v>0</v>
      </c>
      <c r="AY33" s="161">
        <f t="shared" si="3"/>
        <v>0</v>
      </c>
      <c r="AZ33" s="159">
        <f t="shared" si="4"/>
        <v>0</v>
      </c>
      <c r="BA33" s="160">
        <v>1000</v>
      </c>
      <c r="BB33" s="160" t="e">
        <f>AZ33/#REF!</f>
        <v>#REF!</v>
      </c>
      <c r="BC33" s="154"/>
      <c r="BD33" s="155"/>
    </row>
    <row r="34" spans="1:56" ht="15" thickBot="1" x14ac:dyDescent="0.35">
      <c r="A34" s="205">
        <f>+A33</f>
        <v>46002</v>
      </c>
      <c r="B34" s="264">
        <f>DAY(Tabla2[[#This Row],[FECHA]])</f>
        <v>11</v>
      </c>
      <c r="C34" s="194" t="s">
        <v>30</v>
      </c>
      <c r="D34" s="206"/>
      <c r="E34" s="207"/>
      <c r="F34" s="208"/>
      <c r="G34" s="208"/>
      <c r="H34" s="207"/>
      <c r="I34" s="390">
        <f>Tabla2[[#This Row],[VOLUMEN ENVIADO A RO (m3)]]/Tabla2[[#This Row],[Q DE OPERACIÓN (m3/h)]]</f>
        <v>0</v>
      </c>
      <c r="J34" s="373">
        <v>0</v>
      </c>
      <c r="K34" s="380">
        <v>5</v>
      </c>
      <c r="L34" s="375">
        <v>5</v>
      </c>
      <c r="M34" s="380">
        <v>0</v>
      </c>
      <c r="N34" s="381">
        <v>0</v>
      </c>
      <c r="O34" s="245">
        <v>0</v>
      </c>
      <c r="P34" s="250">
        <v>43.859649122807021</v>
      </c>
      <c r="Q34" s="250">
        <v>43.859649122807021</v>
      </c>
      <c r="R34" s="250">
        <v>0</v>
      </c>
      <c r="S34" s="250">
        <v>0</v>
      </c>
      <c r="T34" s="241">
        <v>0</v>
      </c>
      <c r="U34" s="242">
        <v>0</v>
      </c>
      <c r="V34" s="242">
        <v>0</v>
      </c>
      <c r="W34" s="242">
        <v>0</v>
      </c>
      <c r="X34" s="243">
        <v>0</v>
      </c>
      <c r="Y34" s="248">
        <v>1.18</v>
      </c>
      <c r="Z34" s="248">
        <v>1.28</v>
      </c>
      <c r="AA34" s="248">
        <v>1.2</v>
      </c>
      <c r="AB34" s="248">
        <v>1.53</v>
      </c>
      <c r="AC34" s="248">
        <v>1.2</v>
      </c>
      <c r="AD34" s="252">
        <v>0</v>
      </c>
      <c r="AE34" s="253">
        <v>0</v>
      </c>
      <c r="AF34" s="253">
        <v>0</v>
      </c>
      <c r="AG34" s="253">
        <v>0</v>
      </c>
      <c r="AH34" s="254">
        <v>0</v>
      </c>
      <c r="AI34" s="563">
        <v>0</v>
      </c>
      <c r="AJ34" s="411">
        <v>55</v>
      </c>
      <c r="AK34" s="185" t="e">
        <f t="shared" si="5"/>
        <v>#DIV/0!</v>
      </c>
      <c r="AL34" s="186" t="e">
        <f t="shared" si="6"/>
        <v>#DIV/0!</v>
      </c>
      <c r="AM34" s="186" t="e">
        <f t="shared" si="7"/>
        <v>#DIV/0!</v>
      </c>
      <c r="AN34" s="186" t="e">
        <f t="shared" si="8"/>
        <v>#DIV/0!</v>
      </c>
      <c r="AO34" s="187" t="e">
        <f t="shared" si="9"/>
        <v>#DIV/0!</v>
      </c>
      <c r="AP34" s="159">
        <f t="shared" si="13"/>
        <v>1550</v>
      </c>
      <c r="AQ34" s="160">
        <f t="shared" si="13"/>
        <v>19462</v>
      </c>
      <c r="AR34" s="160">
        <f t="shared" si="13"/>
        <v>36854</v>
      </c>
      <c r="AS34" s="160">
        <f t="shared" si="13"/>
        <v>1560</v>
      </c>
      <c r="AT34" s="161">
        <f t="shared" si="13"/>
        <v>3640</v>
      </c>
      <c r="AU34" s="162">
        <f t="shared" si="1"/>
        <v>0</v>
      </c>
      <c r="AV34" s="163">
        <f t="shared" si="11"/>
        <v>0</v>
      </c>
      <c r="AW34" s="163">
        <f t="shared" si="12"/>
        <v>0</v>
      </c>
      <c r="AX34" s="163">
        <f t="shared" si="2"/>
        <v>0</v>
      </c>
      <c r="AY34" s="164">
        <f t="shared" si="3"/>
        <v>0</v>
      </c>
      <c r="AZ34" s="162">
        <f t="shared" ref="AZ34:AZ65" si="14">AU34+AV34+AW34+AX34+AY34</f>
        <v>0</v>
      </c>
      <c r="BA34" s="163">
        <v>1000</v>
      </c>
      <c r="BB34" s="163" t="e">
        <f>AZ34/#REF!</f>
        <v>#REF!</v>
      </c>
      <c r="BC34" s="153"/>
      <c r="BD34" s="156"/>
    </row>
    <row r="35" spans="1:56" ht="15" thickBot="1" x14ac:dyDescent="0.35">
      <c r="A35" s="200">
        <f>+A34+1</f>
        <v>46003</v>
      </c>
      <c r="B35" s="265">
        <f>DAY(Tabla2[[#This Row],[FECHA]])</f>
        <v>12</v>
      </c>
      <c r="C35" s="209" t="s">
        <v>28</v>
      </c>
      <c r="D35" s="201"/>
      <c r="E35" s="202"/>
      <c r="F35" s="203"/>
      <c r="G35" s="203"/>
      <c r="H35" s="202"/>
      <c r="I35" s="390">
        <f>Tabla2[[#This Row],[VOLUMEN ENVIADO A RO (m3)]]/Tabla2[[#This Row],[Q DE OPERACIÓN (m3/h)]]</f>
        <v>0</v>
      </c>
      <c r="J35" s="373">
        <v>0</v>
      </c>
      <c r="K35" s="374">
        <v>5</v>
      </c>
      <c r="L35" s="375">
        <v>5</v>
      </c>
      <c r="M35" s="374">
        <v>0</v>
      </c>
      <c r="N35" s="375">
        <v>0</v>
      </c>
      <c r="O35" s="245">
        <v>0</v>
      </c>
      <c r="P35" s="256">
        <v>43.859649122807021</v>
      </c>
      <c r="Q35" s="239">
        <v>43.859649122807021</v>
      </c>
      <c r="R35" s="256">
        <v>0</v>
      </c>
      <c r="S35" s="256">
        <v>0</v>
      </c>
      <c r="T35" s="241">
        <v>0</v>
      </c>
      <c r="U35" s="242">
        <v>0</v>
      </c>
      <c r="V35" s="242">
        <v>0</v>
      </c>
      <c r="W35" s="242">
        <v>0</v>
      </c>
      <c r="X35" s="243">
        <v>0</v>
      </c>
      <c r="Y35" s="248">
        <v>1.18</v>
      </c>
      <c r="Z35" s="248">
        <v>1.28</v>
      </c>
      <c r="AA35" s="248">
        <v>1.2</v>
      </c>
      <c r="AB35" s="248">
        <v>1.53</v>
      </c>
      <c r="AC35" s="248">
        <v>1.2</v>
      </c>
      <c r="AD35" s="257">
        <v>0</v>
      </c>
      <c r="AE35" s="258">
        <v>0</v>
      </c>
      <c r="AF35" s="258">
        <v>0</v>
      </c>
      <c r="AG35" s="258">
        <v>0</v>
      </c>
      <c r="AH35" s="259">
        <v>0</v>
      </c>
      <c r="AI35" s="561">
        <v>0</v>
      </c>
      <c r="AJ35" s="411">
        <v>55</v>
      </c>
      <c r="AK35" s="185" t="e">
        <f t="shared" si="5"/>
        <v>#DIV/0!</v>
      </c>
      <c r="AL35" s="186" t="e">
        <f t="shared" si="6"/>
        <v>#DIV/0!</v>
      </c>
      <c r="AM35" s="186" t="e">
        <f t="shared" si="7"/>
        <v>#DIV/0!</v>
      </c>
      <c r="AN35" s="186" t="e">
        <f t="shared" si="8"/>
        <v>#DIV/0!</v>
      </c>
      <c r="AO35" s="187" t="e">
        <f t="shared" si="9"/>
        <v>#DIV/0!</v>
      </c>
      <c r="AP35" s="159">
        <f t="shared" ref="AP35:AT50" si="15">AP34</f>
        <v>1550</v>
      </c>
      <c r="AQ35" s="160">
        <f t="shared" si="15"/>
        <v>19462</v>
      </c>
      <c r="AR35" s="160">
        <f t="shared" si="15"/>
        <v>36854</v>
      </c>
      <c r="AS35" s="160">
        <f t="shared" si="15"/>
        <v>1560</v>
      </c>
      <c r="AT35" s="161">
        <f t="shared" si="15"/>
        <v>3640</v>
      </c>
      <c r="AU35" s="159">
        <f t="shared" si="1"/>
        <v>0</v>
      </c>
      <c r="AV35" s="160">
        <f t="shared" si="11"/>
        <v>0</v>
      </c>
      <c r="AW35" s="160">
        <f t="shared" si="12"/>
        <v>0</v>
      </c>
      <c r="AX35" s="160">
        <f t="shared" si="2"/>
        <v>0</v>
      </c>
      <c r="AY35" s="161">
        <f t="shared" si="3"/>
        <v>0</v>
      </c>
      <c r="AZ35" s="159">
        <f t="shared" si="14"/>
        <v>0</v>
      </c>
      <c r="BA35" s="160">
        <v>1000</v>
      </c>
      <c r="BB35" s="160" t="e">
        <f>AZ35/#REF!</f>
        <v>#REF!</v>
      </c>
      <c r="BC35" s="154"/>
      <c r="BD35" s="155"/>
    </row>
    <row r="36" spans="1:56" ht="15" thickBot="1" x14ac:dyDescent="0.35">
      <c r="A36" s="204">
        <f>+A35</f>
        <v>46003</v>
      </c>
      <c r="B36" s="263">
        <f>DAY(Tabla2[[#This Row],[FECHA]])</f>
        <v>12</v>
      </c>
      <c r="C36" s="189" t="s">
        <v>29</v>
      </c>
      <c r="D36" s="182"/>
      <c r="E36" s="183"/>
      <c r="F36" s="184"/>
      <c r="G36" s="184"/>
      <c r="H36" s="183"/>
      <c r="I36" s="390">
        <f>Tabla2[[#This Row],[VOLUMEN ENVIADO A RO (m3)]]/Tabla2[[#This Row],[Q DE OPERACIÓN (m3/h)]]</f>
        <v>0</v>
      </c>
      <c r="J36" s="376">
        <v>0</v>
      </c>
      <c r="K36" s="377">
        <v>5</v>
      </c>
      <c r="L36" s="375">
        <v>5</v>
      </c>
      <c r="M36" s="377">
        <v>0</v>
      </c>
      <c r="N36" s="378">
        <v>0</v>
      </c>
      <c r="O36" s="245">
        <v>0</v>
      </c>
      <c r="P36" s="246">
        <v>43.859649122807021</v>
      </c>
      <c r="Q36" s="246">
        <v>43.859649122807021</v>
      </c>
      <c r="R36" s="246">
        <v>0</v>
      </c>
      <c r="S36" s="246">
        <v>0</v>
      </c>
      <c r="T36" s="241">
        <v>0</v>
      </c>
      <c r="U36" s="242">
        <v>0</v>
      </c>
      <c r="V36" s="242">
        <v>0</v>
      </c>
      <c r="W36" s="242">
        <v>0</v>
      </c>
      <c r="X36" s="243">
        <v>0</v>
      </c>
      <c r="Y36" s="248">
        <v>1.18</v>
      </c>
      <c r="Z36" s="248">
        <v>1.28</v>
      </c>
      <c r="AA36" s="248">
        <v>1.2</v>
      </c>
      <c r="AB36" s="248">
        <v>1.53</v>
      </c>
      <c r="AC36" s="248">
        <v>1.2</v>
      </c>
      <c r="AD36" s="241">
        <v>0</v>
      </c>
      <c r="AE36" s="242">
        <v>0</v>
      </c>
      <c r="AF36" s="242">
        <v>0</v>
      </c>
      <c r="AG36" s="242">
        <v>0</v>
      </c>
      <c r="AH36" s="243">
        <v>0</v>
      </c>
      <c r="AI36" s="562">
        <v>0</v>
      </c>
      <c r="AJ36" s="411">
        <v>55</v>
      </c>
      <c r="AK36" s="185" t="e">
        <f t="shared" si="5"/>
        <v>#DIV/0!</v>
      </c>
      <c r="AL36" s="186" t="e">
        <f t="shared" si="6"/>
        <v>#DIV/0!</v>
      </c>
      <c r="AM36" s="186" t="e">
        <f t="shared" si="7"/>
        <v>#DIV/0!</v>
      </c>
      <c r="AN36" s="186" t="e">
        <f t="shared" si="8"/>
        <v>#DIV/0!</v>
      </c>
      <c r="AO36" s="187" t="e">
        <f t="shared" si="9"/>
        <v>#DIV/0!</v>
      </c>
      <c r="AP36" s="159">
        <f t="shared" si="15"/>
        <v>1550</v>
      </c>
      <c r="AQ36" s="160">
        <f t="shared" si="15"/>
        <v>19462</v>
      </c>
      <c r="AR36" s="160">
        <f t="shared" si="15"/>
        <v>36854</v>
      </c>
      <c r="AS36" s="160">
        <f t="shared" si="15"/>
        <v>1560</v>
      </c>
      <c r="AT36" s="161">
        <f t="shared" si="15"/>
        <v>3640</v>
      </c>
      <c r="AU36" s="159">
        <f t="shared" si="1"/>
        <v>0</v>
      </c>
      <c r="AV36" s="160">
        <f t="shared" si="11"/>
        <v>0</v>
      </c>
      <c r="AW36" s="160">
        <f t="shared" si="12"/>
        <v>0</v>
      </c>
      <c r="AX36" s="160">
        <f t="shared" si="2"/>
        <v>0</v>
      </c>
      <c r="AY36" s="161">
        <f t="shared" si="3"/>
        <v>0</v>
      </c>
      <c r="AZ36" s="159">
        <f t="shared" si="14"/>
        <v>0</v>
      </c>
      <c r="BA36" s="160">
        <v>1000</v>
      </c>
      <c r="BB36" s="160" t="e">
        <f>AZ36/#REF!</f>
        <v>#REF!</v>
      </c>
      <c r="BC36" s="154"/>
      <c r="BD36" s="155"/>
    </row>
    <row r="37" spans="1:56" ht="15" thickBot="1" x14ac:dyDescent="0.35">
      <c r="A37" s="205">
        <f>+A36</f>
        <v>46003</v>
      </c>
      <c r="B37" s="264">
        <f>DAY(Tabla2[[#This Row],[FECHA]])</f>
        <v>12</v>
      </c>
      <c r="C37" s="194" t="s">
        <v>30</v>
      </c>
      <c r="D37" s="206"/>
      <c r="E37" s="207">
        <v>0</v>
      </c>
      <c r="F37" s="208">
        <v>0</v>
      </c>
      <c r="G37" s="208"/>
      <c r="H37" s="207"/>
      <c r="I37" s="390">
        <f>Tabla2[[#This Row],[VOLUMEN ENVIADO A RO (m3)]]/Tabla2[[#This Row],[Q DE OPERACIÓN (m3/h)]]</f>
        <v>0</v>
      </c>
      <c r="J37" s="379">
        <v>0</v>
      </c>
      <c r="K37" s="380">
        <v>5</v>
      </c>
      <c r="L37" s="375">
        <v>5</v>
      </c>
      <c r="M37" s="380">
        <v>0</v>
      </c>
      <c r="N37" s="381">
        <v>0</v>
      </c>
      <c r="O37" s="245">
        <v>0</v>
      </c>
      <c r="P37" s="250">
        <v>43.859649122807021</v>
      </c>
      <c r="Q37" s="250">
        <v>43.859649122807021</v>
      </c>
      <c r="R37" s="250">
        <v>0</v>
      </c>
      <c r="S37" s="250">
        <v>0</v>
      </c>
      <c r="T37" s="241">
        <v>0</v>
      </c>
      <c r="U37" s="242">
        <v>20</v>
      </c>
      <c r="V37" s="242">
        <v>30</v>
      </c>
      <c r="W37" s="242">
        <v>0</v>
      </c>
      <c r="X37" s="243">
        <v>0</v>
      </c>
      <c r="Y37" s="248">
        <v>1.18</v>
      </c>
      <c r="Z37" s="248">
        <v>1.28</v>
      </c>
      <c r="AA37" s="248">
        <v>1.2</v>
      </c>
      <c r="AB37" s="248">
        <v>1.53</v>
      </c>
      <c r="AC37" s="248">
        <v>1.2</v>
      </c>
      <c r="AD37" s="252">
        <v>0</v>
      </c>
      <c r="AE37" s="253">
        <v>25.6</v>
      </c>
      <c r="AF37" s="253">
        <v>36</v>
      </c>
      <c r="AG37" s="253">
        <v>0</v>
      </c>
      <c r="AH37" s="254">
        <v>0</v>
      </c>
      <c r="AI37" s="563">
        <v>0</v>
      </c>
      <c r="AJ37" s="411">
        <v>55</v>
      </c>
      <c r="AK37" s="185" t="e">
        <f t="shared" si="5"/>
        <v>#DIV/0!</v>
      </c>
      <c r="AL37" s="186" t="e">
        <f t="shared" si="6"/>
        <v>#DIV/0!</v>
      </c>
      <c r="AM37" s="186" t="e">
        <f t="shared" si="7"/>
        <v>#DIV/0!</v>
      </c>
      <c r="AN37" s="186" t="e">
        <f t="shared" si="8"/>
        <v>#DIV/0!</v>
      </c>
      <c r="AO37" s="187" t="e">
        <f t="shared" si="9"/>
        <v>#DIV/0!</v>
      </c>
      <c r="AP37" s="159">
        <f t="shared" si="15"/>
        <v>1550</v>
      </c>
      <c r="AQ37" s="160">
        <f t="shared" si="15"/>
        <v>19462</v>
      </c>
      <c r="AR37" s="160">
        <f t="shared" si="15"/>
        <v>36854</v>
      </c>
      <c r="AS37" s="160">
        <f t="shared" si="15"/>
        <v>1560</v>
      </c>
      <c r="AT37" s="161">
        <f t="shared" si="15"/>
        <v>3640</v>
      </c>
      <c r="AU37" s="162">
        <f t="shared" si="1"/>
        <v>31744.000000000007</v>
      </c>
      <c r="AV37" s="163">
        <f t="shared" si="11"/>
        <v>8407.5840000000007</v>
      </c>
      <c r="AW37" s="163">
        <f t="shared" si="12"/>
        <v>0</v>
      </c>
      <c r="AX37" s="163">
        <f t="shared" si="2"/>
        <v>0</v>
      </c>
      <c r="AY37" s="164">
        <f t="shared" si="3"/>
        <v>0</v>
      </c>
      <c r="AZ37" s="162">
        <f t="shared" si="14"/>
        <v>40151.58400000001</v>
      </c>
      <c r="BA37" s="163">
        <v>1000</v>
      </c>
      <c r="BB37" s="163" t="e">
        <f>AZ37/#REF!</f>
        <v>#REF!</v>
      </c>
      <c r="BC37" s="153"/>
      <c r="BD37" s="156"/>
    </row>
    <row r="38" spans="1:56" ht="15" thickBot="1" x14ac:dyDescent="0.35">
      <c r="A38" s="200">
        <f>+A37+1</f>
        <v>46004</v>
      </c>
      <c r="B38" s="265">
        <f>DAY(Tabla2[[#This Row],[FECHA]])</f>
        <v>13</v>
      </c>
      <c r="C38" s="209" t="s">
        <v>28</v>
      </c>
      <c r="D38" s="201"/>
      <c r="E38" s="202"/>
      <c r="F38" s="203"/>
      <c r="G38" s="203"/>
      <c r="H38" s="202"/>
      <c r="I38" s="390">
        <f>Tabla2[[#This Row],[VOLUMEN ENVIADO A RO (m3)]]/Tabla2[[#This Row],[Q DE OPERACIÓN (m3/h)]]</f>
        <v>0</v>
      </c>
      <c r="J38" s="373">
        <v>0</v>
      </c>
      <c r="K38" s="374">
        <v>5</v>
      </c>
      <c r="L38" s="375">
        <v>5</v>
      </c>
      <c r="M38" s="374">
        <v>0</v>
      </c>
      <c r="N38" s="375">
        <v>0</v>
      </c>
      <c r="O38" s="245">
        <v>0</v>
      </c>
      <c r="P38" s="256">
        <v>43.859649122807021</v>
      </c>
      <c r="Q38" s="239">
        <v>43.859649122807021</v>
      </c>
      <c r="R38" s="256">
        <v>0</v>
      </c>
      <c r="S38" s="256">
        <v>0</v>
      </c>
      <c r="T38" s="241">
        <v>0</v>
      </c>
      <c r="U38" s="242">
        <v>0</v>
      </c>
      <c r="V38" s="242">
        <v>0</v>
      </c>
      <c r="W38" s="242">
        <v>0</v>
      </c>
      <c r="X38" s="243">
        <v>0</v>
      </c>
      <c r="Y38" s="248">
        <v>1.18</v>
      </c>
      <c r="Z38" s="248">
        <v>1.28</v>
      </c>
      <c r="AA38" s="248">
        <v>1.2</v>
      </c>
      <c r="AB38" s="248">
        <v>1.53</v>
      </c>
      <c r="AC38" s="248">
        <v>1.2</v>
      </c>
      <c r="AD38" s="257">
        <v>0</v>
      </c>
      <c r="AE38" s="258">
        <v>0</v>
      </c>
      <c r="AF38" s="258">
        <v>0</v>
      </c>
      <c r="AG38" s="258">
        <v>0</v>
      </c>
      <c r="AH38" s="259">
        <v>0</v>
      </c>
      <c r="AI38" s="561">
        <v>0</v>
      </c>
      <c r="AJ38" s="411">
        <v>55</v>
      </c>
      <c r="AK38" s="185" t="e">
        <f t="shared" si="5"/>
        <v>#DIV/0!</v>
      </c>
      <c r="AL38" s="186" t="e">
        <f t="shared" si="6"/>
        <v>#DIV/0!</v>
      </c>
      <c r="AM38" s="186" t="e">
        <f t="shared" si="7"/>
        <v>#DIV/0!</v>
      </c>
      <c r="AN38" s="186" t="e">
        <f t="shared" si="8"/>
        <v>#DIV/0!</v>
      </c>
      <c r="AO38" s="187" t="e">
        <f t="shared" si="9"/>
        <v>#DIV/0!</v>
      </c>
      <c r="AP38" s="159">
        <f t="shared" si="15"/>
        <v>1550</v>
      </c>
      <c r="AQ38" s="160">
        <f t="shared" si="15"/>
        <v>19462</v>
      </c>
      <c r="AR38" s="160">
        <f t="shared" si="15"/>
        <v>36854</v>
      </c>
      <c r="AS38" s="160">
        <f t="shared" si="15"/>
        <v>1560</v>
      </c>
      <c r="AT38" s="161">
        <f t="shared" si="15"/>
        <v>3640</v>
      </c>
      <c r="AU38" s="159">
        <f t="shared" si="1"/>
        <v>0</v>
      </c>
      <c r="AV38" s="160">
        <f t="shared" si="11"/>
        <v>0</v>
      </c>
      <c r="AW38" s="160">
        <f t="shared" si="12"/>
        <v>0</v>
      </c>
      <c r="AX38" s="160">
        <f t="shared" si="2"/>
        <v>0</v>
      </c>
      <c r="AY38" s="161">
        <f t="shared" si="3"/>
        <v>0</v>
      </c>
      <c r="AZ38" s="159">
        <f t="shared" si="14"/>
        <v>0</v>
      </c>
      <c r="BA38" s="160">
        <v>1000</v>
      </c>
      <c r="BB38" s="160" t="e">
        <f>AZ38/#REF!</f>
        <v>#REF!</v>
      </c>
      <c r="BC38" s="154"/>
      <c r="BD38" s="155"/>
    </row>
    <row r="39" spans="1:56" ht="15" thickBot="1" x14ac:dyDescent="0.35">
      <c r="A39" s="204">
        <f>+A38</f>
        <v>46004</v>
      </c>
      <c r="B39" s="263">
        <f>DAY(Tabla2[[#This Row],[FECHA]])</f>
        <v>13</v>
      </c>
      <c r="C39" s="189" t="s">
        <v>29</v>
      </c>
      <c r="D39" s="182"/>
      <c r="E39" s="183"/>
      <c r="F39" s="184"/>
      <c r="G39" s="184"/>
      <c r="H39" s="183"/>
      <c r="I39" s="390">
        <f>Tabla2[[#This Row],[VOLUMEN ENVIADO A RO (m3)]]/Tabla2[[#This Row],[Q DE OPERACIÓN (m3/h)]]</f>
        <v>0</v>
      </c>
      <c r="J39" s="376">
        <v>0</v>
      </c>
      <c r="K39" s="377">
        <v>5</v>
      </c>
      <c r="L39" s="375">
        <v>5</v>
      </c>
      <c r="M39" s="377">
        <v>0</v>
      </c>
      <c r="N39" s="378">
        <v>0</v>
      </c>
      <c r="O39" s="245">
        <v>0</v>
      </c>
      <c r="P39" s="246">
        <v>43.859649122807021</v>
      </c>
      <c r="Q39" s="246">
        <v>43.859649122807021</v>
      </c>
      <c r="R39" s="246">
        <v>0</v>
      </c>
      <c r="S39" s="246">
        <v>0</v>
      </c>
      <c r="T39" s="241">
        <v>0</v>
      </c>
      <c r="U39" s="242">
        <v>8.7719298245614041</v>
      </c>
      <c r="V39" s="242">
        <v>8.7719298245614041</v>
      </c>
      <c r="W39" s="242">
        <v>0</v>
      </c>
      <c r="X39" s="243">
        <v>0</v>
      </c>
      <c r="Y39" s="248">
        <v>1.18</v>
      </c>
      <c r="Z39" s="248">
        <v>1.28</v>
      </c>
      <c r="AA39" s="248">
        <v>1.2</v>
      </c>
      <c r="AB39" s="248">
        <v>1.53</v>
      </c>
      <c r="AC39" s="248">
        <v>1.2</v>
      </c>
      <c r="AD39" s="241">
        <v>0</v>
      </c>
      <c r="AE39" s="242">
        <v>11.228070175438598</v>
      </c>
      <c r="AF39" s="242">
        <v>10.526315789473685</v>
      </c>
      <c r="AG39" s="242">
        <v>0</v>
      </c>
      <c r="AH39" s="243">
        <v>0</v>
      </c>
      <c r="AI39" s="562">
        <v>0</v>
      </c>
      <c r="AJ39" s="411">
        <v>55</v>
      </c>
      <c r="AK39" s="185" t="e">
        <f t="shared" si="5"/>
        <v>#DIV/0!</v>
      </c>
      <c r="AL39" s="186" t="e">
        <f t="shared" si="6"/>
        <v>#DIV/0!</v>
      </c>
      <c r="AM39" s="186" t="e">
        <f t="shared" si="7"/>
        <v>#DIV/0!</v>
      </c>
      <c r="AN39" s="186" t="e">
        <f t="shared" si="8"/>
        <v>#DIV/0!</v>
      </c>
      <c r="AO39" s="187" t="e">
        <f t="shared" si="9"/>
        <v>#DIV/0!</v>
      </c>
      <c r="AP39" s="159">
        <f t="shared" si="15"/>
        <v>1550</v>
      </c>
      <c r="AQ39" s="160">
        <f t="shared" si="15"/>
        <v>19462</v>
      </c>
      <c r="AR39" s="160">
        <f t="shared" si="15"/>
        <v>36854</v>
      </c>
      <c r="AS39" s="160">
        <f t="shared" si="15"/>
        <v>1560</v>
      </c>
      <c r="AT39" s="161">
        <f t="shared" si="15"/>
        <v>3640</v>
      </c>
      <c r="AU39" s="159">
        <f t="shared" si="1"/>
        <v>13922.807017543862</v>
      </c>
      <c r="AV39" s="160">
        <f t="shared" si="11"/>
        <v>2458.3578947368424</v>
      </c>
      <c r="AW39" s="160">
        <f t="shared" si="12"/>
        <v>0</v>
      </c>
      <c r="AX39" s="160">
        <f t="shared" si="2"/>
        <v>0</v>
      </c>
      <c r="AY39" s="161">
        <f t="shared" si="3"/>
        <v>0</v>
      </c>
      <c r="AZ39" s="159">
        <f t="shared" si="14"/>
        <v>16381.164912280705</v>
      </c>
      <c r="BA39" s="160">
        <v>1000</v>
      </c>
      <c r="BB39" s="160" t="e">
        <f>AZ39/#REF!</f>
        <v>#REF!</v>
      </c>
      <c r="BC39" s="154"/>
      <c r="BD39" s="155"/>
    </row>
    <row r="40" spans="1:56" ht="15" thickBot="1" x14ac:dyDescent="0.35">
      <c r="A40" s="205">
        <f>+A39</f>
        <v>46004</v>
      </c>
      <c r="B40" s="264">
        <f>DAY(Tabla2[[#This Row],[FECHA]])</f>
        <v>13</v>
      </c>
      <c r="C40" s="194" t="s">
        <v>30</v>
      </c>
      <c r="D40" s="206"/>
      <c r="E40" s="207"/>
      <c r="F40" s="208"/>
      <c r="G40" s="208"/>
      <c r="H40" s="207"/>
      <c r="I40" s="390">
        <f>Tabla2[[#This Row],[VOLUMEN ENVIADO A RO (m3)]]/Tabla2[[#This Row],[Q DE OPERACIÓN (m3/h)]]</f>
        <v>2.7891272727272725</v>
      </c>
      <c r="J40" s="379">
        <v>0</v>
      </c>
      <c r="K40" s="380">
        <v>4</v>
      </c>
      <c r="L40" s="375">
        <v>4</v>
      </c>
      <c r="M40" s="380">
        <v>0</v>
      </c>
      <c r="N40" s="381">
        <v>0</v>
      </c>
      <c r="O40" s="245">
        <v>0</v>
      </c>
      <c r="P40" s="250">
        <v>35.087719298245617</v>
      </c>
      <c r="Q40" s="250">
        <v>35.087719298245617</v>
      </c>
      <c r="R40" s="250">
        <v>0</v>
      </c>
      <c r="S40" s="250">
        <v>0</v>
      </c>
      <c r="T40" s="241">
        <v>0</v>
      </c>
      <c r="U40" s="242">
        <v>61.403508771929751</v>
      </c>
      <c r="V40" s="242">
        <v>61.403508771929751</v>
      </c>
      <c r="W40" s="242">
        <v>0</v>
      </c>
      <c r="X40" s="243">
        <v>0</v>
      </c>
      <c r="Y40" s="248">
        <v>1.18</v>
      </c>
      <c r="Z40" s="248">
        <v>1.28</v>
      </c>
      <c r="AA40" s="248">
        <v>1.2</v>
      </c>
      <c r="AB40" s="248">
        <v>1.53</v>
      </c>
      <c r="AC40" s="248">
        <v>1.2</v>
      </c>
      <c r="AD40" s="252">
        <v>0</v>
      </c>
      <c r="AE40" s="253">
        <v>78.596491228070079</v>
      </c>
      <c r="AF40" s="253">
        <v>73.684210526315695</v>
      </c>
      <c r="AG40" s="253">
        <v>0</v>
      </c>
      <c r="AH40" s="254">
        <v>0</v>
      </c>
      <c r="AI40" s="563">
        <v>153.40199999999999</v>
      </c>
      <c r="AJ40" s="411">
        <v>55</v>
      </c>
      <c r="AK40" s="185">
        <f t="shared" si="5"/>
        <v>0</v>
      </c>
      <c r="AL40" s="186">
        <f t="shared" si="6"/>
        <v>512.35636581055064</v>
      </c>
      <c r="AM40" s="186">
        <f t="shared" si="7"/>
        <v>480.33409294739118</v>
      </c>
      <c r="AN40" s="186">
        <f t="shared" si="8"/>
        <v>0</v>
      </c>
      <c r="AO40" s="187">
        <f t="shared" si="9"/>
        <v>0</v>
      </c>
      <c r="AP40" s="159">
        <f t="shared" si="15"/>
        <v>1550</v>
      </c>
      <c r="AQ40" s="160">
        <f t="shared" si="15"/>
        <v>19462</v>
      </c>
      <c r="AR40" s="160">
        <f t="shared" si="15"/>
        <v>36854</v>
      </c>
      <c r="AS40" s="160">
        <f t="shared" si="15"/>
        <v>1560</v>
      </c>
      <c r="AT40" s="161">
        <f t="shared" si="15"/>
        <v>3640</v>
      </c>
      <c r="AU40" s="162">
        <f t="shared" si="1"/>
        <v>97459.649122806906</v>
      </c>
      <c r="AV40" s="163">
        <f t="shared" si="11"/>
        <v>17208.505263157873</v>
      </c>
      <c r="AW40" s="163">
        <f t="shared" si="12"/>
        <v>0</v>
      </c>
      <c r="AX40" s="163">
        <f t="shared" si="2"/>
        <v>0</v>
      </c>
      <c r="AY40" s="164">
        <f t="shared" si="3"/>
        <v>13959.582</v>
      </c>
      <c r="AZ40" s="162">
        <f t="shared" si="14"/>
        <v>128627.73638596477</v>
      </c>
      <c r="BA40" s="163">
        <v>1000</v>
      </c>
      <c r="BB40" s="163" t="e">
        <f>AZ40/#REF!</f>
        <v>#REF!</v>
      </c>
      <c r="BC40" s="153"/>
      <c r="BD40" s="156"/>
    </row>
    <row r="41" spans="1:56" ht="15" thickBot="1" x14ac:dyDescent="0.35">
      <c r="A41" s="200">
        <f>+A40+1</f>
        <v>46005</v>
      </c>
      <c r="B41" s="265">
        <f>DAY(Tabla2[[#This Row],[FECHA]])</f>
        <v>14</v>
      </c>
      <c r="C41" s="209" t="s">
        <v>28</v>
      </c>
      <c r="D41" s="201"/>
      <c r="E41" s="202"/>
      <c r="F41" s="203"/>
      <c r="G41" s="203"/>
      <c r="H41" s="202"/>
      <c r="I41" s="390">
        <f>Tabla2[[#This Row],[VOLUMEN ENVIADO A RO (m3)]]/Tabla2[[#This Row],[Q DE OPERACIÓN (m3/h)]]</f>
        <v>5.3890545454545462</v>
      </c>
      <c r="J41" s="373">
        <v>0</v>
      </c>
      <c r="K41" s="374">
        <v>54</v>
      </c>
      <c r="L41" s="375">
        <v>54</v>
      </c>
      <c r="M41" s="374">
        <v>0</v>
      </c>
      <c r="N41" s="375">
        <v>0</v>
      </c>
      <c r="O41" s="245">
        <v>0</v>
      </c>
      <c r="P41" s="256">
        <v>473.68421052631584</v>
      </c>
      <c r="Q41" s="239">
        <v>473.68421052631584</v>
      </c>
      <c r="R41" s="256">
        <v>0</v>
      </c>
      <c r="S41" s="256">
        <v>0</v>
      </c>
      <c r="T41" s="241">
        <v>0</v>
      </c>
      <c r="U41" s="242">
        <v>0</v>
      </c>
      <c r="V41" s="242">
        <v>0</v>
      </c>
      <c r="W41" s="242">
        <v>0</v>
      </c>
      <c r="X41" s="243">
        <v>0</v>
      </c>
      <c r="Y41" s="248">
        <v>1.18</v>
      </c>
      <c r="Z41" s="248">
        <v>1.28</v>
      </c>
      <c r="AA41" s="248">
        <v>1.2</v>
      </c>
      <c r="AB41" s="248">
        <v>1.53</v>
      </c>
      <c r="AC41" s="248">
        <v>1.2</v>
      </c>
      <c r="AD41" s="257">
        <v>0</v>
      </c>
      <c r="AE41" s="258">
        <v>0</v>
      </c>
      <c r="AF41" s="258">
        <v>0</v>
      </c>
      <c r="AG41" s="258">
        <v>0</v>
      </c>
      <c r="AH41" s="259">
        <v>0</v>
      </c>
      <c r="AI41" s="561">
        <v>296.39800000000002</v>
      </c>
      <c r="AJ41" s="411">
        <v>55</v>
      </c>
      <c r="AK41" s="185">
        <f t="shared" si="5"/>
        <v>0</v>
      </c>
      <c r="AL41" s="186">
        <f t="shared" si="6"/>
        <v>0</v>
      </c>
      <c r="AM41" s="186">
        <f t="shared" si="7"/>
        <v>0</v>
      </c>
      <c r="AN41" s="186">
        <f t="shared" si="8"/>
        <v>0</v>
      </c>
      <c r="AO41" s="187">
        <f t="shared" si="9"/>
        <v>0</v>
      </c>
      <c r="AP41" s="159">
        <f t="shared" si="15"/>
        <v>1550</v>
      </c>
      <c r="AQ41" s="160">
        <f t="shared" si="15"/>
        <v>19462</v>
      </c>
      <c r="AR41" s="160">
        <f t="shared" si="15"/>
        <v>36854</v>
      </c>
      <c r="AS41" s="160">
        <f t="shared" si="15"/>
        <v>1560</v>
      </c>
      <c r="AT41" s="161">
        <f t="shared" si="15"/>
        <v>3640</v>
      </c>
      <c r="AU41" s="159">
        <f t="shared" si="1"/>
        <v>0</v>
      </c>
      <c r="AV41" s="160">
        <f t="shared" si="11"/>
        <v>0</v>
      </c>
      <c r="AW41" s="160">
        <f t="shared" si="12"/>
        <v>0</v>
      </c>
      <c r="AX41" s="160">
        <f t="shared" si="2"/>
        <v>0</v>
      </c>
      <c r="AY41" s="161">
        <f t="shared" si="3"/>
        <v>26972.218000000004</v>
      </c>
      <c r="AZ41" s="159">
        <f t="shared" si="14"/>
        <v>26972.218000000004</v>
      </c>
      <c r="BA41" s="160">
        <v>1000</v>
      </c>
      <c r="BB41" s="160" t="e">
        <f>AZ41/#REF!</f>
        <v>#REF!</v>
      </c>
      <c r="BC41" s="154"/>
      <c r="BD41" s="155"/>
    </row>
    <row r="42" spans="1:56" ht="15" thickBot="1" x14ac:dyDescent="0.35">
      <c r="A42" s="204">
        <f>+A41</f>
        <v>46005</v>
      </c>
      <c r="B42" s="263">
        <f>DAY(Tabla2[[#This Row],[FECHA]])</f>
        <v>14</v>
      </c>
      <c r="C42" s="189" t="s">
        <v>29</v>
      </c>
      <c r="D42" s="182"/>
      <c r="E42" s="183"/>
      <c r="F42" s="184"/>
      <c r="G42" s="184"/>
      <c r="H42" s="183"/>
      <c r="I42" s="390">
        <f>Tabla2[[#This Row],[VOLUMEN ENVIADO A RO (m3)]]/Tabla2[[#This Row],[Q DE OPERACIÓN (m3/h)]]</f>
        <v>4.215672727272727</v>
      </c>
      <c r="J42" s="376">
        <v>0</v>
      </c>
      <c r="K42" s="377">
        <v>54</v>
      </c>
      <c r="L42" s="378">
        <v>54</v>
      </c>
      <c r="M42" s="377">
        <v>0</v>
      </c>
      <c r="N42" s="378">
        <v>0</v>
      </c>
      <c r="O42" s="245">
        <v>0</v>
      </c>
      <c r="P42" s="246">
        <v>473.68421052631584</v>
      </c>
      <c r="Q42" s="246">
        <v>473.68421052631584</v>
      </c>
      <c r="R42" s="246">
        <v>0</v>
      </c>
      <c r="S42" s="246">
        <v>0</v>
      </c>
      <c r="T42" s="241">
        <v>0</v>
      </c>
      <c r="U42" s="242">
        <v>35.087719298245645</v>
      </c>
      <c r="V42" s="242">
        <v>140.35087719298247</v>
      </c>
      <c r="W42" s="242">
        <v>0</v>
      </c>
      <c r="X42" s="243">
        <v>0</v>
      </c>
      <c r="Y42" s="248">
        <v>1.18</v>
      </c>
      <c r="Z42" s="248">
        <v>1.28</v>
      </c>
      <c r="AA42" s="248">
        <v>1.2</v>
      </c>
      <c r="AB42" s="248">
        <v>1.53</v>
      </c>
      <c r="AC42" s="248">
        <v>1.2</v>
      </c>
      <c r="AD42" s="241">
        <v>0</v>
      </c>
      <c r="AE42" s="242">
        <v>44.912280701754426</v>
      </c>
      <c r="AF42" s="242">
        <v>168.42105263157896</v>
      </c>
      <c r="AG42" s="242">
        <v>0</v>
      </c>
      <c r="AH42" s="243">
        <v>0</v>
      </c>
      <c r="AI42" s="562">
        <v>231.86199999999999</v>
      </c>
      <c r="AJ42" s="411">
        <v>55</v>
      </c>
      <c r="AK42" s="185">
        <f t="shared" si="5"/>
        <v>0</v>
      </c>
      <c r="AL42" s="186">
        <f t="shared" si="6"/>
        <v>193.70263648961205</v>
      </c>
      <c r="AM42" s="186">
        <f t="shared" si="7"/>
        <v>726.38488683604453</v>
      </c>
      <c r="AN42" s="186">
        <f t="shared" si="8"/>
        <v>0</v>
      </c>
      <c r="AO42" s="187">
        <f t="shared" si="9"/>
        <v>0</v>
      </c>
      <c r="AP42" s="159">
        <f t="shared" si="15"/>
        <v>1550</v>
      </c>
      <c r="AQ42" s="160">
        <f t="shared" si="15"/>
        <v>19462</v>
      </c>
      <c r="AR42" s="160">
        <f t="shared" si="15"/>
        <v>36854</v>
      </c>
      <c r="AS42" s="160">
        <f t="shared" si="15"/>
        <v>1560</v>
      </c>
      <c r="AT42" s="161">
        <f t="shared" si="15"/>
        <v>3640</v>
      </c>
      <c r="AU42" s="159">
        <f t="shared" si="1"/>
        <v>55691.228070175493</v>
      </c>
      <c r="AV42" s="160">
        <f t="shared" si="11"/>
        <v>39333.726315789478</v>
      </c>
      <c r="AW42" s="160">
        <f t="shared" si="12"/>
        <v>0</v>
      </c>
      <c r="AX42" s="160">
        <f t="shared" si="2"/>
        <v>0</v>
      </c>
      <c r="AY42" s="161">
        <f t="shared" si="3"/>
        <v>21099.441999999999</v>
      </c>
      <c r="AZ42" s="159">
        <f t="shared" si="14"/>
        <v>116124.39638596497</v>
      </c>
      <c r="BA42" s="160">
        <v>1000</v>
      </c>
      <c r="BB42" s="160" t="e">
        <f>AZ42/#REF!</f>
        <v>#REF!</v>
      </c>
      <c r="BC42" s="154"/>
      <c r="BD42" s="155"/>
    </row>
    <row r="43" spans="1:56" ht="15" thickBot="1" x14ac:dyDescent="0.35">
      <c r="A43" s="205">
        <f>+A42</f>
        <v>46005</v>
      </c>
      <c r="B43" s="264">
        <f>DAY(Tabla2[[#This Row],[FECHA]])</f>
        <v>14</v>
      </c>
      <c r="C43" s="194" t="s">
        <v>30</v>
      </c>
      <c r="D43" s="206"/>
      <c r="E43" s="207"/>
      <c r="F43" s="208"/>
      <c r="G43" s="208"/>
      <c r="H43" s="207"/>
      <c r="I43" s="390">
        <f>Tabla2[[#This Row],[VOLUMEN ENVIADO A RO (m3)]]/Tabla2[[#This Row],[Q DE OPERACIÓN (m3/h)]]</f>
        <v>7.3676000000000004</v>
      </c>
      <c r="J43" s="379">
        <v>0</v>
      </c>
      <c r="K43" s="380">
        <v>50</v>
      </c>
      <c r="L43" s="381">
        <v>38</v>
      </c>
      <c r="M43" s="380">
        <v>0</v>
      </c>
      <c r="N43" s="381">
        <v>0</v>
      </c>
      <c r="O43" s="245">
        <v>0</v>
      </c>
      <c r="P43" s="250">
        <v>438.59649122807019</v>
      </c>
      <c r="Q43" s="250">
        <v>333.33333333333337</v>
      </c>
      <c r="R43" s="250">
        <v>0</v>
      </c>
      <c r="S43" s="250">
        <v>0</v>
      </c>
      <c r="T43" s="241">
        <v>0</v>
      </c>
      <c r="U43" s="242">
        <v>71.403508771929808</v>
      </c>
      <c r="V43" s="242">
        <v>61.403508771929864</v>
      </c>
      <c r="W43" s="242">
        <v>0</v>
      </c>
      <c r="X43" s="243">
        <v>0</v>
      </c>
      <c r="Y43" s="248">
        <v>1.18</v>
      </c>
      <c r="Z43" s="248">
        <v>1.28</v>
      </c>
      <c r="AA43" s="248">
        <v>1.2</v>
      </c>
      <c r="AB43" s="248">
        <v>1.53</v>
      </c>
      <c r="AC43" s="248">
        <v>1.2</v>
      </c>
      <c r="AD43" s="252">
        <v>0</v>
      </c>
      <c r="AE43" s="253">
        <v>91.396491228070161</v>
      </c>
      <c r="AF43" s="253">
        <v>73.684210526315837</v>
      </c>
      <c r="AG43" s="253">
        <v>0</v>
      </c>
      <c r="AH43" s="254">
        <v>0</v>
      </c>
      <c r="AI43" s="563">
        <v>405.21800000000002</v>
      </c>
      <c r="AJ43" s="411">
        <v>55</v>
      </c>
      <c r="AK43" s="185">
        <f t="shared" si="5"/>
        <v>0</v>
      </c>
      <c r="AL43" s="186">
        <f t="shared" si="6"/>
        <v>225.54894212021719</v>
      </c>
      <c r="AM43" s="186">
        <f t="shared" si="7"/>
        <v>181.83844381620719</v>
      </c>
      <c r="AN43" s="186">
        <f t="shared" si="8"/>
        <v>0</v>
      </c>
      <c r="AO43" s="187">
        <f t="shared" si="9"/>
        <v>0</v>
      </c>
      <c r="AP43" s="159">
        <f t="shared" si="15"/>
        <v>1550</v>
      </c>
      <c r="AQ43" s="160">
        <f t="shared" si="15"/>
        <v>19462</v>
      </c>
      <c r="AR43" s="160">
        <f t="shared" si="15"/>
        <v>36854</v>
      </c>
      <c r="AS43" s="160">
        <f t="shared" si="15"/>
        <v>1560</v>
      </c>
      <c r="AT43" s="161">
        <f t="shared" si="15"/>
        <v>3640</v>
      </c>
      <c r="AU43" s="162">
        <f t="shared" si="1"/>
        <v>113331.64912280701</v>
      </c>
      <c r="AV43" s="163">
        <f t="shared" si="11"/>
        <v>17208.505263157906</v>
      </c>
      <c r="AW43" s="163">
        <f t="shared" si="12"/>
        <v>0</v>
      </c>
      <c r="AX43" s="163">
        <f t="shared" si="2"/>
        <v>0</v>
      </c>
      <c r="AY43" s="164">
        <f t="shared" si="3"/>
        <v>36874.838000000003</v>
      </c>
      <c r="AZ43" s="162">
        <f t="shared" si="14"/>
        <v>167414.9923859649</v>
      </c>
      <c r="BA43" s="163">
        <v>1000</v>
      </c>
      <c r="BB43" s="163" t="e">
        <f>AZ43/#REF!</f>
        <v>#REF!</v>
      </c>
      <c r="BC43" s="153"/>
      <c r="BD43" s="156"/>
    </row>
    <row r="44" spans="1:56" ht="15" thickBot="1" x14ac:dyDescent="0.35">
      <c r="A44" s="200">
        <f>+A43+1</f>
        <v>46006</v>
      </c>
      <c r="B44" s="265">
        <f>DAY(Tabla2[[#This Row],[FECHA]])</f>
        <v>15</v>
      </c>
      <c r="C44" s="209" t="s">
        <v>28</v>
      </c>
      <c r="D44" s="201"/>
      <c r="E44" s="202"/>
      <c r="F44" s="203"/>
      <c r="G44" s="203"/>
      <c r="H44" s="202"/>
      <c r="I44" s="390">
        <f>Tabla2[[#This Row],[VOLUMEN ENVIADO A RO (m3)]]/Tabla2[[#This Row],[Q DE OPERACIÓN (m3/h)]]</f>
        <v>8.327272727272728</v>
      </c>
      <c r="J44" s="373">
        <v>0</v>
      </c>
      <c r="K44" s="374">
        <v>43</v>
      </c>
      <c r="L44" s="375">
        <v>31</v>
      </c>
      <c r="M44" s="374">
        <v>0</v>
      </c>
      <c r="N44" s="375">
        <v>0</v>
      </c>
      <c r="O44" s="245">
        <v>0</v>
      </c>
      <c r="P44" s="256">
        <v>377.19298245614038</v>
      </c>
      <c r="Q44" s="239">
        <v>271.92982456140351</v>
      </c>
      <c r="R44" s="256">
        <v>0</v>
      </c>
      <c r="S44" s="256">
        <v>0</v>
      </c>
      <c r="T44" s="241">
        <v>0</v>
      </c>
      <c r="U44" s="242">
        <v>26.31578947368422</v>
      </c>
      <c r="V44" s="242">
        <v>17.543859649122794</v>
      </c>
      <c r="W44" s="242">
        <v>0</v>
      </c>
      <c r="X44" s="243">
        <v>0</v>
      </c>
      <c r="Y44" s="248">
        <v>1.18</v>
      </c>
      <c r="Z44" s="248">
        <v>1.28</v>
      </c>
      <c r="AA44" s="248">
        <v>1.2</v>
      </c>
      <c r="AB44" s="248">
        <v>1.53</v>
      </c>
      <c r="AC44" s="248">
        <v>1.2</v>
      </c>
      <c r="AD44" s="257">
        <v>0</v>
      </c>
      <c r="AE44" s="258">
        <v>33.684210526315802</v>
      </c>
      <c r="AF44" s="258">
        <v>21.052631578947352</v>
      </c>
      <c r="AG44" s="258">
        <v>0</v>
      </c>
      <c r="AH44" s="259">
        <v>0</v>
      </c>
      <c r="AI44" s="561">
        <v>458</v>
      </c>
      <c r="AJ44" s="411">
        <v>55</v>
      </c>
      <c r="AK44" s="185">
        <f t="shared" si="5"/>
        <v>0</v>
      </c>
      <c r="AL44" s="186">
        <f t="shared" si="6"/>
        <v>73.546311192829265</v>
      </c>
      <c r="AM44" s="186">
        <f t="shared" si="7"/>
        <v>45.966444495518239</v>
      </c>
      <c r="AN44" s="186">
        <f t="shared" si="8"/>
        <v>0</v>
      </c>
      <c r="AO44" s="187">
        <f t="shared" si="9"/>
        <v>0</v>
      </c>
      <c r="AP44" s="159">
        <f t="shared" si="15"/>
        <v>1550</v>
      </c>
      <c r="AQ44" s="160">
        <f t="shared" si="15"/>
        <v>19462</v>
      </c>
      <c r="AR44" s="160">
        <f t="shared" si="15"/>
        <v>36854</v>
      </c>
      <c r="AS44" s="160">
        <f t="shared" si="15"/>
        <v>1560</v>
      </c>
      <c r="AT44" s="161">
        <f t="shared" si="15"/>
        <v>3640</v>
      </c>
      <c r="AU44" s="159">
        <f t="shared" si="1"/>
        <v>41768.421052631602</v>
      </c>
      <c r="AV44" s="160">
        <f t="shared" si="11"/>
        <v>4916.7157894736802</v>
      </c>
      <c r="AW44" s="160">
        <f t="shared" si="12"/>
        <v>0</v>
      </c>
      <c r="AX44" s="160">
        <f t="shared" si="2"/>
        <v>0</v>
      </c>
      <c r="AY44" s="161">
        <f t="shared" si="3"/>
        <v>41678.000000000007</v>
      </c>
      <c r="AZ44" s="159">
        <f t="shared" si="14"/>
        <v>88363.13684210529</v>
      </c>
      <c r="BA44" s="160">
        <v>1000</v>
      </c>
      <c r="BB44" s="160" t="e">
        <f>AZ44/#REF!</f>
        <v>#REF!</v>
      </c>
      <c r="BC44" s="154"/>
      <c r="BD44" s="155"/>
    </row>
    <row r="45" spans="1:56" ht="15" thickBot="1" x14ac:dyDescent="0.35">
      <c r="A45" s="204">
        <f>+A44</f>
        <v>46006</v>
      </c>
      <c r="B45" s="263">
        <f>DAY(Tabla2[[#This Row],[FECHA]])</f>
        <v>15</v>
      </c>
      <c r="C45" s="189" t="s">
        <v>29</v>
      </c>
      <c r="D45" s="190"/>
      <c r="E45" s="191"/>
      <c r="F45" s="192"/>
      <c r="G45" s="192"/>
      <c r="H45" s="191"/>
      <c r="I45" s="390">
        <f>Tabla2[[#This Row],[VOLUMEN ENVIADO A RO (m3)]]/Tabla2[[#This Row],[Q DE OPERACIÓN (m3/h)]]</f>
        <v>7.9636363636363638</v>
      </c>
      <c r="J45" s="376">
        <v>0</v>
      </c>
      <c r="K45" s="377">
        <v>40</v>
      </c>
      <c r="L45" s="378">
        <v>29</v>
      </c>
      <c r="M45" s="377">
        <v>0</v>
      </c>
      <c r="N45" s="378">
        <v>0</v>
      </c>
      <c r="O45" s="245">
        <v>0</v>
      </c>
      <c r="P45" s="246">
        <v>350.87719298245617</v>
      </c>
      <c r="Q45" s="246">
        <v>254.38596491228071</v>
      </c>
      <c r="R45" s="246">
        <v>0</v>
      </c>
      <c r="S45" s="246">
        <v>0</v>
      </c>
      <c r="T45" s="241">
        <v>0</v>
      </c>
      <c r="U45" s="242">
        <v>35.087719298245645</v>
      </c>
      <c r="V45" s="242">
        <v>78.94736842105263</v>
      </c>
      <c r="W45" s="242">
        <v>0</v>
      </c>
      <c r="X45" s="243">
        <v>0</v>
      </c>
      <c r="Y45" s="248">
        <v>1.18</v>
      </c>
      <c r="Z45" s="248">
        <v>1.28</v>
      </c>
      <c r="AA45" s="248">
        <v>1.2</v>
      </c>
      <c r="AB45" s="248">
        <v>1.53</v>
      </c>
      <c r="AC45" s="248">
        <v>1.2</v>
      </c>
      <c r="AD45" s="241">
        <v>0</v>
      </c>
      <c r="AE45" s="242">
        <v>44.912280701754426</v>
      </c>
      <c r="AF45" s="242">
        <v>94.73684210526315</v>
      </c>
      <c r="AG45" s="242">
        <v>0</v>
      </c>
      <c r="AH45" s="243">
        <v>0</v>
      </c>
      <c r="AI45" s="562">
        <v>438</v>
      </c>
      <c r="AJ45" s="411">
        <v>55</v>
      </c>
      <c r="AK45" s="185">
        <f t="shared" si="5"/>
        <v>0</v>
      </c>
      <c r="AL45" s="186">
        <f t="shared" si="6"/>
        <v>102.53945365697358</v>
      </c>
      <c r="AM45" s="186">
        <f t="shared" si="7"/>
        <v>216.29416005767843</v>
      </c>
      <c r="AN45" s="186">
        <f t="shared" si="8"/>
        <v>0</v>
      </c>
      <c r="AO45" s="187">
        <f t="shared" si="9"/>
        <v>0</v>
      </c>
      <c r="AP45" s="159">
        <f t="shared" si="15"/>
        <v>1550</v>
      </c>
      <c r="AQ45" s="160">
        <f t="shared" si="15"/>
        <v>19462</v>
      </c>
      <c r="AR45" s="160">
        <f t="shared" si="15"/>
        <v>36854</v>
      </c>
      <c r="AS45" s="160">
        <f t="shared" si="15"/>
        <v>1560</v>
      </c>
      <c r="AT45" s="161">
        <f t="shared" si="15"/>
        <v>3640</v>
      </c>
      <c r="AU45" s="159">
        <f t="shared" si="1"/>
        <v>55691.228070175493</v>
      </c>
      <c r="AV45" s="160">
        <f t="shared" si="11"/>
        <v>22125.221052631579</v>
      </c>
      <c r="AW45" s="160">
        <f t="shared" si="12"/>
        <v>0</v>
      </c>
      <c r="AX45" s="160">
        <f t="shared" si="2"/>
        <v>0</v>
      </c>
      <c r="AY45" s="161">
        <f t="shared" si="3"/>
        <v>39858.000000000007</v>
      </c>
      <c r="AZ45" s="159">
        <f t="shared" si="14"/>
        <v>117674.44912280707</v>
      </c>
      <c r="BA45" s="160">
        <v>1000</v>
      </c>
      <c r="BB45" s="160" t="e">
        <f>AZ45/#REF!</f>
        <v>#REF!</v>
      </c>
      <c r="BC45" s="154"/>
      <c r="BD45" s="155"/>
    </row>
    <row r="46" spans="1:56" ht="15" thickBot="1" x14ac:dyDescent="0.35">
      <c r="A46" s="205">
        <f>+A45</f>
        <v>46006</v>
      </c>
      <c r="B46" s="264">
        <f>DAY(Tabla2[[#This Row],[FECHA]])</f>
        <v>15</v>
      </c>
      <c r="C46" s="194" t="s">
        <v>30</v>
      </c>
      <c r="D46" s="195"/>
      <c r="E46" s="196"/>
      <c r="F46" s="197"/>
      <c r="G46" s="198"/>
      <c r="H46" s="199"/>
      <c r="I46" s="390">
        <f>Tabla2[[#This Row],[VOLUMEN ENVIADO A RO (m3)]]/Tabla2[[#This Row],[Q DE OPERACIÓN (m3/h)]]</f>
        <v>8.1538727272727272</v>
      </c>
      <c r="J46" s="379">
        <v>0</v>
      </c>
      <c r="K46" s="380">
        <v>36</v>
      </c>
      <c r="L46" s="381">
        <v>20</v>
      </c>
      <c r="M46" s="380">
        <v>0</v>
      </c>
      <c r="N46" s="381">
        <v>0</v>
      </c>
      <c r="O46" s="245">
        <v>0</v>
      </c>
      <c r="P46" s="250">
        <v>315.78947368421052</v>
      </c>
      <c r="Q46" s="250">
        <v>175.43859649122808</v>
      </c>
      <c r="R46" s="250">
        <v>0</v>
      </c>
      <c r="S46" s="250">
        <v>0</v>
      </c>
      <c r="T46" s="241">
        <v>0</v>
      </c>
      <c r="U46" s="242">
        <v>35.087719298245588</v>
      </c>
      <c r="V46" s="242">
        <v>43.859649122807014</v>
      </c>
      <c r="W46" s="242">
        <v>0</v>
      </c>
      <c r="X46" s="243">
        <v>0</v>
      </c>
      <c r="Y46" s="248">
        <v>1.18</v>
      </c>
      <c r="Z46" s="248">
        <v>1.28</v>
      </c>
      <c r="AA46" s="248">
        <v>1.2</v>
      </c>
      <c r="AB46" s="248">
        <v>1.53</v>
      </c>
      <c r="AC46" s="248">
        <v>1.2</v>
      </c>
      <c r="AD46" s="252">
        <v>0</v>
      </c>
      <c r="AE46" s="253">
        <v>44.912280701754355</v>
      </c>
      <c r="AF46" s="253">
        <v>52.631578947368418</v>
      </c>
      <c r="AG46" s="253">
        <v>0</v>
      </c>
      <c r="AH46" s="254">
        <v>0</v>
      </c>
      <c r="AI46" s="563">
        <v>448.46300000000002</v>
      </c>
      <c r="AJ46" s="411">
        <v>55</v>
      </c>
      <c r="AK46" s="185">
        <f t="shared" si="5"/>
        <v>0</v>
      </c>
      <c r="AL46" s="186">
        <f t="shared" si="6"/>
        <v>100.14712629972674</v>
      </c>
      <c r="AM46" s="186">
        <f t="shared" si="7"/>
        <v>117.35991363249235</v>
      </c>
      <c r="AN46" s="186">
        <f t="shared" si="8"/>
        <v>0</v>
      </c>
      <c r="AO46" s="187">
        <f t="shared" si="9"/>
        <v>0</v>
      </c>
      <c r="AP46" s="159">
        <f t="shared" si="15"/>
        <v>1550</v>
      </c>
      <c r="AQ46" s="160">
        <f t="shared" si="15"/>
        <v>19462</v>
      </c>
      <c r="AR46" s="160">
        <f t="shared" si="15"/>
        <v>36854</v>
      </c>
      <c r="AS46" s="160">
        <f t="shared" si="15"/>
        <v>1560</v>
      </c>
      <c r="AT46" s="161">
        <f t="shared" si="15"/>
        <v>3640</v>
      </c>
      <c r="AU46" s="162">
        <f t="shared" si="1"/>
        <v>55691.228070175399</v>
      </c>
      <c r="AV46" s="163">
        <f t="shared" si="11"/>
        <v>12291.78947368421</v>
      </c>
      <c r="AW46" s="163">
        <f t="shared" si="12"/>
        <v>0</v>
      </c>
      <c r="AX46" s="163">
        <f t="shared" si="2"/>
        <v>0</v>
      </c>
      <c r="AY46" s="164">
        <f t="shared" si="3"/>
        <v>40810.133000000009</v>
      </c>
      <c r="AZ46" s="162">
        <f t="shared" si="14"/>
        <v>108793.15054385961</v>
      </c>
      <c r="BA46" s="163">
        <v>1000</v>
      </c>
      <c r="BB46" s="163" t="e">
        <f>AZ46/#REF!</f>
        <v>#REF!</v>
      </c>
      <c r="BC46" s="153"/>
      <c r="BD46" s="156"/>
    </row>
    <row r="47" spans="1:56" ht="15" thickBot="1" x14ac:dyDescent="0.35">
      <c r="A47" s="200">
        <f>+A46+1</f>
        <v>46007</v>
      </c>
      <c r="B47" s="265">
        <f>DAY(Tabla2[[#This Row],[FECHA]])</f>
        <v>16</v>
      </c>
      <c r="C47" s="209" t="s">
        <v>28</v>
      </c>
      <c r="D47" s="201"/>
      <c r="E47" s="202"/>
      <c r="F47" s="203"/>
      <c r="G47" s="203"/>
      <c r="H47" s="202"/>
      <c r="I47" s="390">
        <f>Tabla2[[#This Row],[VOLUMEN ENVIADO A RO (m3)]]/Tabla2[[#This Row],[Q DE OPERACIÓN (m3/h)]]</f>
        <v>6.6536181818181817</v>
      </c>
      <c r="J47" s="373">
        <v>0</v>
      </c>
      <c r="K47" s="374">
        <v>32</v>
      </c>
      <c r="L47" s="375">
        <v>15</v>
      </c>
      <c r="M47" s="374">
        <v>0</v>
      </c>
      <c r="N47" s="375">
        <v>0</v>
      </c>
      <c r="O47" s="245">
        <v>0</v>
      </c>
      <c r="P47" s="256">
        <v>280.70175438596493</v>
      </c>
      <c r="Q47" s="239">
        <v>131.57894736842107</v>
      </c>
      <c r="R47" s="256">
        <v>0</v>
      </c>
      <c r="S47" s="256">
        <v>0</v>
      </c>
      <c r="T47" s="241">
        <v>0</v>
      </c>
      <c r="U47" s="242">
        <v>17.543859649122794</v>
      </c>
      <c r="V47" s="242">
        <v>35.087719298245617</v>
      </c>
      <c r="W47" s="242">
        <v>0</v>
      </c>
      <c r="X47" s="243">
        <v>0</v>
      </c>
      <c r="Y47" s="248">
        <v>1.18</v>
      </c>
      <c r="Z47" s="248">
        <v>1.28</v>
      </c>
      <c r="AA47" s="248">
        <v>1.2</v>
      </c>
      <c r="AB47" s="248">
        <v>1.53</v>
      </c>
      <c r="AC47" s="248">
        <v>1.2</v>
      </c>
      <c r="AD47" s="257">
        <v>0</v>
      </c>
      <c r="AE47" s="258">
        <v>22.456140350877178</v>
      </c>
      <c r="AF47" s="258">
        <v>42.10526315789474</v>
      </c>
      <c r="AG47" s="258">
        <v>0</v>
      </c>
      <c r="AH47" s="259">
        <v>0</v>
      </c>
      <c r="AI47" s="561">
        <v>365.94900000000001</v>
      </c>
      <c r="AJ47" s="411">
        <v>55</v>
      </c>
      <c r="AK47" s="185">
        <f t="shared" si="5"/>
        <v>0</v>
      </c>
      <c r="AL47" s="186">
        <f t="shared" si="6"/>
        <v>61.364125467967327</v>
      </c>
      <c r="AM47" s="186">
        <f t="shared" si="7"/>
        <v>115.05773525243883</v>
      </c>
      <c r="AN47" s="186">
        <f t="shared" si="8"/>
        <v>0</v>
      </c>
      <c r="AO47" s="187">
        <f t="shared" si="9"/>
        <v>0</v>
      </c>
      <c r="AP47" s="159">
        <f t="shared" si="15"/>
        <v>1550</v>
      </c>
      <c r="AQ47" s="160">
        <f t="shared" si="15"/>
        <v>19462</v>
      </c>
      <c r="AR47" s="160">
        <f t="shared" si="15"/>
        <v>36854</v>
      </c>
      <c r="AS47" s="160">
        <f t="shared" si="15"/>
        <v>1560</v>
      </c>
      <c r="AT47" s="161">
        <f t="shared" si="15"/>
        <v>3640</v>
      </c>
      <c r="AU47" s="159">
        <f t="shared" si="1"/>
        <v>27845.614035087699</v>
      </c>
      <c r="AV47" s="160">
        <f t="shared" si="11"/>
        <v>9833.4315789473694</v>
      </c>
      <c r="AW47" s="160">
        <f t="shared" si="12"/>
        <v>0</v>
      </c>
      <c r="AX47" s="160">
        <f t="shared" si="2"/>
        <v>0</v>
      </c>
      <c r="AY47" s="161">
        <f t="shared" si="3"/>
        <v>33301.359000000004</v>
      </c>
      <c r="AZ47" s="159">
        <f t="shared" si="14"/>
        <v>70980.404614035069</v>
      </c>
      <c r="BA47" s="160">
        <v>1000</v>
      </c>
      <c r="BB47" s="160" t="e">
        <f>AZ47/#REF!</f>
        <v>#REF!</v>
      </c>
      <c r="BC47" s="154"/>
      <c r="BD47" s="155"/>
    </row>
    <row r="48" spans="1:56" ht="15" thickBot="1" x14ac:dyDescent="0.35">
      <c r="A48" s="204">
        <f>+A47</f>
        <v>46007</v>
      </c>
      <c r="B48" s="263">
        <f>DAY(Tabla2[[#This Row],[FECHA]])</f>
        <v>16</v>
      </c>
      <c r="C48" s="189" t="s">
        <v>29</v>
      </c>
      <c r="D48" s="190"/>
      <c r="E48" s="191"/>
      <c r="F48" s="192"/>
      <c r="G48" s="192"/>
      <c r="H48" s="191"/>
      <c r="I48" s="390">
        <f>Tabla2[[#This Row],[VOLUMEN ENVIADO A RO (m3)]]/Tabla2[[#This Row],[Q DE OPERACIÓN (m3/h)]]</f>
        <v>4.7499636363636366</v>
      </c>
      <c r="J48" s="376">
        <v>0</v>
      </c>
      <c r="K48" s="377">
        <v>30</v>
      </c>
      <c r="L48" s="378">
        <v>11</v>
      </c>
      <c r="M48" s="377">
        <v>0</v>
      </c>
      <c r="N48" s="378">
        <v>0</v>
      </c>
      <c r="O48" s="245">
        <v>0</v>
      </c>
      <c r="P48" s="246">
        <v>263.15789473684214</v>
      </c>
      <c r="Q48" s="246">
        <v>96.491228070175453</v>
      </c>
      <c r="R48" s="246">
        <v>0</v>
      </c>
      <c r="S48" s="246">
        <v>0</v>
      </c>
      <c r="T48" s="241">
        <v>0</v>
      </c>
      <c r="U48" s="242">
        <v>26.31578947368422</v>
      </c>
      <c r="V48" s="242">
        <v>17.543859649122822</v>
      </c>
      <c r="W48" s="242">
        <v>0</v>
      </c>
      <c r="X48" s="243">
        <v>0</v>
      </c>
      <c r="Y48" s="248">
        <v>1.18</v>
      </c>
      <c r="Z48" s="248">
        <v>1.28</v>
      </c>
      <c r="AA48" s="248">
        <v>1.2</v>
      </c>
      <c r="AB48" s="248">
        <v>1.53</v>
      </c>
      <c r="AC48" s="248">
        <v>1.2</v>
      </c>
      <c r="AD48" s="241">
        <v>0</v>
      </c>
      <c r="AE48" s="242">
        <v>33.684210526315802</v>
      </c>
      <c r="AF48" s="242">
        <v>21.052631578947388</v>
      </c>
      <c r="AG48" s="242">
        <v>0</v>
      </c>
      <c r="AH48" s="243">
        <v>0</v>
      </c>
      <c r="AI48" s="562">
        <v>261.24799999999999</v>
      </c>
      <c r="AJ48" s="411">
        <v>55</v>
      </c>
      <c r="AK48" s="185">
        <f t="shared" si="5"/>
        <v>0</v>
      </c>
      <c r="AL48" s="186">
        <f t="shared" si="6"/>
        <v>128.93576420227447</v>
      </c>
      <c r="AM48" s="186">
        <f t="shared" si="7"/>
        <v>80.584852626421593</v>
      </c>
      <c r="AN48" s="186">
        <f t="shared" si="8"/>
        <v>0</v>
      </c>
      <c r="AO48" s="187">
        <f t="shared" si="9"/>
        <v>0</v>
      </c>
      <c r="AP48" s="159">
        <f t="shared" si="15"/>
        <v>1550</v>
      </c>
      <c r="AQ48" s="160">
        <f t="shared" si="15"/>
        <v>19462</v>
      </c>
      <c r="AR48" s="160">
        <f t="shared" si="15"/>
        <v>36854</v>
      </c>
      <c r="AS48" s="160">
        <f t="shared" si="15"/>
        <v>1560</v>
      </c>
      <c r="AT48" s="161">
        <f t="shared" si="15"/>
        <v>3640</v>
      </c>
      <c r="AU48" s="159">
        <f t="shared" si="1"/>
        <v>41768.421052631602</v>
      </c>
      <c r="AV48" s="160">
        <f t="shared" si="11"/>
        <v>4916.7157894736883</v>
      </c>
      <c r="AW48" s="160">
        <f t="shared" si="12"/>
        <v>0</v>
      </c>
      <c r="AX48" s="160">
        <f t="shared" si="2"/>
        <v>0</v>
      </c>
      <c r="AY48" s="161">
        <f t="shared" si="3"/>
        <v>23773.567999999999</v>
      </c>
      <c r="AZ48" s="159">
        <f t="shared" si="14"/>
        <v>70458.70484210529</v>
      </c>
      <c r="BA48" s="160">
        <v>1000</v>
      </c>
      <c r="BB48" s="160" t="e">
        <f>AZ48/#REF!</f>
        <v>#REF!</v>
      </c>
      <c r="BC48" s="154"/>
      <c r="BD48" s="155"/>
    </row>
    <row r="49" spans="1:56" ht="15" thickBot="1" x14ac:dyDescent="0.35">
      <c r="A49" s="205">
        <f>+A48</f>
        <v>46007</v>
      </c>
      <c r="B49" s="264">
        <f>DAY(Tabla2[[#This Row],[FECHA]])</f>
        <v>16</v>
      </c>
      <c r="C49" s="194" t="s">
        <v>30</v>
      </c>
      <c r="D49" s="195"/>
      <c r="E49" s="196"/>
      <c r="F49" s="197"/>
      <c r="G49" s="198"/>
      <c r="H49" s="199"/>
      <c r="I49" s="390">
        <f>Tabla2[[#This Row],[VOLUMEN ENVIADO A RO (m3)]]/Tabla2[[#This Row],[Q DE OPERACIÓN (m3/h)]]</f>
        <v>3.8919272727272731</v>
      </c>
      <c r="J49" s="376">
        <v>0</v>
      </c>
      <c r="K49" s="377">
        <v>27</v>
      </c>
      <c r="L49" s="378">
        <v>9</v>
      </c>
      <c r="M49" s="377">
        <v>0</v>
      </c>
      <c r="N49" s="378">
        <v>0</v>
      </c>
      <c r="O49" s="245">
        <v>0</v>
      </c>
      <c r="P49" s="250">
        <v>236.84210526315792</v>
      </c>
      <c r="Q49" s="250">
        <v>78.94736842105263</v>
      </c>
      <c r="R49" s="250">
        <v>0</v>
      </c>
      <c r="S49" s="250">
        <v>0</v>
      </c>
      <c r="T49" s="241">
        <v>0</v>
      </c>
      <c r="U49" s="242">
        <v>8.7719298245614254</v>
      </c>
      <c r="V49" s="242">
        <v>17.543859649122801</v>
      </c>
      <c r="W49" s="242">
        <v>0</v>
      </c>
      <c r="X49" s="243">
        <v>0</v>
      </c>
      <c r="Y49" s="248">
        <v>1.18</v>
      </c>
      <c r="Z49" s="248">
        <v>1.28</v>
      </c>
      <c r="AA49" s="248">
        <v>1.2</v>
      </c>
      <c r="AB49" s="248">
        <v>1.53</v>
      </c>
      <c r="AC49" s="248">
        <v>1.2</v>
      </c>
      <c r="AD49" s="252">
        <v>0</v>
      </c>
      <c r="AE49" s="253">
        <v>11.228070175438624</v>
      </c>
      <c r="AF49" s="253">
        <v>21.052631578947359</v>
      </c>
      <c r="AG49" s="253">
        <v>0</v>
      </c>
      <c r="AH49" s="254">
        <v>0</v>
      </c>
      <c r="AI49" s="563">
        <v>214.05600000000001</v>
      </c>
      <c r="AJ49" s="411">
        <v>55</v>
      </c>
      <c r="AK49" s="185">
        <f t="shared" si="5"/>
        <v>0</v>
      </c>
      <c r="AL49" s="186">
        <f t="shared" si="6"/>
        <v>52.453891390283964</v>
      </c>
      <c r="AM49" s="186">
        <f t="shared" si="7"/>
        <v>98.351046356782135</v>
      </c>
      <c r="AN49" s="186">
        <f t="shared" si="8"/>
        <v>0</v>
      </c>
      <c r="AO49" s="187">
        <f t="shared" si="9"/>
        <v>0</v>
      </c>
      <c r="AP49" s="159">
        <f t="shared" si="15"/>
        <v>1550</v>
      </c>
      <c r="AQ49" s="160">
        <f t="shared" si="15"/>
        <v>19462</v>
      </c>
      <c r="AR49" s="160">
        <f t="shared" si="15"/>
        <v>36854</v>
      </c>
      <c r="AS49" s="160">
        <f t="shared" si="15"/>
        <v>1560</v>
      </c>
      <c r="AT49" s="161">
        <f t="shared" si="15"/>
        <v>3640</v>
      </c>
      <c r="AU49" s="162">
        <f t="shared" si="1"/>
        <v>13922.807017543895</v>
      </c>
      <c r="AV49" s="163">
        <f t="shared" si="11"/>
        <v>4916.715789473682</v>
      </c>
      <c r="AW49" s="163">
        <f t="shared" si="12"/>
        <v>0</v>
      </c>
      <c r="AX49" s="163">
        <f t="shared" si="2"/>
        <v>0</v>
      </c>
      <c r="AY49" s="164">
        <f t="shared" si="3"/>
        <v>19479.096000000001</v>
      </c>
      <c r="AZ49" s="162">
        <f t="shared" si="14"/>
        <v>38318.618807017578</v>
      </c>
      <c r="BA49" s="163">
        <v>1000</v>
      </c>
      <c r="BB49" s="163" t="e">
        <f>AZ49/#REF!</f>
        <v>#REF!</v>
      </c>
      <c r="BC49" s="153"/>
      <c r="BD49" s="156"/>
    </row>
    <row r="50" spans="1:56" ht="15" thickBot="1" x14ac:dyDescent="0.35">
      <c r="A50" s="200">
        <f>+A49+1</f>
        <v>46008</v>
      </c>
      <c r="B50" s="265">
        <f>DAY(Tabla2[[#This Row],[FECHA]])</f>
        <v>17</v>
      </c>
      <c r="C50" s="209" t="s">
        <v>28</v>
      </c>
      <c r="D50" s="201"/>
      <c r="E50" s="202"/>
      <c r="F50" s="203"/>
      <c r="G50" s="203"/>
      <c r="H50" s="202"/>
      <c r="I50" s="390">
        <f>Tabla2[[#This Row],[VOLUMEN ENVIADO A RO (m3)]]/Tabla2[[#This Row],[Q DE OPERACIÓN (m3/h)]]</f>
        <v>6.3793818181818178</v>
      </c>
      <c r="J50" s="373">
        <v>0</v>
      </c>
      <c r="K50" s="374">
        <v>26</v>
      </c>
      <c r="L50" s="375">
        <v>7</v>
      </c>
      <c r="M50" s="374">
        <v>0</v>
      </c>
      <c r="N50" s="375">
        <v>0</v>
      </c>
      <c r="O50" s="245">
        <v>0</v>
      </c>
      <c r="P50" s="256">
        <v>228.07017543859649</v>
      </c>
      <c r="Q50" s="239">
        <v>61.403508771929829</v>
      </c>
      <c r="R50" s="256">
        <v>0</v>
      </c>
      <c r="S50" s="256">
        <v>0</v>
      </c>
      <c r="T50" s="241">
        <v>0</v>
      </c>
      <c r="U50" s="242">
        <v>17.543859649122794</v>
      </c>
      <c r="V50" s="242">
        <v>0</v>
      </c>
      <c r="W50" s="242">
        <v>0</v>
      </c>
      <c r="X50" s="243">
        <v>0</v>
      </c>
      <c r="Y50" s="248">
        <v>1.18</v>
      </c>
      <c r="Z50" s="248">
        <v>1.28</v>
      </c>
      <c r="AA50" s="248">
        <v>1.2</v>
      </c>
      <c r="AB50" s="248">
        <v>1.53</v>
      </c>
      <c r="AC50" s="248">
        <v>1.2</v>
      </c>
      <c r="AD50" s="257">
        <v>0</v>
      </c>
      <c r="AE50" s="258">
        <v>22.456140350877178</v>
      </c>
      <c r="AF50" s="258">
        <v>0</v>
      </c>
      <c r="AG50" s="258">
        <v>0</v>
      </c>
      <c r="AH50" s="259">
        <v>0</v>
      </c>
      <c r="AI50" s="561">
        <v>350.86599999999999</v>
      </c>
      <c r="AJ50" s="411">
        <v>55</v>
      </c>
      <c r="AK50" s="185">
        <f t="shared" si="5"/>
        <v>0</v>
      </c>
      <c r="AL50" s="186">
        <f t="shared" si="6"/>
        <v>64.00204166512907</v>
      </c>
      <c r="AM50" s="186">
        <f t="shared" si="7"/>
        <v>0</v>
      </c>
      <c r="AN50" s="186">
        <f t="shared" si="8"/>
        <v>0</v>
      </c>
      <c r="AO50" s="187">
        <f t="shared" si="9"/>
        <v>0</v>
      </c>
      <c r="AP50" s="159">
        <f t="shared" si="15"/>
        <v>1550</v>
      </c>
      <c r="AQ50" s="160">
        <f t="shared" si="15"/>
        <v>19462</v>
      </c>
      <c r="AR50" s="160">
        <f t="shared" si="15"/>
        <v>36854</v>
      </c>
      <c r="AS50" s="160">
        <f t="shared" si="15"/>
        <v>1560</v>
      </c>
      <c r="AT50" s="161">
        <f t="shared" si="15"/>
        <v>3640</v>
      </c>
      <c r="AU50" s="159">
        <f t="shared" si="1"/>
        <v>27845.614035087699</v>
      </c>
      <c r="AV50" s="160">
        <f t="shared" si="11"/>
        <v>0</v>
      </c>
      <c r="AW50" s="160">
        <f t="shared" si="12"/>
        <v>0</v>
      </c>
      <c r="AX50" s="160">
        <f t="shared" si="2"/>
        <v>0</v>
      </c>
      <c r="AY50" s="161">
        <f t="shared" si="3"/>
        <v>31928.805999999997</v>
      </c>
      <c r="AZ50" s="159">
        <f t="shared" si="14"/>
        <v>59774.420035087693</v>
      </c>
      <c r="BA50" s="160">
        <v>1000</v>
      </c>
      <c r="BB50" s="160" t="e">
        <f>AZ50/#REF!</f>
        <v>#REF!</v>
      </c>
      <c r="BC50" s="154"/>
      <c r="BD50" s="155"/>
    </row>
    <row r="51" spans="1:56" ht="15" thickBot="1" x14ac:dyDescent="0.35">
      <c r="A51" s="204">
        <f>+A50</f>
        <v>46008</v>
      </c>
      <c r="B51" s="263">
        <f>DAY(Tabla2[[#This Row],[FECHA]])</f>
        <v>17</v>
      </c>
      <c r="C51" s="189" t="s">
        <v>29</v>
      </c>
      <c r="D51" s="190"/>
      <c r="E51" s="191"/>
      <c r="F51" s="192"/>
      <c r="G51" s="192"/>
      <c r="H51" s="191"/>
      <c r="I51" s="390">
        <f>Tabla2[[#This Row],[VOLUMEN ENVIADO A RO (m3)]]/Tabla2[[#This Row],[Q DE OPERACIÓN (m3/h)]]</f>
        <v>2.0434545454545456</v>
      </c>
      <c r="J51" s="376">
        <v>0</v>
      </c>
      <c r="K51" s="377">
        <v>24</v>
      </c>
      <c r="L51" s="378">
        <v>7</v>
      </c>
      <c r="M51" s="377">
        <v>0</v>
      </c>
      <c r="N51" s="378">
        <v>0</v>
      </c>
      <c r="O51" s="245">
        <v>0</v>
      </c>
      <c r="P51" s="246">
        <v>210.5263157894737</v>
      </c>
      <c r="Q51" s="246">
        <v>61.403508771929829</v>
      </c>
      <c r="R51" s="246">
        <v>0</v>
      </c>
      <c r="S51" s="246">
        <v>0</v>
      </c>
      <c r="T51" s="241">
        <v>0</v>
      </c>
      <c r="U51" s="242">
        <v>17.543859649122794</v>
      </c>
      <c r="V51" s="242">
        <v>17.543859649122808</v>
      </c>
      <c r="W51" s="242">
        <v>0</v>
      </c>
      <c r="X51" s="243">
        <v>0</v>
      </c>
      <c r="Y51" s="248">
        <v>1.18</v>
      </c>
      <c r="Z51" s="248">
        <v>1.28</v>
      </c>
      <c r="AA51" s="248">
        <v>1.2</v>
      </c>
      <c r="AB51" s="248">
        <v>1.53</v>
      </c>
      <c r="AC51" s="248">
        <v>1.2</v>
      </c>
      <c r="AD51" s="241">
        <v>0</v>
      </c>
      <c r="AE51" s="242">
        <v>22.456140350877178</v>
      </c>
      <c r="AF51" s="242">
        <v>21.05263157894737</v>
      </c>
      <c r="AG51" s="242">
        <v>0</v>
      </c>
      <c r="AH51" s="243">
        <v>0</v>
      </c>
      <c r="AI51" s="562">
        <v>112.39</v>
      </c>
      <c r="AJ51" s="411">
        <v>55</v>
      </c>
      <c r="AK51" s="185">
        <f t="shared" si="5"/>
        <v>0</v>
      </c>
      <c r="AL51" s="186">
        <f t="shared" si="6"/>
        <v>199.80550183181046</v>
      </c>
      <c r="AM51" s="186">
        <f t="shared" si="7"/>
        <v>187.31765796732245</v>
      </c>
      <c r="AN51" s="186">
        <f t="shared" si="8"/>
        <v>0</v>
      </c>
      <c r="AO51" s="187">
        <f t="shared" si="9"/>
        <v>0</v>
      </c>
      <c r="AP51" s="159">
        <f t="shared" ref="AP51:AT66" si="16">AP50</f>
        <v>1550</v>
      </c>
      <c r="AQ51" s="160">
        <f t="shared" si="16"/>
        <v>19462</v>
      </c>
      <c r="AR51" s="160">
        <f t="shared" si="16"/>
        <v>36854</v>
      </c>
      <c r="AS51" s="160">
        <f t="shared" si="16"/>
        <v>1560</v>
      </c>
      <c r="AT51" s="161">
        <f t="shared" si="16"/>
        <v>3640</v>
      </c>
      <c r="AU51" s="159">
        <f t="shared" si="1"/>
        <v>27845.614035087699</v>
      </c>
      <c r="AV51" s="160">
        <f t="shared" si="11"/>
        <v>4916.7157894736847</v>
      </c>
      <c r="AW51" s="160">
        <f t="shared" si="12"/>
        <v>0</v>
      </c>
      <c r="AX51" s="160">
        <f t="shared" si="2"/>
        <v>0</v>
      </c>
      <c r="AY51" s="161">
        <f t="shared" si="3"/>
        <v>10227.490000000002</v>
      </c>
      <c r="AZ51" s="159">
        <f t="shared" si="14"/>
        <v>42989.819824561389</v>
      </c>
      <c r="BA51" s="160">
        <v>1000</v>
      </c>
      <c r="BB51" s="160" t="e">
        <f>AZ51/#REF!</f>
        <v>#REF!</v>
      </c>
      <c r="BC51" s="154"/>
      <c r="BD51" s="155"/>
    </row>
    <row r="52" spans="1:56" ht="15" thickBot="1" x14ac:dyDescent="0.35">
      <c r="A52" s="205">
        <f>+A51</f>
        <v>46008</v>
      </c>
      <c r="B52" s="264">
        <f>DAY(Tabla2[[#This Row],[FECHA]])</f>
        <v>17</v>
      </c>
      <c r="C52" s="194" t="s">
        <v>30</v>
      </c>
      <c r="D52" s="195"/>
      <c r="E52" s="196"/>
      <c r="F52" s="197"/>
      <c r="G52" s="198"/>
      <c r="H52" s="199"/>
      <c r="I52" s="390">
        <f>Tabla2[[#This Row],[VOLUMEN ENVIADO A RO (m3)]]/Tabla2[[#This Row],[Q DE OPERACIÓN (m3/h)]]</f>
        <v>0</v>
      </c>
      <c r="J52" s="379">
        <v>0</v>
      </c>
      <c r="K52" s="380">
        <v>22</v>
      </c>
      <c r="L52" s="381">
        <v>5</v>
      </c>
      <c r="M52" s="380">
        <v>0</v>
      </c>
      <c r="N52" s="381">
        <v>0</v>
      </c>
      <c r="O52" s="245">
        <v>0</v>
      </c>
      <c r="P52" s="250">
        <v>192.98245614035091</v>
      </c>
      <c r="Q52" s="250">
        <v>43.859649122807021</v>
      </c>
      <c r="R52" s="250">
        <v>0</v>
      </c>
      <c r="S52" s="250">
        <v>0</v>
      </c>
      <c r="T52" s="241">
        <v>0</v>
      </c>
      <c r="U52" s="242">
        <v>0</v>
      </c>
      <c r="V52" s="242">
        <v>0</v>
      </c>
      <c r="W52" s="242">
        <v>0</v>
      </c>
      <c r="X52" s="243">
        <v>0</v>
      </c>
      <c r="Y52" s="248">
        <v>1.18</v>
      </c>
      <c r="Z52" s="248">
        <v>1.28</v>
      </c>
      <c r="AA52" s="248">
        <v>1.2</v>
      </c>
      <c r="AB52" s="248">
        <v>1.53</v>
      </c>
      <c r="AC52" s="248">
        <v>1.2</v>
      </c>
      <c r="AD52" s="252">
        <v>0</v>
      </c>
      <c r="AE52" s="253">
        <v>0</v>
      </c>
      <c r="AF52" s="253">
        <v>0</v>
      </c>
      <c r="AG52" s="253">
        <v>0</v>
      </c>
      <c r="AH52" s="254">
        <v>0</v>
      </c>
      <c r="AI52" s="563">
        <v>0</v>
      </c>
      <c r="AJ52" s="411">
        <v>55</v>
      </c>
      <c r="AK52" s="185" t="e">
        <f t="shared" si="5"/>
        <v>#DIV/0!</v>
      </c>
      <c r="AL52" s="186" t="e">
        <f t="shared" si="6"/>
        <v>#DIV/0!</v>
      </c>
      <c r="AM52" s="186" t="e">
        <f t="shared" si="7"/>
        <v>#DIV/0!</v>
      </c>
      <c r="AN52" s="186" t="e">
        <f t="shared" si="8"/>
        <v>#DIV/0!</v>
      </c>
      <c r="AO52" s="187" t="e">
        <f t="shared" si="9"/>
        <v>#DIV/0!</v>
      </c>
      <c r="AP52" s="159">
        <f t="shared" si="16"/>
        <v>1550</v>
      </c>
      <c r="AQ52" s="160">
        <f t="shared" si="16"/>
        <v>19462</v>
      </c>
      <c r="AR52" s="160">
        <f t="shared" si="16"/>
        <v>36854</v>
      </c>
      <c r="AS52" s="160">
        <f t="shared" si="16"/>
        <v>1560</v>
      </c>
      <c r="AT52" s="161">
        <f t="shared" si="16"/>
        <v>3640</v>
      </c>
      <c r="AU52" s="162">
        <f t="shared" si="1"/>
        <v>0</v>
      </c>
      <c r="AV52" s="163">
        <f t="shared" si="11"/>
        <v>0</v>
      </c>
      <c r="AW52" s="163">
        <f t="shared" si="12"/>
        <v>0</v>
      </c>
      <c r="AX52" s="163">
        <f t="shared" si="2"/>
        <v>0</v>
      </c>
      <c r="AY52" s="164">
        <f t="shared" si="3"/>
        <v>0</v>
      </c>
      <c r="AZ52" s="162">
        <f t="shared" si="14"/>
        <v>0</v>
      </c>
      <c r="BA52" s="163">
        <v>1000</v>
      </c>
      <c r="BB52" s="163" t="e">
        <f>AZ52/#REF!</f>
        <v>#REF!</v>
      </c>
      <c r="BC52" s="153"/>
      <c r="BD52" s="156"/>
    </row>
    <row r="53" spans="1:56" ht="15" thickBot="1" x14ac:dyDescent="0.35">
      <c r="A53" s="200">
        <f>+A52+1</f>
        <v>46009</v>
      </c>
      <c r="B53" s="265">
        <f>DAY(Tabla2[[#This Row],[FECHA]])</f>
        <v>18</v>
      </c>
      <c r="C53" s="209" t="s">
        <v>28</v>
      </c>
      <c r="D53" s="201"/>
      <c r="E53" s="202"/>
      <c r="F53" s="203"/>
      <c r="G53" s="203"/>
      <c r="H53" s="202"/>
      <c r="I53" s="390">
        <f>Tabla2[[#This Row],[VOLUMEN ENVIADO A RO (m3)]]/Tabla2[[#This Row],[Q DE OPERACIÓN (m3/h)]]</f>
        <v>0</v>
      </c>
      <c r="J53" s="373">
        <v>0</v>
      </c>
      <c r="K53" s="374">
        <v>22</v>
      </c>
      <c r="L53" s="375">
        <v>5</v>
      </c>
      <c r="M53" s="374">
        <v>0</v>
      </c>
      <c r="N53" s="375">
        <v>0</v>
      </c>
      <c r="O53" s="245">
        <v>0</v>
      </c>
      <c r="P53" s="256">
        <v>192.98245614035091</v>
      </c>
      <c r="Q53" s="239">
        <v>43.859649122807021</v>
      </c>
      <c r="R53" s="256">
        <v>0</v>
      </c>
      <c r="S53" s="256">
        <v>0</v>
      </c>
      <c r="T53" s="241">
        <v>0</v>
      </c>
      <c r="U53" s="242">
        <v>0</v>
      </c>
      <c r="V53" s="242">
        <v>0</v>
      </c>
      <c r="W53" s="242">
        <v>0</v>
      </c>
      <c r="X53" s="243">
        <v>0</v>
      </c>
      <c r="Y53" s="248">
        <v>1.18</v>
      </c>
      <c r="Z53" s="248">
        <v>1.28</v>
      </c>
      <c r="AA53" s="248">
        <v>1.2</v>
      </c>
      <c r="AB53" s="248">
        <v>1.53</v>
      </c>
      <c r="AC53" s="248">
        <v>1.2</v>
      </c>
      <c r="AD53" s="257">
        <v>0</v>
      </c>
      <c r="AE53" s="258">
        <v>0</v>
      </c>
      <c r="AF53" s="258">
        <v>0</v>
      </c>
      <c r="AG53" s="258">
        <v>0</v>
      </c>
      <c r="AH53" s="259">
        <v>0</v>
      </c>
      <c r="AI53" s="561">
        <v>0</v>
      </c>
      <c r="AJ53" s="411">
        <v>55</v>
      </c>
      <c r="AK53" s="185" t="e">
        <f t="shared" si="5"/>
        <v>#DIV/0!</v>
      </c>
      <c r="AL53" s="186" t="e">
        <f t="shared" si="6"/>
        <v>#DIV/0!</v>
      </c>
      <c r="AM53" s="186" t="e">
        <f t="shared" si="7"/>
        <v>#DIV/0!</v>
      </c>
      <c r="AN53" s="186" t="e">
        <f t="shared" si="8"/>
        <v>#DIV/0!</v>
      </c>
      <c r="AO53" s="187" t="e">
        <f t="shared" si="9"/>
        <v>#DIV/0!</v>
      </c>
      <c r="AP53" s="159">
        <f t="shared" si="16"/>
        <v>1550</v>
      </c>
      <c r="AQ53" s="160">
        <f t="shared" si="16"/>
        <v>19462</v>
      </c>
      <c r="AR53" s="160">
        <f t="shared" si="16"/>
        <v>36854</v>
      </c>
      <c r="AS53" s="160">
        <f t="shared" si="16"/>
        <v>1560</v>
      </c>
      <c r="AT53" s="161">
        <f t="shared" si="16"/>
        <v>3640</v>
      </c>
      <c r="AU53" s="159">
        <f t="shared" si="1"/>
        <v>0</v>
      </c>
      <c r="AV53" s="160">
        <f t="shared" si="11"/>
        <v>0</v>
      </c>
      <c r="AW53" s="160">
        <f t="shared" si="12"/>
        <v>0</v>
      </c>
      <c r="AX53" s="160">
        <f t="shared" si="2"/>
        <v>0</v>
      </c>
      <c r="AY53" s="161">
        <f t="shared" si="3"/>
        <v>0</v>
      </c>
      <c r="AZ53" s="159">
        <f t="shared" si="14"/>
        <v>0</v>
      </c>
      <c r="BA53" s="160">
        <v>1000</v>
      </c>
      <c r="BB53" s="160" t="e">
        <f>AZ53/#REF!</f>
        <v>#REF!</v>
      </c>
      <c r="BC53" s="154"/>
      <c r="BD53" s="155"/>
    </row>
    <row r="54" spans="1:56" ht="15" thickBot="1" x14ac:dyDescent="0.35">
      <c r="A54" s="204">
        <f>+A53</f>
        <v>46009</v>
      </c>
      <c r="B54" s="263">
        <f>DAY(Tabla2[[#This Row],[FECHA]])</f>
        <v>18</v>
      </c>
      <c r="C54" s="189" t="s">
        <v>29</v>
      </c>
      <c r="D54" s="190"/>
      <c r="E54" s="191"/>
      <c r="F54" s="192"/>
      <c r="G54" s="192"/>
      <c r="H54" s="191"/>
      <c r="I54" s="390">
        <f>Tabla2[[#This Row],[VOLUMEN ENVIADO A RO (m3)]]/Tabla2[[#This Row],[Q DE OPERACIÓN (m3/h)]]</f>
        <v>0</v>
      </c>
      <c r="J54" s="376">
        <v>0</v>
      </c>
      <c r="K54" s="377">
        <v>22</v>
      </c>
      <c r="L54" s="378">
        <v>5</v>
      </c>
      <c r="M54" s="377">
        <v>0</v>
      </c>
      <c r="N54" s="378">
        <v>0</v>
      </c>
      <c r="O54" s="245">
        <v>0</v>
      </c>
      <c r="P54" s="246">
        <v>192.98245614035091</v>
      </c>
      <c r="Q54" s="246">
        <v>43.859649122807021</v>
      </c>
      <c r="R54" s="246">
        <v>0</v>
      </c>
      <c r="S54" s="246">
        <v>0</v>
      </c>
      <c r="T54" s="241">
        <v>0</v>
      </c>
      <c r="U54" s="242">
        <v>0</v>
      </c>
      <c r="V54" s="242">
        <v>0</v>
      </c>
      <c r="W54" s="242">
        <v>0</v>
      </c>
      <c r="X54" s="243">
        <v>0</v>
      </c>
      <c r="Y54" s="248">
        <v>1.18</v>
      </c>
      <c r="Z54" s="248">
        <v>1.28</v>
      </c>
      <c r="AA54" s="248">
        <v>1.2</v>
      </c>
      <c r="AB54" s="248">
        <v>1.53</v>
      </c>
      <c r="AC54" s="248">
        <v>1.2</v>
      </c>
      <c r="AD54" s="241">
        <v>0</v>
      </c>
      <c r="AE54" s="242">
        <v>0</v>
      </c>
      <c r="AF54" s="242">
        <v>0</v>
      </c>
      <c r="AG54" s="242">
        <v>0</v>
      </c>
      <c r="AH54" s="243">
        <v>0</v>
      </c>
      <c r="AI54" s="562">
        <v>0</v>
      </c>
      <c r="AJ54" s="411">
        <v>55</v>
      </c>
      <c r="AK54" s="185" t="e">
        <f t="shared" si="5"/>
        <v>#DIV/0!</v>
      </c>
      <c r="AL54" s="186" t="e">
        <f t="shared" si="6"/>
        <v>#DIV/0!</v>
      </c>
      <c r="AM54" s="186" t="e">
        <f t="shared" si="7"/>
        <v>#DIV/0!</v>
      </c>
      <c r="AN54" s="186" t="e">
        <f t="shared" si="8"/>
        <v>#DIV/0!</v>
      </c>
      <c r="AO54" s="187" t="e">
        <f t="shared" si="9"/>
        <v>#DIV/0!</v>
      </c>
      <c r="AP54" s="159">
        <f t="shared" si="16"/>
        <v>1550</v>
      </c>
      <c r="AQ54" s="160">
        <f t="shared" si="16"/>
        <v>19462</v>
      </c>
      <c r="AR54" s="160">
        <f t="shared" si="16"/>
        <v>36854</v>
      </c>
      <c r="AS54" s="160">
        <f t="shared" si="16"/>
        <v>1560</v>
      </c>
      <c r="AT54" s="161">
        <f t="shared" si="16"/>
        <v>3640</v>
      </c>
      <c r="AU54" s="159">
        <f t="shared" si="1"/>
        <v>0</v>
      </c>
      <c r="AV54" s="160">
        <f t="shared" si="11"/>
        <v>0</v>
      </c>
      <c r="AW54" s="160">
        <f t="shared" si="12"/>
        <v>0</v>
      </c>
      <c r="AX54" s="160">
        <f t="shared" si="2"/>
        <v>0</v>
      </c>
      <c r="AY54" s="161">
        <f t="shared" si="3"/>
        <v>0</v>
      </c>
      <c r="AZ54" s="159">
        <f t="shared" si="14"/>
        <v>0</v>
      </c>
      <c r="BA54" s="160">
        <v>1000</v>
      </c>
      <c r="BB54" s="160" t="e">
        <f>AZ54/#REF!</f>
        <v>#REF!</v>
      </c>
      <c r="BC54" s="154"/>
      <c r="BD54" s="155"/>
    </row>
    <row r="55" spans="1:56" ht="15" thickBot="1" x14ac:dyDescent="0.35">
      <c r="A55" s="205">
        <f>+A54</f>
        <v>46009</v>
      </c>
      <c r="B55" s="264">
        <f>DAY(Tabla2[[#This Row],[FECHA]])</f>
        <v>18</v>
      </c>
      <c r="C55" s="194" t="s">
        <v>30</v>
      </c>
      <c r="D55" s="195"/>
      <c r="E55" s="196"/>
      <c r="F55" s="197"/>
      <c r="G55" s="198"/>
      <c r="H55" s="199"/>
      <c r="I55" s="390">
        <f>Tabla2[[#This Row],[VOLUMEN ENVIADO A RO (m3)]]/Tabla2[[#This Row],[Q DE OPERACIÓN (m3/h)]]</f>
        <v>0</v>
      </c>
      <c r="J55" s="379">
        <v>0</v>
      </c>
      <c r="K55" s="380">
        <v>22</v>
      </c>
      <c r="L55" s="381">
        <v>5</v>
      </c>
      <c r="M55" s="380">
        <v>0</v>
      </c>
      <c r="N55" s="381">
        <v>0</v>
      </c>
      <c r="O55" s="245">
        <v>0</v>
      </c>
      <c r="P55" s="250">
        <v>192.98245614035091</v>
      </c>
      <c r="Q55" s="250">
        <v>43.859649122807021</v>
      </c>
      <c r="R55" s="250">
        <v>0</v>
      </c>
      <c r="S55" s="250">
        <v>0</v>
      </c>
      <c r="T55" s="241">
        <v>0</v>
      </c>
      <c r="U55" s="242">
        <v>0</v>
      </c>
      <c r="V55" s="242">
        <v>17.543859649122808</v>
      </c>
      <c r="W55" s="242">
        <v>0</v>
      </c>
      <c r="X55" s="243">
        <v>0</v>
      </c>
      <c r="Y55" s="248">
        <v>1.18</v>
      </c>
      <c r="Z55" s="248">
        <v>1.28</v>
      </c>
      <c r="AA55" s="248">
        <v>1.2</v>
      </c>
      <c r="AB55" s="248">
        <v>1.53</v>
      </c>
      <c r="AC55" s="248">
        <v>1.2</v>
      </c>
      <c r="AD55" s="252">
        <v>0</v>
      </c>
      <c r="AE55" s="253">
        <v>0</v>
      </c>
      <c r="AF55" s="253">
        <v>21.05263157894737</v>
      </c>
      <c r="AG55" s="253">
        <v>0</v>
      </c>
      <c r="AH55" s="254">
        <v>0</v>
      </c>
      <c r="AI55" s="563">
        <v>0</v>
      </c>
      <c r="AJ55" s="411">
        <v>55</v>
      </c>
      <c r="AK55" s="185" t="e">
        <f t="shared" si="5"/>
        <v>#DIV/0!</v>
      </c>
      <c r="AL55" s="186" t="e">
        <f t="shared" si="6"/>
        <v>#DIV/0!</v>
      </c>
      <c r="AM55" s="186" t="e">
        <f t="shared" si="7"/>
        <v>#DIV/0!</v>
      </c>
      <c r="AN55" s="186" t="e">
        <f t="shared" si="8"/>
        <v>#DIV/0!</v>
      </c>
      <c r="AO55" s="187" t="e">
        <f t="shared" si="9"/>
        <v>#DIV/0!</v>
      </c>
      <c r="AP55" s="159">
        <f t="shared" si="16"/>
        <v>1550</v>
      </c>
      <c r="AQ55" s="160">
        <f t="shared" si="16"/>
        <v>19462</v>
      </c>
      <c r="AR55" s="160">
        <f t="shared" si="16"/>
        <v>36854</v>
      </c>
      <c r="AS55" s="160">
        <f t="shared" si="16"/>
        <v>1560</v>
      </c>
      <c r="AT55" s="161">
        <f t="shared" si="16"/>
        <v>3640</v>
      </c>
      <c r="AU55" s="162">
        <f t="shared" si="1"/>
        <v>0</v>
      </c>
      <c r="AV55" s="163">
        <f t="shared" si="11"/>
        <v>4916.7157894736847</v>
      </c>
      <c r="AW55" s="163">
        <f t="shared" si="12"/>
        <v>0</v>
      </c>
      <c r="AX55" s="163">
        <f t="shared" si="2"/>
        <v>0</v>
      </c>
      <c r="AY55" s="164">
        <f t="shared" si="3"/>
        <v>0</v>
      </c>
      <c r="AZ55" s="162">
        <f t="shared" si="14"/>
        <v>4916.7157894736847</v>
      </c>
      <c r="BA55" s="163">
        <v>1000</v>
      </c>
      <c r="BB55" s="163" t="e">
        <f>AZ55/#REF!</f>
        <v>#REF!</v>
      </c>
      <c r="BC55" s="153"/>
      <c r="BD55" s="156"/>
    </row>
    <row r="56" spans="1:56" ht="15" thickBot="1" x14ac:dyDescent="0.35">
      <c r="A56" s="200">
        <f>+A55+1</f>
        <v>46010</v>
      </c>
      <c r="B56" s="265">
        <f>DAY(Tabla2[[#This Row],[FECHA]])</f>
        <v>19</v>
      </c>
      <c r="C56" s="209" t="s">
        <v>28</v>
      </c>
      <c r="D56" s="201"/>
      <c r="E56" s="202"/>
      <c r="F56" s="203"/>
      <c r="G56" s="203"/>
      <c r="H56" s="202"/>
      <c r="I56" s="390">
        <f>Tabla2[[#This Row],[VOLUMEN ENVIADO A RO (m3)]]/Tabla2[[#This Row],[Q DE OPERACIÓN (m3/h)]]</f>
        <v>0</v>
      </c>
      <c r="J56" s="373">
        <v>0</v>
      </c>
      <c r="K56" s="374">
        <v>22</v>
      </c>
      <c r="L56" s="375">
        <v>3</v>
      </c>
      <c r="M56" s="374">
        <v>0</v>
      </c>
      <c r="N56" s="375">
        <v>0</v>
      </c>
      <c r="O56" s="245">
        <v>0</v>
      </c>
      <c r="P56" s="256">
        <v>192.98245614035091</v>
      </c>
      <c r="Q56" s="239">
        <v>26.315789473684212</v>
      </c>
      <c r="R56" s="256">
        <v>0</v>
      </c>
      <c r="S56" s="256">
        <v>0</v>
      </c>
      <c r="T56" s="241">
        <v>0</v>
      </c>
      <c r="U56" s="242">
        <v>0</v>
      </c>
      <c r="V56" s="242">
        <v>0</v>
      </c>
      <c r="W56" s="242">
        <v>0</v>
      </c>
      <c r="X56" s="243">
        <v>0</v>
      </c>
      <c r="Y56" s="248">
        <v>1.18</v>
      </c>
      <c r="Z56" s="248">
        <v>1.28</v>
      </c>
      <c r="AA56" s="248">
        <v>1.2</v>
      </c>
      <c r="AB56" s="248">
        <v>1.53</v>
      </c>
      <c r="AC56" s="248">
        <v>1.2</v>
      </c>
      <c r="AD56" s="257">
        <v>0</v>
      </c>
      <c r="AE56" s="258">
        <v>0</v>
      </c>
      <c r="AF56" s="258">
        <v>0</v>
      </c>
      <c r="AG56" s="258">
        <v>0</v>
      </c>
      <c r="AH56" s="259">
        <v>0</v>
      </c>
      <c r="AI56" s="561">
        <v>0</v>
      </c>
      <c r="AJ56" s="411">
        <v>55</v>
      </c>
      <c r="AK56" s="185" t="e">
        <f t="shared" si="5"/>
        <v>#DIV/0!</v>
      </c>
      <c r="AL56" s="186" t="e">
        <f t="shared" si="6"/>
        <v>#DIV/0!</v>
      </c>
      <c r="AM56" s="186" t="e">
        <f t="shared" si="7"/>
        <v>#DIV/0!</v>
      </c>
      <c r="AN56" s="186" t="e">
        <f t="shared" si="8"/>
        <v>#DIV/0!</v>
      </c>
      <c r="AO56" s="187" t="e">
        <f t="shared" si="9"/>
        <v>#DIV/0!</v>
      </c>
      <c r="AP56" s="159">
        <f t="shared" si="16"/>
        <v>1550</v>
      </c>
      <c r="AQ56" s="160">
        <f t="shared" si="16"/>
        <v>19462</v>
      </c>
      <c r="AR56" s="160">
        <f t="shared" si="16"/>
        <v>36854</v>
      </c>
      <c r="AS56" s="160">
        <f t="shared" si="16"/>
        <v>1560</v>
      </c>
      <c r="AT56" s="161">
        <f t="shared" si="16"/>
        <v>3640</v>
      </c>
      <c r="AU56" s="159">
        <f t="shared" si="1"/>
        <v>0</v>
      </c>
      <c r="AV56" s="160">
        <f t="shared" si="11"/>
        <v>0</v>
      </c>
      <c r="AW56" s="160">
        <f t="shared" si="12"/>
        <v>0</v>
      </c>
      <c r="AX56" s="160">
        <f t="shared" si="2"/>
        <v>0</v>
      </c>
      <c r="AY56" s="161">
        <f t="shared" si="3"/>
        <v>0</v>
      </c>
      <c r="AZ56" s="159">
        <f>AU56+AV56+AW56+AX56+AY56</f>
        <v>0</v>
      </c>
      <c r="BA56" s="160">
        <v>1000</v>
      </c>
      <c r="BB56" s="160" t="e">
        <f>AZ56/#REF!</f>
        <v>#REF!</v>
      </c>
      <c r="BC56" s="154"/>
      <c r="BD56" s="155"/>
    </row>
    <row r="57" spans="1:56" ht="15" thickBot="1" x14ac:dyDescent="0.35">
      <c r="A57" s="204">
        <f>+A56</f>
        <v>46010</v>
      </c>
      <c r="B57" s="263">
        <f>DAY(Tabla2[[#This Row],[FECHA]])</f>
        <v>19</v>
      </c>
      <c r="C57" s="189" t="s">
        <v>29</v>
      </c>
      <c r="D57" s="190"/>
      <c r="E57" s="191"/>
      <c r="F57" s="192"/>
      <c r="G57" s="192"/>
      <c r="H57" s="191"/>
      <c r="I57" s="390">
        <f>Tabla2[[#This Row],[VOLUMEN ENVIADO A RO (m3)]]/Tabla2[[#This Row],[Q DE OPERACIÓN (m3/h)]]</f>
        <v>4.6788181818181815</v>
      </c>
      <c r="J57" s="376">
        <v>0</v>
      </c>
      <c r="K57" s="377">
        <v>22</v>
      </c>
      <c r="L57" s="378">
        <v>3</v>
      </c>
      <c r="M57" s="377">
        <v>0</v>
      </c>
      <c r="N57" s="378">
        <v>0</v>
      </c>
      <c r="O57" s="245">
        <v>0</v>
      </c>
      <c r="P57" s="246">
        <v>192.98245614035091</v>
      </c>
      <c r="Q57" s="246">
        <v>26.315789473684212</v>
      </c>
      <c r="R57" s="246">
        <v>0</v>
      </c>
      <c r="S57" s="246">
        <v>0</v>
      </c>
      <c r="T57" s="241">
        <v>0</v>
      </c>
      <c r="U57" s="242">
        <v>0</v>
      </c>
      <c r="V57" s="242">
        <v>0</v>
      </c>
      <c r="W57" s="242">
        <v>0</v>
      </c>
      <c r="X57" s="243">
        <v>0</v>
      </c>
      <c r="Y57" s="248">
        <v>1.18</v>
      </c>
      <c r="Z57" s="248">
        <v>1.28</v>
      </c>
      <c r="AA57" s="248">
        <v>1.2</v>
      </c>
      <c r="AB57" s="248">
        <v>1.53</v>
      </c>
      <c r="AC57" s="248">
        <v>1.2</v>
      </c>
      <c r="AD57" s="241">
        <v>0</v>
      </c>
      <c r="AE57" s="242">
        <v>0</v>
      </c>
      <c r="AF57" s="242">
        <v>0</v>
      </c>
      <c r="AG57" s="242">
        <v>0</v>
      </c>
      <c r="AH57" s="243">
        <v>0</v>
      </c>
      <c r="AI57" s="562">
        <v>257.33499999999998</v>
      </c>
      <c r="AJ57" s="411">
        <v>55</v>
      </c>
      <c r="AK57" s="185">
        <f t="shared" si="5"/>
        <v>0</v>
      </c>
      <c r="AL57" s="186">
        <f t="shared" si="6"/>
        <v>0</v>
      </c>
      <c r="AM57" s="186">
        <f t="shared" si="7"/>
        <v>0</v>
      </c>
      <c r="AN57" s="186">
        <f t="shared" si="8"/>
        <v>0</v>
      </c>
      <c r="AO57" s="187">
        <f t="shared" si="9"/>
        <v>0</v>
      </c>
      <c r="AP57" s="159">
        <f t="shared" si="16"/>
        <v>1550</v>
      </c>
      <c r="AQ57" s="160">
        <f t="shared" si="16"/>
        <v>19462</v>
      </c>
      <c r="AR57" s="160">
        <f t="shared" si="16"/>
        <v>36854</v>
      </c>
      <c r="AS57" s="160">
        <f t="shared" si="16"/>
        <v>1560</v>
      </c>
      <c r="AT57" s="161">
        <f t="shared" si="16"/>
        <v>3640</v>
      </c>
      <c r="AU57" s="159">
        <f t="shared" si="1"/>
        <v>0</v>
      </c>
      <c r="AV57" s="160">
        <f t="shared" si="11"/>
        <v>0</v>
      </c>
      <c r="AW57" s="160">
        <f t="shared" si="12"/>
        <v>0</v>
      </c>
      <c r="AX57" s="160">
        <f t="shared" si="2"/>
        <v>0</v>
      </c>
      <c r="AY57" s="161">
        <f t="shared" si="3"/>
        <v>23417.485000000001</v>
      </c>
      <c r="AZ57" s="159">
        <f t="shared" si="14"/>
        <v>23417.485000000001</v>
      </c>
      <c r="BA57" s="160">
        <v>1000</v>
      </c>
      <c r="BB57" s="160" t="e">
        <f>AZ57/#REF!</f>
        <v>#REF!</v>
      </c>
      <c r="BC57" s="154"/>
      <c r="BD57" s="155"/>
    </row>
    <row r="58" spans="1:56" ht="15" thickBot="1" x14ac:dyDescent="0.35">
      <c r="A58" s="205">
        <f>+A57</f>
        <v>46010</v>
      </c>
      <c r="B58" s="264">
        <f>DAY(Tabla2[[#This Row],[FECHA]])</f>
        <v>19</v>
      </c>
      <c r="C58" s="194" t="s">
        <v>30</v>
      </c>
      <c r="D58" s="195"/>
      <c r="E58" s="196"/>
      <c r="F58" s="197"/>
      <c r="G58" s="198"/>
      <c r="H58" s="199"/>
      <c r="I58" s="390">
        <f>Tabla2[[#This Row],[VOLUMEN ENVIADO A RO (m3)]]/Tabla2[[#This Row],[Q DE OPERACIÓN (m3/h)]]</f>
        <v>0</v>
      </c>
      <c r="J58" s="379">
        <v>0</v>
      </c>
      <c r="K58" s="380">
        <v>22</v>
      </c>
      <c r="L58" s="381">
        <v>3</v>
      </c>
      <c r="M58" s="380">
        <v>0</v>
      </c>
      <c r="N58" s="381">
        <v>0</v>
      </c>
      <c r="O58" s="245">
        <v>0</v>
      </c>
      <c r="P58" s="250">
        <v>192.98245614035091</v>
      </c>
      <c r="Q58" s="250">
        <v>26.315789473684212</v>
      </c>
      <c r="R58" s="250">
        <v>0</v>
      </c>
      <c r="S58" s="250">
        <v>0</v>
      </c>
      <c r="T58" s="241">
        <v>0</v>
      </c>
      <c r="U58" s="242">
        <v>0</v>
      </c>
      <c r="V58" s="242">
        <v>0</v>
      </c>
      <c r="W58" s="242">
        <v>0</v>
      </c>
      <c r="X58" s="243">
        <v>0</v>
      </c>
      <c r="Y58" s="248">
        <v>1.18</v>
      </c>
      <c r="Z58" s="248">
        <v>1.28</v>
      </c>
      <c r="AA58" s="248">
        <v>1.2</v>
      </c>
      <c r="AB58" s="248">
        <v>1.53</v>
      </c>
      <c r="AC58" s="248">
        <v>1.2</v>
      </c>
      <c r="AD58" s="252">
        <v>0</v>
      </c>
      <c r="AE58" s="253">
        <v>0</v>
      </c>
      <c r="AF58" s="253">
        <v>0</v>
      </c>
      <c r="AG58" s="253">
        <v>0</v>
      </c>
      <c r="AH58" s="254">
        <v>0</v>
      </c>
      <c r="AI58" s="563">
        <v>0</v>
      </c>
      <c r="AJ58" s="411">
        <v>55</v>
      </c>
      <c r="AK58" s="185" t="e">
        <f t="shared" si="5"/>
        <v>#DIV/0!</v>
      </c>
      <c r="AL58" s="186" t="e">
        <f t="shared" si="6"/>
        <v>#DIV/0!</v>
      </c>
      <c r="AM58" s="186" t="e">
        <f t="shared" si="7"/>
        <v>#DIV/0!</v>
      </c>
      <c r="AN58" s="186" t="e">
        <f t="shared" si="8"/>
        <v>#DIV/0!</v>
      </c>
      <c r="AO58" s="187" t="e">
        <f t="shared" si="9"/>
        <v>#DIV/0!</v>
      </c>
      <c r="AP58" s="159">
        <f t="shared" si="16"/>
        <v>1550</v>
      </c>
      <c r="AQ58" s="160">
        <f t="shared" si="16"/>
        <v>19462</v>
      </c>
      <c r="AR58" s="160">
        <f t="shared" si="16"/>
        <v>36854</v>
      </c>
      <c r="AS58" s="160">
        <f t="shared" si="16"/>
        <v>1560</v>
      </c>
      <c r="AT58" s="161">
        <f t="shared" si="16"/>
        <v>3640</v>
      </c>
      <c r="AU58" s="162">
        <f t="shared" si="1"/>
        <v>0</v>
      </c>
      <c r="AV58" s="163">
        <f t="shared" si="11"/>
        <v>0</v>
      </c>
      <c r="AW58" s="163">
        <f t="shared" si="12"/>
        <v>0</v>
      </c>
      <c r="AX58" s="163">
        <f t="shared" si="2"/>
        <v>0</v>
      </c>
      <c r="AY58" s="164">
        <f t="shared" si="3"/>
        <v>0</v>
      </c>
      <c r="AZ58" s="162">
        <f t="shared" si="14"/>
        <v>0</v>
      </c>
      <c r="BA58" s="163">
        <v>1000</v>
      </c>
      <c r="BB58" s="163" t="e">
        <f>AZ58/#REF!</f>
        <v>#REF!</v>
      </c>
      <c r="BC58" s="153"/>
      <c r="BD58" s="156"/>
    </row>
    <row r="59" spans="1:56" ht="15" thickBot="1" x14ac:dyDescent="0.35">
      <c r="A59" s="200">
        <f>+A58+1</f>
        <v>46011</v>
      </c>
      <c r="B59" s="265">
        <f>DAY(Tabla2[[#This Row],[FECHA]])</f>
        <v>20</v>
      </c>
      <c r="C59" s="209" t="s">
        <v>28</v>
      </c>
      <c r="D59" s="201"/>
      <c r="E59" s="202"/>
      <c r="F59" s="203"/>
      <c r="G59" s="203"/>
      <c r="H59" s="202"/>
      <c r="I59" s="390">
        <f>Tabla2[[#This Row],[VOLUMEN ENVIADO A RO (m3)]]/Tabla2[[#This Row],[Q DE OPERACIÓN (m3/h)]]</f>
        <v>2.760472727272727</v>
      </c>
      <c r="J59" s="373">
        <v>0</v>
      </c>
      <c r="K59" s="374">
        <v>22</v>
      </c>
      <c r="L59" s="375">
        <v>3</v>
      </c>
      <c r="M59" s="374">
        <v>0</v>
      </c>
      <c r="N59" s="375">
        <v>0</v>
      </c>
      <c r="O59" s="245">
        <v>0</v>
      </c>
      <c r="P59" s="256">
        <v>192.98245614035091</v>
      </c>
      <c r="Q59" s="239">
        <v>26.315789473684212</v>
      </c>
      <c r="R59" s="256">
        <v>0</v>
      </c>
      <c r="S59" s="256">
        <v>0</v>
      </c>
      <c r="T59" s="241">
        <v>0</v>
      </c>
      <c r="U59" s="242">
        <v>0</v>
      </c>
      <c r="V59" s="242">
        <v>0</v>
      </c>
      <c r="W59" s="242">
        <v>0</v>
      </c>
      <c r="X59" s="243">
        <v>0</v>
      </c>
      <c r="Y59" s="248">
        <v>1.18</v>
      </c>
      <c r="Z59" s="248">
        <v>1.28</v>
      </c>
      <c r="AA59" s="248">
        <v>1.2</v>
      </c>
      <c r="AB59" s="248">
        <v>1.53</v>
      </c>
      <c r="AC59" s="248">
        <v>1.2</v>
      </c>
      <c r="AD59" s="257">
        <v>0</v>
      </c>
      <c r="AE59" s="258">
        <v>0</v>
      </c>
      <c r="AF59" s="258">
        <v>0</v>
      </c>
      <c r="AG59" s="258">
        <v>0</v>
      </c>
      <c r="AH59" s="259">
        <v>0</v>
      </c>
      <c r="AI59" s="561">
        <v>151.82599999999999</v>
      </c>
      <c r="AJ59" s="411">
        <v>55</v>
      </c>
      <c r="AK59" s="185">
        <f t="shared" si="5"/>
        <v>0</v>
      </c>
      <c r="AL59" s="186">
        <f t="shared" si="6"/>
        <v>0</v>
      </c>
      <c r="AM59" s="186">
        <f t="shared" si="7"/>
        <v>0</v>
      </c>
      <c r="AN59" s="186">
        <f t="shared" si="8"/>
        <v>0</v>
      </c>
      <c r="AO59" s="187">
        <f t="shared" si="9"/>
        <v>0</v>
      </c>
      <c r="AP59" s="159">
        <f t="shared" si="16"/>
        <v>1550</v>
      </c>
      <c r="AQ59" s="160">
        <f t="shared" si="16"/>
        <v>19462</v>
      </c>
      <c r="AR59" s="160">
        <f t="shared" si="16"/>
        <v>36854</v>
      </c>
      <c r="AS59" s="160">
        <f t="shared" si="16"/>
        <v>1560</v>
      </c>
      <c r="AT59" s="161">
        <f t="shared" si="16"/>
        <v>3640</v>
      </c>
      <c r="AU59" s="159">
        <f t="shared" si="1"/>
        <v>0</v>
      </c>
      <c r="AV59" s="160">
        <f t="shared" si="11"/>
        <v>0</v>
      </c>
      <c r="AW59" s="160">
        <f t="shared" si="12"/>
        <v>0</v>
      </c>
      <c r="AX59" s="160">
        <f t="shared" si="2"/>
        <v>0</v>
      </c>
      <c r="AY59" s="161">
        <f t="shared" si="3"/>
        <v>13816.166000000001</v>
      </c>
      <c r="AZ59" s="159">
        <f t="shared" si="14"/>
        <v>13816.166000000001</v>
      </c>
      <c r="BA59" s="160">
        <v>1000</v>
      </c>
      <c r="BB59" s="160" t="e">
        <f>AZ59/#REF!</f>
        <v>#REF!</v>
      </c>
      <c r="BC59" s="154"/>
      <c r="BD59" s="155"/>
    </row>
    <row r="60" spans="1:56" ht="15" thickBot="1" x14ac:dyDescent="0.35">
      <c r="A60" s="204">
        <f>+A59</f>
        <v>46011</v>
      </c>
      <c r="B60" s="263">
        <f>DAY(Tabla2[[#This Row],[FECHA]])</f>
        <v>20</v>
      </c>
      <c r="C60" s="189" t="s">
        <v>29</v>
      </c>
      <c r="D60" s="190"/>
      <c r="E60" s="191"/>
      <c r="F60" s="192"/>
      <c r="G60" s="192"/>
      <c r="H60" s="191"/>
      <c r="I60" s="390">
        <f>Tabla2[[#This Row],[VOLUMEN ENVIADO A RO (m3)]]/Tabla2[[#This Row],[Q DE OPERACIÓN (m3/h)]]</f>
        <v>2.760472727272727</v>
      </c>
      <c r="J60" s="376">
        <v>0</v>
      </c>
      <c r="K60" s="377">
        <v>22</v>
      </c>
      <c r="L60" s="378">
        <v>3</v>
      </c>
      <c r="M60" s="377">
        <v>0</v>
      </c>
      <c r="N60" s="378">
        <v>0</v>
      </c>
      <c r="O60" s="245">
        <v>0</v>
      </c>
      <c r="P60" s="246">
        <v>192.98245614035091</v>
      </c>
      <c r="Q60" s="246">
        <v>26.315789473684212</v>
      </c>
      <c r="R60" s="246">
        <v>0</v>
      </c>
      <c r="S60" s="246">
        <v>0</v>
      </c>
      <c r="T60" s="241">
        <v>0</v>
      </c>
      <c r="U60" s="242">
        <v>0</v>
      </c>
      <c r="V60" s="242">
        <v>0</v>
      </c>
      <c r="W60" s="242">
        <v>0</v>
      </c>
      <c r="X60" s="243">
        <v>0</v>
      </c>
      <c r="Y60" s="248">
        <v>1.18</v>
      </c>
      <c r="Z60" s="248">
        <v>1.28</v>
      </c>
      <c r="AA60" s="248">
        <v>1.2</v>
      </c>
      <c r="AB60" s="248">
        <v>1.53</v>
      </c>
      <c r="AC60" s="248">
        <v>1.2</v>
      </c>
      <c r="AD60" s="241">
        <v>0</v>
      </c>
      <c r="AE60" s="242">
        <v>0</v>
      </c>
      <c r="AF60" s="242">
        <v>0</v>
      </c>
      <c r="AG60" s="242">
        <v>0</v>
      </c>
      <c r="AH60" s="243">
        <v>0</v>
      </c>
      <c r="AI60" s="562">
        <v>151.82599999999999</v>
      </c>
      <c r="AJ60" s="411">
        <v>55</v>
      </c>
      <c r="AK60" s="185">
        <f t="shared" si="5"/>
        <v>0</v>
      </c>
      <c r="AL60" s="186">
        <f t="shared" si="6"/>
        <v>0</v>
      </c>
      <c r="AM60" s="186">
        <f t="shared" si="7"/>
        <v>0</v>
      </c>
      <c r="AN60" s="186">
        <f t="shared" si="8"/>
        <v>0</v>
      </c>
      <c r="AO60" s="187">
        <f t="shared" si="9"/>
        <v>0</v>
      </c>
      <c r="AP60" s="159">
        <f t="shared" si="16"/>
        <v>1550</v>
      </c>
      <c r="AQ60" s="160">
        <f t="shared" si="16"/>
        <v>19462</v>
      </c>
      <c r="AR60" s="160">
        <f t="shared" si="16"/>
        <v>36854</v>
      </c>
      <c r="AS60" s="160">
        <f t="shared" si="16"/>
        <v>1560</v>
      </c>
      <c r="AT60" s="161">
        <f t="shared" si="16"/>
        <v>3640</v>
      </c>
      <c r="AU60" s="159">
        <f t="shared" si="1"/>
        <v>0</v>
      </c>
      <c r="AV60" s="160">
        <f t="shared" si="11"/>
        <v>0</v>
      </c>
      <c r="AW60" s="160">
        <f t="shared" si="12"/>
        <v>0</v>
      </c>
      <c r="AX60" s="160">
        <f t="shared" si="2"/>
        <v>0</v>
      </c>
      <c r="AY60" s="161">
        <f t="shared" si="3"/>
        <v>13816.166000000001</v>
      </c>
      <c r="AZ60" s="159">
        <f t="shared" si="14"/>
        <v>13816.166000000001</v>
      </c>
      <c r="BA60" s="160">
        <v>1000</v>
      </c>
      <c r="BB60" s="160" t="e">
        <f>AZ60/#REF!</f>
        <v>#REF!</v>
      </c>
      <c r="BC60" s="154"/>
      <c r="BD60" s="155"/>
    </row>
    <row r="61" spans="1:56" ht="15" thickBot="1" x14ac:dyDescent="0.35">
      <c r="A61" s="205">
        <f>+A60</f>
        <v>46011</v>
      </c>
      <c r="B61" s="264">
        <f>DAY(Tabla2[[#This Row],[FECHA]])</f>
        <v>20</v>
      </c>
      <c r="C61" s="194" t="s">
        <v>30</v>
      </c>
      <c r="D61" s="195"/>
      <c r="E61" s="196"/>
      <c r="F61" s="197"/>
      <c r="G61" s="198"/>
      <c r="H61" s="199"/>
      <c r="I61" s="390">
        <f>Tabla2[[#This Row],[VOLUMEN ENVIADO A RO (m3)]]/Tabla2[[#This Row],[Q DE OPERACIÓN (m3/h)]]</f>
        <v>5.3290545454545457</v>
      </c>
      <c r="J61" s="379">
        <v>0</v>
      </c>
      <c r="K61" s="380">
        <v>22</v>
      </c>
      <c r="L61" s="381">
        <v>3</v>
      </c>
      <c r="M61" s="380">
        <v>0</v>
      </c>
      <c r="N61" s="381">
        <v>0</v>
      </c>
      <c r="O61" s="245">
        <v>0</v>
      </c>
      <c r="P61" s="250">
        <v>192.98245614035091</v>
      </c>
      <c r="Q61" s="250">
        <v>26.315789473684212</v>
      </c>
      <c r="R61" s="250">
        <v>0</v>
      </c>
      <c r="S61" s="250">
        <v>0</v>
      </c>
      <c r="T61" s="241">
        <v>0</v>
      </c>
      <c r="U61" s="242">
        <v>0</v>
      </c>
      <c r="V61" s="242">
        <v>0</v>
      </c>
      <c r="W61" s="242">
        <v>0</v>
      </c>
      <c r="X61" s="243">
        <v>0</v>
      </c>
      <c r="Y61" s="248">
        <v>1.18</v>
      </c>
      <c r="Z61" s="248">
        <v>1.28</v>
      </c>
      <c r="AA61" s="248">
        <v>1.2</v>
      </c>
      <c r="AB61" s="248">
        <v>1.53</v>
      </c>
      <c r="AC61" s="248">
        <v>1.2</v>
      </c>
      <c r="AD61" s="252">
        <v>0</v>
      </c>
      <c r="AE61" s="253">
        <v>0</v>
      </c>
      <c r="AF61" s="253">
        <v>0</v>
      </c>
      <c r="AG61" s="253">
        <v>0</v>
      </c>
      <c r="AH61" s="254">
        <v>0</v>
      </c>
      <c r="AI61" s="563">
        <v>293.09800000000001</v>
      </c>
      <c r="AJ61" s="411">
        <v>55</v>
      </c>
      <c r="AK61" s="185">
        <f t="shared" si="5"/>
        <v>0</v>
      </c>
      <c r="AL61" s="186">
        <f t="shared" si="6"/>
        <v>0</v>
      </c>
      <c r="AM61" s="186">
        <f t="shared" si="7"/>
        <v>0</v>
      </c>
      <c r="AN61" s="186">
        <f t="shared" si="8"/>
        <v>0</v>
      </c>
      <c r="AO61" s="187">
        <f t="shared" si="9"/>
        <v>0</v>
      </c>
      <c r="AP61" s="159">
        <f t="shared" si="16"/>
        <v>1550</v>
      </c>
      <c r="AQ61" s="160">
        <f t="shared" si="16"/>
        <v>19462</v>
      </c>
      <c r="AR61" s="160">
        <f t="shared" si="16"/>
        <v>36854</v>
      </c>
      <c r="AS61" s="160">
        <f t="shared" si="16"/>
        <v>1560</v>
      </c>
      <c r="AT61" s="161">
        <f t="shared" si="16"/>
        <v>3640</v>
      </c>
      <c r="AU61" s="162">
        <f t="shared" si="1"/>
        <v>0</v>
      </c>
      <c r="AV61" s="163">
        <f t="shared" si="11"/>
        <v>0</v>
      </c>
      <c r="AW61" s="163">
        <f t="shared" si="12"/>
        <v>0</v>
      </c>
      <c r="AX61" s="163">
        <f t="shared" si="2"/>
        <v>0</v>
      </c>
      <c r="AY61" s="164">
        <f t="shared" si="3"/>
        <v>26671.918000000001</v>
      </c>
      <c r="AZ61" s="162">
        <f t="shared" si="14"/>
        <v>26671.918000000001</v>
      </c>
      <c r="BA61" s="163">
        <v>1000</v>
      </c>
      <c r="BB61" s="163" t="e">
        <f>AZ61/#REF!</f>
        <v>#REF!</v>
      </c>
      <c r="BC61" s="153"/>
      <c r="BD61" s="156"/>
    </row>
    <row r="62" spans="1:56" ht="15" thickBot="1" x14ac:dyDescent="0.35">
      <c r="A62" s="200">
        <f>+A61+1</f>
        <v>46012</v>
      </c>
      <c r="B62" s="265">
        <f>DAY(Tabla2[[#This Row],[FECHA]])</f>
        <v>21</v>
      </c>
      <c r="C62" s="209" t="s">
        <v>28</v>
      </c>
      <c r="D62" s="201"/>
      <c r="E62" s="202"/>
      <c r="F62" s="203"/>
      <c r="G62" s="203"/>
      <c r="H62" s="202"/>
      <c r="I62" s="390">
        <f>Tabla2[[#This Row],[VOLUMEN ENVIADO A RO (m3)]]/Tabla2[[#This Row],[Q DE OPERACIÓN (m3/h)]]</f>
        <v>8.3940181818181809</v>
      </c>
      <c r="J62" s="373">
        <v>0</v>
      </c>
      <c r="K62" s="374">
        <v>22</v>
      </c>
      <c r="L62" s="375">
        <v>3</v>
      </c>
      <c r="M62" s="374">
        <v>0</v>
      </c>
      <c r="N62" s="375">
        <v>0</v>
      </c>
      <c r="O62" s="245">
        <v>0</v>
      </c>
      <c r="P62" s="256">
        <v>192.98245614035091</v>
      </c>
      <c r="Q62" s="239">
        <v>26.315789473684212</v>
      </c>
      <c r="R62" s="256">
        <v>0</v>
      </c>
      <c r="S62" s="256">
        <v>0</v>
      </c>
      <c r="T62" s="241">
        <v>0</v>
      </c>
      <c r="U62" s="242">
        <v>26.31578947368422</v>
      </c>
      <c r="V62" s="242">
        <v>0</v>
      </c>
      <c r="W62" s="242">
        <v>0</v>
      </c>
      <c r="X62" s="243">
        <v>0</v>
      </c>
      <c r="Y62" s="248">
        <v>1.18</v>
      </c>
      <c r="Z62" s="248">
        <v>1.28</v>
      </c>
      <c r="AA62" s="248">
        <v>1.2</v>
      </c>
      <c r="AB62" s="248">
        <v>1.53</v>
      </c>
      <c r="AC62" s="248">
        <v>1.2</v>
      </c>
      <c r="AD62" s="257">
        <v>0</v>
      </c>
      <c r="AE62" s="258">
        <v>33.684210526315802</v>
      </c>
      <c r="AF62" s="258">
        <v>0</v>
      </c>
      <c r="AG62" s="258">
        <v>0</v>
      </c>
      <c r="AH62" s="259">
        <v>0</v>
      </c>
      <c r="AI62" s="561">
        <v>461.67099999999999</v>
      </c>
      <c r="AJ62" s="411">
        <v>55</v>
      </c>
      <c r="AK62" s="185">
        <f t="shared" si="5"/>
        <v>0</v>
      </c>
      <c r="AL62" s="186">
        <f t="shared" si="6"/>
        <v>72.961504028444068</v>
      </c>
      <c r="AM62" s="186">
        <f t="shared" si="7"/>
        <v>0</v>
      </c>
      <c r="AN62" s="186">
        <f t="shared" si="8"/>
        <v>0</v>
      </c>
      <c r="AO62" s="187">
        <f t="shared" si="9"/>
        <v>0</v>
      </c>
      <c r="AP62" s="159">
        <f t="shared" si="16"/>
        <v>1550</v>
      </c>
      <c r="AQ62" s="160">
        <f t="shared" si="16"/>
        <v>19462</v>
      </c>
      <c r="AR62" s="160">
        <f t="shared" si="16"/>
        <v>36854</v>
      </c>
      <c r="AS62" s="160">
        <f t="shared" si="16"/>
        <v>1560</v>
      </c>
      <c r="AT62" s="161">
        <f t="shared" si="16"/>
        <v>3640</v>
      </c>
      <c r="AU62" s="159">
        <f t="shared" si="1"/>
        <v>41768.421052631602</v>
      </c>
      <c r="AV62" s="160">
        <f t="shared" si="11"/>
        <v>0</v>
      </c>
      <c r="AW62" s="160">
        <f t="shared" si="12"/>
        <v>0</v>
      </c>
      <c r="AX62" s="160">
        <f t="shared" si="2"/>
        <v>0</v>
      </c>
      <c r="AY62" s="161">
        <f t="shared" si="3"/>
        <v>42012.061000000002</v>
      </c>
      <c r="AZ62" s="159">
        <f t="shared" si="14"/>
        <v>83780.482052631603</v>
      </c>
      <c r="BA62" s="160">
        <v>1000</v>
      </c>
      <c r="BB62" s="160">
        <f>AZ62/AI62</f>
        <v>181.47226499527068</v>
      </c>
      <c r="BC62" s="154"/>
      <c r="BD62" s="155"/>
    </row>
    <row r="63" spans="1:56" ht="15" thickBot="1" x14ac:dyDescent="0.35">
      <c r="A63" s="204">
        <f>+A62</f>
        <v>46012</v>
      </c>
      <c r="B63" s="263">
        <f>DAY(Tabla2[[#This Row],[FECHA]])</f>
        <v>21</v>
      </c>
      <c r="C63" s="189" t="s">
        <v>29</v>
      </c>
      <c r="D63" s="190"/>
      <c r="E63" s="191"/>
      <c r="F63" s="192"/>
      <c r="G63" s="192"/>
      <c r="H63" s="191"/>
      <c r="I63" s="390">
        <f>Tabla2[[#This Row],[VOLUMEN ENVIADO A RO (m3)]]/Tabla2[[#This Row],[Q DE OPERACIÓN (m3/h)]]</f>
        <v>4.9900181818181819</v>
      </c>
      <c r="J63" s="376">
        <v>0</v>
      </c>
      <c r="K63" s="377">
        <v>19</v>
      </c>
      <c r="L63" s="378">
        <v>3</v>
      </c>
      <c r="M63" s="377">
        <v>0</v>
      </c>
      <c r="N63" s="378">
        <v>0</v>
      </c>
      <c r="O63" s="245">
        <v>0</v>
      </c>
      <c r="P63" s="246">
        <v>166.66666666666669</v>
      </c>
      <c r="Q63" s="246">
        <v>26.315789473684212</v>
      </c>
      <c r="R63" s="246">
        <v>0</v>
      </c>
      <c r="S63" s="246">
        <v>0</v>
      </c>
      <c r="T63" s="241">
        <v>0</v>
      </c>
      <c r="U63" s="242">
        <v>0</v>
      </c>
      <c r="V63" s="242">
        <v>0</v>
      </c>
      <c r="W63" s="242">
        <v>0</v>
      </c>
      <c r="X63" s="243">
        <v>0</v>
      </c>
      <c r="Y63" s="248">
        <v>1.18</v>
      </c>
      <c r="Z63" s="248">
        <v>1.28</v>
      </c>
      <c r="AA63" s="248">
        <v>1.2</v>
      </c>
      <c r="AB63" s="248">
        <v>1.53</v>
      </c>
      <c r="AC63" s="248">
        <v>1.2</v>
      </c>
      <c r="AD63" s="241">
        <v>0</v>
      </c>
      <c r="AE63" s="242">
        <v>0</v>
      </c>
      <c r="AF63" s="242">
        <v>0</v>
      </c>
      <c r="AG63" s="242">
        <v>0</v>
      </c>
      <c r="AH63" s="243">
        <v>0</v>
      </c>
      <c r="AI63" s="562">
        <v>274.45100000000002</v>
      </c>
      <c r="AJ63" s="411">
        <v>55</v>
      </c>
      <c r="AK63" s="185">
        <f t="shared" si="5"/>
        <v>0</v>
      </c>
      <c r="AL63" s="186">
        <f t="shared" si="6"/>
        <v>0</v>
      </c>
      <c r="AM63" s="186">
        <f t="shared" si="7"/>
        <v>0</v>
      </c>
      <c r="AN63" s="186">
        <f t="shared" si="8"/>
        <v>0</v>
      </c>
      <c r="AO63" s="187">
        <f t="shared" si="9"/>
        <v>0</v>
      </c>
      <c r="AP63" s="159">
        <f t="shared" si="16"/>
        <v>1550</v>
      </c>
      <c r="AQ63" s="160">
        <f t="shared" si="16"/>
        <v>19462</v>
      </c>
      <c r="AR63" s="160">
        <f t="shared" si="16"/>
        <v>36854</v>
      </c>
      <c r="AS63" s="160">
        <f t="shared" si="16"/>
        <v>1560</v>
      </c>
      <c r="AT63" s="161">
        <f t="shared" si="16"/>
        <v>3640</v>
      </c>
      <c r="AU63" s="159">
        <f t="shared" si="1"/>
        <v>0</v>
      </c>
      <c r="AV63" s="160">
        <f t="shared" si="11"/>
        <v>0</v>
      </c>
      <c r="AW63" s="160">
        <f t="shared" si="12"/>
        <v>0</v>
      </c>
      <c r="AX63" s="160">
        <f t="shared" si="2"/>
        <v>0</v>
      </c>
      <c r="AY63" s="161">
        <f t="shared" si="3"/>
        <v>24975.041000000005</v>
      </c>
      <c r="AZ63" s="159">
        <f t="shared" si="14"/>
        <v>24975.041000000005</v>
      </c>
      <c r="BA63" s="160">
        <v>1000</v>
      </c>
      <c r="BB63" s="160" t="e">
        <f>AZ63/#REF!</f>
        <v>#REF!</v>
      </c>
      <c r="BC63" s="154"/>
      <c r="BD63" s="155"/>
    </row>
    <row r="64" spans="1:56" ht="15" thickBot="1" x14ac:dyDescent="0.35">
      <c r="A64" s="205">
        <f>+A63</f>
        <v>46012</v>
      </c>
      <c r="B64" s="264">
        <f>DAY(Tabla2[[#This Row],[FECHA]])</f>
        <v>21</v>
      </c>
      <c r="C64" s="194" t="s">
        <v>30</v>
      </c>
      <c r="D64" s="195"/>
      <c r="E64" s="196"/>
      <c r="F64" s="197"/>
      <c r="G64" s="198"/>
      <c r="H64" s="199"/>
      <c r="I64" s="390">
        <f>Tabla2[[#This Row],[VOLUMEN ENVIADO A RO (m3)]]/Tabla2[[#This Row],[Q DE OPERACIÓN (m3/h)]]</f>
        <v>3.1180545454545454</v>
      </c>
      <c r="J64" s="379">
        <v>0</v>
      </c>
      <c r="K64" s="380">
        <v>19</v>
      </c>
      <c r="L64" s="381">
        <v>3</v>
      </c>
      <c r="M64" s="380">
        <v>0</v>
      </c>
      <c r="N64" s="381">
        <v>0</v>
      </c>
      <c r="O64" s="245">
        <v>0</v>
      </c>
      <c r="P64" s="250">
        <v>166.66666666666669</v>
      </c>
      <c r="Q64" s="250">
        <v>26.315789473684212</v>
      </c>
      <c r="R64" s="250">
        <v>0</v>
      </c>
      <c r="S64" s="250">
        <v>0</v>
      </c>
      <c r="T64" s="241">
        <v>0</v>
      </c>
      <c r="U64" s="242">
        <v>0</v>
      </c>
      <c r="V64" s="242">
        <v>0</v>
      </c>
      <c r="W64" s="242">
        <v>0</v>
      </c>
      <c r="X64" s="243">
        <v>0</v>
      </c>
      <c r="Y64" s="248">
        <v>1.18</v>
      </c>
      <c r="Z64" s="248">
        <v>1.28</v>
      </c>
      <c r="AA64" s="248">
        <v>1.2</v>
      </c>
      <c r="AB64" s="248">
        <v>1.53</v>
      </c>
      <c r="AC64" s="248">
        <v>1.2</v>
      </c>
      <c r="AD64" s="252">
        <v>0</v>
      </c>
      <c r="AE64" s="253">
        <v>0</v>
      </c>
      <c r="AF64" s="253">
        <v>0</v>
      </c>
      <c r="AG64" s="253">
        <v>0</v>
      </c>
      <c r="AH64" s="254">
        <v>0</v>
      </c>
      <c r="AI64" s="563">
        <v>171.49299999999999</v>
      </c>
      <c r="AJ64" s="411">
        <v>55</v>
      </c>
      <c r="AK64" s="185">
        <f t="shared" si="5"/>
        <v>0</v>
      </c>
      <c r="AL64" s="186">
        <f t="shared" si="6"/>
        <v>0</v>
      </c>
      <c r="AM64" s="186">
        <f t="shared" si="7"/>
        <v>0</v>
      </c>
      <c r="AN64" s="186">
        <f t="shared" si="8"/>
        <v>0</v>
      </c>
      <c r="AO64" s="187">
        <f t="shared" si="9"/>
        <v>0</v>
      </c>
      <c r="AP64" s="159">
        <f t="shared" si="16"/>
        <v>1550</v>
      </c>
      <c r="AQ64" s="160">
        <f t="shared" si="16"/>
        <v>19462</v>
      </c>
      <c r="AR64" s="160">
        <f t="shared" si="16"/>
        <v>36854</v>
      </c>
      <c r="AS64" s="160">
        <f t="shared" si="16"/>
        <v>1560</v>
      </c>
      <c r="AT64" s="161">
        <f t="shared" si="16"/>
        <v>3640</v>
      </c>
      <c r="AU64" s="162">
        <f t="shared" si="1"/>
        <v>0</v>
      </c>
      <c r="AV64" s="163">
        <f t="shared" si="11"/>
        <v>0</v>
      </c>
      <c r="AW64" s="163">
        <f t="shared" si="12"/>
        <v>0</v>
      </c>
      <c r="AX64" s="163">
        <f t="shared" si="2"/>
        <v>0</v>
      </c>
      <c r="AY64" s="164">
        <f t="shared" si="3"/>
        <v>15605.862999999999</v>
      </c>
      <c r="AZ64" s="162">
        <f t="shared" si="14"/>
        <v>15605.862999999999</v>
      </c>
      <c r="BA64" s="163">
        <v>1000</v>
      </c>
      <c r="BB64" s="163">
        <f>AZ64/AI64</f>
        <v>91</v>
      </c>
      <c r="BC64" s="153"/>
      <c r="BD64" s="156"/>
    </row>
    <row r="65" spans="1:56" ht="15" thickBot="1" x14ac:dyDescent="0.35">
      <c r="A65" s="200">
        <f>+A64+1</f>
        <v>46013</v>
      </c>
      <c r="B65" s="265">
        <f>DAY(Tabla2[[#This Row],[FECHA]])</f>
        <v>22</v>
      </c>
      <c r="C65" s="209" t="s">
        <v>28</v>
      </c>
      <c r="D65" s="201"/>
      <c r="E65" s="202"/>
      <c r="F65" s="203"/>
      <c r="G65" s="203"/>
      <c r="H65" s="202"/>
      <c r="I65" s="390">
        <f>Tabla2[[#This Row],[VOLUMEN ENVIADO A RO (m3)]]/Tabla2[[#This Row],[Q DE OPERACIÓN (m3/h)]]</f>
        <v>4.574218181818182</v>
      </c>
      <c r="J65" s="373">
        <v>0</v>
      </c>
      <c r="K65" s="374">
        <v>19</v>
      </c>
      <c r="L65" s="375">
        <v>3</v>
      </c>
      <c r="M65" s="374">
        <v>0</v>
      </c>
      <c r="N65" s="375">
        <v>0</v>
      </c>
      <c r="O65" s="245">
        <v>0</v>
      </c>
      <c r="P65" s="256">
        <v>166.66666666666669</v>
      </c>
      <c r="Q65" s="239">
        <v>26.315789473684212</v>
      </c>
      <c r="R65" s="256">
        <v>0</v>
      </c>
      <c r="S65" s="256">
        <v>0</v>
      </c>
      <c r="T65" s="241">
        <v>0</v>
      </c>
      <c r="U65" s="242">
        <v>0</v>
      </c>
      <c r="V65" s="242">
        <v>0</v>
      </c>
      <c r="W65" s="242">
        <v>0</v>
      </c>
      <c r="X65" s="243">
        <v>0</v>
      </c>
      <c r="Y65" s="248">
        <v>1.18</v>
      </c>
      <c r="Z65" s="248">
        <v>1.28</v>
      </c>
      <c r="AA65" s="248">
        <v>1.2</v>
      </c>
      <c r="AB65" s="248">
        <v>1.53</v>
      </c>
      <c r="AC65" s="248">
        <v>1.2</v>
      </c>
      <c r="AD65" s="257">
        <v>0</v>
      </c>
      <c r="AE65" s="258">
        <v>0</v>
      </c>
      <c r="AF65" s="258">
        <v>0</v>
      </c>
      <c r="AG65" s="258">
        <v>0</v>
      </c>
      <c r="AH65" s="259">
        <v>0</v>
      </c>
      <c r="AI65" s="561">
        <v>251.58199999999999</v>
      </c>
      <c r="AJ65" s="411">
        <v>55</v>
      </c>
      <c r="AK65" s="185">
        <f t="shared" si="5"/>
        <v>0</v>
      </c>
      <c r="AL65" s="186">
        <f t="shared" si="6"/>
        <v>0</v>
      </c>
      <c r="AM65" s="186">
        <f t="shared" si="7"/>
        <v>0</v>
      </c>
      <c r="AN65" s="186">
        <f t="shared" si="8"/>
        <v>0</v>
      </c>
      <c r="AO65" s="187">
        <f t="shared" si="9"/>
        <v>0</v>
      </c>
      <c r="AP65" s="159">
        <f t="shared" si="16"/>
        <v>1550</v>
      </c>
      <c r="AQ65" s="160">
        <f t="shared" si="16"/>
        <v>19462</v>
      </c>
      <c r="AR65" s="160">
        <f t="shared" si="16"/>
        <v>36854</v>
      </c>
      <c r="AS65" s="160">
        <f t="shared" si="16"/>
        <v>1560</v>
      </c>
      <c r="AT65" s="161">
        <f t="shared" si="16"/>
        <v>3640</v>
      </c>
      <c r="AU65" s="159">
        <f t="shared" si="1"/>
        <v>0</v>
      </c>
      <c r="AV65" s="160">
        <f t="shared" si="11"/>
        <v>0</v>
      </c>
      <c r="AW65" s="160">
        <f t="shared" si="12"/>
        <v>0</v>
      </c>
      <c r="AX65" s="160">
        <f t="shared" si="2"/>
        <v>0</v>
      </c>
      <c r="AY65" s="161">
        <f t="shared" si="3"/>
        <v>22893.962</v>
      </c>
      <c r="AZ65" s="159">
        <f t="shared" si="14"/>
        <v>22893.962</v>
      </c>
      <c r="BA65" s="160">
        <v>1000</v>
      </c>
      <c r="BB65" s="160">
        <f>AZ65/AI65</f>
        <v>91</v>
      </c>
      <c r="BC65" s="154"/>
      <c r="BD65" s="155"/>
    </row>
    <row r="66" spans="1:56" ht="15" thickBot="1" x14ac:dyDescent="0.35">
      <c r="A66" s="204">
        <f>+A65</f>
        <v>46013</v>
      </c>
      <c r="B66" s="263">
        <f>DAY(Tabla2[[#This Row],[FECHA]])</f>
        <v>22</v>
      </c>
      <c r="C66" s="189" t="s">
        <v>29</v>
      </c>
      <c r="D66" s="190"/>
      <c r="E66" s="191"/>
      <c r="F66" s="192"/>
      <c r="G66" s="192"/>
      <c r="H66" s="191"/>
      <c r="I66" s="390">
        <f>Tabla2[[#This Row],[VOLUMEN ENVIADO A RO (m3)]]/Tabla2[[#This Row],[Q DE OPERACIÓN (m3/h)]]</f>
        <v>6.6203272727272724</v>
      </c>
      <c r="J66" s="376">
        <v>0</v>
      </c>
      <c r="K66" s="377">
        <v>19</v>
      </c>
      <c r="L66" s="378">
        <v>3</v>
      </c>
      <c r="M66" s="377">
        <v>0</v>
      </c>
      <c r="N66" s="378">
        <v>0</v>
      </c>
      <c r="O66" s="245">
        <v>0</v>
      </c>
      <c r="P66" s="246">
        <v>166.66666666666669</v>
      </c>
      <c r="Q66" s="246">
        <v>26.315789473684212</v>
      </c>
      <c r="R66" s="246">
        <v>0</v>
      </c>
      <c r="S66" s="246">
        <v>0</v>
      </c>
      <c r="T66" s="241">
        <v>0</v>
      </c>
      <c r="U66" s="242">
        <v>0</v>
      </c>
      <c r="V66" s="242">
        <v>0</v>
      </c>
      <c r="W66" s="242">
        <v>0</v>
      </c>
      <c r="X66" s="243">
        <v>0</v>
      </c>
      <c r="Y66" s="248">
        <v>1.18</v>
      </c>
      <c r="Z66" s="248">
        <v>1.28</v>
      </c>
      <c r="AA66" s="248">
        <v>1.2</v>
      </c>
      <c r="AB66" s="248">
        <v>1.53</v>
      </c>
      <c r="AC66" s="248">
        <v>1.2</v>
      </c>
      <c r="AD66" s="241">
        <v>0</v>
      </c>
      <c r="AE66" s="242">
        <v>0</v>
      </c>
      <c r="AF66" s="242">
        <v>0</v>
      </c>
      <c r="AG66" s="242">
        <v>0</v>
      </c>
      <c r="AH66" s="243">
        <v>0</v>
      </c>
      <c r="AI66" s="562">
        <v>364.11799999999999</v>
      </c>
      <c r="AJ66" s="411">
        <v>55</v>
      </c>
      <c r="AK66" s="185">
        <f t="shared" si="5"/>
        <v>0</v>
      </c>
      <c r="AL66" s="186">
        <f t="shared" si="6"/>
        <v>0</v>
      </c>
      <c r="AM66" s="186">
        <f t="shared" si="7"/>
        <v>0</v>
      </c>
      <c r="AN66" s="186">
        <f t="shared" si="8"/>
        <v>0</v>
      </c>
      <c r="AO66" s="187">
        <f t="shared" si="9"/>
        <v>0</v>
      </c>
      <c r="AP66" s="159">
        <f t="shared" si="16"/>
        <v>1550</v>
      </c>
      <c r="AQ66" s="160">
        <f t="shared" si="16"/>
        <v>19462</v>
      </c>
      <c r="AR66" s="160">
        <f t="shared" si="16"/>
        <v>36854</v>
      </c>
      <c r="AS66" s="160">
        <f t="shared" si="16"/>
        <v>1560</v>
      </c>
      <c r="AT66" s="161">
        <f t="shared" si="16"/>
        <v>3640</v>
      </c>
      <c r="AU66" s="159">
        <f t="shared" ref="AU66:AU95" si="17">AP66*(AE66*0.8)</f>
        <v>0</v>
      </c>
      <c r="AV66" s="160">
        <f t="shared" si="11"/>
        <v>0</v>
      </c>
      <c r="AW66" s="160">
        <f t="shared" si="12"/>
        <v>0</v>
      </c>
      <c r="AX66" s="160">
        <f t="shared" ref="AX66:AX95" si="18">AS66*AH66</f>
        <v>0</v>
      </c>
      <c r="AY66" s="161">
        <f t="shared" ref="AY66:AY95" si="19">AT66*(AI66*0.025)</f>
        <v>33134.737999999998</v>
      </c>
      <c r="AZ66" s="159">
        <f t="shared" ref="AZ66:AZ95" si="20">AU66+AV66+AW66+AX66+AY66</f>
        <v>33134.737999999998</v>
      </c>
      <c r="BA66" s="160">
        <v>1000</v>
      </c>
      <c r="BB66" s="160">
        <f>AZ66/AI66</f>
        <v>91</v>
      </c>
      <c r="BC66" s="154"/>
      <c r="BD66" s="155"/>
    </row>
    <row r="67" spans="1:56" ht="15" thickBot="1" x14ac:dyDescent="0.35">
      <c r="A67" s="205">
        <f>+A66</f>
        <v>46013</v>
      </c>
      <c r="B67" s="264">
        <f>DAY(Tabla2[[#This Row],[FECHA]])</f>
        <v>22</v>
      </c>
      <c r="C67" s="194" t="s">
        <v>30</v>
      </c>
      <c r="D67" s="195"/>
      <c r="E67" s="196"/>
      <c r="F67" s="197"/>
      <c r="G67" s="198"/>
      <c r="H67" s="199"/>
      <c r="I67" s="390">
        <f>Tabla2[[#This Row],[VOLUMEN ENVIADO A RO (m3)]]/Tabla2[[#This Row],[Q DE OPERACIÓN (m3/h)]]</f>
        <v>4.7865636363636366</v>
      </c>
      <c r="J67" s="379">
        <v>0</v>
      </c>
      <c r="K67" s="380">
        <v>19</v>
      </c>
      <c r="L67" s="381">
        <v>3</v>
      </c>
      <c r="M67" s="380">
        <v>0</v>
      </c>
      <c r="N67" s="381">
        <v>0</v>
      </c>
      <c r="O67" s="245">
        <v>0</v>
      </c>
      <c r="P67" s="250">
        <v>166.66666666666669</v>
      </c>
      <c r="Q67" s="250">
        <v>26.315789473684212</v>
      </c>
      <c r="R67" s="250">
        <v>0</v>
      </c>
      <c r="S67" s="250">
        <v>0</v>
      </c>
      <c r="T67" s="241">
        <v>0</v>
      </c>
      <c r="U67" s="242">
        <v>0</v>
      </c>
      <c r="V67" s="242">
        <v>0</v>
      </c>
      <c r="W67" s="242">
        <v>0</v>
      </c>
      <c r="X67" s="243">
        <v>0</v>
      </c>
      <c r="Y67" s="248">
        <v>1.18</v>
      </c>
      <c r="Z67" s="248">
        <v>1.28</v>
      </c>
      <c r="AA67" s="248">
        <v>1.2</v>
      </c>
      <c r="AB67" s="248">
        <v>1.53</v>
      </c>
      <c r="AC67" s="248">
        <v>1.2</v>
      </c>
      <c r="AD67" s="252">
        <v>0</v>
      </c>
      <c r="AE67" s="253">
        <v>0</v>
      </c>
      <c r="AF67" s="253">
        <v>0</v>
      </c>
      <c r="AG67" s="253">
        <v>0</v>
      </c>
      <c r="AH67" s="254">
        <v>0</v>
      </c>
      <c r="AI67" s="563">
        <v>263.26100000000002</v>
      </c>
      <c r="AJ67" s="411">
        <v>55</v>
      </c>
      <c r="AK67" s="185">
        <f t="shared" ref="AK67:AK95" si="21">(AD67*1000)/$AI67</f>
        <v>0</v>
      </c>
      <c r="AL67" s="186">
        <f t="shared" ref="AL67:AL95" si="22">(AE67*1000)/$AI67</f>
        <v>0</v>
      </c>
      <c r="AM67" s="186">
        <f t="shared" ref="AM67:AM95" si="23">(AF67*1000)/$AI67</f>
        <v>0</v>
      </c>
      <c r="AN67" s="186">
        <f t="shared" ref="AN67:AN95" si="24">(AG67*1000)/$AI67</f>
        <v>0</v>
      </c>
      <c r="AO67" s="187">
        <f t="shared" ref="AO67:AO95" si="25">(AH67*1000)/$AI67</f>
        <v>0</v>
      </c>
      <c r="AP67" s="159">
        <f t="shared" ref="AP67:AT82" si="26">AP66</f>
        <v>1550</v>
      </c>
      <c r="AQ67" s="160">
        <f t="shared" si="26"/>
        <v>19462</v>
      </c>
      <c r="AR67" s="160">
        <f t="shared" si="26"/>
        <v>36854</v>
      </c>
      <c r="AS67" s="160">
        <f t="shared" si="26"/>
        <v>1560</v>
      </c>
      <c r="AT67" s="161">
        <f t="shared" si="26"/>
        <v>3640</v>
      </c>
      <c r="AU67" s="162">
        <f t="shared" si="17"/>
        <v>0</v>
      </c>
      <c r="AV67" s="163">
        <f t="shared" ref="AV67:AV95" si="27">AQ67*(AF67*0.012)</f>
        <v>0</v>
      </c>
      <c r="AW67" s="163">
        <f t="shared" ref="AW67:AW95" si="28">AR67*(AG67*0.044)</f>
        <v>0</v>
      </c>
      <c r="AX67" s="163">
        <f t="shared" si="18"/>
        <v>0</v>
      </c>
      <c r="AY67" s="164">
        <f t="shared" si="19"/>
        <v>23956.751000000004</v>
      </c>
      <c r="AZ67" s="162">
        <f t="shared" si="20"/>
        <v>23956.751000000004</v>
      </c>
      <c r="BA67" s="163">
        <v>1000</v>
      </c>
      <c r="BB67" s="163">
        <f t="shared" ref="BB67:BB95" si="29">AZ67/AI67</f>
        <v>91</v>
      </c>
      <c r="BC67" s="153"/>
      <c r="BD67" s="156"/>
    </row>
    <row r="68" spans="1:56" ht="15" thickBot="1" x14ac:dyDescent="0.35">
      <c r="A68" s="200">
        <f>+A67+1</f>
        <v>46014</v>
      </c>
      <c r="B68" s="265">
        <f>DAY(Tabla2[[#This Row],[FECHA]])</f>
        <v>23</v>
      </c>
      <c r="C68" s="209" t="s">
        <v>28</v>
      </c>
      <c r="D68" s="201"/>
      <c r="E68" s="202"/>
      <c r="F68" s="203"/>
      <c r="G68" s="203"/>
      <c r="H68" s="202"/>
      <c r="I68" s="390">
        <f>Tabla2[[#This Row],[VOLUMEN ENVIADO A RO (m3)]]/Tabla2[[#This Row],[Q DE OPERACIÓN (m3/h)]]</f>
        <v>1.9996545454545454</v>
      </c>
      <c r="J68" s="373">
        <v>0</v>
      </c>
      <c r="K68" s="374">
        <v>19</v>
      </c>
      <c r="L68" s="375">
        <v>3</v>
      </c>
      <c r="M68" s="374">
        <v>0</v>
      </c>
      <c r="N68" s="375">
        <v>0</v>
      </c>
      <c r="O68" s="245">
        <v>0</v>
      </c>
      <c r="P68" s="256">
        <v>166.66666666666669</v>
      </c>
      <c r="Q68" s="239">
        <v>26.315789473684212</v>
      </c>
      <c r="R68" s="256">
        <v>0</v>
      </c>
      <c r="S68" s="256">
        <v>0</v>
      </c>
      <c r="T68" s="241">
        <v>0</v>
      </c>
      <c r="U68" s="242">
        <v>0</v>
      </c>
      <c r="V68" s="242">
        <v>0</v>
      </c>
      <c r="W68" s="242">
        <v>0</v>
      </c>
      <c r="X68" s="243">
        <v>0</v>
      </c>
      <c r="Y68" s="248">
        <v>1.18</v>
      </c>
      <c r="Z68" s="248">
        <v>1.28</v>
      </c>
      <c r="AA68" s="248">
        <v>1.2</v>
      </c>
      <c r="AB68" s="248">
        <v>1.53</v>
      </c>
      <c r="AC68" s="248">
        <v>1.2</v>
      </c>
      <c r="AD68" s="257">
        <v>0</v>
      </c>
      <c r="AE68" s="258">
        <v>0</v>
      </c>
      <c r="AF68" s="258">
        <v>0</v>
      </c>
      <c r="AG68" s="258">
        <v>0</v>
      </c>
      <c r="AH68" s="259">
        <v>0</v>
      </c>
      <c r="AI68" s="561">
        <v>109.98099999999999</v>
      </c>
      <c r="AJ68" s="411">
        <v>55</v>
      </c>
      <c r="AK68" s="185">
        <f t="shared" si="21"/>
        <v>0</v>
      </c>
      <c r="AL68" s="186">
        <f t="shared" si="22"/>
        <v>0</v>
      </c>
      <c r="AM68" s="186">
        <f t="shared" si="23"/>
        <v>0</v>
      </c>
      <c r="AN68" s="186">
        <f t="shared" si="24"/>
        <v>0</v>
      </c>
      <c r="AO68" s="187">
        <f t="shared" si="25"/>
        <v>0</v>
      </c>
      <c r="AP68" s="159">
        <f t="shared" si="26"/>
        <v>1550</v>
      </c>
      <c r="AQ68" s="160">
        <f t="shared" si="26"/>
        <v>19462</v>
      </c>
      <c r="AR68" s="160">
        <f t="shared" si="26"/>
        <v>36854</v>
      </c>
      <c r="AS68" s="160">
        <f t="shared" si="26"/>
        <v>1560</v>
      </c>
      <c r="AT68" s="161">
        <f t="shared" si="26"/>
        <v>3640</v>
      </c>
      <c r="AU68" s="159">
        <f t="shared" si="17"/>
        <v>0</v>
      </c>
      <c r="AV68" s="160">
        <f t="shared" si="27"/>
        <v>0</v>
      </c>
      <c r="AW68" s="160">
        <f t="shared" si="28"/>
        <v>0</v>
      </c>
      <c r="AX68" s="160">
        <f t="shared" si="18"/>
        <v>0</v>
      </c>
      <c r="AY68" s="161">
        <f t="shared" si="19"/>
        <v>10008.271000000001</v>
      </c>
      <c r="AZ68" s="159">
        <f t="shared" si="20"/>
        <v>10008.271000000001</v>
      </c>
      <c r="BA68" s="160">
        <v>1000</v>
      </c>
      <c r="BB68" s="160">
        <f t="shared" si="29"/>
        <v>91.000000000000014</v>
      </c>
      <c r="BC68" s="154"/>
      <c r="BD68" s="155"/>
    </row>
    <row r="69" spans="1:56" ht="15" thickBot="1" x14ac:dyDescent="0.35">
      <c r="A69" s="204">
        <f>+A68</f>
        <v>46014</v>
      </c>
      <c r="B69" s="263">
        <f>DAY(Tabla2[[#This Row],[FECHA]])</f>
        <v>23</v>
      </c>
      <c r="C69" s="189" t="s">
        <v>29</v>
      </c>
      <c r="D69" s="190"/>
      <c r="E69" s="191"/>
      <c r="F69" s="192"/>
      <c r="G69" s="192"/>
      <c r="H69" s="191"/>
      <c r="I69" s="390">
        <f>Tabla2[[#This Row],[VOLUMEN ENVIADO A RO (m3)]]/Tabla2[[#This Row],[Q DE OPERACIÓN (m3/h)]]</f>
        <v>1.1384727272727273</v>
      </c>
      <c r="J69" s="376">
        <v>0</v>
      </c>
      <c r="K69" s="377">
        <v>19</v>
      </c>
      <c r="L69" s="378">
        <v>3</v>
      </c>
      <c r="M69" s="377">
        <v>0</v>
      </c>
      <c r="N69" s="378">
        <v>0</v>
      </c>
      <c r="O69" s="245">
        <v>0</v>
      </c>
      <c r="P69" s="246">
        <v>166.66666666666669</v>
      </c>
      <c r="Q69" s="246">
        <v>26.315789473684212</v>
      </c>
      <c r="R69" s="246">
        <v>0</v>
      </c>
      <c r="S69" s="246">
        <v>0</v>
      </c>
      <c r="T69" s="241">
        <v>0</v>
      </c>
      <c r="U69" s="242">
        <v>0</v>
      </c>
      <c r="V69" s="242">
        <v>0</v>
      </c>
      <c r="W69" s="242">
        <v>0</v>
      </c>
      <c r="X69" s="243">
        <v>0</v>
      </c>
      <c r="Y69" s="248">
        <v>1.18</v>
      </c>
      <c r="Z69" s="248">
        <v>1.28</v>
      </c>
      <c r="AA69" s="248">
        <v>1.2</v>
      </c>
      <c r="AB69" s="248">
        <v>1.53</v>
      </c>
      <c r="AC69" s="248">
        <v>1.2</v>
      </c>
      <c r="AD69" s="241">
        <v>0</v>
      </c>
      <c r="AE69" s="242">
        <v>0</v>
      </c>
      <c r="AF69" s="242">
        <v>0</v>
      </c>
      <c r="AG69" s="242">
        <v>0</v>
      </c>
      <c r="AH69" s="243">
        <v>0</v>
      </c>
      <c r="AI69" s="562">
        <v>62.616</v>
      </c>
      <c r="AJ69" s="411">
        <v>55</v>
      </c>
      <c r="AK69" s="185">
        <f t="shared" si="21"/>
        <v>0</v>
      </c>
      <c r="AL69" s="186">
        <f t="shared" si="22"/>
        <v>0</v>
      </c>
      <c r="AM69" s="186">
        <f t="shared" si="23"/>
        <v>0</v>
      </c>
      <c r="AN69" s="186">
        <f t="shared" si="24"/>
        <v>0</v>
      </c>
      <c r="AO69" s="187">
        <f t="shared" si="25"/>
        <v>0</v>
      </c>
      <c r="AP69" s="159">
        <f t="shared" si="26"/>
        <v>1550</v>
      </c>
      <c r="AQ69" s="160">
        <f t="shared" si="26"/>
        <v>19462</v>
      </c>
      <c r="AR69" s="160">
        <f t="shared" si="26"/>
        <v>36854</v>
      </c>
      <c r="AS69" s="160">
        <f t="shared" si="26"/>
        <v>1560</v>
      </c>
      <c r="AT69" s="161">
        <f t="shared" si="26"/>
        <v>3640</v>
      </c>
      <c r="AU69" s="159">
        <f t="shared" si="17"/>
        <v>0</v>
      </c>
      <c r="AV69" s="160">
        <f t="shared" si="27"/>
        <v>0</v>
      </c>
      <c r="AW69" s="160">
        <f t="shared" si="28"/>
        <v>0</v>
      </c>
      <c r="AX69" s="160">
        <f t="shared" si="18"/>
        <v>0</v>
      </c>
      <c r="AY69" s="161">
        <f t="shared" si="19"/>
        <v>5698.0560000000005</v>
      </c>
      <c r="AZ69" s="159">
        <f t="shared" si="20"/>
        <v>5698.0560000000005</v>
      </c>
      <c r="BA69" s="160">
        <v>1000</v>
      </c>
      <c r="BB69" s="160">
        <f t="shared" si="29"/>
        <v>91.000000000000014</v>
      </c>
      <c r="BC69" s="154"/>
      <c r="BD69" s="155"/>
    </row>
    <row r="70" spans="1:56" ht="15" thickBot="1" x14ac:dyDescent="0.35">
      <c r="A70" s="205">
        <f>+A69</f>
        <v>46014</v>
      </c>
      <c r="B70" s="264">
        <f>DAY(Tabla2[[#This Row],[FECHA]])</f>
        <v>23</v>
      </c>
      <c r="C70" s="194" t="s">
        <v>30</v>
      </c>
      <c r="D70" s="195"/>
      <c r="E70" s="196"/>
      <c r="F70" s="197"/>
      <c r="G70" s="198"/>
      <c r="H70" s="199"/>
      <c r="I70" s="390">
        <f>Tabla2[[#This Row],[VOLUMEN ENVIADO A RO (m3)]]/Tabla2[[#This Row],[Q DE OPERACIÓN (m3/h)]]</f>
        <v>7.3388</v>
      </c>
      <c r="J70" s="379">
        <v>0</v>
      </c>
      <c r="K70" s="380">
        <v>19</v>
      </c>
      <c r="L70" s="381">
        <v>3</v>
      </c>
      <c r="M70" s="380">
        <v>0</v>
      </c>
      <c r="N70" s="381">
        <v>0</v>
      </c>
      <c r="O70" s="245">
        <v>0</v>
      </c>
      <c r="P70" s="250">
        <v>166.66666666666669</v>
      </c>
      <c r="Q70" s="250">
        <v>26.315789473684212</v>
      </c>
      <c r="R70" s="250">
        <v>0</v>
      </c>
      <c r="S70" s="250">
        <v>0</v>
      </c>
      <c r="T70" s="241">
        <v>0</v>
      </c>
      <c r="U70" s="242">
        <v>0</v>
      </c>
      <c r="V70" s="242">
        <v>0</v>
      </c>
      <c r="W70" s="242">
        <v>0</v>
      </c>
      <c r="X70" s="243">
        <v>0</v>
      </c>
      <c r="Y70" s="248">
        <v>1.18</v>
      </c>
      <c r="Z70" s="248">
        <v>1.28</v>
      </c>
      <c r="AA70" s="248">
        <v>1.2</v>
      </c>
      <c r="AB70" s="248">
        <v>1.53</v>
      </c>
      <c r="AC70" s="248">
        <v>1.2</v>
      </c>
      <c r="AD70" s="252">
        <v>0</v>
      </c>
      <c r="AE70" s="253">
        <v>0</v>
      </c>
      <c r="AF70" s="253">
        <v>0</v>
      </c>
      <c r="AG70" s="253">
        <v>0</v>
      </c>
      <c r="AH70" s="254">
        <v>0</v>
      </c>
      <c r="AI70" s="563">
        <v>403.63400000000001</v>
      </c>
      <c r="AJ70" s="411">
        <v>55</v>
      </c>
      <c r="AK70" s="185">
        <f t="shared" si="21"/>
        <v>0</v>
      </c>
      <c r="AL70" s="186">
        <f t="shared" si="22"/>
        <v>0</v>
      </c>
      <c r="AM70" s="186">
        <f t="shared" si="23"/>
        <v>0</v>
      </c>
      <c r="AN70" s="186">
        <f t="shared" si="24"/>
        <v>0</v>
      </c>
      <c r="AO70" s="187">
        <f t="shared" si="25"/>
        <v>0</v>
      </c>
      <c r="AP70" s="159">
        <f t="shared" si="26"/>
        <v>1550</v>
      </c>
      <c r="AQ70" s="160">
        <f t="shared" si="26"/>
        <v>19462</v>
      </c>
      <c r="AR70" s="160">
        <f t="shared" si="26"/>
        <v>36854</v>
      </c>
      <c r="AS70" s="160">
        <f t="shared" si="26"/>
        <v>1560</v>
      </c>
      <c r="AT70" s="161">
        <f t="shared" si="26"/>
        <v>3640</v>
      </c>
      <c r="AU70" s="162">
        <f t="shared" si="17"/>
        <v>0</v>
      </c>
      <c r="AV70" s="163">
        <f t="shared" si="27"/>
        <v>0</v>
      </c>
      <c r="AW70" s="163">
        <f t="shared" si="28"/>
        <v>0</v>
      </c>
      <c r="AX70" s="163">
        <f t="shared" si="18"/>
        <v>0</v>
      </c>
      <c r="AY70" s="164">
        <f t="shared" si="19"/>
        <v>36730.694000000003</v>
      </c>
      <c r="AZ70" s="162">
        <f t="shared" si="20"/>
        <v>36730.694000000003</v>
      </c>
      <c r="BA70" s="163">
        <v>1000</v>
      </c>
      <c r="BB70" s="163">
        <f t="shared" si="29"/>
        <v>91</v>
      </c>
      <c r="BC70" s="153"/>
      <c r="BD70" s="156"/>
    </row>
    <row r="71" spans="1:56" ht="15" thickBot="1" x14ac:dyDescent="0.35">
      <c r="A71" s="200">
        <f>+A70+1</f>
        <v>46015</v>
      </c>
      <c r="B71" s="265">
        <f>DAY(Tabla2[[#This Row],[FECHA]])</f>
        <v>24</v>
      </c>
      <c r="C71" s="209" t="s">
        <v>28</v>
      </c>
      <c r="D71" s="201"/>
      <c r="E71" s="202"/>
      <c r="F71" s="203"/>
      <c r="G71" s="203"/>
      <c r="H71" s="202"/>
      <c r="I71" s="390">
        <f>Tabla2[[#This Row],[VOLUMEN ENVIADO A RO (m3)]]/Tabla2[[#This Row],[Q DE OPERACIÓN (m3/h)]]</f>
        <v>0</v>
      </c>
      <c r="J71" s="373">
        <v>0</v>
      </c>
      <c r="K71" s="374">
        <v>19</v>
      </c>
      <c r="L71" s="375">
        <v>3</v>
      </c>
      <c r="M71" s="374">
        <v>0</v>
      </c>
      <c r="N71" s="375">
        <v>0</v>
      </c>
      <c r="O71" s="245">
        <v>0</v>
      </c>
      <c r="P71" s="256">
        <v>166.66666666666669</v>
      </c>
      <c r="Q71" s="239">
        <v>26.315789473684212</v>
      </c>
      <c r="R71" s="256">
        <v>0</v>
      </c>
      <c r="S71" s="256">
        <v>0</v>
      </c>
      <c r="T71" s="241">
        <v>0</v>
      </c>
      <c r="U71" s="242">
        <v>0</v>
      </c>
      <c r="V71" s="242">
        <v>0</v>
      </c>
      <c r="W71" s="242">
        <v>0</v>
      </c>
      <c r="X71" s="243">
        <v>0</v>
      </c>
      <c r="Y71" s="248">
        <v>1.18</v>
      </c>
      <c r="Z71" s="248">
        <v>1.28</v>
      </c>
      <c r="AA71" s="248">
        <v>1.2</v>
      </c>
      <c r="AB71" s="248">
        <v>1.53</v>
      </c>
      <c r="AC71" s="248">
        <v>1.2</v>
      </c>
      <c r="AD71" s="257">
        <v>0</v>
      </c>
      <c r="AE71" s="258">
        <v>0</v>
      </c>
      <c r="AF71" s="258">
        <v>0</v>
      </c>
      <c r="AG71" s="258">
        <v>0</v>
      </c>
      <c r="AH71" s="259">
        <v>0</v>
      </c>
      <c r="AI71" s="561">
        <v>0</v>
      </c>
      <c r="AJ71" s="411">
        <v>55</v>
      </c>
      <c r="AK71" s="185" t="e">
        <f t="shared" si="21"/>
        <v>#DIV/0!</v>
      </c>
      <c r="AL71" s="186" t="e">
        <f t="shared" si="22"/>
        <v>#DIV/0!</v>
      </c>
      <c r="AM71" s="186" t="e">
        <f t="shared" si="23"/>
        <v>#DIV/0!</v>
      </c>
      <c r="AN71" s="186" t="e">
        <f t="shared" si="24"/>
        <v>#DIV/0!</v>
      </c>
      <c r="AO71" s="187" t="e">
        <f t="shared" si="25"/>
        <v>#DIV/0!</v>
      </c>
      <c r="AP71" s="159">
        <f t="shared" si="26"/>
        <v>1550</v>
      </c>
      <c r="AQ71" s="160">
        <f t="shared" si="26"/>
        <v>19462</v>
      </c>
      <c r="AR71" s="160">
        <f t="shared" si="26"/>
        <v>36854</v>
      </c>
      <c r="AS71" s="160">
        <f t="shared" si="26"/>
        <v>1560</v>
      </c>
      <c r="AT71" s="161">
        <f t="shared" si="26"/>
        <v>3640</v>
      </c>
      <c r="AU71" s="159">
        <f t="shared" si="17"/>
        <v>0</v>
      </c>
      <c r="AV71" s="160">
        <f t="shared" si="27"/>
        <v>0</v>
      </c>
      <c r="AW71" s="160">
        <f t="shared" si="28"/>
        <v>0</v>
      </c>
      <c r="AX71" s="160">
        <f t="shared" si="18"/>
        <v>0</v>
      </c>
      <c r="AY71" s="161">
        <f t="shared" si="19"/>
        <v>0</v>
      </c>
      <c r="AZ71" s="159">
        <f t="shared" si="20"/>
        <v>0</v>
      </c>
      <c r="BA71" s="160">
        <v>1000</v>
      </c>
      <c r="BB71" s="160" t="e">
        <f t="shared" si="29"/>
        <v>#DIV/0!</v>
      </c>
      <c r="BC71" s="154"/>
      <c r="BD71" s="155"/>
    </row>
    <row r="72" spans="1:56" ht="15" thickBot="1" x14ac:dyDescent="0.35">
      <c r="A72" s="204">
        <f>+A71</f>
        <v>46015</v>
      </c>
      <c r="B72" s="263">
        <f>DAY(Tabla2[[#This Row],[FECHA]])</f>
        <v>24</v>
      </c>
      <c r="C72" s="189" t="s">
        <v>29</v>
      </c>
      <c r="D72" s="190"/>
      <c r="E72" s="191"/>
      <c r="F72" s="192"/>
      <c r="G72" s="192"/>
      <c r="H72" s="191"/>
      <c r="I72" s="390">
        <f>Tabla2[[#This Row],[VOLUMEN ENVIADO A RO (m3)]]/Tabla2[[#This Row],[Q DE OPERACIÓN (m3/h)]]</f>
        <v>0</v>
      </c>
      <c r="J72" s="376">
        <v>0</v>
      </c>
      <c r="K72" s="377">
        <v>19</v>
      </c>
      <c r="L72" s="378">
        <v>3</v>
      </c>
      <c r="M72" s="377">
        <v>0</v>
      </c>
      <c r="N72" s="378">
        <v>0</v>
      </c>
      <c r="O72" s="245">
        <v>0</v>
      </c>
      <c r="P72" s="246">
        <v>166.66666666666669</v>
      </c>
      <c r="Q72" s="246">
        <v>26.315789473684212</v>
      </c>
      <c r="R72" s="246">
        <v>0</v>
      </c>
      <c r="S72" s="246">
        <v>0</v>
      </c>
      <c r="T72" s="241">
        <v>0</v>
      </c>
      <c r="U72" s="242">
        <v>0</v>
      </c>
      <c r="V72" s="242">
        <v>0</v>
      </c>
      <c r="W72" s="242">
        <v>0</v>
      </c>
      <c r="X72" s="243">
        <v>0</v>
      </c>
      <c r="Y72" s="248">
        <v>1.18</v>
      </c>
      <c r="Z72" s="248">
        <v>1.28</v>
      </c>
      <c r="AA72" s="248">
        <v>1.2</v>
      </c>
      <c r="AB72" s="248">
        <v>1.53</v>
      </c>
      <c r="AC72" s="248">
        <v>1.2</v>
      </c>
      <c r="AD72" s="241">
        <v>0</v>
      </c>
      <c r="AE72" s="242">
        <v>0</v>
      </c>
      <c r="AF72" s="242">
        <v>0</v>
      </c>
      <c r="AG72" s="242">
        <v>0</v>
      </c>
      <c r="AH72" s="243">
        <v>0</v>
      </c>
      <c r="AI72" s="562">
        <v>0</v>
      </c>
      <c r="AJ72" s="411">
        <v>55</v>
      </c>
      <c r="AK72" s="185" t="e">
        <f t="shared" si="21"/>
        <v>#DIV/0!</v>
      </c>
      <c r="AL72" s="186" t="e">
        <f t="shared" si="22"/>
        <v>#DIV/0!</v>
      </c>
      <c r="AM72" s="186" t="e">
        <f t="shared" si="23"/>
        <v>#DIV/0!</v>
      </c>
      <c r="AN72" s="186" t="e">
        <f t="shared" si="24"/>
        <v>#DIV/0!</v>
      </c>
      <c r="AO72" s="187" t="e">
        <f t="shared" si="25"/>
        <v>#DIV/0!</v>
      </c>
      <c r="AP72" s="159">
        <f t="shared" si="26"/>
        <v>1550</v>
      </c>
      <c r="AQ72" s="160">
        <f t="shared" si="26"/>
        <v>19462</v>
      </c>
      <c r="AR72" s="160">
        <f t="shared" si="26"/>
        <v>36854</v>
      </c>
      <c r="AS72" s="160">
        <f t="shared" si="26"/>
        <v>1560</v>
      </c>
      <c r="AT72" s="161">
        <f t="shared" si="26"/>
        <v>3640</v>
      </c>
      <c r="AU72" s="159">
        <f t="shared" si="17"/>
        <v>0</v>
      </c>
      <c r="AV72" s="160">
        <f t="shared" si="27"/>
        <v>0</v>
      </c>
      <c r="AW72" s="160">
        <f t="shared" si="28"/>
        <v>0</v>
      </c>
      <c r="AX72" s="160">
        <f t="shared" si="18"/>
        <v>0</v>
      </c>
      <c r="AY72" s="161">
        <f t="shared" si="19"/>
        <v>0</v>
      </c>
      <c r="AZ72" s="159">
        <f t="shared" si="20"/>
        <v>0</v>
      </c>
      <c r="BA72" s="160">
        <v>1000</v>
      </c>
      <c r="BB72" s="160" t="e">
        <f t="shared" si="29"/>
        <v>#DIV/0!</v>
      </c>
      <c r="BC72" s="154"/>
      <c r="BD72" s="155"/>
    </row>
    <row r="73" spans="1:56" ht="15" thickBot="1" x14ac:dyDescent="0.35">
      <c r="A73" s="205">
        <f>+A72</f>
        <v>46015</v>
      </c>
      <c r="B73" s="264">
        <f>DAY(Tabla2[[#This Row],[FECHA]])</f>
        <v>24</v>
      </c>
      <c r="C73" s="194" t="s">
        <v>30</v>
      </c>
      <c r="D73" s="195"/>
      <c r="E73" s="196"/>
      <c r="F73" s="197"/>
      <c r="G73" s="198"/>
      <c r="H73" s="199"/>
      <c r="I73" s="390">
        <f>Tabla2[[#This Row],[VOLUMEN ENVIADO A RO (m3)]]/Tabla2[[#This Row],[Q DE OPERACIÓN (m3/h)]]</f>
        <v>0</v>
      </c>
      <c r="J73" s="379">
        <v>0</v>
      </c>
      <c r="K73" s="380">
        <v>19</v>
      </c>
      <c r="L73" s="381">
        <v>3</v>
      </c>
      <c r="M73" s="380">
        <v>0</v>
      </c>
      <c r="N73" s="381">
        <v>0</v>
      </c>
      <c r="O73" s="245">
        <v>0</v>
      </c>
      <c r="P73" s="250">
        <v>166.66666666666669</v>
      </c>
      <c r="Q73" s="250">
        <v>26.315789473684212</v>
      </c>
      <c r="R73" s="250">
        <v>0</v>
      </c>
      <c r="S73" s="250">
        <v>0</v>
      </c>
      <c r="T73" s="241">
        <v>0</v>
      </c>
      <c r="U73" s="242">
        <v>0</v>
      </c>
      <c r="V73" s="242">
        <v>0</v>
      </c>
      <c r="W73" s="242">
        <v>0</v>
      </c>
      <c r="X73" s="243">
        <v>0</v>
      </c>
      <c r="Y73" s="248">
        <v>1.18</v>
      </c>
      <c r="Z73" s="248">
        <v>1.28</v>
      </c>
      <c r="AA73" s="248">
        <v>1.2</v>
      </c>
      <c r="AB73" s="248">
        <v>1.53</v>
      </c>
      <c r="AC73" s="248">
        <v>1.2</v>
      </c>
      <c r="AD73" s="252">
        <v>0</v>
      </c>
      <c r="AE73" s="253">
        <v>0</v>
      </c>
      <c r="AF73" s="253">
        <v>0</v>
      </c>
      <c r="AG73" s="253">
        <v>0</v>
      </c>
      <c r="AH73" s="254">
        <v>0</v>
      </c>
      <c r="AI73" s="563">
        <v>0</v>
      </c>
      <c r="AJ73" s="411">
        <v>55</v>
      </c>
      <c r="AK73" s="185" t="e">
        <f t="shared" si="21"/>
        <v>#DIV/0!</v>
      </c>
      <c r="AL73" s="186" t="e">
        <f t="shared" si="22"/>
        <v>#DIV/0!</v>
      </c>
      <c r="AM73" s="186" t="e">
        <f t="shared" si="23"/>
        <v>#DIV/0!</v>
      </c>
      <c r="AN73" s="186" t="e">
        <f t="shared" si="24"/>
        <v>#DIV/0!</v>
      </c>
      <c r="AO73" s="187" t="e">
        <f t="shared" si="25"/>
        <v>#DIV/0!</v>
      </c>
      <c r="AP73" s="159">
        <f t="shared" si="26"/>
        <v>1550</v>
      </c>
      <c r="AQ73" s="160">
        <f t="shared" si="26"/>
        <v>19462</v>
      </c>
      <c r="AR73" s="160">
        <f t="shared" si="26"/>
        <v>36854</v>
      </c>
      <c r="AS73" s="160">
        <f t="shared" si="26"/>
        <v>1560</v>
      </c>
      <c r="AT73" s="161">
        <f t="shared" si="26"/>
        <v>3640</v>
      </c>
      <c r="AU73" s="162">
        <f t="shared" si="17"/>
        <v>0</v>
      </c>
      <c r="AV73" s="163">
        <f t="shared" si="27"/>
        <v>0</v>
      </c>
      <c r="AW73" s="163">
        <f t="shared" si="28"/>
        <v>0</v>
      </c>
      <c r="AX73" s="163">
        <f t="shared" si="18"/>
        <v>0</v>
      </c>
      <c r="AY73" s="164">
        <f t="shared" si="19"/>
        <v>0</v>
      </c>
      <c r="AZ73" s="162">
        <f>AU73+AV73+AW73+AX73+AY73</f>
        <v>0</v>
      </c>
      <c r="BA73" s="163">
        <v>1000</v>
      </c>
      <c r="BB73" s="163" t="e">
        <f>AZ73/AI73</f>
        <v>#DIV/0!</v>
      </c>
      <c r="BC73" s="153"/>
      <c r="BD73" s="156"/>
    </row>
    <row r="74" spans="1:56" ht="15" thickBot="1" x14ac:dyDescent="0.35">
      <c r="A74" s="200">
        <f>+A73+1</f>
        <v>46016</v>
      </c>
      <c r="B74" s="265">
        <f>DAY(Tabla2[[#This Row],[FECHA]])</f>
        <v>25</v>
      </c>
      <c r="C74" s="209" t="s">
        <v>28</v>
      </c>
      <c r="D74" s="201"/>
      <c r="E74" s="202"/>
      <c r="F74" s="203"/>
      <c r="G74" s="203"/>
      <c r="H74" s="202"/>
      <c r="I74" s="390">
        <f>Tabla2[[#This Row],[VOLUMEN ENVIADO A RO (m3)]]/Tabla2[[#This Row],[Q DE OPERACIÓN (m3/h)]]</f>
        <v>0</v>
      </c>
      <c r="J74" s="373">
        <v>0</v>
      </c>
      <c r="K74" s="374">
        <v>19</v>
      </c>
      <c r="L74" s="375">
        <v>3</v>
      </c>
      <c r="M74" s="374">
        <v>0</v>
      </c>
      <c r="N74" s="375">
        <v>0</v>
      </c>
      <c r="O74" s="245">
        <v>0</v>
      </c>
      <c r="P74" s="256">
        <v>166.66666666666669</v>
      </c>
      <c r="Q74" s="239">
        <v>26.315789473684212</v>
      </c>
      <c r="R74" s="256">
        <v>0</v>
      </c>
      <c r="S74" s="256">
        <v>0</v>
      </c>
      <c r="T74" s="241">
        <v>0</v>
      </c>
      <c r="U74" s="242">
        <v>0</v>
      </c>
      <c r="V74" s="242">
        <v>0</v>
      </c>
      <c r="W74" s="242">
        <v>0</v>
      </c>
      <c r="X74" s="243">
        <v>0</v>
      </c>
      <c r="Y74" s="248">
        <v>1.18</v>
      </c>
      <c r="Z74" s="248">
        <v>1.28</v>
      </c>
      <c r="AA74" s="248">
        <v>1.2</v>
      </c>
      <c r="AB74" s="248">
        <v>1.53</v>
      </c>
      <c r="AC74" s="248">
        <v>1.2</v>
      </c>
      <c r="AD74" s="257">
        <v>0</v>
      </c>
      <c r="AE74" s="258">
        <v>0</v>
      </c>
      <c r="AF74" s="258">
        <v>0</v>
      </c>
      <c r="AG74" s="258">
        <v>0</v>
      </c>
      <c r="AH74" s="259">
        <v>0</v>
      </c>
      <c r="AI74" s="561">
        <v>0</v>
      </c>
      <c r="AJ74" s="411">
        <v>55</v>
      </c>
      <c r="AK74" s="185" t="e">
        <f t="shared" si="21"/>
        <v>#DIV/0!</v>
      </c>
      <c r="AL74" s="186" t="e">
        <f t="shared" si="22"/>
        <v>#DIV/0!</v>
      </c>
      <c r="AM74" s="186" t="e">
        <f t="shared" si="23"/>
        <v>#DIV/0!</v>
      </c>
      <c r="AN74" s="186" t="e">
        <f t="shared" si="24"/>
        <v>#DIV/0!</v>
      </c>
      <c r="AO74" s="187" t="e">
        <f t="shared" si="25"/>
        <v>#DIV/0!</v>
      </c>
      <c r="AP74" s="159">
        <f t="shared" si="26"/>
        <v>1550</v>
      </c>
      <c r="AQ74" s="160">
        <f t="shared" si="26"/>
        <v>19462</v>
      </c>
      <c r="AR74" s="160">
        <f t="shared" si="26"/>
        <v>36854</v>
      </c>
      <c r="AS74" s="160">
        <f t="shared" si="26"/>
        <v>1560</v>
      </c>
      <c r="AT74" s="161">
        <f t="shared" si="26"/>
        <v>3640</v>
      </c>
      <c r="AU74" s="159">
        <f t="shared" si="17"/>
        <v>0</v>
      </c>
      <c r="AV74" s="160">
        <f t="shared" si="27"/>
        <v>0</v>
      </c>
      <c r="AW74" s="160">
        <f t="shared" si="28"/>
        <v>0</v>
      </c>
      <c r="AX74" s="160">
        <f t="shared" si="18"/>
        <v>0</v>
      </c>
      <c r="AY74" s="161">
        <f t="shared" si="19"/>
        <v>0</v>
      </c>
      <c r="AZ74" s="159">
        <f t="shared" si="20"/>
        <v>0</v>
      </c>
      <c r="BA74" s="160">
        <v>1000</v>
      </c>
      <c r="BB74" s="160" t="e">
        <f t="shared" si="29"/>
        <v>#DIV/0!</v>
      </c>
      <c r="BC74" s="154"/>
      <c r="BD74" s="155"/>
    </row>
    <row r="75" spans="1:56" ht="15" thickBot="1" x14ac:dyDescent="0.35">
      <c r="A75" s="204">
        <f>+A74</f>
        <v>46016</v>
      </c>
      <c r="B75" s="263">
        <f>DAY(Tabla2[[#This Row],[FECHA]])</f>
        <v>25</v>
      </c>
      <c r="C75" s="189" t="s">
        <v>29</v>
      </c>
      <c r="D75" s="190"/>
      <c r="E75" s="191"/>
      <c r="F75" s="192"/>
      <c r="G75" s="192"/>
      <c r="H75" s="191"/>
      <c r="I75" s="390">
        <f>Tabla2[[#This Row],[VOLUMEN ENVIADO A RO (m3)]]/Tabla2[[#This Row],[Q DE OPERACIÓN (m3/h)]]</f>
        <v>0</v>
      </c>
      <c r="J75" s="376">
        <v>0</v>
      </c>
      <c r="K75" s="377">
        <v>19</v>
      </c>
      <c r="L75" s="378">
        <v>3</v>
      </c>
      <c r="M75" s="377">
        <v>0</v>
      </c>
      <c r="N75" s="378">
        <v>0</v>
      </c>
      <c r="O75" s="245">
        <v>0</v>
      </c>
      <c r="P75" s="246">
        <v>166.66666666666669</v>
      </c>
      <c r="Q75" s="246">
        <v>26.315789473684212</v>
      </c>
      <c r="R75" s="246">
        <v>0</v>
      </c>
      <c r="S75" s="246">
        <v>0</v>
      </c>
      <c r="T75" s="241">
        <v>0</v>
      </c>
      <c r="U75" s="242">
        <v>0</v>
      </c>
      <c r="V75" s="242">
        <v>0</v>
      </c>
      <c r="W75" s="242">
        <v>0</v>
      </c>
      <c r="X75" s="243">
        <v>0</v>
      </c>
      <c r="Y75" s="248">
        <v>1.18</v>
      </c>
      <c r="Z75" s="248">
        <v>1.28</v>
      </c>
      <c r="AA75" s="248">
        <v>1.2</v>
      </c>
      <c r="AB75" s="248">
        <v>1.53</v>
      </c>
      <c r="AC75" s="248">
        <v>1.2</v>
      </c>
      <c r="AD75" s="241">
        <v>0</v>
      </c>
      <c r="AE75" s="242">
        <v>0</v>
      </c>
      <c r="AF75" s="242">
        <v>0</v>
      </c>
      <c r="AG75" s="242">
        <v>0</v>
      </c>
      <c r="AH75" s="243">
        <v>0</v>
      </c>
      <c r="AI75" s="562">
        <v>0</v>
      </c>
      <c r="AJ75" s="411">
        <v>55</v>
      </c>
      <c r="AK75" s="185" t="e">
        <f t="shared" si="21"/>
        <v>#DIV/0!</v>
      </c>
      <c r="AL75" s="186" t="e">
        <f t="shared" si="22"/>
        <v>#DIV/0!</v>
      </c>
      <c r="AM75" s="186" t="e">
        <f t="shared" si="23"/>
        <v>#DIV/0!</v>
      </c>
      <c r="AN75" s="186" t="e">
        <f t="shared" si="24"/>
        <v>#DIV/0!</v>
      </c>
      <c r="AO75" s="187" t="e">
        <f t="shared" si="25"/>
        <v>#DIV/0!</v>
      </c>
      <c r="AP75" s="159">
        <f t="shared" si="26"/>
        <v>1550</v>
      </c>
      <c r="AQ75" s="160">
        <f t="shared" si="26"/>
        <v>19462</v>
      </c>
      <c r="AR75" s="160">
        <f t="shared" si="26"/>
        <v>36854</v>
      </c>
      <c r="AS75" s="160">
        <f t="shared" si="26"/>
        <v>1560</v>
      </c>
      <c r="AT75" s="161">
        <f t="shared" si="26"/>
        <v>3640</v>
      </c>
      <c r="AU75" s="159">
        <f t="shared" si="17"/>
        <v>0</v>
      </c>
      <c r="AV75" s="160">
        <f t="shared" si="27"/>
        <v>0</v>
      </c>
      <c r="AW75" s="160">
        <f t="shared" si="28"/>
        <v>0</v>
      </c>
      <c r="AX75" s="160">
        <f t="shared" si="18"/>
        <v>0</v>
      </c>
      <c r="AY75" s="161">
        <f t="shared" si="19"/>
        <v>0</v>
      </c>
      <c r="AZ75" s="159">
        <f>AU75+AV75+AW75+AX75+AY75</f>
        <v>0</v>
      </c>
      <c r="BA75" s="160">
        <v>1000</v>
      </c>
      <c r="BB75" s="160" t="e">
        <f>AZ75/AI75</f>
        <v>#DIV/0!</v>
      </c>
      <c r="BC75" s="154"/>
      <c r="BD75" s="155"/>
    </row>
    <row r="76" spans="1:56" ht="15" thickBot="1" x14ac:dyDescent="0.35">
      <c r="A76" s="205">
        <f>+A75</f>
        <v>46016</v>
      </c>
      <c r="B76" s="264">
        <f>DAY(Tabla2[[#This Row],[FECHA]])</f>
        <v>25</v>
      </c>
      <c r="C76" s="194" t="s">
        <v>30</v>
      </c>
      <c r="D76" s="195"/>
      <c r="E76" s="196"/>
      <c r="F76" s="197"/>
      <c r="G76" s="198"/>
      <c r="H76" s="199"/>
      <c r="I76" s="390">
        <f>Tabla2[[#This Row],[VOLUMEN ENVIADO A RO (m3)]]/Tabla2[[#This Row],[Q DE OPERACIÓN (m3/h)]]</f>
        <v>0</v>
      </c>
      <c r="J76" s="379">
        <v>0</v>
      </c>
      <c r="K76" s="380">
        <v>19</v>
      </c>
      <c r="L76" s="381">
        <v>3</v>
      </c>
      <c r="M76" s="380">
        <v>0</v>
      </c>
      <c r="N76" s="381">
        <v>0</v>
      </c>
      <c r="O76" s="245">
        <v>0</v>
      </c>
      <c r="P76" s="250">
        <v>166.66666666666669</v>
      </c>
      <c r="Q76" s="250">
        <v>26.315789473684212</v>
      </c>
      <c r="R76" s="250">
        <v>0</v>
      </c>
      <c r="S76" s="250">
        <v>0</v>
      </c>
      <c r="T76" s="241">
        <v>0</v>
      </c>
      <c r="U76" s="242">
        <v>0</v>
      </c>
      <c r="V76" s="242">
        <v>0</v>
      </c>
      <c r="W76" s="242">
        <v>0</v>
      </c>
      <c r="X76" s="243">
        <v>0</v>
      </c>
      <c r="Y76" s="248">
        <v>1.18</v>
      </c>
      <c r="Z76" s="248">
        <v>1.28</v>
      </c>
      <c r="AA76" s="248">
        <v>1.2</v>
      </c>
      <c r="AB76" s="248">
        <v>1.53</v>
      </c>
      <c r="AC76" s="248">
        <v>1.2</v>
      </c>
      <c r="AD76" s="252">
        <v>0</v>
      </c>
      <c r="AE76" s="253">
        <v>0</v>
      </c>
      <c r="AF76" s="253">
        <v>0</v>
      </c>
      <c r="AG76" s="253">
        <v>0</v>
      </c>
      <c r="AH76" s="254">
        <v>0</v>
      </c>
      <c r="AI76" s="563">
        <v>0</v>
      </c>
      <c r="AJ76" s="411">
        <v>55</v>
      </c>
      <c r="AK76" s="185" t="e">
        <f t="shared" si="21"/>
        <v>#DIV/0!</v>
      </c>
      <c r="AL76" s="186" t="e">
        <f t="shared" si="22"/>
        <v>#DIV/0!</v>
      </c>
      <c r="AM76" s="186" t="e">
        <f t="shared" si="23"/>
        <v>#DIV/0!</v>
      </c>
      <c r="AN76" s="186" t="e">
        <f t="shared" si="24"/>
        <v>#DIV/0!</v>
      </c>
      <c r="AO76" s="187" t="e">
        <f t="shared" si="25"/>
        <v>#DIV/0!</v>
      </c>
      <c r="AP76" s="159">
        <f t="shared" si="26"/>
        <v>1550</v>
      </c>
      <c r="AQ76" s="160">
        <f t="shared" si="26"/>
        <v>19462</v>
      </c>
      <c r="AR76" s="160">
        <f t="shared" si="26"/>
        <v>36854</v>
      </c>
      <c r="AS76" s="160">
        <f t="shared" si="26"/>
        <v>1560</v>
      </c>
      <c r="AT76" s="161">
        <f t="shared" si="26"/>
        <v>3640</v>
      </c>
      <c r="AU76" s="162">
        <f t="shared" si="17"/>
        <v>0</v>
      </c>
      <c r="AV76" s="163">
        <f t="shared" si="27"/>
        <v>0</v>
      </c>
      <c r="AW76" s="163">
        <f t="shared" si="28"/>
        <v>0</v>
      </c>
      <c r="AX76" s="163">
        <f t="shared" si="18"/>
        <v>0</v>
      </c>
      <c r="AY76" s="164">
        <f t="shared" si="19"/>
        <v>0</v>
      </c>
      <c r="AZ76" s="162">
        <f t="shared" si="20"/>
        <v>0</v>
      </c>
      <c r="BA76" s="163">
        <v>1000</v>
      </c>
      <c r="BB76" s="163" t="e">
        <f t="shared" si="29"/>
        <v>#DIV/0!</v>
      </c>
      <c r="BC76" s="153"/>
      <c r="BD76" s="156"/>
    </row>
    <row r="77" spans="1:56" ht="15" thickBot="1" x14ac:dyDescent="0.35">
      <c r="A77" s="200">
        <f>+A76+1</f>
        <v>46017</v>
      </c>
      <c r="B77" s="265">
        <f>DAY(Tabla2[[#This Row],[FECHA]])</f>
        <v>26</v>
      </c>
      <c r="C77" s="209" t="s">
        <v>28</v>
      </c>
      <c r="D77" s="201"/>
      <c r="E77" s="202"/>
      <c r="F77" s="203"/>
      <c r="G77" s="203"/>
      <c r="H77" s="202"/>
      <c r="I77" s="390">
        <f>Tabla2[[#This Row],[VOLUMEN ENVIADO A RO (m3)]]/Tabla2[[#This Row],[Q DE OPERACIÓN (m3/h)]]</f>
        <v>0</v>
      </c>
      <c r="J77" s="373">
        <v>0</v>
      </c>
      <c r="K77" s="374">
        <v>19</v>
      </c>
      <c r="L77" s="375">
        <v>3</v>
      </c>
      <c r="M77" s="374">
        <v>0</v>
      </c>
      <c r="N77" s="375">
        <v>0</v>
      </c>
      <c r="O77" s="245">
        <v>0</v>
      </c>
      <c r="P77" s="256">
        <v>166.66666666666669</v>
      </c>
      <c r="Q77" s="239">
        <v>26.315789473684212</v>
      </c>
      <c r="R77" s="256">
        <v>0</v>
      </c>
      <c r="S77" s="256">
        <v>0</v>
      </c>
      <c r="T77" s="241">
        <v>0</v>
      </c>
      <c r="U77" s="242">
        <v>0</v>
      </c>
      <c r="V77" s="242">
        <v>0</v>
      </c>
      <c r="W77" s="242">
        <v>0</v>
      </c>
      <c r="X77" s="243">
        <v>0</v>
      </c>
      <c r="Y77" s="248">
        <v>1.18</v>
      </c>
      <c r="Z77" s="248">
        <v>1.28</v>
      </c>
      <c r="AA77" s="248">
        <v>1.2</v>
      </c>
      <c r="AB77" s="248">
        <v>1.53</v>
      </c>
      <c r="AC77" s="248">
        <v>1.2</v>
      </c>
      <c r="AD77" s="257">
        <v>0</v>
      </c>
      <c r="AE77" s="258">
        <v>0</v>
      </c>
      <c r="AF77" s="258">
        <v>0</v>
      </c>
      <c r="AG77" s="258">
        <v>0</v>
      </c>
      <c r="AH77" s="259">
        <v>0</v>
      </c>
      <c r="AI77" s="561">
        <v>0</v>
      </c>
      <c r="AJ77" s="411">
        <v>70</v>
      </c>
      <c r="AK77" s="185" t="e">
        <f t="shared" si="21"/>
        <v>#DIV/0!</v>
      </c>
      <c r="AL77" s="186" t="e">
        <f t="shared" si="22"/>
        <v>#DIV/0!</v>
      </c>
      <c r="AM77" s="186" t="e">
        <f t="shared" si="23"/>
        <v>#DIV/0!</v>
      </c>
      <c r="AN77" s="186" t="e">
        <f t="shared" si="24"/>
        <v>#DIV/0!</v>
      </c>
      <c r="AO77" s="187" t="e">
        <f t="shared" si="25"/>
        <v>#DIV/0!</v>
      </c>
      <c r="AP77" s="159">
        <f t="shared" si="26"/>
        <v>1550</v>
      </c>
      <c r="AQ77" s="160">
        <f t="shared" si="26"/>
        <v>19462</v>
      </c>
      <c r="AR77" s="160">
        <f t="shared" si="26"/>
        <v>36854</v>
      </c>
      <c r="AS77" s="160">
        <f t="shared" si="26"/>
        <v>1560</v>
      </c>
      <c r="AT77" s="161">
        <f t="shared" si="26"/>
        <v>3640</v>
      </c>
      <c r="AU77" s="159">
        <f t="shared" si="17"/>
        <v>0</v>
      </c>
      <c r="AV77" s="160">
        <f t="shared" si="27"/>
        <v>0</v>
      </c>
      <c r="AW77" s="160">
        <f t="shared" si="28"/>
        <v>0</v>
      </c>
      <c r="AX77" s="160">
        <f t="shared" si="18"/>
        <v>0</v>
      </c>
      <c r="AY77" s="161">
        <f t="shared" si="19"/>
        <v>0</v>
      </c>
      <c r="AZ77" s="159">
        <f t="shared" si="20"/>
        <v>0</v>
      </c>
      <c r="BA77" s="160">
        <v>1000</v>
      </c>
      <c r="BB77" s="160" t="e">
        <f t="shared" si="29"/>
        <v>#DIV/0!</v>
      </c>
      <c r="BC77" s="154"/>
      <c r="BD77" s="155"/>
    </row>
    <row r="78" spans="1:56" ht="15" thickBot="1" x14ac:dyDescent="0.35">
      <c r="A78" s="204">
        <f>+A77</f>
        <v>46017</v>
      </c>
      <c r="B78" s="263">
        <f>DAY(Tabla2[[#This Row],[FECHA]])</f>
        <v>26</v>
      </c>
      <c r="C78" s="189" t="s">
        <v>29</v>
      </c>
      <c r="D78" s="190"/>
      <c r="E78" s="191"/>
      <c r="F78" s="192"/>
      <c r="G78" s="192"/>
      <c r="H78" s="191"/>
      <c r="I78" s="390">
        <f>Tabla2[[#This Row],[VOLUMEN ENVIADO A RO (m3)]]/Tabla2[[#This Row],[Q DE OPERACIÓN (m3/h)]]</f>
        <v>5.2004571428571422</v>
      </c>
      <c r="J78" s="376">
        <v>0</v>
      </c>
      <c r="K78" s="377">
        <v>19</v>
      </c>
      <c r="L78" s="378">
        <v>3</v>
      </c>
      <c r="M78" s="377">
        <v>0</v>
      </c>
      <c r="N78" s="378">
        <v>0</v>
      </c>
      <c r="O78" s="245">
        <v>0</v>
      </c>
      <c r="P78" s="246">
        <v>166.66666666666669</v>
      </c>
      <c r="Q78" s="246">
        <v>26.315789473684212</v>
      </c>
      <c r="R78" s="246">
        <v>0</v>
      </c>
      <c r="S78" s="246">
        <v>0</v>
      </c>
      <c r="T78" s="241">
        <v>0</v>
      </c>
      <c r="U78" s="242">
        <v>0</v>
      </c>
      <c r="V78" s="242">
        <v>0</v>
      </c>
      <c r="W78" s="242">
        <v>0</v>
      </c>
      <c r="X78" s="243">
        <v>0</v>
      </c>
      <c r="Y78" s="248">
        <v>1.18</v>
      </c>
      <c r="Z78" s="248">
        <v>1.28</v>
      </c>
      <c r="AA78" s="248">
        <v>1.2</v>
      </c>
      <c r="AB78" s="248">
        <v>1.53</v>
      </c>
      <c r="AC78" s="248">
        <v>1.2</v>
      </c>
      <c r="AD78" s="241">
        <v>0</v>
      </c>
      <c r="AE78" s="242">
        <v>0</v>
      </c>
      <c r="AF78" s="242">
        <v>0</v>
      </c>
      <c r="AG78" s="242">
        <v>0</v>
      </c>
      <c r="AH78" s="243">
        <v>0</v>
      </c>
      <c r="AI78" s="562">
        <v>364.03199999999998</v>
      </c>
      <c r="AJ78" s="411">
        <v>70</v>
      </c>
      <c r="AK78" s="185">
        <f t="shared" si="21"/>
        <v>0</v>
      </c>
      <c r="AL78" s="186">
        <f t="shared" si="22"/>
        <v>0</v>
      </c>
      <c r="AM78" s="186">
        <f t="shared" si="23"/>
        <v>0</v>
      </c>
      <c r="AN78" s="186">
        <f t="shared" si="24"/>
        <v>0</v>
      </c>
      <c r="AO78" s="187">
        <f t="shared" si="25"/>
        <v>0</v>
      </c>
      <c r="AP78" s="159">
        <f t="shared" si="26"/>
        <v>1550</v>
      </c>
      <c r="AQ78" s="160">
        <f t="shared" si="26"/>
        <v>19462</v>
      </c>
      <c r="AR78" s="160">
        <f t="shared" si="26"/>
        <v>36854</v>
      </c>
      <c r="AS78" s="160">
        <f t="shared" si="26"/>
        <v>1560</v>
      </c>
      <c r="AT78" s="161">
        <f t="shared" si="26"/>
        <v>3640</v>
      </c>
      <c r="AU78" s="159">
        <f t="shared" si="17"/>
        <v>0</v>
      </c>
      <c r="AV78" s="160">
        <f t="shared" si="27"/>
        <v>0</v>
      </c>
      <c r="AW78" s="160">
        <f t="shared" si="28"/>
        <v>0</v>
      </c>
      <c r="AX78" s="160">
        <f t="shared" si="18"/>
        <v>0</v>
      </c>
      <c r="AY78" s="161">
        <f t="shared" si="19"/>
        <v>33126.911999999997</v>
      </c>
      <c r="AZ78" s="159">
        <f t="shared" si="20"/>
        <v>33126.911999999997</v>
      </c>
      <c r="BA78" s="160">
        <v>1000</v>
      </c>
      <c r="BB78" s="160">
        <f t="shared" si="29"/>
        <v>91</v>
      </c>
      <c r="BC78" s="154"/>
      <c r="BD78" s="155"/>
    </row>
    <row r="79" spans="1:56" ht="15" thickBot="1" x14ac:dyDescent="0.35">
      <c r="A79" s="205">
        <f>+A78</f>
        <v>46017</v>
      </c>
      <c r="B79" s="264">
        <f>DAY(Tabla2[[#This Row],[FECHA]])</f>
        <v>26</v>
      </c>
      <c r="C79" s="194" t="s">
        <v>30</v>
      </c>
      <c r="D79" s="195"/>
      <c r="E79" s="196"/>
      <c r="F79" s="197"/>
      <c r="G79" s="198"/>
      <c r="H79" s="199"/>
      <c r="I79" s="390">
        <f>Tabla2[[#This Row],[VOLUMEN ENVIADO A RO (m3)]]/Tabla2[[#This Row],[Q DE OPERACIÓN (m3/h)]]</f>
        <v>1.1155428571428569</v>
      </c>
      <c r="J79" s="379">
        <v>0</v>
      </c>
      <c r="K79" s="380">
        <v>19</v>
      </c>
      <c r="L79" s="381">
        <v>3</v>
      </c>
      <c r="M79" s="380">
        <v>0</v>
      </c>
      <c r="N79" s="381">
        <v>0</v>
      </c>
      <c r="O79" s="245">
        <v>0</v>
      </c>
      <c r="P79" s="250">
        <v>166.66666666666669</v>
      </c>
      <c r="Q79" s="250">
        <v>26.315789473684212</v>
      </c>
      <c r="R79" s="250">
        <v>0</v>
      </c>
      <c r="S79" s="250">
        <v>0</v>
      </c>
      <c r="T79" s="241">
        <v>0</v>
      </c>
      <c r="U79" s="242">
        <v>0</v>
      </c>
      <c r="V79" s="242">
        <v>0</v>
      </c>
      <c r="W79" s="242">
        <v>0</v>
      </c>
      <c r="X79" s="243">
        <v>0</v>
      </c>
      <c r="Y79" s="248">
        <v>1.18</v>
      </c>
      <c r="Z79" s="248">
        <v>1.28</v>
      </c>
      <c r="AA79" s="248">
        <v>1.2</v>
      </c>
      <c r="AB79" s="248">
        <v>1.53</v>
      </c>
      <c r="AC79" s="248">
        <v>1.2</v>
      </c>
      <c r="AD79" s="252">
        <v>0</v>
      </c>
      <c r="AE79" s="253">
        <v>0</v>
      </c>
      <c r="AF79" s="253">
        <v>0</v>
      </c>
      <c r="AG79" s="253">
        <v>0</v>
      </c>
      <c r="AH79" s="254">
        <v>0</v>
      </c>
      <c r="AI79" s="563">
        <v>78.087999999999994</v>
      </c>
      <c r="AJ79" s="411">
        <v>70</v>
      </c>
      <c r="AK79" s="185">
        <f t="shared" si="21"/>
        <v>0</v>
      </c>
      <c r="AL79" s="186">
        <f t="shared" si="22"/>
        <v>0</v>
      </c>
      <c r="AM79" s="186">
        <f t="shared" si="23"/>
        <v>0</v>
      </c>
      <c r="AN79" s="186">
        <f t="shared" si="24"/>
        <v>0</v>
      </c>
      <c r="AO79" s="187">
        <f t="shared" si="25"/>
        <v>0</v>
      </c>
      <c r="AP79" s="159">
        <f t="shared" si="26"/>
        <v>1550</v>
      </c>
      <c r="AQ79" s="160">
        <f t="shared" si="26"/>
        <v>19462</v>
      </c>
      <c r="AR79" s="160">
        <f t="shared" si="26"/>
        <v>36854</v>
      </c>
      <c r="AS79" s="160">
        <f t="shared" si="26"/>
        <v>1560</v>
      </c>
      <c r="AT79" s="161">
        <f t="shared" si="26"/>
        <v>3640</v>
      </c>
      <c r="AU79" s="162">
        <f t="shared" si="17"/>
        <v>0</v>
      </c>
      <c r="AV79" s="163">
        <f t="shared" si="27"/>
        <v>0</v>
      </c>
      <c r="AW79" s="163">
        <f t="shared" si="28"/>
        <v>0</v>
      </c>
      <c r="AX79" s="163">
        <f t="shared" si="18"/>
        <v>0</v>
      </c>
      <c r="AY79" s="164">
        <f t="shared" si="19"/>
        <v>7106.0079999999998</v>
      </c>
      <c r="AZ79" s="162">
        <f t="shared" si="20"/>
        <v>7106.0079999999998</v>
      </c>
      <c r="BA79" s="163">
        <v>1000</v>
      </c>
      <c r="BB79" s="163">
        <f t="shared" si="29"/>
        <v>91</v>
      </c>
      <c r="BC79" s="153"/>
      <c r="BD79" s="156"/>
    </row>
    <row r="80" spans="1:56" ht="15" thickBot="1" x14ac:dyDescent="0.35">
      <c r="A80" s="200">
        <f>+A79+1</f>
        <v>46018</v>
      </c>
      <c r="B80" s="265">
        <f>DAY(Tabla2[[#This Row],[FECHA]])</f>
        <v>27</v>
      </c>
      <c r="C80" s="209" t="s">
        <v>28</v>
      </c>
      <c r="D80" s="201"/>
      <c r="E80" s="202"/>
      <c r="F80" s="203"/>
      <c r="G80" s="203"/>
      <c r="H80" s="202"/>
      <c r="I80" s="390">
        <f>Tabla2[[#This Row],[VOLUMEN ENVIADO A RO (m3)]]/Tabla2[[#This Row],[Q DE OPERACIÓN (m3/h)]]</f>
        <v>2.7443030303030302</v>
      </c>
      <c r="J80" s="373">
        <v>0</v>
      </c>
      <c r="K80" s="374">
        <v>19</v>
      </c>
      <c r="L80" s="375">
        <v>3</v>
      </c>
      <c r="M80" s="374">
        <v>0</v>
      </c>
      <c r="N80" s="375">
        <v>0</v>
      </c>
      <c r="O80" s="245">
        <v>0</v>
      </c>
      <c r="P80" s="256">
        <v>166.66666666666669</v>
      </c>
      <c r="Q80" s="239">
        <v>26.315789473684212</v>
      </c>
      <c r="R80" s="256">
        <v>0</v>
      </c>
      <c r="S80" s="256">
        <v>0</v>
      </c>
      <c r="T80" s="241">
        <v>0</v>
      </c>
      <c r="U80" s="242">
        <v>0</v>
      </c>
      <c r="V80" s="242">
        <v>0</v>
      </c>
      <c r="W80" s="242">
        <v>0</v>
      </c>
      <c r="X80" s="243">
        <v>0</v>
      </c>
      <c r="Y80" s="248">
        <v>1.18</v>
      </c>
      <c r="Z80" s="248">
        <v>1.28</v>
      </c>
      <c r="AA80" s="248">
        <v>1.2</v>
      </c>
      <c r="AB80" s="248">
        <v>1.53</v>
      </c>
      <c r="AC80" s="248">
        <v>1.2</v>
      </c>
      <c r="AD80" s="257">
        <v>0</v>
      </c>
      <c r="AE80" s="258">
        <v>0</v>
      </c>
      <c r="AF80" s="258">
        <v>0</v>
      </c>
      <c r="AG80" s="258">
        <v>0</v>
      </c>
      <c r="AH80" s="259">
        <v>0</v>
      </c>
      <c r="AI80" s="561">
        <v>181.124</v>
      </c>
      <c r="AJ80" s="411">
        <v>66</v>
      </c>
      <c r="AK80" s="185">
        <f t="shared" si="21"/>
        <v>0</v>
      </c>
      <c r="AL80" s="186">
        <f t="shared" si="22"/>
        <v>0</v>
      </c>
      <c r="AM80" s="186">
        <f t="shared" si="23"/>
        <v>0</v>
      </c>
      <c r="AN80" s="186">
        <f t="shared" si="24"/>
        <v>0</v>
      </c>
      <c r="AO80" s="187">
        <f t="shared" si="25"/>
        <v>0</v>
      </c>
      <c r="AP80" s="159">
        <f t="shared" si="26"/>
        <v>1550</v>
      </c>
      <c r="AQ80" s="160">
        <f t="shared" si="26"/>
        <v>19462</v>
      </c>
      <c r="AR80" s="160">
        <f t="shared" si="26"/>
        <v>36854</v>
      </c>
      <c r="AS80" s="160">
        <f t="shared" si="26"/>
        <v>1560</v>
      </c>
      <c r="AT80" s="161">
        <f t="shared" si="26"/>
        <v>3640</v>
      </c>
      <c r="AU80" s="159">
        <f t="shared" si="17"/>
        <v>0</v>
      </c>
      <c r="AV80" s="160">
        <f t="shared" si="27"/>
        <v>0</v>
      </c>
      <c r="AW80" s="160">
        <f t="shared" si="28"/>
        <v>0</v>
      </c>
      <c r="AX80" s="160">
        <f t="shared" si="18"/>
        <v>0</v>
      </c>
      <c r="AY80" s="161">
        <f t="shared" si="19"/>
        <v>16482.284</v>
      </c>
      <c r="AZ80" s="159">
        <f t="shared" si="20"/>
        <v>16482.284</v>
      </c>
      <c r="BA80" s="160">
        <v>1000</v>
      </c>
      <c r="BB80" s="160">
        <f t="shared" si="29"/>
        <v>91</v>
      </c>
      <c r="BC80" s="154"/>
      <c r="BD80" s="155"/>
    </row>
    <row r="81" spans="1:56" ht="15" thickBot="1" x14ac:dyDescent="0.35">
      <c r="A81" s="204">
        <f>+A80</f>
        <v>46018</v>
      </c>
      <c r="B81" s="263">
        <f>DAY(Tabla2[[#This Row],[FECHA]])</f>
        <v>27</v>
      </c>
      <c r="C81" s="189" t="s">
        <v>29</v>
      </c>
      <c r="D81" s="190"/>
      <c r="E81" s="191"/>
      <c r="F81" s="192"/>
      <c r="G81" s="192"/>
      <c r="H81" s="191"/>
      <c r="I81" s="390">
        <f>Tabla2[[#This Row],[VOLUMEN ENVIADO A RO (m3)]]/Tabla2[[#This Row],[Q DE OPERACIÓN (m3/h)]]</f>
        <v>2.8397424242424241</v>
      </c>
      <c r="J81" s="376">
        <v>0</v>
      </c>
      <c r="K81" s="377">
        <v>19</v>
      </c>
      <c r="L81" s="378">
        <v>3</v>
      </c>
      <c r="M81" s="377">
        <v>0</v>
      </c>
      <c r="N81" s="378">
        <v>0</v>
      </c>
      <c r="O81" s="245">
        <v>0</v>
      </c>
      <c r="P81" s="246">
        <v>166.66666666666669</v>
      </c>
      <c r="Q81" s="246">
        <v>26.315789473684212</v>
      </c>
      <c r="R81" s="246">
        <v>0</v>
      </c>
      <c r="S81" s="246">
        <v>0</v>
      </c>
      <c r="T81" s="241">
        <v>0</v>
      </c>
      <c r="U81" s="242">
        <v>0</v>
      </c>
      <c r="V81" s="242">
        <v>0</v>
      </c>
      <c r="W81" s="242">
        <v>0</v>
      </c>
      <c r="X81" s="243">
        <v>0</v>
      </c>
      <c r="Y81" s="248">
        <v>1.18</v>
      </c>
      <c r="Z81" s="248">
        <v>1.28</v>
      </c>
      <c r="AA81" s="248">
        <v>1.2</v>
      </c>
      <c r="AB81" s="248">
        <v>1.53</v>
      </c>
      <c r="AC81" s="248">
        <v>1.2</v>
      </c>
      <c r="AD81" s="241">
        <v>0</v>
      </c>
      <c r="AE81" s="242">
        <v>0</v>
      </c>
      <c r="AF81" s="242">
        <v>0</v>
      </c>
      <c r="AG81" s="242">
        <v>0</v>
      </c>
      <c r="AH81" s="243">
        <v>0</v>
      </c>
      <c r="AI81" s="562">
        <v>187.423</v>
      </c>
      <c r="AJ81" s="411">
        <v>66</v>
      </c>
      <c r="AK81" s="185">
        <f t="shared" si="21"/>
        <v>0</v>
      </c>
      <c r="AL81" s="186">
        <f t="shared" si="22"/>
        <v>0</v>
      </c>
      <c r="AM81" s="186">
        <f t="shared" si="23"/>
        <v>0</v>
      </c>
      <c r="AN81" s="186">
        <f t="shared" si="24"/>
        <v>0</v>
      </c>
      <c r="AO81" s="187">
        <f t="shared" si="25"/>
        <v>0</v>
      </c>
      <c r="AP81" s="159">
        <f t="shared" si="26"/>
        <v>1550</v>
      </c>
      <c r="AQ81" s="160">
        <f t="shared" si="26"/>
        <v>19462</v>
      </c>
      <c r="AR81" s="160">
        <f t="shared" si="26"/>
        <v>36854</v>
      </c>
      <c r="AS81" s="160">
        <f t="shared" si="26"/>
        <v>1560</v>
      </c>
      <c r="AT81" s="161">
        <f t="shared" si="26"/>
        <v>3640</v>
      </c>
      <c r="AU81" s="159">
        <f t="shared" si="17"/>
        <v>0</v>
      </c>
      <c r="AV81" s="160">
        <f t="shared" si="27"/>
        <v>0</v>
      </c>
      <c r="AW81" s="160">
        <f>AR81*(AG81*0.044)</f>
        <v>0</v>
      </c>
      <c r="AX81" s="160">
        <f t="shared" si="18"/>
        <v>0</v>
      </c>
      <c r="AY81" s="161">
        <f t="shared" si="19"/>
        <v>17055.492999999999</v>
      </c>
      <c r="AZ81" s="159">
        <f>AU81+AV81+AW81+AX81+AY81</f>
        <v>17055.492999999999</v>
      </c>
      <c r="BA81" s="160">
        <v>1000</v>
      </c>
      <c r="BB81" s="160">
        <f>AZ81/AI81</f>
        <v>90.999999999999986</v>
      </c>
      <c r="BC81" s="154"/>
      <c r="BD81" s="155"/>
    </row>
    <row r="82" spans="1:56" ht="15" thickBot="1" x14ac:dyDescent="0.35">
      <c r="A82" s="205">
        <f>+A81</f>
        <v>46018</v>
      </c>
      <c r="B82" s="264">
        <f>DAY(Tabla2[[#This Row],[FECHA]])</f>
        <v>27</v>
      </c>
      <c r="C82" s="194" t="s">
        <v>30</v>
      </c>
      <c r="D82" s="195"/>
      <c r="E82" s="196"/>
      <c r="F82" s="197"/>
      <c r="G82" s="198"/>
      <c r="H82" s="199"/>
      <c r="I82" s="390">
        <f>Tabla2[[#This Row],[VOLUMEN ENVIADO A RO (m3)]]/Tabla2[[#This Row],[Q DE OPERACIÓN (m3/h)]]</f>
        <v>4.1131969696969701</v>
      </c>
      <c r="J82" s="379">
        <v>0</v>
      </c>
      <c r="K82" s="380">
        <v>19</v>
      </c>
      <c r="L82" s="381">
        <v>3</v>
      </c>
      <c r="M82" s="380">
        <v>0</v>
      </c>
      <c r="N82" s="381">
        <v>0</v>
      </c>
      <c r="O82" s="245">
        <v>0</v>
      </c>
      <c r="P82" s="250">
        <v>166.66666666666669</v>
      </c>
      <c r="Q82" s="250">
        <v>26.315789473684212</v>
      </c>
      <c r="R82" s="250">
        <v>0</v>
      </c>
      <c r="S82" s="250">
        <v>0</v>
      </c>
      <c r="T82" s="241">
        <v>0</v>
      </c>
      <c r="U82" s="242">
        <v>0</v>
      </c>
      <c r="V82" s="242">
        <v>0</v>
      </c>
      <c r="W82" s="242">
        <v>0</v>
      </c>
      <c r="X82" s="243">
        <v>0</v>
      </c>
      <c r="Y82" s="248">
        <v>1.18</v>
      </c>
      <c r="Z82" s="248">
        <v>1.28</v>
      </c>
      <c r="AA82" s="248">
        <v>1.2</v>
      </c>
      <c r="AB82" s="248">
        <v>1.53</v>
      </c>
      <c r="AC82" s="248">
        <v>1.2</v>
      </c>
      <c r="AD82" s="252">
        <v>0</v>
      </c>
      <c r="AE82" s="253">
        <v>0</v>
      </c>
      <c r="AF82" s="253">
        <v>0</v>
      </c>
      <c r="AG82" s="253">
        <v>0</v>
      </c>
      <c r="AH82" s="254">
        <v>0</v>
      </c>
      <c r="AI82" s="563">
        <v>271.471</v>
      </c>
      <c r="AJ82" s="411">
        <v>66</v>
      </c>
      <c r="AK82" s="185">
        <f t="shared" si="21"/>
        <v>0</v>
      </c>
      <c r="AL82" s="186">
        <f t="shared" si="22"/>
        <v>0</v>
      </c>
      <c r="AM82" s="186">
        <f t="shared" si="23"/>
        <v>0</v>
      </c>
      <c r="AN82" s="186">
        <f t="shared" si="24"/>
        <v>0</v>
      </c>
      <c r="AO82" s="187">
        <f t="shared" si="25"/>
        <v>0</v>
      </c>
      <c r="AP82" s="159">
        <f t="shared" si="26"/>
        <v>1550</v>
      </c>
      <c r="AQ82" s="160">
        <f t="shared" si="26"/>
        <v>19462</v>
      </c>
      <c r="AR82" s="160">
        <f t="shared" si="26"/>
        <v>36854</v>
      </c>
      <c r="AS82" s="160">
        <f t="shared" si="26"/>
        <v>1560</v>
      </c>
      <c r="AT82" s="161">
        <f t="shared" si="26"/>
        <v>3640</v>
      </c>
      <c r="AU82" s="162">
        <f t="shared" si="17"/>
        <v>0</v>
      </c>
      <c r="AV82" s="163">
        <f t="shared" si="27"/>
        <v>0</v>
      </c>
      <c r="AW82" s="163">
        <f t="shared" si="28"/>
        <v>0</v>
      </c>
      <c r="AX82" s="163">
        <f t="shared" si="18"/>
        <v>0</v>
      </c>
      <c r="AY82" s="164">
        <f t="shared" si="19"/>
        <v>24703.861000000001</v>
      </c>
      <c r="AZ82" s="162">
        <f t="shared" si="20"/>
        <v>24703.861000000001</v>
      </c>
      <c r="BA82" s="163">
        <v>1000</v>
      </c>
      <c r="BB82" s="163">
        <f t="shared" si="29"/>
        <v>91</v>
      </c>
      <c r="BC82" s="153"/>
      <c r="BD82" s="156"/>
    </row>
    <row r="83" spans="1:56" ht="15" thickBot="1" x14ac:dyDescent="0.35">
      <c r="A83" s="200">
        <f>+A82+1</f>
        <v>46019</v>
      </c>
      <c r="B83" s="265">
        <f>DAY(Tabla2[[#This Row],[FECHA]])</f>
        <v>28</v>
      </c>
      <c r="C83" s="209" t="s">
        <v>28</v>
      </c>
      <c r="D83" s="201"/>
      <c r="E83" s="202"/>
      <c r="F83" s="203"/>
      <c r="G83" s="203"/>
      <c r="H83" s="202"/>
      <c r="I83" s="390">
        <f>Tabla2[[#This Row],[VOLUMEN ENVIADO A RO (m3)]]/Tabla2[[#This Row],[Q DE OPERACIÓN (m3/h)]]</f>
        <v>7.9139846153846154</v>
      </c>
      <c r="J83" s="373">
        <v>0</v>
      </c>
      <c r="K83" s="374">
        <v>19</v>
      </c>
      <c r="L83" s="375">
        <v>3</v>
      </c>
      <c r="M83" s="374">
        <v>0</v>
      </c>
      <c r="N83" s="375">
        <v>0</v>
      </c>
      <c r="O83" s="245">
        <v>0</v>
      </c>
      <c r="P83" s="256">
        <v>166.66666666666669</v>
      </c>
      <c r="Q83" s="239">
        <v>26.315789473684212</v>
      </c>
      <c r="R83" s="256">
        <v>0</v>
      </c>
      <c r="S83" s="256">
        <v>0</v>
      </c>
      <c r="T83" s="241">
        <v>0</v>
      </c>
      <c r="U83" s="242">
        <v>0</v>
      </c>
      <c r="V83" s="242">
        <v>0</v>
      </c>
      <c r="W83" s="242">
        <v>0</v>
      </c>
      <c r="X83" s="243">
        <v>0</v>
      </c>
      <c r="Y83" s="248">
        <v>1.18</v>
      </c>
      <c r="Z83" s="248">
        <v>1.28</v>
      </c>
      <c r="AA83" s="248">
        <v>1.2</v>
      </c>
      <c r="AB83" s="248">
        <v>1.53</v>
      </c>
      <c r="AC83" s="248">
        <v>1.2</v>
      </c>
      <c r="AD83" s="257">
        <v>0</v>
      </c>
      <c r="AE83" s="258">
        <v>0</v>
      </c>
      <c r="AF83" s="258">
        <v>0</v>
      </c>
      <c r="AG83" s="258">
        <v>0</v>
      </c>
      <c r="AH83" s="259">
        <v>0</v>
      </c>
      <c r="AI83" s="561">
        <v>514.40899999999999</v>
      </c>
      <c r="AJ83" s="411">
        <v>65</v>
      </c>
      <c r="AK83" s="185">
        <f t="shared" si="21"/>
        <v>0</v>
      </c>
      <c r="AL83" s="186">
        <f t="shared" si="22"/>
        <v>0</v>
      </c>
      <c r="AM83" s="186">
        <f t="shared" si="23"/>
        <v>0</v>
      </c>
      <c r="AN83" s="186">
        <f t="shared" si="24"/>
        <v>0</v>
      </c>
      <c r="AO83" s="187">
        <f t="shared" si="25"/>
        <v>0</v>
      </c>
      <c r="AP83" s="159">
        <f t="shared" ref="AP83:AT95" si="30">AP82</f>
        <v>1550</v>
      </c>
      <c r="AQ83" s="160">
        <f t="shared" si="30"/>
        <v>19462</v>
      </c>
      <c r="AR83" s="160">
        <f t="shared" si="30"/>
        <v>36854</v>
      </c>
      <c r="AS83" s="160">
        <f t="shared" si="30"/>
        <v>1560</v>
      </c>
      <c r="AT83" s="161">
        <f t="shared" si="30"/>
        <v>3640</v>
      </c>
      <c r="AU83" s="159">
        <f t="shared" si="17"/>
        <v>0</v>
      </c>
      <c r="AV83" s="160">
        <f t="shared" si="27"/>
        <v>0</v>
      </c>
      <c r="AW83" s="160">
        <f t="shared" si="28"/>
        <v>0</v>
      </c>
      <c r="AX83" s="160">
        <f t="shared" si="18"/>
        <v>0</v>
      </c>
      <c r="AY83" s="161">
        <f t="shared" si="19"/>
        <v>46811.218999999997</v>
      </c>
      <c r="AZ83" s="159">
        <f t="shared" si="20"/>
        <v>46811.218999999997</v>
      </c>
      <c r="BA83" s="160">
        <v>1000</v>
      </c>
      <c r="BB83" s="160">
        <f t="shared" si="29"/>
        <v>91</v>
      </c>
      <c r="BC83" s="154"/>
      <c r="BD83" s="155"/>
    </row>
    <row r="84" spans="1:56" ht="15" thickBot="1" x14ac:dyDescent="0.35">
      <c r="A84" s="204">
        <f>+A83</f>
        <v>46019</v>
      </c>
      <c r="B84" s="263">
        <f>DAY(Tabla2[[#This Row],[FECHA]])</f>
        <v>28</v>
      </c>
      <c r="C84" s="189" t="s">
        <v>29</v>
      </c>
      <c r="D84" s="190"/>
      <c r="E84" s="191"/>
      <c r="F84" s="192"/>
      <c r="G84" s="192"/>
      <c r="H84" s="191"/>
      <c r="I84" s="390">
        <f>Tabla2[[#This Row],[VOLUMEN ENVIADO A RO (m3)]]/Tabla2[[#This Row],[Q DE OPERACIÓN (m3/h)]]</f>
        <v>0</v>
      </c>
      <c r="J84" s="376">
        <v>0</v>
      </c>
      <c r="K84" s="377">
        <v>19</v>
      </c>
      <c r="L84" s="378">
        <v>3</v>
      </c>
      <c r="M84" s="377">
        <v>0</v>
      </c>
      <c r="N84" s="378">
        <v>0</v>
      </c>
      <c r="O84" s="245">
        <v>0</v>
      </c>
      <c r="P84" s="246">
        <v>166.66666666666669</v>
      </c>
      <c r="Q84" s="246">
        <v>26.315789473684212</v>
      </c>
      <c r="R84" s="246">
        <v>0</v>
      </c>
      <c r="S84" s="246">
        <v>0</v>
      </c>
      <c r="T84" s="241">
        <v>0</v>
      </c>
      <c r="U84" s="242">
        <v>0</v>
      </c>
      <c r="V84" s="242">
        <v>0</v>
      </c>
      <c r="W84" s="242">
        <v>0</v>
      </c>
      <c r="X84" s="243">
        <v>0</v>
      </c>
      <c r="Y84" s="248">
        <v>1.18</v>
      </c>
      <c r="Z84" s="248">
        <v>1.28</v>
      </c>
      <c r="AA84" s="248">
        <v>1.2</v>
      </c>
      <c r="AB84" s="248">
        <v>1.53</v>
      </c>
      <c r="AC84" s="248">
        <v>1.2</v>
      </c>
      <c r="AD84" s="241">
        <v>0</v>
      </c>
      <c r="AE84" s="242">
        <v>0</v>
      </c>
      <c r="AF84" s="242">
        <v>0</v>
      </c>
      <c r="AG84" s="242">
        <v>0</v>
      </c>
      <c r="AH84" s="243">
        <v>0</v>
      </c>
      <c r="AI84" s="562">
        <v>0</v>
      </c>
      <c r="AJ84" s="411">
        <v>65</v>
      </c>
      <c r="AK84" s="185" t="e">
        <f t="shared" si="21"/>
        <v>#DIV/0!</v>
      </c>
      <c r="AL84" s="186" t="e">
        <f t="shared" si="22"/>
        <v>#DIV/0!</v>
      </c>
      <c r="AM84" s="186" t="e">
        <f t="shared" si="23"/>
        <v>#DIV/0!</v>
      </c>
      <c r="AN84" s="186" t="e">
        <f t="shared" si="24"/>
        <v>#DIV/0!</v>
      </c>
      <c r="AO84" s="187" t="e">
        <f t="shared" si="25"/>
        <v>#DIV/0!</v>
      </c>
      <c r="AP84" s="159">
        <f t="shared" si="30"/>
        <v>1550</v>
      </c>
      <c r="AQ84" s="160">
        <f t="shared" si="30"/>
        <v>19462</v>
      </c>
      <c r="AR84" s="160">
        <f t="shared" si="30"/>
        <v>36854</v>
      </c>
      <c r="AS84" s="160">
        <f t="shared" si="30"/>
        <v>1560</v>
      </c>
      <c r="AT84" s="161">
        <f t="shared" si="30"/>
        <v>3640</v>
      </c>
      <c r="AU84" s="159">
        <f t="shared" si="17"/>
        <v>0</v>
      </c>
      <c r="AV84" s="160">
        <f t="shared" si="27"/>
        <v>0</v>
      </c>
      <c r="AW84" s="160">
        <f t="shared" si="28"/>
        <v>0</v>
      </c>
      <c r="AX84" s="160">
        <f t="shared" si="18"/>
        <v>0</v>
      </c>
      <c r="AY84" s="161">
        <f t="shared" si="19"/>
        <v>0</v>
      </c>
      <c r="AZ84" s="159">
        <f t="shared" si="20"/>
        <v>0</v>
      </c>
      <c r="BA84" s="160">
        <v>1000</v>
      </c>
      <c r="BB84" s="160" t="e">
        <f t="shared" si="29"/>
        <v>#DIV/0!</v>
      </c>
      <c r="BC84" s="154"/>
      <c r="BD84" s="155"/>
    </row>
    <row r="85" spans="1:56" ht="15" thickBot="1" x14ac:dyDescent="0.35">
      <c r="A85" s="205">
        <f>+A84</f>
        <v>46019</v>
      </c>
      <c r="B85" s="264">
        <f>DAY(Tabla2[[#This Row],[FECHA]])</f>
        <v>28</v>
      </c>
      <c r="C85" s="194" t="s">
        <v>30</v>
      </c>
      <c r="D85" s="195"/>
      <c r="E85" s="196"/>
      <c r="F85" s="197"/>
      <c r="G85" s="198"/>
      <c r="H85" s="199"/>
      <c r="I85" s="390">
        <f>Tabla2[[#This Row],[VOLUMEN ENVIADO A RO (m3)]]/Tabla2[[#This Row],[Q DE OPERACIÓN (m3/h)]]</f>
        <v>8.0697076923076914</v>
      </c>
      <c r="J85" s="379">
        <v>0</v>
      </c>
      <c r="K85" s="380">
        <v>19</v>
      </c>
      <c r="L85" s="381">
        <v>3</v>
      </c>
      <c r="M85" s="380">
        <v>0</v>
      </c>
      <c r="N85" s="381">
        <v>0</v>
      </c>
      <c r="O85" s="245">
        <v>0</v>
      </c>
      <c r="P85" s="250">
        <v>166.66666666666669</v>
      </c>
      <c r="Q85" s="250">
        <v>26.315789473684212</v>
      </c>
      <c r="R85" s="250">
        <v>0</v>
      </c>
      <c r="S85" s="250">
        <v>0</v>
      </c>
      <c r="T85" s="241">
        <v>0</v>
      </c>
      <c r="U85" s="242">
        <v>0</v>
      </c>
      <c r="V85" s="242">
        <v>0</v>
      </c>
      <c r="W85" s="242">
        <v>0</v>
      </c>
      <c r="X85" s="243">
        <v>0</v>
      </c>
      <c r="Y85" s="248">
        <v>1.18</v>
      </c>
      <c r="Z85" s="248">
        <v>1.28</v>
      </c>
      <c r="AA85" s="248">
        <v>1.2</v>
      </c>
      <c r="AB85" s="248">
        <v>1.53</v>
      </c>
      <c r="AC85" s="248">
        <v>1.2</v>
      </c>
      <c r="AD85" s="252">
        <v>0</v>
      </c>
      <c r="AE85" s="253">
        <v>0</v>
      </c>
      <c r="AF85" s="253">
        <v>0</v>
      </c>
      <c r="AG85" s="253">
        <v>0</v>
      </c>
      <c r="AH85" s="254">
        <v>0</v>
      </c>
      <c r="AI85" s="563">
        <v>524.53099999999995</v>
      </c>
      <c r="AJ85" s="411">
        <v>65</v>
      </c>
      <c r="AK85" s="185">
        <f t="shared" si="21"/>
        <v>0</v>
      </c>
      <c r="AL85" s="186">
        <f t="shared" si="22"/>
        <v>0</v>
      </c>
      <c r="AM85" s="186">
        <f t="shared" si="23"/>
        <v>0</v>
      </c>
      <c r="AN85" s="186">
        <f t="shared" si="24"/>
        <v>0</v>
      </c>
      <c r="AO85" s="187">
        <f t="shared" si="25"/>
        <v>0</v>
      </c>
      <c r="AP85" s="159">
        <f t="shared" si="30"/>
        <v>1550</v>
      </c>
      <c r="AQ85" s="160">
        <f t="shared" si="30"/>
        <v>19462</v>
      </c>
      <c r="AR85" s="160">
        <f t="shared" si="30"/>
        <v>36854</v>
      </c>
      <c r="AS85" s="160">
        <f t="shared" si="30"/>
        <v>1560</v>
      </c>
      <c r="AT85" s="161">
        <f t="shared" si="30"/>
        <v>3640</v>
      </c>
      <c r="AU85" s="162">
        <f t="shared" si="17"/>
        <v>0</v>
      </c>
      <c r="AV85" s="163">
        <f t="shared" si="27"/>
        <v>0</v>
      </c>
      <c r="AW85" s="163">
        <f t="shared" si="28"/>
        <v>0</v>
      </c>
      <c r="AX85" s="163">
        <f t="shared" si="18"/>
        <v>0</v>
      </c>
      <c r="AY85" s="164">
        <f t="shared" si="19"/>
        <v>47732.320999999996</v>
      </c>
      <c r="AZ85" s="162">
        <f t="shared" si="20"/>
        <v>47732.320999999996</v>
      </c>
      <c r="BA85" s="163">
        <v>1000</v>
      </c>
      <c r="BB85" s="163">
        <f t="shared" si="29"/>
        <v>91</v>
      </c>
      <c r="BC85" s="153"/>
      <c r="BD85" s="156"/>
    </row>
    <row r="86" spans="1:56" ht="15" thickBot="1" x14ac:dyDescent="0.35">
      <c r="A86" s="200">
        <f>+A85+1</f>
        <v>46020</v>
      </c>
      <c r="B86" s="265">
        <f>DAY(Tabla2[[#This Row],[FECHA]])</f>
        <v>29</v>
      </c>
      <c r="C86" s="209" t="s">
        <v>28</v>
      </c>
      <c r="D86" s="201"/>
      <c r="E86" s="202"/>
      <c r="F86" s="203"/>
      <c r="G86" s="203"/>
      <c r="H86" s="202"/>
      <c r="I86" s="390">
        <f>Tabla2[[#This Row],[VOLUMEN ENVIADO A RO (m3)]]/Tabla2[[#This Row],[Q DE OPERACIÓN (m3/h)]]</f>
        <v>8.8366600000000002</v>
      </c>
      <c r="J86" s="379">
        <v>0</v>
      </c>
      <c r="K86" s="380">
        <v>19</v>
      </c>
      <c r="L86" s="381">
        <v>3</v>
      </c>
      <c r="M86" s="380">
        <v>0</v>
      </c>
      <c r="N86" s="381">
        <v>0</v>
      </c>
      <c r="O86" s="245">
        <v>0</v>
      </c>
      <c r="P86" s="256">
        <v>166.66666666666669</v>
      </c>
      <c r="Q86" s="239">
        <v>26.315789473684212</v>
      </c>
      <c r="R86" s="256">
        <v>0</v>
      </c>
      <c r="S86" s="256">
        <v>0</v>
      </c>
      <c r="T86" s="241">
        <v>0</v>
      </c>
      <c r="U86" s="242">
        <v>0</v>
      </c>
      <c r="V86" s="242">
        <v>0</v>
      </c>
      <c r="W86" s="242">
        <v>0</v>
      </c>
      <c r="X86" s="243">
        <v>0</v>
      </c>
      <c r="Y86" s="248">
        <v>1.18</v>
      </c>
      <c r="Z86" s="248">
        <v>1.28</v>
      </c>
      <c r="AA86" s="248">
        <v>1.2</v>
      </c>
      <c r="AB86" s="248">
        <v>1.53</v>
      </c>
      <c r="AC86" s="248">
        <v>1.2</v>
      </c>
      <c r="AD86" s="257">
        <v>0</v>
      </c>
      <c r="AE86" s="258">
        <v>0</v>
      </c>
      <c r="AF86" s="258">
        <v>0</v>
      </c>
      <c r="AG86" s="258">
        <v>0</v>
      </c>
      <c r="AH86" s="259">
        <v>0</v>
      </c>
      <c r="AI86" s="561">
        <v>441.83300000000003</v>
      </c>
      <c r="AJ86" s="411">
        <v>50</v>
      </c>
      <c r="AK86" s="185">
        <f t="shared" si="21"/>
        <v>0</v>
      </c>
      <c r="AL86" s="186">
        <f t="shared" si="22"/>
        <v>0</v>
      </c>
      <c r="AM86" s="186">
        <f t="shared" si="23"/>
        <v>0</v>
      </c>
      <c r="AN86" s="186">
        <f t="shared" si="24"/>
        <v>0</v>
      </c>
      <c r="AO86" s="187">
        <f t="shared" si="25"/>
        <v>0</v>
      </c>
      <c r="AP86" s="159">
        <f t="shared" si="30"/>
        <v>1550</v>
      </c>
      <c r="AQ86" s="160">
        <f t="shared" si="30"/>
        <v>19462</v>
      </c>
      <c r="AR86" s="160">
        <f t="shared" si="30"/>
        <v>36854</v>
      </c>
      <c r="AS86" s="160">
        <f t="shared" si="30"/>
        <v>1560</v>
      </c>
      <c r="AT86" s="161">
        <f t="shared" si="30"/>
        <v>3640</v>
      </c>
      <c r="AU86" s="159">
        <f t="shared" si="17"/>
        <v>0</v>
      </c>
      <c r="AV86" s="160">
        <f t="shared" si="27"/>
        <v>0</v>
      </c>
      <c r="AW86" s="160">
        <f t="shared" si="28"/>
        <v>0</v>
      </c>
      <c r="AX86" s="160">
        <f t="shared" si="18"/>
        <v>0</v>
      </c>
      <c r="AY86" s="161">
        <f t="shared" si="19"/>
        <v>40206.803</v>
      </c>
      <c r="AZ86" s="159">
        <f t="shared" si="20"/>
        <v>40206.803</v>
      </c>
      <c r="BA86" s="160">
        <v>1000</v>
      </c>
      <c r="BB86" s="160">
        <f t="shared" si="29"/>
        <v>91</v>
      </c>
      <c r="BC86" s="154"/>
      <c r="BD86" s="155"/>
    </row>
    <row r="87" spans="1:56" ht="15" thickBot="1" x14ac:dyDescent="0.35">
      <c r="A87" s="204">
        <f>+A86</f>
        <v>46020</v>
      </c>
      <c r="B87" s="263">
        <f>DAY(Tabla2[[#This Row],[FECHA]])</f>
        <v>29</v>
      </c>
      <c r="C87" s="189" t="s">
        <v>29</v>
      </c>
      <c r="D87" s="190"/>
      <c r="E87" s="191"/>
      <c r="F87" s="192"/>
      <c r="G87" s="192"/>
      <c r="H87" s="191"/>
      <c r="I87" s="390">
        <f>Tabla2[[#This Row],[VOLUMEN ENVIADO A RO (m3)]]/Tabla2[[#This Row],[Q DE OPERACIÓN (m3/h)]]</f>
        <v>4.8752461538461542</v>
      </c>
      <c r="J87" s="379">
        <v>0</v>
      </c>
      <c r="K87" s="380">
        <v>19</v>
      </c>
      <c r="L87" s="381">
        <v>3</v>
      </c>
      <c r="M87" s="380">
        <v>0</v>
      </c>
      <c r="N87" s="381">
        <v>0</v>
      </c>
      <c r="O87" s="245">
        <v>0</v>
      </c>
      <c r="P87" s="246">
        <v>166.66666666666669</v>
      </c>
      <c r="Q87" s="246">
        <v>26.315789473684212</v>
      </c>
      <c r="R87" s="246">
        <v>0</v>
      </c>
      <c r="S87" s="246">
        <v>0</v>
      </c>
      <c r="T87" s="241">
        <v>0</v>
      </c>
      <c r="U87" s="242">
        <v>0</v>
      </c>
      <c r="V87" s="242">
        <v>0</v>
      </c>
      <c r="W87" s="242">
        <v>0</v>
      </c>
      <c r="X87" s="243">
        <v>0</v>
      </c>
      <c r="Y87" s="248">
        <v>1.18</v>
      </c>
      <c r="Z87" s="248">
        <v>1.28</v>
      </c>
      <c r="AA87" s="248">
        <v>1.2</v>
      </c>
      <c r="AB87" s="248">
        <v>1.53</v>
      </c>
      <c r="AC87" s="248">
        <v>1.2</v>
      </c>
      <c r="AD87" s="241">
        <v>0</v>
      </c>
      <c r="AE87" s="242">
        <v>0</v>
      </c>
      <c r="AF87" s="242">
        <v>0</v>
      </c>
      <c r="AG87" s="242">
        <v>0</v>
      </c>
      <c r="AH87" s="243">
        <v>0</v>
      </c>
      <c r="AI87" s="562">
        <v>316.89100000000002</v>
      </c>
      <c r="AJ87" s="411">
        <v>65</v>
      </c>
      <c r="AK87" s="185">
        <f t="shared" si="21"/>
        <v>0</v>
      </c>
      <c r="AL87" s="186">
        <f t="shared" si="22"/>
        <v>0</v>
      </c>
      <c r="AM87" s="186">
        <f t="shared" si="23"/>
        <v>0</v>
      </c>
      <c r="AN87" s="186">
        <f t="shared" si="24"/>
        <v>0</v>
      </c>
      <c r="AO87" s="187">
        <f t="shared" si="25"/>
        <v>0</v>
      </c>
      <c r="AP87" s="159">
        <f t="shared" si="30"/>
        <v>1550</v>
      </c>
      <c r="AQ87" s="160">
        <f t="shared" si="30"/>
        <v>19462</v>
      </c>
      <c r="AR87" s="160">
        <f t="shared" si="30"/>
        <v>36854</v>
      </c>
      <c r="AS87" s="160">
        <f t="shared" si="30"/>
        <v>1560</v>
      </c>
      <c r="AT87" s="161">
        <f t="shared" si="30"/>
        <v>3640</v>
      </c>
      <c r="AU87" s="159">
        <f t="shared" si="17"/>
        <v>0</v>
      </c>
      <c r="AV87" s="160">
        <f t="shared" si="27"/>
        <v>0</v>
      </c>
      <c r="AW87" s="160">
        <f t="shared" si="28"/>
        <v>0</v>
      </c>
      <c r="AX87" s="160">
        <f t="shared" si="18"/>
        <v>0</v>
      </c>
      <c r="AY87" s="161">
        <f t="shared" si="19"/>
        <v>28837.081000000002</v>
      </c>
      <c r="AZ87" s="159">
        <f t="shared" si="20"/>
        <v>28837.081000000002</v>
      </c>
      <c r="BA87" s="160">
        <v>1000</v>
      </c>
      <c r="BB87" s="160">
        <f t="shared" si="29"/>
        <v>91</v>
      </c>
      <c r="BC87" s="154"/>
      <c r="BD87" s="155"/>
    </row>
    <row r="88" spans="1:56" ht="15" thickBot="1" x14ac:dyDescent="0.35">
      <c r="A88" s="205">
        <f>+A87</f>
        <v>46020</v>
      </c>
      <c r="B88" s="264">
        <f>DAY(Tabla2[[#This Row],[FECHA]])</f>
        <v>29</v>
      </c>
      <c r="C88" s="194" t="s">
        <v>30</v>
      </c>
      <c r="D88" s="195"/>
      <c r="E88" s="196"/>
      <c r="F88" s="197"/>
      <c r="G88" s="198"/>
      <c r="H88" s="199"/>
      <c r="I88" s="390">
        <f>Tabla2[[#This Row],[VOLUMEN ENVIADO A RO (m3)]]/Tabla2[[#This Row],[Q DE OPERACIÓN (m3/h)]]</f>
        <v>5.0162131147540983</v>
      </c>
      <c r="J88" s="379">
        <v>0</v>
      </c>
      <c r="K88" s="380">
        <v>19</v>
      </c>
      <c r="L88" s="381">
        <v>3</v>
      </c>
      <c r="M88" s="380">
        <v>0</v>
      </c>
      <c r="N88" s="381">
        <v>0</v>
      </c>
      <c r="O88" s="249">
        <v>0</v>
      </c>
      <c r="P88" s="250">
        <v>166.66666666666669</v>
      </c>
      <c r="Q88" s="250">
        <v>26.315789473684212</v>
      </c>
      <c r="R88" s="250">
        <v>0</v>
      </c>
      <c r="S88" s="250">
        <v>0</v>
      </c>
      <c r="T88" s="241">
        <v>0</v>
      </c>
      <c r="U88" s="242">
        <v>0</v>
      </c>
      <c r="V88" s="242">
        <v>0</v>
      </c>
      <c r="W88" s="242">
        <v>0</v>
      </c>
      <c r="X88" s="243">
        <v>0</v>
      </c>
      <c r="Y88" s="248">
        <v>1.18</v>
      </c>
      <c r="Z88" s="248">
        <v>1.28</v>
      </c>
      <c r="AA88" s="248">
        <v>1.2</v>
      </c>
      <c r="AB88" s="248">
        <v>1.53</v>
      </c>
      <c r="AC88" s="248">
        <v>1.2</v>
      </c>
      <c r="AD88" s="252">
        <v>0</v>
      </c>
      <c r="AE88" s="253">
        <v>0</v>
      </c>
      <c r="AF88" s="253">
        <v>0</v>
      </c>
      <c r="AG88" s="253">
        <v>0</v>
      </c>
      <c r="AH88" s="254">
        <v>0</v>
      </c>
      <c r="AI88" s="563">
        <v>305.98899999999998</v>
      </c>
      <c r="AJ88" s="411">
        <v>61</v>
      </c>
      <c r="AK88" s="185">
        <f t="shared" si="21"/>
        <v>0</v>
      </c>
      <c r="AL88" s="186">
        <f t="shared" si="22"/>
        <v>0</v>
      </c>
      <c r="AM88" s="186">
        <f t="shared" si="23"/>
        <v>0</v>
      </c>
      <c r="AN88" s="186">
        <f t="shared" si="24"/>
        <v>0</v>
      </c>
      <c r="AO88" s="187">
        <f t="shared" si="25"/>
        <v>0</v>
      </c>
      <c r="AP88" s="159">
        <f t="shared" si="30"/>
        <v>1550</v>
      </c>
      <c r="AQ88" s="160">
        <f t="shared" si="30"/>
        <v>19462</v>
      </c>
      <c r="AR88" s="160">
        <f t="shared" si="30"/>
        <v>36854</v>
      </c>
      <c r="AS88" s="160">
        <f t="shared" si="30"/>
        <v>1560</v>
      </c>
      <c r="AT88" s="161">
        <f t="shared" si="30"/>
        <v>3640</v>
      </c>
      <c r="AU88" s="162">
        <f t="shared" si="17"/>
        <v>0</v>
      </c>
      <c r="AV88" s="163">
        <f t="shared" si="27"/>
        <v>0</v>
      </c>
      <c r="AW88" s="163">
        <f t="shared" si="28"/>
        <v>0</v>
      </c>
      <c r="AX88" s="163">
        <f t="shared" si="18"/>
        <v>0</v>
      </c>
      <c r="AY88" s="164">
        <f t="shared" si="19"/>
        <v>27844.999</v>
      </c>
      <c r="AZ88" s="162">
        <f t="shared" si="20"/>
        <v>27844.999</v>
      </c>
      <c r="BA88" s="163">
        <v>1000</v>
      </c>
      <c r="BB88" s="163">
        <f t="shared" si="29"/>
        <v>91</v>
      </c>
      <c r="BC88" s="153"/>
      <c r="BD88" s="156"/>
    </row>
    <row r="89" spans="1:56" ht="15" thickBot="1" x14ac:dyDescent="0.35">
      <c r="A89" s="200">
        <f>+A88+1</f>
        <v>46021</v>
      </c>
      <c r="B89" s="265">
        <f>DAY(Tabla2[[#This Row],[FECHA]])</f>
        <v>30</v>
      </c>
      <c r="C89" s="209" t="s">
        <v>28</v>
      </c>
      <c r="D89" s="201"/>
      <c r="E89" s="202"/>
      <c r="F89" s="203"/>
      <c r="G89" s="203"/>
      <c r="H89" s="202"/>
      <c r="I89" s="390">
        <f>Tabla2[[#This Row],[VOLUMEN ENVIADO A RO (m3)]]/Tabla2[[#This Row],[Q DE OPERACIÓN (m3/h)]]</f>
        <v>8.406883333333333</v>
      </c>
      <c r="J89" s="379">
        <v>0</v>
      </c>
      <c r="K89" s="380">
        <v>19</v>
      </c>
      <c r="L89" s="381">
        <v>3</v>
      </c>
      <c r="M89" s="380">
        <v>0</v>
      </c>
      <c r="N89" s="381">
        <v>0</v>
      </c>
      <c r="O89" s="255">
        <v>0</v>
      </c>
      <c r="P89" s="256">
        <v>166.66666666666669</v>
      </c>
      <c r="Q89" s="239">
        <v>26.315789473684212</v>
      </c>
      <c r="R89" s="256">
        <v>0</v>
      </c>
      <c r="S89" s="256">
        <v>0</v>
      </c>
      <c r="T89" s="241">
        <v>0</v>
      </c>
      <c r="U89" s="242">
        <v>0</v>
      </c>
      <c r="V89" s="242">
        <v>0</v>
      </c>
      <c r="W89" s="242">
        <v>0</v>
      </c>
      <c r="X89" s="243">
        <v>0</v>
      </c>
      <c r="Y89" s="248">
        <v>1.18</v>
      </c>
      <c r="Z89" s="248">
        <v>1.28</v>
      </c>
      <c r="AA89" s="248">
        <v>1.2</v>
      </c>
      <c r="AB89" s="248">
        <v>1.53</v>
      </c>
      <c r="AC89" s="248">
        <v>1.2</v>
      </c>
      <c r="AD89" s="257">
        <v>0</v>
      </c>
      <c r="AE89" s="258">
        <v>0</v>
      </c>
      <c r="AF89" s="258">
        <v>0</v>
      </c>
      <c r="AG89" s="258">
        <v>0</v>
      </c>
      <c r="AH89" s="259">
        <v>0</v>
      </c>
      <c r="AI89" s="561">
        <v>504.41300000000001</v>
      </c>
      <c r="AJ89" s="411">
        <v>60</v>
      </c>
      <c r="AK89" s="185">
        <f t="shared" si="21"/>
        <v>0</v>
      </c>
      <c r="AL89" s="186">
        <f t="shared" si="22"/>
        <v>0</v>
      </c>
      <c r="AM89" s="186">
        <f t="shared" si="23"/>
        <v>0</v>
      </c>
      <c r="AN89" s="186">
        <f t="shared" si="24"/>
        <v>0</v>
      </c>
      <c r="AO89" s="187">
        <f t="shared" si="25"/>
        <v>0</v>
      </c>
      <c r="AP89" s="159">
        <f t="shared" si="30"/>
        <v>1550</v>
      </c>
      <c r="AQ89" s="160">
        <f t="shared" si="30"/>
        <v>19462</v>
      </c>
      <c r="AR89" s="160">
        <f t="shared" si="30"/>
        <v>36854</v>
      </c>
      <c r="AS89" s="160">
        <f t="shared" si="30"/>
        <v>1560</v>
      </c>
      <c r="AT89" s="161">
        <f t="shared" si="30"/>
        <v>3640</v>
      </c>
      <c r="AU89" s="159">
        <f t="shared" si="17"/>
        <v>0</v>
      </c>
      <c r="AV89" s="160">
        <f t="shared" si="27"/>
        <v>0</v>
      </c>
      <c r="AW89" s="160">
        <f t="shared" si="28"/>
        <v>0</v>
      </c>
      <c r="AX89" s="160">
        <f t="shared" si="18"/>
        <v>0</v>
      </c>
      <c r="AY89" s="161">
        <f t="shared" si="19"/>
        <v>45901.583000000006</v>
      </c>
      <c r="AZ89" s="159">
        <f t="shared" si="20"/>
        <v>45901.583000000006</v>
      </c>
      <c r="BA89" s="160">
        <v>1000</v>
      </c>
      <c r="BB89" s="160">
        <f t="shared" si="29"/>
        <v>91.000000000000014</v>
      </c>
      <c r="BC89" s="154"/>
      <c r="BD89" s="155"/>
    </row>
    <row r="90" spans="1:56" ht="15" thickBot="1" x14ac:dyDescent="0.35">
      <c r="A90" s="204">
        <f>+A89</f>
        <v>46021</v>
      </c>
      <c r="B90" s="263">
        <f>DAY(Tabla2[[#This Row],[FECHA]])</f>
        <v>30</v>
      </c>
      <c r="C90" s="189" t="s">
        <v>29</v>
      </c>
      <c r="D90" s="190"/>
      <c r="E90" s="191"/>
      <c r="F90" s="192"/>
      <c r="G90" s="192"/>
      <c r="H90" s="191"/>
      <c r="I90" s="390">
        <f>Tabla2[[#This Row],[VOLUMEN ENVIADO A RO (m3)]]/Tabla2[[#This Row],[Q DE OPERACIÓN (m3/h)]]</f>
        <v>5.1084166666666668</v>
      </c>
      <c r="J90" s="379">
        <v>0</v>
      </c>
      <c r="K90" s="380">
        <v>19</v>
      </c>
      <c r="L90" s="381">
        <v>3</v>
      </c>
      <c r="M90" s="380">
        <v>0</v>
      </c>
      <c r="N90" s="381">
        <v>0</v>
      </c>
      <c r="O90" s="245">
        <v>0</v>
      </c>
      <c r="P90" s="246">
        <v>166.66666666666669</v>
      </c>
      <c r="Q90" s="246">
        <v>26.315789473684212</v>
      </c>
      <c r="R90" s="246">
        <v>0</v>
      </c>
      <c r="S90" s="246">
        <v>0</v>
      </c>
      <c r="T90" s="241">
        <v>0</v>
      </c>
      <c r="U90" s="242">
        <v>0</v>
      </c>
      <c r="V90" s="242">
        <v>0</v>
      </c>
      <c r="W90" s="242">
        <v>0</v>
      </c>
      <c r="X90" s="243">
        <v>0</v>
      </c>
      <c r="Y90" s="248">
        <v>1.18</v>
      </c>
      <c r="Z90" s="248">
        <v>1.28</v>
      </c>
      <c r="AA90" s="248">
        <v>1.2</v>
      </c>
      <c r="AB90" s="248">
        <v>1.53</v>
      </c>
      <c r="AC90" s="248">
        <v>1.2</v>
      </c>
      <c r="AD90" s="241">
        <v>0</v>
      </c>
      <c r="AE90" s="242">
        <v>0</v>
      </c>
      <c r="AF90" s="242">
        <v>0</v>
      </c>
      <c r="AG90" s="242">
        <v>0</v>
      </c>
      <c r="AH90" s="243">
        <v>0</v>
      </c>
      <c r="AI90" s="562">
        <v>306.505</v>
      </c>
      <c r="AJ90" s="411">
        <v>60</v>
      </c>
      <c r="AK90" s="185">
        <f t="shared" si="21"/>
        <v>0</v>
      </c>
      <c r="AL90" s="186">
        <f t="shared" si="22"/>
        <v>0</v>
      </c>
      <c r="AM90" s="186">
        <f t="shared" si="23"/>
        <v>0</v>
      </c>
      <c r="AN90" s="186">
        <f t="shared" si="24"/>
        <v>0</v>
      </c>
      <c r="AO90" s="187">
        <f t="shared" si="25"/>
        <v>0</v>
      </c>
      <c r="AP90" s="159">
        <f t="shared" si="30"/>
        <v>1550</v>
      </c>
      <c r="AQ90" s="160">
        <f t="shared" si="30"/>
        <v>19462</v>
      </c>
      <c r="AR90" s="160">
        <f t="shared" si="30"/>
        <v>36854</v>
      </c>
      <c r="AS90" s="160">
        <f t="shared" si="30"/>
        <v>1560</v>
      </c>
      <c r="AT90" s="161">
        <f t="shared" si="30"/>
        <v>3640</v>
      </c>
      <c r="AU90" s="159">
        <f t="shared" si="17"/>
        <v>0</v>
      </c>
      <c r="AV90" s="160">
        <f t="shared" si="27"/>
        <v>0</v>
      </c>
      <c r="AW90" s="160">
        <f t="shared" si="28"/>
        <v>0</v>
      </c>
      <c r="AX90" s="160">
        <f t="shared" si="18"/>
        <v>0</v>
      </c>
      <c r="AY90" s="161">
        <f t="shared" si="19"/>
        <v>27891.955000000002</v>
      </c>
      <c r="AZ90" s="159">
        <f t="shared" si="20"/>
        <v>27891.955000000002</v>
      </c>
      <c r="BA90" s="160">
        <v>1000</v>
      </c>
      <c r="BB90" s="160">
        <f t="shared" si="29"/>
        <v>91</v>
      </c>
      <c r="BC90" s="154"/>
      <c r="BD90" s="155"/>
    </row>
    <row r="91" spans="1:56" ht="15" thickBot="1" x14ac:dyDescent="0.35">
      <c r="A91" s="205">
        <f>+A90</f>
        <v>46021</v>
      </c>
      <c r="B91" s="264">
        <f>DAY(Tabla2[[#This Row],[FECHA]])</f>
        <v>30</v>
      </c>
      <c r="C91" s="194" t="s">
        <v>30</v>
      </c>
      <c r="D91" s="195"/>
      <c r="E91" s="196"/>
      <c r="F91" s="197"/>
      <c r="G91" s="198"/>
      <c r="H91" s="199"/>
      <c r="I91" s="390">
        <f>Tabla2[[#This Row],[VOLUMEN ENVIADO A RO (m3)]]/Tabla2[[#This Row],[Q DE OPERACIÓN (m3/h)]]</f>
        <v>7.4373166666666659</v>
      </c>
      <c r="J91" s="379">
        <v>0</v>
      </c>
      <c r="K91" s="380">
        <v>19</v>
      </c>
      <c r="L91" s="381">
        <v>3</v>
      </c>
      <c r="M91" s="380">
        <v>0</v>
      </c>
      <c r="N91" s="381">
        <v>0</v>
      </c>
      <c r="O91" s="249">
        <v>0</v>
      </c>
      <c r="P91" s="250">
        <v>166.66666666666669</v>
      </c>
      <c r="Q91" s="250">
        <v>26.315789473684212</v>
      </c>
      <c r="R91" s="250">
        <v>0</v>
      </c>
      <c r="S91" s="250">
        <v>0</v>
      </c>
      <c r="T91" s="241">
        <v>0</v>
      </c>
      <c r="U91" s="242">
        <v>0</v>
      </c>
      <c r="V91" s="242">
        <v>0</v>
      </c>
      <c r="W91" s="242">
        <v>0</v>
      </c>
      <c r="X91" s="243">
        <v>0</v>
      </c>
      <c r="Y91" s="248">
        <v>1.18</v>
      </c>
      <c r="Z91" s="248">
        <v>1.28</v>
      </c>
      <c r="AA91" s="248">
        <v>1.2</v>
      </c>
      <c r="AB91" s="248">
        <v>1.53</v>
      </c>
      <c r="AC91" s="248">
        <v>1.2</v>
      </c>
      <c r="AD91" s="252">
        <v>0</v>
      </c>
      <c r="AE91" s="253">
        <v>0</v>
      </c>
      <c r="AF91" s="253">
        <v>0</v>
      </c>
      <c r="AG91" s="253">
        <v>0</v>
      </c>
      <c r="AH91" s="254">
        <v>0</v>
      </c>
      <c r="AI91" s="563">
        <v>446.23899999999998</v>
      </c>
      <c r="AJ91" s="411">
        <v>60</v>
      </c>
      <c r="AK91" s="185">
        <f t="shared" si="21"/>
        <v>0</v>
      </c>
      <c r="AL91" s="186">
        <f t="shared" si="22"/>
        <v>0</v>
      </c>
      <c r="AM91" s="186">
        <f t="shared" si="23"/>
        <v>0</v>
      </c>
      <c r="AN91" s="186">
        <f t="shared" si="24"/>
        <v>0</v>
      </c>
      <c r="AO91" s="187">
        <f t="shared" si="25"/>
        <v>0</v>
      </c>
      <c r="AP91" s="159">
        <f t="shared" si="30"/>
        <v>1550</v>
      </c>
      <c r="AQ91" s="160">
        <f t="shared" si="30"/>
        <v>19462</v>
      </c>
      <c r="AR91" s="160">
        <f t="shared" si="30"/>
        <v>36854</v>
      </c>
      <c r="AS91" s="160">
        <f t="shared" si="30"/>
        <v>1560</v>
      </c>
      <c r="AT91" s="161">
        <f t="shared" si="30"/>
        <v>3640</v>
      </c>
      <c r="AU91" s="162">
        <f t="shared" si="17"/>
        <v>0</v>
      </c>
      <c r="AV91" s="163">
        <f t="shared" si="27"/>
        <v>0</v>
      </c>
      <c r="AW91" s="163">
        <f t="shared" si="28"/>
        <v>0</v>
      </c>
      <c r="AX91" s="163">
        <f t="shared" si="18"/>
        <v>0</v>
      </c>
      <c r="AY91" s="164">
        <f t="shared" si="19"/>
        <v>40607.748999999996</v>
      </c>
      <c r="AZ91" s="162">
        <f t="shared" si="20"/>
        <v>40607.748999999996</v>
      </c>
      <c r="BA91" s="163">
        <v>1000</v>
      </c>
      <c r="BB91" s="163">
        <f t="shared" si="29"/>
        <v>91</v>
      </c>
      <c r="BC91" s="153"/>
      <c r="BD91" s="156"/>
    </row>
    <row r="92" spans="1:56" ht="15" thickBot="1" x14ac:dyDescent="0.35">
      <c r="A92" s="200">
        <f>+A91+1</f>
        <v>46022</v>
      </c>
      <c r="B92" s="265">
        <f>DAY(Tabla2[[#This Row],[FECHA]])</f>
        <v>31</v>
      </c>
      <c r="C92" s="209" t="s">
        <v>28</v>
      </c>
      <c r="D92" s="201"/>
      <c r="E92" s="202"/>
      <c r="F92" s="203"/>
      <c r="G92" s="203"/>
      <c r="H92" s="202"/>
      <c r="I92" s="390">
        <f>Tabla2[[#This Row],[VOLUMEN ENVIADO A RO (m3)]]/Tabla2[[#This Row],[Q DE OPERACIÓN (m3/h)]]</f>
        <v>8.4615384615384617</v>
      </c>
      <c r="J92" s="379">
        <v>0</v>
      </c>
      <c r="K92" s="380">
        <v>19</v>
      </c>
      <c r="L92" s="381">
        <v>3</v>
      </c>
      <c r="M92" s="380">
        <v>0</v>
      </c>
      <c r="N92" s="381">
        <v>0</v>
      </c>
      <c r="O92" s="255">
        <v>0</v>
      </c>
      <c r="P92" s="256">
        <v>166.66666666666669</v>
      </c>
      <c r="Q92" s="239">
        <v>26.315789473684212</v>
      </c>
      <c r="R92" s="256">
        <v>0</v>
      </c>
      <c r="S92" s="256">
        <v>0</v>
      </c>
      <c r="T92" s="241">
        <v>0</v>
      </c>
      <c r="U92" s="242">
        <v>0</v>
      </c>
      <c r="V92" s="242">
        <v>0</v>
      </c>
      <c r="W92" s="242">
        <v>0</v>
      </c>
      <c r="X92" s="243">
        <v>0</v>
      </c>
      <c r="Y92" s="248">
        <v>1.18</v>
      </c>
      <c r="Z92" s="248">
        <v>1.28</v>
      </c>
      <c r="AA92" s="248">
        <v>1.2</v>
      </c>
      <c r="AB92" s="248">
        <v>1.53</v>
      </c>
      <c r="AC92" s="248">
        <v>1.2</v>
      </c>
      <c r="AD92" s="257">
        <v>0</v>
      </c>
      <c r="AE92" s="258">
        <v>0</v>
      </c>
      <c r="AF92" s="258">
        <v>0</v>
      </c>
      <c r="AG92" s="258">
        <v>0</v>
      </c>
      <c r="AH92" s="259">
        <v>0</v>
      </c>
      <c r="AI92" s="561">
        <v>440</v>
      </c>
      <c r="AJ92" s="411">
        <v>52</v>
      </c>
      <c r="AK92" s="185">
        <f t="shared" si="21"/>
        <v>0</v>
      </c>
      <c r="AL92" s="186">
        <f t="shared" si="22"/>
        <v>0</v>
      </c>
      <c r="AM92" s="186">
        <f t="shared" si="23"/>
        <v>0</v>
      </c>
      <c r="AN92" s="186">
        <f t="shared" si="24"/>
        <v>0</v>
      </c>
      <c r="AO92" s="187">
        <f t="shared" si="25"/>
        <v>0</v>
      </c>
      <c r="AP92" s="159">
        <f t="shared" si="30"/>
        <v>1550</v>
      </c>
      <c r="AQ92" s="160">
        <f t="shared" si="30"/>
        <v>19462</v>
      </c>
      <c r="AR92" s="160">
        <f t="shared" si="30"/>
        <v>36854</v>
      </c>
      <c r="AS92" s="160">
        <f t="shared" si="30"/>
        <v>1560</v>
      </c>
      <c r="AT92" s="161">
        <f t="shared" si="30"/>
        <v>3640</v>
      </c>
      <c r="AU92" s="159">
        <f t="shared" si="17"/>
        <v>0</v>
      </c>
      <c r="AV92" s="160">
        <f t="shared" si="27"/>
        <v>0</v>
      </c>
      <c r="AW92" s="160">
        <f t="shared" si="28"/>
        <v>0</v>
      </c>
      <c r="AX92" s="160">
        <f t="shared" si="18"/>
        <v>0</v>
      </c>
      <c r="AY92" s="161">
        <f t="shared" si="19"/>
        <v>40040</v>
      </c>
      <c r="AZ92" s="159">
        <f t="shared" si="20"/>
        <v>40040</v>
      </c>
      <c r="BA92" s="160">
        <v>1000</v>
      </c>
      <c r="BB92" s="160">
        <f t="shared" si="29"/>
        <v>91</v>
      </c>
      <c r="BC92" s="154"/>
      <c r="BD92" s="155"/>
    </row>
    <row r="93" spans="1:56" ht="15" thickBot="1" x14ac:dyDescent="0.35">
      <c r="A93" s="204">
        <f>+A92</f>
        <v>46022</v>
      </c>
      <c r="B93" s="263">
        <f>DAY(Tabla2[[#This Row],[FECHA]])</f>
        <v>31</v>
      </c>
      <c r="C93" s="189" t="s">
        <v>29</v>
      </c>
      <c r="D93" s="190"/>
      <c r="E93" s="191"/>
      <c r="F93" s="192"/>
      <c r="G93" s="192"/>
      <c r="H93" s="191"/>
      <c r="I93" s="390">
        <f>Tabla2[[#This Row],[VOLUMEN ENVIADO A RO (m3)]]/Tabla2[[#This Row],[Q DE OPERACIÓN (m3/h)]]</f>
        <v>4.0967818181818183</v>
      </c>
      <c r="J93" s="379">
        <v>0</v>
      </c>
      <c r="K93" s="380">
        <v>19</v>
      </c>
      <c r="L93" s="381">
        <v>3</v>
      </c>
      <c r="M93" s="380">
        <v>0</v>
      </c>
      <c r="N93" s="381">
        <v>0</v>
      </c>
      <c r="O93" s="245">
        <v>0</v>
      </c>
      <c r="P93" s="246">
        <v>166.66666666666669</v>
      </c>
      <c r="Q93" s="246">
        <v>26.315789473684212</v>
      </c>
      <c r="R93" s="246">
        <v>0</v>
      </c>
      <c r="S93" s="246">
        <v>0</v>
      </c>
      <c r="T93" s="241">
        <v>0</v>
      </c>
      <c r="U93" s="242">
        <v>0</v>
      </c>
      <c r="V93" s="242">
        <v>0</v>
      </c>
      <c r="W93" s="242">
        <v>0</v>
      </c>
      <c r="X93" s="243">
        <v>0</v>
      </c>
      <c r="Y93" s="248">
        <v>1.18</v>
      </c>
      <c r="Z93" s="248">
        <v>1.28</v>
      </c>
      <c r="AA93" s="248">
        <v>1.2</v>
      </c>
      <c r="AB93" s="248">
        <v>1.53</v>
      </c>
      <c r="AC93" s="248">
        <v>1.2</v>
      </c>
      <c r="AD93" s="241">
        <v>0</v>
      </c>
      <c r="AE93" s="242">
        <v>0</v>
      </c>
      <c r="AF93" s="242">
        <v>0</v>
      </c>
      <c r="AG93" s="242">
        <v>0</v>
      </c>
      <c r="AH93" s="243">
        <v>0</v>
      </c>
      <c r="AI93" s="562">
        <v>225.32300000000001</v>
      </c>
      <c r="AJ93" s="411">
        <v>55</v>
      </c>
      <c r="AK93" s="185">
        <f t="shared" si="21"/>
        <v>0</v>
      </c>
      <c r="AL93" s="186">
        <f t="shared" si="22"/>
        <v>0</v>
      </c>
      <c r="AM93" s="186">
        <f t="shared" si="23"/>
        <v>0</v>
      </c>
      <c r="AN93" s="186">
        <f t="shared" si="24"/>
        <v>0</v>
      </c>
      <c r="AO93" s="187">
        <f t="shared" si="25"/>
        <v>0</v>
      </c>
      <c r="AP93" s="159">
        <f t="shared" si="30"/>
        <v>1550</v>
      </c>
      <c r="AQ93" s="160">
        <f t="shared" si="30"/>
        <v>19462</v>
      </c>
      <c r="AR93" s="160">
        <f t="shared" si="30"/>
        <v>36854</v>
      </c>
      <c r="AS93" s="160">
        <f t="shared" si="30"/>
        <v>1560</v>
      </c>
      <c r="AT93" s="161">
        <f t="shared" si="30"/>
        <v>3640</v>
      </c>
      <c r="AU93" s="159">
        <f t="shared" si="17"/>
        <v>0</v>
      </c>
      <c r="AV93" s="160">
        <f t="shared" si="27"/>
        <v>0</v>
      </c>
      <c r="AW93" s="160">
        <f t="shared" si="28"/>
        <v>0</v>
      </c>
      <c r="AX93" s="160">
        <f t="shared" si="18"/>
        <v>0</v>
      </c>
      <c r="AY93" s="161">
        <f t="shared" si="19"/>
        <v>20504.393000000004</v>
      </c>
      <c r="AZ93" s="159">
        <f t="shared" si="20"/>
        <v>20504.393000000004</v>
      </c>
      <c r="BA93" s="160">
        <v>1000</v>
      </c>
      <c r="BB93" s="160">
        <f t="shared" si="29"/>
        <v>91.000000000000014</v>
      </c>
      <c r="BC93" s="154"/>
      <c r="BD93" s="155"/>
    </row>
    <row r="94" spans="1:56" ht="15" thickBot="1" x14ac:dyDescent="0.35">
      <c r="A94" s="205">
        <f>+A93</f>
        <v>46022</v>
      </c>
      <c r="B94" s="264">
        <f>DAY(Tabla2[[#This Row],[FECHA]])</f>
        <v>31</v>
      </c>
      <c r="C94" s="194" t="s">
        <v>30</v>
      </c>
      <c r="D94" s="195"/>
      <c r="E94" s="196"/>
      <c r="F94" s="197"/>
      <c r="G94" s="198"/>
      <c r="H94" s="199"/>
      <c r="I94" s="390">
        <f>Tabla2[[#This Row],[VOLUMEN ENVIADO A RO (m3)]]/Tabla2[[#This Row],[Q DE OPERACIÓN (m3/h)]]</f>
        <v>0</v>
      </c>
      <c r="J94" s="379">
        <v>0</v>
      </c>
      <c r="K94" s="380">
        <v>19</v>
      </c>
      <c r="L94" s="381">
        <v>3</v>
      </c>
      <c r="M94" s="380">
        <v>0</v>
      </c>
      <c r="N94" s="381">
        <v>0</v>
      </c>
      <c r="O94" s="249">
        <v>0</v>
      </c>
      <c r="P94" s="250">
        <v>166.66666666666669</v>
      </c>
      <c r="Q94" s="250">
        <v>26.315789473684212</v>
      </c>
      <c r="R94" s="250">
        <v>0</v>
      </c>
      <c r="S94" s="250">
        <v>0</v>
      </c>
      <c r="T94" s="241">
        <v>0</v>
      </c>
      <c r="U94" s="242">
        <v>0</v>
      </c>
      <c r="V94" s="242">
        <v>0</v>
      </c>
      <c r="W94" s="242">
        <v>0</v>
      </c>
      <c r="X94" s="243">
        <v>0</v>
      </c>
      <c r="Y94" s="248">
        <v>1.18</v>
      </c>
      <c r="Z94" s="248">
        <v>1.28</v>
      </c>
      <c r="AA94" s="248">
        <v>1.2</v>
      </c>
      <c r="AB94" s="248">
        <v>1.53</v>
      </c>
      <c r="AC94" s="248">
        <v>1.2</v>
      </c>
      <c r="AD94" s="252">
        <v>0</v>
      </c>
      <c r="AE94" s="253">
        <v>0</v>
      </c>
      <c r="AF94" s="253">
        <v>0</v>
      </c>
      <c r="AG94" s="253">
        <v>0</v>
      </c>
      <c r="AH94" s="254">
        <v>0</v>
      </c>
      <c r="AI94" s="563">
        <v>0</v>
      </c>
      <c r="AJ94" s="411">
        <v>55</v>
      </c>
      <c r="AK94" s="185" t="e">
        <f t="shared" si="21"/>
        <v>#DIV/0!</v>
      </c>
      <c r="AL94" s="186" t="e">
        <f t="shared" si="22"/>
        <v>#DIV/0!</v>
      </c>
      <c r="AM94" s="186" t="e">
        <f t="shared" si="23"/>
        <v>#DIV/0!</v>
      </c>
      <c r="AN94" s="186" t="e">
        <f t="shared" si="24"/>
        <v>#DIV/0!</v>
      </c>
      <c r="AO94" s="187" t="e">
        <f t="shared" si="25"/>
        <v>#DIV/0!</v>
      </c>
      <c r="AP94" s="159">
        <f t="shared" si="30"/>
        <v>1550</v>
      </c>
      <c r="AQ94" s="160">
        <f t="shared" si="30"/>
        <v>19462</v>
      </c>
      <c r="AR94" s="160">
        <f t="shared" si="30"/>
        <v>36854</v>
      </c>
      <c r="AS94" s="160">
        <f t="shared" si="30"/>
        <v>1560</v>
      </c>
      <c r="AT94" s="161">
        <f t="shared" si="30"/>
        <v>3640</v>
      </c>
      <c r="AU94" s="162">
        <f t="shared" si="17"/>
        <v>0</v>
      </c>
      <c r="AV94" s="163">
        <f t="shared" si="27"/>
        <v>0</v>
      </c>
      <c r="AW94" s="163">
        <f t="shared" si="28"/>
        <v>0</v>
      </c>
      <c r="AX94" s="163">
        <f t="shared" si="18"/>
        <v>0</v>
      </c>
      <c r="AY94" s="164">
        <f t="shared" si="19"/>
        <v>0</v>
      </c>
      <c r="AZ94" s="162">
        <f t="shared" si="20"/>
        <v>0</v>
      </c>
      <c r="BA94" s="163">
        <v>1000</v>
      </c>
      <c r="BB94" s="163" t="e">
        <f t="shared" si="29"/>
        <v>#DIV/0!</v>
      </c>
      <c r="BC94" s="153"/>
      <c r="BD94" s="156"/>
    </row>
    <row r="95" spans="1:56" ht="15" thickBot="1" x14ac:dyDescent="0.35">
      <c r="A95" s="204"/>
      <c r="B95" s="263">
        <f>DAY(Tabla2[[#This Row],[FECHA]])</f>
        <v>0</v>
      </c>
      <c r="D95" s="190"/>
      <c r="E95" s="191"/>
      <c r="F95" s="192"/>
      <c r="I95" s="390">
        <f>Tabla2[[#This Row],[VOLUMEN ENVIADO A RO (m3)]]/Tabla2[[#This Row],[Q DE OPERACIÓN (m3/h)]]</f>
        <v>0</v>
      </c>
      <c r="J95" s="386">
        <v>0</v>
      </c>
      <c r="K95" s="387">
        <v>45</v>
      </c>
      <c r="L95" s="387">
        <v>37</v>
      </c>
      <c r="M95" s="387">
        <v>0</v>
      </c>
      <c r="N95" s="388">
        <v>0</v>
      </c>
      <c r="O95" s="245">
        <f t="shared" ref="O95" si="31">J95*(1000/114)</f>
        <v>0</v>
      </c>
      <c r="P95" s="246">
        <f t="shared" ref="P95" si="32">K95*(1000/114)</f>
        <v>394.73684210526318</v>
      </c>
      <c r="Q95" s="246">
        <f>L95*(1000/114)</f>
        <v>324.56140350877195</v>
      </c>
      <c r="R95" s="246">
        <f t="shared" ref="R95" si="33">M95*(1000/114)</f>
        <v>0</v>
      </c>
      <c r="S95" s="246">
        <f t="shared" ref="S95" si="34">N95*(1000/114)</f>
        <v>0</v>
      </c>
      <c r="T95" s="241">
        <f>O95-O96</f>
        <v>0</v>
      </c>
      <c r="U95" s="242">
        <f>P95-P96</f>
        <v>394.73684210526318</v>
      </c>
      <c r="V95" s="242">
        <f>Q95-Q96</f>
        <v>324.56140350877195</v>
      </c>
      <c r="W95" s="242">
        <f>R95-R96</f>
        <v>0</v>
      </c>
      <c r="X95" s="243">
        <f>S95-S96</f>
        <v>0</v>
      </c>
      <c r="Y95" s="248"/>
      <c r="Z95" s="248"/>
      <c r="AA95" s="248"/>
      <c r="AB95" s="248"/>
      <c r="AC95" s="248"/>
      <c r="AD95" s="241">
        <f t="shared" ref="AD95:AH95" si="35">T95*Y95</f>
        <v>0</v>
      </c>
      <c r="AE95" s="242">
        <f t="shared" si="35"/>
        <v>0</v>
      </c>
      <c r="AF95" s="242">
        <f t="shared" si="35"/>
        <v>0</v>
      </c>
      <c r="AG95" s="242">
        <f t="shared" si="35"/>
        <v>0</v>
      </c>
      <c r="AH95" s="243">
        <f t="shared" si="35"/>
        <v>0</v>
      </c>
      <c r="AI95" s="241"/>
      <c r="AJ95" s="411">
        <v>55</v>
      </c>
      <c r="AK95" s="185" t="e">
        <f t="shared" si="21"/>
        <v>#DIV/0!</v>
      </c>
      <c r="AL95" s="186" t="e">
        <f t="shared" si="22"/>
        <v>#DIV/0!</v>
      </c>
      <c r="AM95" s="186" t="e">
        <f t="shared" si="23"/>
        <v>#DIV/0!</v>
      </c>
      <c r="AN95" s="186" t="e">
        <f t="shared" si="24"/>
        <v>#DIV/0!</v>
      </c>
      <c r="AO95" s="187" t="e">
        <f t="shared" si="25"/>
        <v>#DIV/0!</v>
      </c>
      <c r="AP95" s="159">
        <f t="shared" si="30"/>
        <v>1550</v>
      </c>
      <c r="AQ95" s="389">
        <f t="shared" si="30"/>
        <v>19462</v>
      </c>
      <c r="AR95" s="389">
        <f t="shared" si="30"/>
        <v>36854</v>
      </c>
      <c r="AS95" s="389">
        <f t="shared" si="30"/>
        <v>1560</v>
      </c>
      <c r="AT95" s="161">
        <f t="shared" si="30"/>
        <v>3640</v>
      </c>
      <c r="AU95" s="159">
        <f t="shared" si="17"/>
        <v>0</v>
      </c>
      <c r="AV95" s="389">
        <f t="shared" si="27"/>
        <v>0</v>
      </c>
      <c r="AW95" s="389">
        <f t="shared" si="28"/>
        <v>0</v>
      </c>
      <c r="AX95" s="389">
        <f t="shared" si="18"/>
        <v>0</v>
      </c>
      <c r="AY95" s="161">
        <f t="shared" si="19"/>
        <v>0</v>
      </c>
      <c r="AZ95" s="159">
        <f t="shared" si="20"/>
        <v>0</v>
      </c>
      <c r="BA95" s="389"/>
      <c r="BB95" s="389" t="e">
        <f t="shared" si="29"/>
        <v>#DIV/0!</v>
      </c>
    </row>
    <row r="96" spans="1:56" ht="15" thickBot="1" x14ac:dyDescent="0.35">
      <c r="A96" s="345"/>
      <c r="B96" s="346"/>
      <c r="D96" s="347"/>
      <c r="E96" s="348"/>
      <c r="F96" s="501"/>
      <c r="I96" s="349"/>
      <c r="J96" s="382"/>
      <c r="K96" s="383"/>
      <c r="L96" s="383"/>
      <c r="M96" s="383"/>
      <c r="N96" s="384"/>
      <c r="O96" s="249">
        <f>J96*(1000/114)</f>
        <v>0</v>
      </c>
      <c r="P96" s="250">
        <f>K96*(1000/114)</f>
        <v>0</v>
      </c>
      <c r="Q96" s="250">
        <f>L96*(1000/114)</f>
        <v>0</v>
      </c>
      <c r="R96" s="250">
        <f>M96*(1000/114)</f>
        <v>0</v>
      </c>
      <c r="S96" s="250">
        <f>N96*(1000/114)</f>
        <v>0</v>
      </c>
      <c r="T96" s="241"/>
      <c r="U96" s="242"/>
      <c r="V96" s="242"/>
      <c r="W96" s="242"/>
      <c r="X96" s="243"/>
      <c r="Y96" s="350"/>
      <c r="Z96" s="350"/>
      <c r="AA96" s="350"/>
      <c r="AB96" s="350"/>
      <c r="AC96" s="350"/>
      <c r="AD96" s="241"/>
      <c r="AE96" s="242"/>
      <c r="AF96" s="242"/>
      <c r="AG96" s="242"/>
      <c r="AH96" s="243"/>
      <c r="AI96" s="241"/>
      <c r="AJ96" s="241"/>
      <c r="AK96" s="185"/>
      <c r="AL96" s="186"/>
      <c r="AM96" s="186"/>
      <c r="AN96" s="186"/>
      <c r="AO96" s="187"/>
      <c r="AP96" s="363"/>
      <c r="AQ96" s="364"/>
      <c r="AR96" s="364"/>
      <c r="AS96" s="364"/>
      <c r="AT96" s="365"/>
      <c r="AU96" s="363"/>
      <c r="AV96" s="364"/>
      <c r="AW96" s="364"/>
      <c r="AX96" s="364"/>
      <c r="AY96" s="365"/>
      <c r="AZ96" s="363">
        <f>SUM(AZ2:AZ94)</f>
        <v>2936226.5235263156</v>
      </c>
      <c r="BA96" s="364"/>
      <c r="BB96" s="364"/>
    </row>
    <row r="97" spans="35:35" x14ac:dyDescent="0.3">
      <c r="AI97" s="70">
        <f>+SUM(AI2:AI94)</f>
        <v>14633.578999999998</v>
      </c>
    </row>
  </sheetData>
  <conditionalFormatting sqref="J2:N95">
    <cfRule type="containsBlanks" dxfId="464" priority="2">
      <formula>LEN(TRIM(J2))=0</formula>
    </cfRule>
  </conditionalFormatting>
  <conditionalFormatting sqref="T1:X1048576">
    <cfRule type="cellIs" dxfId="463" priority="1" operator="lessThan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51314-E97E-4D5D-B336-413EE729D8EB}">
  <dimension ref="A1:AH35"/>
  <sheetViews>
    <sheetView workbookViewId="0">
      <selection activeCell="A28" sqref="A24:A28"/>
      <pivotSelection pane="bottomRight" showHeader="1" axis="axisRow" activeRow="27" previousRow="27" click="1" r:id="rId2">
        <pivotArea dataOnly="0" labelOnly="1" fieldPosition="0">
          <references count="1">
            <reference field="4294967294" count="0"/>
          </references>
        </pivotArea>
      </pivotSelection>
    </sheetView>
  </sheetViews>
  <sheetFormatPr baseColWidth="10" defaultRowHeight="14.4" x14ac:dyDescent="0.3"/>
  <cols>
    <col min="1" max="1" width="41" bestFit="1" customWidth="1"/>
    <col min="2" max="2" width="8.33203125" bestFit="1" customWidth="1"/>
    <col min="3" max="7" width="5.6640625" customWidth="1"/>
    <col min="8" max="12" width="8.33203125" bestFit="1" customWidth="1"/>
    <col min="13" max="30" width="5.6640625" customWidth="1"/>
    <col min="31" max="31" width="8.77734375" bestFit="1" customWidth="1"/>
    <col min="32" max="32" width="12.6640625" bestFit="1" customWidth="1"/>
    <col min="33" max="150" width="41.109375" bestFit="1" customWidth="1"/>
    <col min="151" max="151" width="29" bestFit="1" customWidth="1"/>
    <col min="152" max="153" width="46.109375" bestFit="1" customWidth="1"/>
    <col min="154" max="154" width="45" bestFit="1" customWidth="1"/>
    <col min="155" max="155" width="36.21875" bestFit="1" customWidth="1"/>
    <col min="156" max="156" width="37.109375" bestFit="1" customWidth="1"/>
    <col min="157" max="158" width="52.88671875" bestFit="1" customWidth="1"/>
    <col min="159" max="159" width="51.6640625" bestFit="1" customWidth="1"/>
    <col min="160" max="160" width="43" bestFit="1" customWidth="1"/>
  </cols>
  <sheetData>
    <row r="1" spans="1:34" ht="15" thickBot="1" x14ac:dyDescent="0.35">
      <c r="A1" s="661" t="s">
        <v>160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  <c r="P1" s="661"/>
      <c r="Q1" s="661"/>
      <c r="R1" s="661"/>
      <c r="S1" s="661"/>
      <c r="T1" s="661"/>
      <c r="U1" s="661"/>
      <c r="V1" s="661"/>
      <c r="W1" s="661"/>
      <c r="X1" s="661"/>
      <c r="Y1" s="661"/>
      <c r="Z1" s="661"/>
      <c r="AA1" s="661"/>
      <c r="AB1" s="661"/>
      <c r="AC1" s="661"/>
      <c r="AD1" s="661"/>
      <c r="AE1" s="661"/>
      <c r="AF1" s="661"/>
    </row>
    <row r="2" spans="1:34" ht="15" thickBot="1" x14ac:dyDescent="0.35">
      <c r="A2" s="655" t="s">
        <v>5</v>
      </c>
      <c r="B2" s="656"/>
      <c r="C2" s="657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</row>
    <row r="3" spans="1:34" ht="15" thickBot="1" x14ac:dyDescent="0.35">
      <c r="A3" s="271"/>
      <c r="B3" s="271" t="s">
        <v>79</v>
      </c>
      <c r="C3" s="266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  <c r="AA3" s="267"/>
      <c r="AB3" s="267"/>
      <c r="AC3" s="267"/>
      <c r="AD3" s="267"/>
      <c r="AE3" s="267"/>
      <c r="AF3" s="267"/>
      <c r="AG3" s="267"/>
      <c r="AH3" s="268"/>
    </row>
    <row r="4" spans="1:34" ht="15" thickBot="1" x14ac:dyDescent="0.35">
      <c r="A4" s="271" t="s">
        <v>154</v>
      </c>
      <c r="B4" s="285">
        <v>1</v>
      </c>
      <c r="C4" s="286">
        <v>2</v>
      </c>
      <c r="D4" s="286">
        <v>3</v>
      </c>
      <c r="E4" s="286">
        <v>4</v>
      </c>
      <c r="F4" s="286">
        <v>5</v>
      </c>
      <c r="G4" s="286">
        <v>6</v>
      </c>
      <c r="H4" s="286">
        <v>7</v>
      </c>
      <c r="I4" s="286">
        <v>8</v>
      </c>
      <c r="J4" s="286">
        <v>9</v>
      </c>
      <c r="K4" s="286">
        <v>10</v>
      </c>
      <c r="L4" s="286">
        <v>11</v>
      </c>
      <c r="M4" s="286">
        <v>12</v>
      </c>
      <c r="N4" s="286">
        <v>13</v>
      </c>
      <c r="O4" s="286">
        <v>14</v>
      </c>
      <c r="P4" s="286">
        <v>15</v>
      </c>
      <c r="Q4" s="286">
        <v>16</v>
      </c>
      <c r="R4" s="286">
        <v>17</v>
      </c>
      <c r="S4" s="286">
        <v>18</v>
      </c>
      <c r="T4" s="286">
        <v>19</v>
      </c>
      <c r="U4" s="286">
        <v>20</v>
      </c>
      <c r="V4" s="286">
        <v>21</v>
      </c>
      <c r="W4" s="286">
        <v>22</v>
      </c>
      <c r="X4" s="286">
        <v>23</v>
      </c>
      <c r="Y4" s="286">
        <v>24</v>
      </c>
      <c r="Z4" s="286">
        <v>25</v>
      </c>
      <c r="AA4" s="286">
        <v>26</v>
      </c>
      <c r="AB4" s="286">
        <v>27</v>
      </c>
      <c r="AC4" s="286">
        <v>28</v>
      </c>
      <c r="AD4" s="286">
        <v>29</v>
      </c>
      <c r="AE4" s="286">
        <v>30</v>
      </c>
      <c r="AF4" s="286">
        <v>31</v>
      </c>
      <c r="AG4" s="287">
        <v>0</v>
      </c>
      <c r="AH4" s="288" t="s">
        <v>72</v>
      </c>
    </row>
    <row r="5" spans="1:34" x14ac:dyDescent="0.3">
      <c r="A5" s="282" t="s">
        <v>149</v>
      </c>
      <c r="B5" s="101">
        <v>0</v>
      </c>
      <c r="C5" s="97">
        <v>0</v>
      </c>
      <c r="D5" s="502">
        <v>0</v>
      </c>
      <c r="E5" s="502">
        <v>0</v>
      </c>
      <c r="F5" s="502">
        <v>0</v>
      </c>
      <c r="G5" s="502">
        <v>0</v>
      </c>
      <c r="H5" s="502">
        <v>0</v>
      </c>
      <c r="I5" s="502">
        <v>0</v>
      </c>
      <c r="J5" s="502">
        <v>0</v>
      </c>
      <c r="K5" s="502">
        <v>0</v>
      </c>
      <c r="L5" s="502">
        <v>0</v>
      </c>
      <c r="M5" s="502">
        <v>0</v>
      </c>
      <c r="N5" s="502">
        <v>0</v>
      </c>
      <c r="O5" s="502">
        <v>0</v>
      </c>
      <c r="P5" s="502">
        <v>0</v>
      </c>
      <c r="Q5" s="502">
        <v>0</v>
      </c>
      <c r="R5" s="502">
        <v>0</v>
      </c>
      <c r="S5" s="502">
        <v>0</v>
      </c>
      <c r="T5" s="502">
        <v>0</v>
      </c>
      <c r="U5" s="502">
        <v>0</v>
      </c>
      <c r="V5" s="502">
        <v>0</v>
      </c>
      <c r="W5" s="502">
        <v>0</v>
      </c>
      <c r="X5" s="502">
        <v>0</v>
      </c>
      <c r="Y5" s="502">
        <v>0</v>
      </c>
      <c r="Z5" s="502">
        <v>0</v>
      </c>
      <c r="AA5" s="502">
        <v>0</v>
      </c>
      <c r="AB5" s="502">
        <v>0</v>
      </c>
      <c r="AC5" s="502">
        <v>0</v>
      </c>
      <c r="AD5" s="502">
        <v>0</v>
      </c>
      <c r="AE5" s="502">
        <v>0</v>
      </c>
      <c r="AF5" s="97">
        <v>0</v>
      </c>
      <c r="AG5" s="97">
        <v>0</v>
      </c>
      <c r="AH5" s="269">
        <v>0</v>
      </c>
    </row>
    <row r="6" spans="1:34" x14ac:dyDescent="0.3">
      <c r="A6" s="283" t="s">
        <v>150</v>
      </c>
      <c r="B6" s="117">
        <v>0</v>
      </c>
      <c r="C6" s="89">
        <v>0</v>
      </c>
      <c r="D6" s="504">
        <v>0</v>
      </c>
      <c r="E6" s="504">
        <v>0</v>
      </c>
      <c r="F6" s="504">
        <v>0</v>
      </c>
      <c r="G6" s="504">
        <v>17.543859649122794</v>
      </c>
      <c r="H6" s="504">
        <v>70.175438596491233</v>
      </c>
      <c r="I6" s="504">
        <v>17.543859649122794</v>
      </c>
      <c r="J6" s="504">
        <v>307.01754385964915</v>
      </c>
      <c r="K6" s="504">
        <v>0</v>
      </c>
      <c r="L6" s="504">
        <v>0</v>
      </c>
      <c r="M6" s="504">
        <v>20</v>
      </c>
      <c r="N6" s="504">
        <v>70.175438596491148</v>
      </c>
      <c r="O6" s="504">
        <v>106.49122807017545</v>
      </c>
      <c r="P6" s="504">
        <v>96.491228070175453</v>
      </c>
      <c r="Q6" s="504">
        <v>52.631578947368439</v>
      </c>
      <c r="R6" s="504">
        <v>35.087719298245588</v>
      </c>
      <c r="S6" s="504">
        <v>0</v>
      </c>
      <c r="T6" s="504">
        <v>0</v>
      </c>
      <c r="U6" s="504">
        <v>0</v>
      </c>
      <c r="V6" s="504">
        <v>26.31578947368422</v>
      </c>
      <c r="W6" s="504">
        <v>0</v>
      </c>
      <c r="X6" s="504">
        <v>0</v>
      </c>
      <c r="Y6" s="504">
        <v>0</v>
      </c>
      <c r="Z6" s="504">
        <v>0</v>
      </c>
      <c r="AA6" s="504">
        <v>0</v>
      </c>
      <c r="AB6" s="504">
        <v>0</v>
      </c>
      <c r="AC6" s="504">
        <v>0</v>
      </c>
      <c r="AD6" s="504">
        <v>0</v>
      </c>
      <c r="AE6" s="504">
        <v>0</v>
      </c>
      <c r="AF6" s="89">
        <v>0</v>
      </c>
      <c r="AG6" s="89">
        <v>394.73684210526318</v>
      </c>
      <c r="AH6" s="270">
        <v>1214.2105263157894</v>
      </c>
    </row>
    <row r="7" spans="1:34" x14ac:dyDescent="0.3">
      <c r="A7" s="283" t="s">
        <v>151</v>
      </c>
      <c r="B7" s="117">
        <v>0</v>
      </c>
      <c r="C7" s="89">
        <v>0</v>
      </c>
      <c r="D7" s="504">
        <v>0</v>
      </c>
      <c r="E7" s="504">
        <v>0</v>
      </c>
      <c r="F7" s="504">
        <v>0</v>
      </c>
      <c r="G7" s="504">
        <v>0</v>
      </c>
      <c r="H7" s="504">
        <v>71.929824561403507</v>
      </c>
      <c r="I7" s="504">
        <v>35.087719298245588</v>
      </c>
      <c r="J7" s="504">
        <v>17.543859649122851</v>
      </c>
      <c r="K7" s="504">
        <v>35.087719298245588</v>
      </c>
      <c r="L7" s="504">
        <v>377.19298245614038</v>
      </c>
      <c r="M7" s="504">
        <v>30</v>
      </c>
      <c r="N7" s="504">
        <v>70.175438596491148</v>
      </c>
      <c r="O7" s="504">
        <v>201.75438596491233</v>
      </c>
      <c r="P7" s="504">
        <v>140.35087719298244</v>
      </c>
      <c r="Q7" s="504">
        <v>70.175438596491233</v>
      </c>
      <c r="R7" s="504">
        <v>17.543859649122808</v>
      </c>
      <c r="S7" s="504">
        <v>17.543859649122808</v>
      </c>
      <c r="T7" s="504">
        <v>0</v>
      </c>
      <c r="U7" s="504">
        <v>0</v>
      </c>
      <c r="V7" s="504">
        <v>0</v>
      </c>
      <c r="W7" s="504">
        <v>0</v>
      </c>
      <c r="X7" s="504">
        <v>0</v>
      </c>
      <c r="Y7" s="504">
        <v>0</v>
      </c>
      <c r="Z7" s="504">
        <v>0</v>
      </c>
      <c r="AA7" s="504">
        <v>0</v>
      </c>
      <c r="AB7" s="504">
        <v>0</v>
      </c>
      <c r="AC7" s="504">
        <v>0</v>
      </c>
      <c r="AD7" s="504">
        <v>0</v>
      </c>
      <c r="AE7" s="504">
        <v>0</v>
      </c>
      <c r="AF7" s="89">
        <v>0</v>
      </c>
      <c r="AG7" s="89">
        <v>324.56140350877195</v>
      </c>
      <c r="AH7" s="270">
        <v>1408.9473684210527</v>
      </c>
    </row>
    <row r="8" spans="1:34" x14ac:dyDescent="0.3">
      <c r="A8" s="283" t="s">
        <v>152</v>
      </c>
      <c r="B8" s="117">
        <v>0</v>
      </c>
      <c r="C8" s="89">
        <v>0</v>
      </c>
      <c r="D8" s="504">
        <v>0</v>
      </c>
      <c r="E8" s="504">
        <v>0</v>
      </c>
      <c r="F8" s="504">
        <v>0</v>
      </c>
      <c r="G8" s="504">
        <v>0</v>
      </c>
      <c r="H8" s="504">
        <v>0</v>
      </c>
      <c r="I8" s="504">
        <v>0</v>
      </c>
      <c r="J8" s="504">
        <v>0</v>
      </c>
      <c r="K8" s="504">
        <v>0</v>
      </c>
      <c r="L8" s="504">
        <v>0</v>
      </c>
      <c r="M8" s="504">
        <v>0</v>
      </c>
      <c r="N8" s="504">
        <v>0</v>
      </c>
      <c r="O8" s="504">
        <v>0</v>
      </c>
      <c r="P8" s="504">
        <v>0</v>
      </c>
      <c r="Q8" s="504">
        <v>0</v>
      </c>
      <c r="R8" s="504">
        <v>0</v>
      </c>
      <c r="S8" s="504">
        <v>0</v>
      </c>
      <c r="T8" s="504">
        <v>0</v>
      </c>
      <c r="U8" s="504">
        <v>0</v>
      </c>
      <c r="V8" s="504">
        <v>0</v>
      </c>
      <c r="W8" s="504">
        <v>0</v>
      </c>
      <c r="X8" s="504">
        <v>0</v>
      </c>
      <c r="Y8" s="504">
        <v>0</v>
      </c>
      <c r="Z8" s="504">
        <v>0</v>
      </c>
      <c r="AA8" s="504">
        <v>0</v>
      </c>
      <c r="AB8" s="504">
        <v>0</v>
      </c>
      <c r="AC8" s="504">
        <v>0</v>
      </c>
      <c r="AD8" s="504">
        <v>0</v>
      </c>
      <c r="AE8" s="504">
        <v>0</v>
      </c>
      <c r="AF8" s="89">
        <v>0</v>
      </c>
      <c r="AG8" s="89">
        <v>0</v>
      </c>
      <c r="AH8" s="270">
        <v>0</v>
      </c>
    </row>
    <row r="9" spans="1:34" ht="15" thickBot="1" x14ac:dyDescent="0.35">
      <c r="A9" s="284" t="s">
        <v>153</v>
      </c>
      <c r="B9" s="100">
        <v>0</v>
      </c>
      <c r="C9" s="99">
        <v>0</v>
      </c>
      <c r="D9" s="505">
        <v>0</v>
      </c>
      <c r="E9" s="505">
        <v>0</v>
      </c>
      <c r="F9" s="505">
        <v>0</v>
      </c>
      <c r="G9" s="505">
        <v>0</v>
      </c>
      <c r="H9" s="505">
        <v>0</v>
      </c>
      <c r="I9" s="505">
        <v>0</v>
      </c>
      <c r="J9" s="505">
        <v>0</v>
      </c>
      <c r="K9" s="505">
        <v>0</v>
      </c>
      <c r="L9" s="505">
        <v>0</v>
      </c>
      <c r="M9" s="505">
        <v>0</v>
      </c>
      <c r="N9" s="505">
        <v>0</v>
      </c>
      <c r="O9" s="505">
        <v>0</v>
      </c>
      <c r="P9" s="505">
        <v>0</v>
      </c>
      <c r="Q9" s="505">
        <v>0</v>
      </c>
      <c r="R9" s="505">
        <v>0</v>
      </c>
      <c r="S9" s="505">
        <v>0</v>
      </c>
      <c r="T9" s="505">
        <v>0</v>
      </c>
      <c r="U9" s="505">
        <v>0</v>
      </c>
      <c r="V9" s="505">
        <v>0</v>
      </c>
      <c r="W9" s="505">
        <v>0</v>
      </c>
      <c r="X9" s="505">
        <v>0</v>
      </c>
      <c r="Y9" s="505">
        <v>0</v>
      </c>
      <c r="Z9" s="505">
        <v>0</v>
      </c>
      <c r="AA9" s="505">
        <v>0</v>
      </c>
      <c r="AB9" s="505">
        <v>0</v>
      </c>
      <c r="AC9" s="505">
        <v>0</v>
      </c>
      <c r="AD9" s="505">
        <v>0</v>
      </c>
      <c r="AE9" s="505">
        <v>0</v>
      </c>
      <c r="AF9" s="99">
        <v>0</v>
      </c>
      <c r="AG9" s="99">
        <v>0</v>
      </c>
      <c r="AH9" s="506">
        <v>0</v>
      </c>
    </row>
    <row r="10" spans="1:34" ht="15" thickBot="1" x14ac:dyDescent="0.3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</row>
    <row r="11" spans="1:34" ht="15" thickBot="1" x14ac:dyDescent="0.35">
      <c r="A11" s="658" t="s">
        <v>4</v>
      </c>
      <c r="B11" s="659"/>
      <c r="C11" s="660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</row>
    <row r="12" spans="1:34" ht="15" thickBot="1" x14ac:dyDescent="0.35">
      <c r="A12" s="152"/>
      <c r="B12" s="152" t="s">
        <v>79</v>
      </c>
      <c r="C12" s="276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277"/>
    </row>
    <row r="13" spans="1:34" ht="15" thickBot="1" x14ac:dyDescent="0.35">
      <c r="A13" s="152" t="s">
        <v>154</v>
      </c>
      <c r="B13" s="281">
        <v>1</v>
      </c>
      <c r="C13" s="281">
        <v>2</v>
      </c>
      <c r="D13" s="281">
        <v>3</v>
      </c>
      <c r="E13" s="281">
        <v>4</v>
      </c>
      <c r="F13" s="281">
        <v>5</v>
      </c>
      <c r="G13" s="281">
        <v>6</v>
      </c>
      <c r="H13" s="281">
        <v>7</v>
      </c>
      <c r="I13" s="281">
        <v>8</v>
      </c>
      <c r="J13" s="281">
        <v>9</v>
      </c>
      <c r="K13" s="281">
        <v>10</v>
      </c>
      <c r="L13" s="281">
        <v>11</v>
      </c>
      <c r="M13" s="281">
        <v>12</v>
      </c>
      <c r="N13" s="281">
        <v>13</v>
      </c>
      <c r="O13" s="281">
        <v>14</v>
      </c>
      <c r="P13" s="281">
        <v>15</v>
      </c>
      <c r="Q13" s="281">
        <v>16</v>
      </c>
      <c r="R13" s="281">
        <v>17</v>
      </c>
      <c r="S13" s="281">
        <v>18</v>
      </c>
      <c r="T13" s="281">
        <v>19</v>
      </c>
      <c r="U13" s="281">
        <v>20</v>
      </c>
      <c r="V13" s="281">
        <v>21</v>
      </c>
      <c r="W13" s="281">
        <v>22</v>
      </c>
      <c r="X13" s="281">
        <v>23</v>
      </c>
      <c r="Y13" s="281">
        <v>24</v>
      </c>
      <c r="Z13" s="281">
        <v>25</v>
      </c>
      <c r="AA13" s="281">
        <v>26</v>
      </c>
      <c r="AB13" s="281">
        <v>27</v>
      </c>
      <c r="AC13" s="281">
        <v>28</v>
      </c>
      <c r="AD13" s="281">
        <v>29</v>
      </c>
      <c r="AE13" s="281">
        <v>30</v>
      </c>
      <c r="AF13" s="281">
        <v>31</v>
      </c>
      <c r="AG13" s="281">
        <v>0</v>
      </c>
      <c r="AH13" s="281" t="s">
        <v>72</v>
      </c>
    </row>
    <row r="14" spans="1:34" x14ac:dyDescent="0.3">
      <c r="A14" s="278" t="s">
        <v>155</v>
      </c>
      <c r="B14" s="90">
        <v>0</v>
      </c>
      <c r="C14" s="91">
        <v>0</v>
      </c>
      <c r="D14" s="272">
        <v>0</v>
      </c>
      <c r="E14" s="272">
        <v>0</v>
      </c>
      <c r="F14" s="272">
        <v>0</v>
      </c>
      <c r="G14" s="272">
        <v>0</v>
      </c>
      <c r="H14" s="272">
        <v>0</v>
      </c>
      <c r="I14" s="272">
        <v>0</v>
      </c>
      <c r="J14" s="272">
        <v>0</v>
      </c>
      <c r="K14" s="272">
        <v>0</v>
      </c>
      <c r="L14" s="272">
        <v>0</v>
      </c>
      <c r="M14" s="272">
        <v>0</v>
      </c>
      <c r="N14" s="272">
        <v>0</v>
      </c>
      <c r="O14" s="272">
        <v>0</v>
      </c>
      <c r="P14" s="272">
        <v>0</v>
      </c>
      <c r="Q14" s="272">
        <v>0</v>
      </c>
      <c r="R14" s="272">
        <v>0</v>
      </c>
      <c r="S14" s="272">
        <v>0</v>
      </c>
      <c r="T14" s="272">
        <v>0</v>
      </c>
      <c r="U14" s="272">
        <v>0</v>
      </c>
      <c r="V14" s="272">
        <v>0</v>
      </c>
      <c r="W14" s="272">
        <v>0</v>
      </c>
      <c r="X14" s="272">
        <v>0</v>
      </c>
      <c r="Y14" s="272">
        <v>0</v>
      </c>
      <c r="Z14" s="272">
        <v>0</v>
      </c>
      <c r="AA14" s="272">
        <v>0</v>
      </c>
      <c r="AB14" s="272">
        <v>0</v>
      </c>
      <c r="AC14" s="272">
        <v>0</v>
      </c>
      <c r="AD14" s="272">
        <v>0</v>
      </c>
      <c r="AE14" s="272">
        <v>0</v>
      </c>
      <c r="AF14" s="91">
        <v>0</v>
      </c>
      <c r="AG14" s="91">
        <v>0</v>
      </c>
      <c r="AH14" s="273">
        <v>0</v>
      </c>
    </row>
    <row r="15" spans="1:34" x14ac:dyDescent="0.3">
      <c r="A15" s="279" t="s">
        <v>156</v>
      </c>
      <c r="B15" s="106">
        <v>0</v>
      </c>
      <c r="C15" s="707">
        <v>0</v>
      </c>
      <c r="D15" s="720">
        <v>0</v>
      </c>
      <c r="E15" s="720">
        <v>0</v>
      </c>
      <c r="F15" s="720">
        <v>0</v>
      </c>
      <c r="G15" s="720">
        <v>22.456140350877178</v>
      </c>
      <c r="H15" s="720">
        <v>89.824561403508781</v>
      </c>
      <c r="I15" s="720">
        <v>22.456140350877178</v>
      </c>
      <c r="J15" s="720">
        <v>392.98245614035091</v>
      </c>
      <c r="K15" s="720">
        <v>0</v>
      </c>
      <c r="L15" s="720">
        <v>0</v>
      </c>
      <c r="M15" s="720">
        <v>25.6</v>
      </c>
      <c r="N15" s="720">
        <v>89.824561403508682</v>
      </c>
      <c r="O15" s="720">
        <v>136.30877192982459</v>
      </c>
      <c r="P15" s="720">
        <v>123.50877192982458</v>
      </c>
      <c r="Q15" s="720">
        <v>67.368421052631604</v>
      </c>
      <c r="R15" s="720">
        <v>44.912280701754355</v>
      </c>
      <c r="S15" s="720">
        <v>0</v>
      </c>
      <c r="T15" s="720">
        <v>0</v>
      </c>
      <c r="U15" s="720">
        <v>0</v>
      </c>
      <c r="V15" s="720">
        <v>33.684210526315802</v>
      </c>
      <c r="W15" s="720">
        <v>0</v>
      </c>
      <c r="X15" s="720">
        <v>0</v>
      </c>
      <c r="Y15" s="720">
        <v>0</v>
      </c>
      <c r="Z15" s="720">
        <v>0</v>
      </c>
      <c r="AA15" s="720">
        <v>0</v>
      </c>
      <c r="AB15" s="720">
        <v>0</v>
      </c>
      <c r="AC15" s="720">
        <v>0</v>
      </c>
      <c r="AD15" s="720">
        <v>0</v>
      </c>
      <c r="AE15" s="720">
        <v>0</v>
      </c>
      <c r="AF15" s="707">
        <v>0</v>
      </c>
      <c r="AG15" s="707">
        <v>0</v>
      </c>
      <c r="AH15" s="274">
        <v>1048.9263157894736</v>
      </c>
    </row>
    <row r="16" spans="1:34" x14ac:dyDescent="0.3">
      <c r="A16" s="279" t="s">
        <v>157</v>
      </c>
      <c r="B16" s="106">
        <v>0</v>
      </c>
      <c r="C16" s="707">
        <v>0</v>
      </c>
      <c r="D16" s="720">
        <v>0</v>
      </c>
      <c r="E16" s="720">
        <v>0</v>
      </c>
      <c r="F16" s="720">
        <v>0</v>
      </c>
      <c r="G16" s="720">
        <v>0</v>
      </c>
      <c r="H16" s="720">
        <v>86.315789473684205</v>
      </c>
      <c r="I16" s="720">
        <v>42.105263157894704</v>
      </c>
      <c r="J16" s="720">
        <v>21.05263157894742</v>
      </c>
      <c r="K16" s="720">
        <v>42.105263157894704</v>
      </c>
      <c r="L16" s="720">
        <v>452.63157894736844</v>
      </c>
      <c r="M16" s="720">
        <v>36</v>
      </c>
      <c r="N16" s="720">
        <v>84.21052631578938</v>
      </c>
      <c r="O16" s="720">
        <v>242.1052631578948</v>
      </c>
      <c r="P16" s="720">
        <v>168.42105263157893</v>
      </c>
      <c r="Q16" s="720">
        <v>84.21052631578948</v>
      </c>
      <c r="R16" s="720">
        <v>21.05263157894737</v>
      </c>
      <c r="S16" s="720">
        <v>21.05263157894737</v>
      </c>
      <c r="T16" s="720">
        <v>0</v>
      </c>
      <c r="U16" s="720">
        <v>0</v>
      </c>
      <c r="V16" s="720">
        <v>0</v>
      </c>
      <c r="W16" s="720">
        <v>0</v>
      </c>
      <c r="X16" s="720">
        <v>0</v>
      </c>
      <c r="Y16" s="720">
        <v>0</v>
      </c>
      <c r="Z16" s="720">
        <v>0</v>
      </c>
      <c r="AA16" s="720">
        <v>0</v>
      </c>
      <c r="AB16" s="720">
        <v>0</v>
      </c>
      <c r="AC16" s="720">
        <v>0</v>
      </c>
      <c r="AD16" s="720">
        <v>0</v>
      </c>
      <c r="AE16" s="720">
        <v>0</v>
      </c>
      <c r="AF16" s="707">
        <v>0</v>
      </c>
      <c r="AG16" s="707">
        <v>0</v>
      </c>
      <c r="AH16" s="274">
        <v>1301.2631578947367</v>
      </c>
    </row>
    <row r="17" spans="1:34" x14ac:dyDescent="0.3">
      <c r="A17" s="279" t="s">
        <v>158</v>
      </c>
      <c r="B17" s="106">
        <v>0</v>
      </c>
      <c r="C17" s="707">
        <v>0</v>
      </c>
      <c r="D17" s="720">
        <v>0</v>
      </c>
      <c r="E17" s="720">
        <v>0</v>
      </c>
      <c r="F17" s="720">
        <v>0</v>
      </c>
      <c r="G17" s="720">
        <v>0</v>
      </c>
      <c r="H17" s="720">
        <v>0</v>
      </c>
      <c r="I17" s="720">
        <v>0</v>
      </c>
      <c r="J17" s="720">
        <v>0</v>
      </c>
      <c r="K17" s="720">
        <v>0</v>
      </c>
      <c r="L17" s="720">
        <v>0</v>
      </c>
      <c r="M17" s="720">
        <v>0</v>
      </c>
      <c r="N17" s="720">
        <v>0</v>
      </c>
      <c r="O17" s="720">
        <v>0</v>
      </c>
      <c r="P17" s="720">
        <v>0</v>
      </c>
      <c r="Q17" s="720">
        <v>0</v>
      </c>
      <c r="R17" s="720">
        <v>0</v>
      </c>
      <c r="S17" s="720">
        <v>0</v>
      </c>
      <c r="T17" s="720">
        <v>0</v>
      </c>
      <c r="U17" s="720">
        <v>0</v>
      </c>
      <c r="V17" s="720">
        <v>0</v>
      </c>
      <c r="W17" s="720">
        <v>0</v>
      </c>
      <c r="X17" s="720">
        <v>0</v>
      </c>
      <c r="Y17" s="720">
        <v>0</v>
      </c>
      <c r="Z17" s="720">
        <v>0</v>
      </c>
      <c r="AA17" s="720">
        <v>0</v>
      </c>
      <c r="AB17" s="720">
        <v>0</v>
      </c>
      <c r="AC17" s="720">
        <v>0</v>
      </c>
      <c r="AD17" s="720">
        <v>0</v>
      </c>
      <c r="AE17" s="720">
        <v>0</v>
      </c>
      <c r="AF17" s="707">
        <v>0</v>
      </c>
      <c r="AG17" s="707">
        <v>0</v>
      </c>
      <c r="AH17" s="274">
        <v>0</v>
      </c>
    </row>
    <row r="18" spans="1:34" ht="15" thickBot="1" x14ac:dyDescent="0.35">
      <c r="A18" s="280" t="s">
        <v>159</v>
      </c>
      <c r="B18" s="93">
        <v>0</v>
      </c>
      <c r="C18" s="94">
        <v>0</v>
      </c>
      <c r="D18" s="177">
        <v>0</v>
      </c>
      <c r="E18" s="177">
        <v>0</v>
      </c>
      <c r="F18" s="177">
        <v>0</v>
      </c>
      <c r="G18" s="177">
        <v>0</v>
      </c>
      <c r="H18" s="177">
        <v>0</v>
      </c>
      <c r="I18" s="177">
        <v>0</v>
      </c>
      <c r="J18" s="177">
        <v>0</v>
      </c>
      <c r="K18" s="177">
        <v>0</v>
      </c>
      <c r="L18" s="177">
        <v>0</v>
      </c>
      <c r="M18" s="177">
        <v>0</v>
      </c>
      <c r="N18" s="177">
        <v>0</v>
      </c>
      <c r="O18" s="177">
        <v>0</v>
      </c>
      <c r="P18" s="177">
        <v>0</v>
      </c>
      <c r="Q18" s="177">
        <v>0</v>
      </c>
      <c r="R18" s="177">
        <v>0</v>
      </c>
      <c r="S18" s="177">
        <v>0</v>
      </c>
      <c r="T18" s="177">
        <v>0</v>
      </c>
      <c r="U18" s="177">
        <v>0</v>
      </c>
      <c r="V18" s="177">
        <v>0</v>
      </c>
      <c r="W18" s="177">
        <v>0</v>
      </c>
      <c r="X18" s="177">
        <v>0</v>
      </c>
      <c r="Y18" s="177">
        <v>0</v>
      </c>
      <c r="Z18" s="177">
        <v>0</v>
      </c>
      <c r="AA18" s="177">
        <v>0</v>
      </c>
      <c r="AB18" s="177">
        <v>0</v>
      </c>
      <c r="AC18" s="177">
        <v>0</v>
      </c>
      <c r="AD18" s="177">
        <v>0</v>
      </c>
      <c r="AE18" s="177">
        <v>0</v>
      </c>
      <c r="AF18" s="94">
        <v>0</v>
      </c>
      <c r="AG18" s="94">
        <v>0</v>
      </c>
      <c r="AH18" s="275">
        <v>0</v>
      </c>
    </row>
    <row r="19" spans="1:34" x14ac:dyDescent="0.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 spans="1:34" ht="15" thickBot="1" x14ac:dyDescent="0.35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spans="1:34" ht="15" thickBot="1" x14ac:dyDescent="0.35">
      <c r="A21" s="663" t="s">
        <v>182</v>
      </c>
      <c r="B21" s="664"/>
      <c r="C21" s="665"/>
    </row>
    <row r="22" spans="1:34" ht="15" thickBot="1" x14ac:dyDescent="0.35">
      <c r="A22" s="351"/>
      <c r="B22" s="351" t="s">
        <v>79</v>
      </c>
      <c r="C22" s="352"/>
      <c r="D22" s="353"/>
      <c r="E22" s="353"/>
      <c r="F22" s="353"/>
      <c r="G22" s="35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3"/>
      <c r="W22" s="353"/>
      <c r="X22" s="353"/>
      <c r="Y22" s="353"/>
      <c r="Z22" s="353"/>
      <c r="AA22" s="353"/>
      <c r="AB22" s="353"/>
      <c r="AC22" s="353"/>
      <c r="AD22" s="353"/>
      <c r="AE22" s="353"/>
      <c r="AF22" s="353"/>
      <c r="AG22" s="353"/>
      <c r="AH22" s="354"/>
    </row>
    <row r="23" spans="1:34" ht="15" thickBot="1" x14ac:dyDescent="0.35">
      <c r="A23" s="351" t="s">
        <v>154</v>
      </c>
      <c r="B23" s="355">
        <v>1</v>
      </c>
      <c r="C23" s="355">
        <v>2</v>
      </c>
      <c r="D23" s="355">
        <v>3</v>
      </c>
      <c r="E23" s="355">
        <v>4</v>
      </c>
      <c r="F23" s="355">
        <v>5</v>
      </c>
      <c r="G23" s="355">
        <v>6</v>
      </c>
      <c r="H23" s="355">
        <v>7</v>
      </c>
      <c r="I23" s="355">
        <v>8</v>
      </c>
      <c r="J23" s="355">
        <v>9</v>
      </c>
      <c r="K23" s="355">
        <v>10</v>
      </c>
      <c r="L23" s="355">
        <v>11</v>
      </c>
      <c r="M23" s="355">
        <v>12</v>
      </c>
      <c r="N23" s="355">
        <v>13</v>
      </c>
      <c r="O23" s="355">
        <v>14</v>
      </c>
      <c r="P23" s="355">
        <v>15</v>
      </c>
      <c r="Q23" s="355">
        <v>16</v>
      </c>
      <c r="R23" s="355">
        <v>17</v>
      </c>
      <c r="S23" s="355">
        <v>18</v>
      </c>
      <c r="T23" s="355">
        <v>19</v>
      </c>
      <c r="U23" s="355">
        <v>20</v>
      </c>
      <c r="V23" s="355">
        <v>21</v>
      </c>
      <c r="W23" s="355">
        <v>22</v>
      </c>
      <c r="X23" s="355">
        <v>23</v>
      </c>
      <c r="Y23" s="355">
        <v>24</v>
      </c>
      <c r="Z23" s="355">
        <v>25</v>
      </c>
      <c r="AA23" s="355">
        <v>26</v>
      </c>
      <c r="AB23" s="355">
        <v>27</v>
      </c>
      <c r="AC23" s="355">
        <v>28</v>
      </c>
      <c r="AD23" s="355">
        <v>29</v>
      </c>
      <c r="AE23" s="355">
        <v>30</v>
      </c>
      <c r="AF23" s="355">
        <v>31</v>
      </c>
      <c r="AG23" s="355">
        <v>0</v>
      </c>
      <c r="AH23" s="355" t="s">
        <v>72</v>
      </c>
    </row>
    <row r="24" spans="1:34" x14ac:dyDescent="0.3">
      <c r="A24" s="317" t="s">
        <v>183</v>
      </c>
      <c r="B24" s="90" t="e">
        <v>#DIV/0!</v>
      </c>
      <c r="C24" s="91">
        <v>0</v>
      </c>
      <c r="D24" s="272" t="e">
        <v>#DIV/0!</v>
      </c>
      <c r="E24" s="272" t="e">
        <v>#DIV/0!</v>
      </c>
      <c r="F24" s="272">
        <v>0</v>
      </c>
      <c r="G24" s="272">
        <v>0</v>
      </c>
      <c r="H24" s="272">
        <v>0</v>
      </c>
      <c r="I24" s="272">
        <v>0</v>
      </c>
      <c r="J24" s="272">
        <v>0</v>
      </c>
      <c r="K24" s="272">
        <v>0</v>
      </c>
      <c r="L24" s="272" t="e">
        <v>#DIV/0!</v>
      </c>
      <c r="M24" s="272" t="e">
        <v>#DIV/0!</v>
      </c>
      <c r="N24" s="272">
        <v>0</v>
      </c>
      <c r="O24" s="272">
        <v>0</v>
      </c>
      <c r="P24" s="272">
        <v>0</v>
      </c>
      <c r="Q24" s="272">
        <v>0</v>
      </c>
      <c r="R24" s="272">
        <v>0</v>
      </c>
      <c r="S24" s="272" t="e">
        <v>#DIV/0!</v>
      </c>
      <c r="T24" s="272">
        <v>0</v>
      </c>
      <c r="U24" s="272">
        <v>0</v>
      </c>
      <c r="V24" s="272">
        <v>0</v>
      </c>
      <c r="W24" s="272">
        <v>0</v>
      </c>
      <c r="X24" s="272">
        <v>0</v>
      </c>
      <c r="Y24" s="272" t="e">
        <v>#DIV/0!</v>
      </c>
      <c r="Z24" s="272" t="e">
        <v>#DIV/0!</v>
      </c>
      <c r="AA24" s="272">
        <v>0</v>
      </c>
      <c r="AB24" s="272">
        <v>0</v>
      </c>
      <c r="AC24" s="272">
        <v>0</v>
      </c>
      <c r="AD24" s="272">
        <v>0</v>
      </c>
      <c r="AE24" s="272">
        <v>0</v>
      </c>
      <c r="AF24" s="91">
        <v>0</v>
      </c>
      <c r="AG24" s="91" t="e">
        <v>#DIV/0!</v>
      </c>
      <c r="AH24" s="273">
        <v>0</v>
      </c>
    </row>
    <row r="25" spans="1:34" x14ac:dyDescent="0.3">
      <c r="A25" s="317" t="s">
        <v>185</v>
      </c>
      <c r="B25" s="106" t="e">
        <v>#DIV/0!</v>
      </c>
      <c r="C25" s="707">
        <v>0</v>
      </c>
      <c r="D25" s="720" t="e">
        <v>#DIV/0!</v>
      </c>
      <c r="E25" s="720" t="e">
        <v>#DIV/0!</v>
      </c>
      <c r="F25" s="720">
        <v>0</v>
      </c>
      <c r="G25" s="720">
        <v>38.729569660320166</v>
      </c>
      <c r="H25" s="720">
        <v>306.02639489610135</v>
      </c>
      <c r="I25" s="720">
        <v>40.056045918748907</v>
      </c>
      <c r="J25" s="720">
        <v>1134.9051059735375</v>
      </c>
      <c r="K25" s="720">
        <v>0</v>
      </c>
      <c r="L25" s="720" t="e">
        <v>#DIV/0!</v>
      </c>
      <c r="M25" s="720" t="e">
        <v>#DIV/0!</v>
      </c>
      <c r="N25" s="720">
        <v>585.55013235491504</v>
      </c>
      <c r="O25" s="720">
        <v>146.02247929766375</v>
      </c>
      <c r="P25" s="720">
        <v>91.864760822592061</v>
      </c>
      <c r="Q25" s="720">
        <v>80.08104702465441</v>
      </c>
      <c r="R25" s="720">
        <v>96.949161374605737</v>
      </c>
      <c r="S25" s="720" t="e">
        <v>#DIV/0!</v>
      </c>
      <c r="T25" s="720">
        <v>0</v>
      </c>
      <c r="U25" s="720">
        <v>0</v>
      </c>
      <c r="V25" s="720">
        <v>37.112884346684226</v>
      </c>
      <c r="W25" s="720">
        <v>0</v>
      </c>
      <c r="X25" s="720">
        <v>0</v>
      </c>
      <c r="Y25" s="720" t="e">
        <v>#DIV/0!</v>
      </c>
      <c r="Z25" s="720" t="e">
        <v>#DIV/0!</v>
      </c>
      <c r="AA25" s="720">
        <v>0</v>
      </c>
      <c r="AB25" s="720">
        <v>0</v>
      </c>
      <c r="AC25" s="720">
        <v>0</v>
      </c>
      <c r="AD25" s="720">
        <v>0</v>
      </c>
      <c r="AE25" s="720">
        <v>0</v>
      </c>
      <c r="AF25" s="707">
        <v>0</v>
      </c>
      <c r="AG25" s="707" t="e">
        <v>#DIV/0!</v>
      </c>
      <c r="AH25" s="274">
        <v>71.679410470225633</v>
      </c>
    </row>
    <row r="26" spans="1:34" x14ac:dyDescent="0.3">
      <c r="A26" s="317" t="s">
        <v>186</v>
      </c>
      <c r="B26" s="106" t="e">
        <v>#DIV/0!</v>
      </c>
      <c r="C26" s="707">
        <v>0</v>
      </c>
      <c r="D26" s="720" t="e">
        <v>#DIV/0!</v>
      </c>
      <c r="E26" s="720" t="e">
        <v>#DIV/0!</v>
      </c>
      <c r="F26" s="720">
        <v>0</v>
      </c>
      <c r="G26" s="720">
        <v>0</v>
      </c>
      <c r="H26" s="720">
        <v>294.07223884547233</v>
      </c>
      <c r="I26" s="720">
        <v>75.105086097654194</v>
      </c>
      <c r="J26" s="720">
        <v>60.79848782001109</v>
      </c>
      <c r="K26" s="720">
        <v>164.04626678885364</v>
      </c>
      <c r="L26" s="720" t="e">
        <v>#DIV/0!</v>
      </c>
      <c r="M26" s="720" t="e">
        <v>#DIV/0!</v>
      </c>
      <c r="N26" s="720">
        <v>548.9532490827329</v>
      </c>
      <c r="O26" s="720">
        <v>259.35829570476733</v>
      </c>
      <c r="P26" s="720">
        <v>125.27012839444369</v>
      </c>
      <c r="Q26" s="720">
        <v>100.10130878081799</v>
      </c>
      <c r="R26" s="720">
        <v>45.444919394346478</v>
      </c>
      <c r="S26" s="720" t="e">
        <v>#DIV/0!</v>
      </c>
      <c r="T26" s="720">
        <v>0</v>
      </c>
      <c r="U26" s="720">
        <v>0</v>
      </c>
      <c r="V26" s="720">
        <v>0</v>
      </c>
      <c r="W26" s="720">
        <v>0</v>
      </c>
      <c r="X26" s="720">
        <v>0</v>
      </c>
      <c r="Y26" s="720" t="e">
        <v>#DIV/0!</v>
      </c>
      <c r="Z26" s="720" t="e">
        <v>#DIV/0!</v>
      </c>
      <c r="AA26" s="720">
        <v>0</v>
      </c>
      <c r="AB26" s="720">
        <v>0</v>
      </c>
      <c r="AC26" s="720">
        <v>0</v>
      </c>
      <c r="AD26" s="720">
        <v>0</v>
      </c>
      <c r="AE26" s="720">
        <v>0</v>
      </c>
      <c r="AF26" s="707">
        <v>0</v>
      </c>
      <c r="AG26" s="707" t="e">
        <v>#DIV/0!</v>
      </c>
      <c r="AH26" s="274">
        <v>88.923096523054042</v>
      </c>
    </row>
    <row r="27" spans="1:34" x14ac:dyDescent="0.3">
      <c r="A27" s="317" t="s">
        <v>187</v>
      </c>
      <c r="B27" s="106" t="e">
        <v>#NAME?</v>
      </c>
      <c r="C27" s="707" t="e">
        <v>#NAME?</v>
      </c>
      <c r="D27" s="720" t="e">
        <v>#NAME?</v>
      </c>
      <c r="E27" s="720" t="e">
        <v>#NAME?</v>
      </c>
      <c r="F27" s="720" t="e">
        <v>#NAME?</v>
      </c>
      <c r="G27" s="720" t="e">
        <v>#NAME?</v>
      </c>
      <c r="H27" s="720" t="e">
        <v>#NAME?</v>
      </c>
      <c r="I27" s="720" t="e">
        <v>#NAME?</v>
      </c>
      <c r="J27" s="720" t="e">
        <v>#NAME?</v>
      </c>
      <c r="K27" s="720" t="e">
        <v>#NAME?</v>
      </c>
      <c r="L27" s="720" t="e">
        <v>#NAME?</v>
      </c>
      <c r="M27" s="720" t="e">
        <v>#NAME?</v>
      </c>
      <c r="N27" s="720" t="e">
        <v>#NAME?</v>
      </c>
      <c r="O27" s="720" t="e">
        <v>#NAME?</v>
      </c>
      <c r="P27" s="720" t="e">
        <v>#NAME?</v>
      </c>
      <c r="Q27" s="720" t="e">
        <v>#NAME?</v>
      </c>
      <c r="R27" s="720" t="e">
        <v>#NAME?</v>
      </c>
      <c r="S27" s="720" t="e">
        <v>#NAME?</v>
      </c>
      <c r="T27" s="720" t="e">
        <v>#NAME?</v>
      </c>
      <c r="U27" s="720" t="e">
        <v>#NAME?</v>
      </c>
      <c r="V27" s="720" t="e">
        <v>#NAME?</v>
      </c>
      <c r="W27" s="720" t="e">
        <v>#NAME?</v>
      </c>
      <c r="X27" s="720" t="e">
        <v>#NAME?</v>
      </c>
      <c r="Y27" s="720" t="e">
        <v>#NAME?</v>
      </c>
      <c r="Z27" s="720" t="e">
        <v>#NAME?</v>
      </c>
      <c r="AA27" s="720" t="e">
        <v>#NAME?</v>
      </c>
      <c r="AB27" s="720" t="e">
        <v>#NAME?</v>
      </c>
      <c r="AC27" s="720" t="e">
        <v>#NAME?</v>
      </c>
      <c r="AD27" s="720" t="e">
        <v>#NAME?</v>
      </c>
      <c r="AE27" s="720" t="e">
        <v>#NAME?</v>
      </c>
      <c r="AF27" s="707" t="e">
        <v>#NAME?</v>
      </c>
      <c r="AG27" s="707" t="e">
        <v>#NAME?</v>
      </c>
      <c r="AH27" s="274" t="e">
        <v>#NAME?</v>
      </c>
    </row>
    <row r="28" spans="1:34" ht="15" thickBot="1" x14ac:dyDescent="0.35">
      <c r="A28" s="318" t="s">
        <v>188</v>
      </c>
      <c r="B28" s="93" t="e">
        <v>#DIV/0!</v>
      </c>
      <c r="C28" s="94">
        <v>0</v>
      </c>
      <c r="D28" s="177" t="e">
        <v>#DIV/0!</v>
      </c>
      <c r="E28" s="177" t="e">
        <v>#DIV/0!</v>
      </c>
      <c r="F28" s="177">
        <v>0</v>
      </c>
      <c r="G28" s="177">
        <v>0</v>
      </c>
      <c r="H28" s="177">
        <v>0</v>
      </c>
      <c r="I28" s="177">
        <v>0</v>
      </c>
      <c r="J28" s="177">
        <v>0</v>
      </c>
      <c r="K28" s="177">
        <v>0</v>
      </c>
      <c r="L28" s="177" t="e">
        <v>#DIV/0!</v>
      </c>
      <c r="M28" s="177" t="e">
        <v>#DIV/0!</v>
      </c>
      <c r="N28" s="177">
        <v>0</v>
      </c>
      <c r="O28" s="177">
        <v>0</v>
      </c>
      <c r="P28" s="177">
        <v>0</v>
      </c>
      <c r="Q28" s="177">
        <v>0</v>
      </c>
      <c r="R28" s="177">
        <v>0</v>
      </c>
      <c r="S28" s="177" t="e">
        <v>#DIV/0!</v>
      </c>
      <c r="T28" s="177">
        <v>0</v>
      </c>
      <c r="U28" s="177">
        <v>0</v>
      </c>
      <c r="V28" s="177">
        <v>0</v>
      </c>
      <c r="W28" s="177">
        <v>0</v>
      </c>
      <c r="X28" s="177">
        <v>0</v>
      </c>
      <c r="Y28" s="177" t="e">
        <v>#DIV/0!</v>
      </c>
      <c r="Z28" s="177" t="e">
        <v>#DIV/0!</v>
      </c>
      <c r="AA28" s="177">
        <v>0</v>
      </c>
      <c r="AB28" s="177">
        <v>0</v>
      </c>
      <c r="AC28" s="177">
        <v>0</v>
      </c>
      <c r="AD28" s="177">
        <v>0</v>
      </c>
      <c r="AE28" s="177">
        <v>0</v>
      </c>
      <c r="AF28" s="94">
        <v>0</v>
      </c>
      <c r="AG28" s="94" t="e">
        <v>#DIV/0!</v>
      </c>
      <c r="AH28" s="275">
        <v>0</v>
      </c>
    </row>
    <row r="30" spans="1:34" ht="15" thickBot="1" x14ac:dyDescent="0.35"/>
    <row r="31" spans="1:34" ht="15" thickBot="1" x14ac:dyDescent="0.35">
      <c r="A31" s="662" t="s">
        <v>31</v>
      </c>
      <c r="B31" s="614"/>
      <c r="C31" s="615"/>
    </row>
    <row r="32" spans="1:34" ht="15" thickBot="1" x14ac:dyDescent="0.35">
      <c r="A32" s="289"/>
      <c r="B32" s="290" t="s">
        <v>79</v>
      </c>
      <c r="C32" s="291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  <c r="X32" s="292"/>
      <c r="Y32" s="292"/>
      <c r="Z32" s="292"/>
      <c r="AA32" s="292"/>
      <c r="AB32" s="292"/>
      <c r="AC32" s="292"/>
      <c r="AD32" s="292"/>
      <c r="AE32" s="292"/>
      <c r="AF32" s="292"/>
      <c r="AG32" s="292"/>
      <c r="AH32" s="293"/>
    </row>
    <row r="33" spans="1:34" ht="15" thickBot="1" x14ac:dyDescent="0.35">
      <c r="A33" s="289"/>
      <c r="B33" s="295">
        <v>1</v>
      </c>
      <c r="C33" s="296">
        <v>2</v>
      </c>
      <c r="D33" s="296">
        <v>3</v>
      </c>
      <c r="E33" s="296">
        <v>4</v>
      </c>
      <c r="F33" s="296">
        <v>5</v>
      </c>
      <c r="G33" s="296">
        <v>6</v>
      </c>
      <c r="H33" s="296">
        <v>7</v>
      </c>
      <c r="I33" s="296">
        <v>8</v>
      </c>
      <c r="J33" s="296">
        <v>9</v>
      </c>
      <c r="K33" s="296">
        <v>10</v>
      </c>
      <c r="L33" s="296">
        <v>11</v>
      </c>
      <c r="M33" s="296">
        <v>12</v>
      </c>
      <c r="N33" s="296">
        <v>13</v>
      </c>
      <c r="O33" s="296">
        <v>14</v>
      </c>
      <c r="P33" s="296">
        <v>15</v>
      </c>
      <c r="Q33" s="296">
        <v>16</v>
      </c>
      <c r="R33" s="296">
        <v>17</v>
      </c>
      <c r="S33" s="296">
        <v>18</v>
      </c>
      <c r="T33" s="296">
        <v>19</v>
      </c>
      <c r="U33" s="296">
        <v>20</v>
      </c>
      <c r="V33" s="296">
        <v>21</v>
      </c>
      <c r="W33" s="296">
        <v>22</v>
      </c>
      <c r="X33" s="296">
        <v>23</v>
      </c>
      <c r="Y33" s="296">
        <v>24</v>
      </c>
      <c r="Z33" s="296">
        <v>25</v>
      </c>
      <c r="AA33" s="296">
        <v>26</v>
      </c>
      <c r="AB33" s="296">
        <v>27</v>
      </c>
      <c r="AC33" s="296">
        <v>28</v>
      </c>
      <c r="AD33" s="296">
        <v>29</v>
      </c>
      <c r="AE33" s="296">
        <v>30</v>
      </c>
      <c r="AF33" s="296">
        <v>31</v>
      </c>
      <c r="AG33" s="297">
        <v>0</v>
      </c>
      <c r="AH33" s="294" t="s">
        <v>72</v>
      </c>
    </row>
    <row r="34" spans="1:34" s="192" customFormat="1" ht="15" thickBot="1" x14ac:dyDescent="0.35">
      <c r="A34" s="719" t="s">
        <v>184</v>
      </c>
      <c r="B34" s="716">
        <v>0</v>
      </c>
      <c r="C34" s="717">
        <v>4.680890909090909</v>
      </c>
      <c r="D34" s="717">
        <v>0</v>
      </c>
      <c r="E34" s="717">
        <v>0</v>
      </c>
      <c r="F34" s="717">
        <v>5.0586000000000002</v>
      </c>
      <c r="G34" s="717">
        <v>10.542163636363636</v>
      </c>
      <c r="H34" s="717">
        <v>5.3367090909090908</v>
      </c>
      <c r="I34" s="717">
        <v>10.193054545454546</v>
      </c>
      <c r="J34" s="717">
        <v>6.2957999999999998</v>
      </c>
      <c r="K34" s="717">
        <v>4.6666727272727275</v>
      </c>
      <c r="L34" s="717">
        <v>0</v>
      </c>
      <c r="M34" s="717">
        <v>0</v>
      </c>
      <c r="N34" s="717">
        <v>2.7891272727272725</v>
      </c>
      <c r="O34" s="717">
        <v>16.972327272727274</v>
      </c>
      <c r="P34" s="717">
        <v>24.44478181818182</v>
      </c>
      <c r="Q34" s="717">
        <v>15.295509090909091</v>
      </c>
      <c r="R34" s="717">
        <v>8.4228363636363639</v>
      </c>
      <c r="S34" s="717">
        <v>0</v>
      </c>
      <c r="T34" s="717">
        <v>4.6788181818181815</v>
      </c>
      <c r="U34" s="717">
        <v>10.85</v>
      </c>
      <c r="V34" s="717">
        <v>16.502090909090906</v>
      </c>
      <c r="W34" s="717">
        <v>15.981109090909092</v>
      </c>
      <c r="X34" s="717">
        <v>10.476927272727274</v>
      </c>
      <c r="Y34" s="717">
        <v>0</v>
      </c>
      <c r="Z34" s="717">
        <v>0</v>
      </c>
      <c r="AA34" s="717">
        <v>6.3159999999999989</v>
      </c>
      <c r="AB34" s="717">
        <v>9.6972424242424253</v>
      </c>
      <c r="AC34" s="717">
        <v>15.983692307692307</v>
      </c>
      <c r="AD34" s="717">
        <v>18.728119268600253</v>
      </c>
      <c r="AE34" s="717">
        <v>20.952616666666664</v>
      </c>
      <c r="AF34" s="717">
        <v>12.558320279720281</v>
      </c>
      <c r="AG34" s="717">
        <v>0</v>
      </c>
      <c r="AH34" s="718">
        <v>257.4234091287401</v>
      </c>
    </row>
    <row r="35" spans="1:34" s="356" customFormat="1" ht="15" thickBot="1" x14ac:dyDescent="0.35">
      <c r="A35" s="358" t="s">
        <v>189</v>
      </c>
      <c r="B35" s="359">
        <f>B34/60</f>
        <v>0</v>
      </c>
      <c r="C35" s="359">
        <f t="shared" ref="C35:AE35" si="0">C34/60</f>
        <v>7.8014848484848479E-2</v>
      </c>
      <c r="D35" s="359">
        <f t="shared" si="0"/>
        <v>0</v>
      </c>
      <c r="E35" s="359">
        <f t="shared" si="0"/>
        <v>0</v>
      </c>
      <c r="F35" s="359">
        <f t="shared" si="0"/>
        <v>8.431000000000001E-2</v>
      </c>
      <c r="G35" s="359">
        <f t="shared" si="0"/>
        <v>0.17570272727272726</v>
      </c>
      <c r="H35" s="359">
        <f t="shared" si="0"/>
        <v>8.8945151515151519E-2</v>
      </c>
      <c r="I35" s="359">
        <f t="shared" si="0"/>
        <v>0.16988424242424244</v>
      </c>
      <c r="J35" s="359">
        <f t="shared" si="0"/>
        <v>0.10493</v>
      </c>
      <c r="K35" s="359">
        <f t="shared" si="0"/>
        <v>7.7777878787878799E-2</v>
      </c>
      <c r="L35" s="359">
        <f t="shared" si="0"/>
        <v>0</v>
      </c>
      <c r="M35" s="359">
        <f t="shared" si="0"/>
        <v>0</v>
      </c>
      <c r="N35" s="359">
        <f t="shared" si="0"/>
        <v>4.6485454545454538E-2</v>
      </c>
      <c r="O35" s="359">
        <f t="shared" si="0"/>
        <v>0.28287212121212124</v>
      </c>
      <c r="P35" s="359">
        <f t="shared" si="0"/>
        <v>0.40741303030303033</v>
      </c>
      <c r="Q35" s="359">
        <f t="shared" si="0"/>
        <v>0.25492515151515149</v>
      </c>
      <c r="R35" s="359">
        <f t="shared" si="0"/>
        <v>0.14038060606060607</v>
      </c>
      <c r="S35" s="359">
        <f t="shared" si="0"/>
        <v>0</v>
      </c>
      <c r="T35" s="359">
        <f t="shared" si="0"/>
        <v>7.7980303030303025E-2</v>
      </c>
      <c r="U35" s="359">
        <f t="shared" si="0"/>
        <v>0.18083333333333332</v>
      </c>
      <c r="V35" s="359">
        <f t="shared" si="0"/>
        <v>0.27503484848484844</v>
      </c>
      <c r="W35" s="359">
        <f t="shared" si="0"/>
        <v>0.26635181818181819</v>
      </c>
      <c r="X35" s="359">
        <f t="shared" si="0"/>
        <v>0.17461545454545455</v>
      </c>
      <c r="Y35" s="359">
        <f t="shared" si="0"/>
        <v>0</v>
      </c>
      <c r="Z35" s="359">
        <f t="shared" si="0"/>
        <v>0</v>
      </c>
      <c r="AA35" s="359">
        <f t="shared" si="0"/>
        <v>0.10526666666666665</v>
      </c>
      <c r="AB35" s="359">
        <f t="shared" si="0"/>
        <v>0.16162070707070708</v>
      </c>
      <c r="AC35" s="359">
        <f t="shared" si="0"/>
        <v>0.26639487179487176</v>
      </c>
      <c r="AD35" s="359">
        <f t="shared" si="0"/>
        <v>0.31213532114333753</v>
      </c>
      <c r="AE35" s="359">
        <f t="shared" si="0"/>
        <v>0.34921027777777774</v>
      </c>
      <c r="AF35" s="360"/>
      <c r="AG35" s="357"/>
    </row>
  </sheetData>
  <mergeCells count="5">
    <mergeCell ref="A2:C2"/>
    <mergeCell ref="A11:C11"/>
    <mergeCell ref="A1:AF1"/>
    <mergeCell ref="A31:C31"/>
    <mergeCell ref="A21:C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6088-94CD-4552-AB88-E0CCB77757AF}">
  <sheetPr codeName="Hoja6"/>
  <dimension ref="A1:CX412"/>
  <sheetViews>
    <sheetView topLeftCell="B1" zoomScaleNormal="100" workbookViewId="0">
      <selection activeCell="G12" sqref="G12"/>
    </sheetView>
  </sheetViews>
  <sheetFormatPr baseColWidth="10" defaultRowHeight="14.4" x14ac:dyDescent="0.3"/>
  <cols>
    <col min="1" max="1" width="0.33203125" customWidth="1"/>
    <col min="2" max="2" width="35.77734375" bestFit="1" customWidth="1"/>
    <col min="3" max="3" width="12.21875" style="70" customWidth="1"/>
    <col min="4" max="4" width="18" customWidth="1"/>
    <col min="5" max="5" width="18.109375" bestFit="1" customWidth="1"/>
    <col min="6" max="6" width="16.21875" bestFit="1" customWidth="1"/>
    <col min="7" max="7" width="12.21875" customWidth="1"/>
    <col min="8" max="8" width="4.77734375" customWidth="1"/>
    <col min="9" max="9" width="35.77734375" bestFit="1" customWidth="1"/>
    <col min="11" max="12" width="8.6640625" customWidth="1"/>
    <col min="13" max="14" width="9.33203125" customWidth="1"/>
    <col min="15" max="16" width="9.109375" customWidth="1"/>
    <col min="17" max="18" width="8.6640625" customWidth="1"/>
    <col min="19" max="19" width="9.88671875" customWidth="1"/>
    <col min="20" max="20" width="9.33203125" customWidth="1"/>
  </cols>
  <sheetData>
    <row r="1" spans="2:19" ht="18" customHeight="1" thickBot="1" x14ac:dyDescent="0.4">
      <c r="I1" s="677" t="s">
        <v>162</v>
      </c>
      <c r="J1" s="677"/>
      <c r="K1" s="677"/>
      <c r="L1" s="677"/>
      <c r="M1" s="677"/>
      <c r="N1" s="677"/>
      <c r="O1" s="677"/>
      <c r="P1" s="677"/>
      <c r="Q1" s="677"/>
      <c r="R1" s="677"/>
    </row>
    <row r="2" spans="2:19" ht="43.5" customHeight="1" thickBot="1" x14ac:dyDescent="0.35">
      <c r="B2" s="672" t="s">
        <v>33</v>
      </c>
      <c r="C2" s="339" t="s">
        <v>12</v>
      </c>
      <c r="D2" s="314" t="s">
        <v>14</v>
      </c>
      <c r="E2" s="315" t="s">
        <v>35</v>
      </c>
      <c r="F2" s="312" t="s">
        <v>18</v>
      </c>
      <c r="G2" s="310" t="s">
        <v>13</v>
      </c>
      <c r="H2" s="30"/>
      <c r="I2" s="672" t="s">
        <v>32</v>
      </c>
      <c r="J2" s="686" t="s">
        <v>12</v>
      </c>
      <c r="K2" s="688" t="s">
        <v>14</v>
      </c>
      <c r="L2" s="689"/>
      <c r="M2" s="690" t="s">
        <v>34</v>
      </c>
      <c r="N2" s="691"/>
      <c r="O2" s="692" t="s">
        <v>36</v>
      </c>
      <c r="P2" s="693"/>
      <c r="Q2" s="684" t="s">
        <v>13</v>
      </c>
      <c r="R2" s="685"/>
    </row>
    <row r="3" spans="2:19" ht="15" thickBot="1" x14ac:dyDescent="0.35">
      <c r="B3" s="673"/>
      <c r="C3" s="311"/>
      <c r="D3" s="326" t="s">
        <v>11</v>
      </c>
      <c r="E3" s="327" t="s">
        <v>11</v>
      </c>
      <c r="F3" s="48" t="s">
        <v>11</v>
      </c>
      <c r="G3" s="49" t="s">
        <v>11</v>
      </c>
      <c r="H3" s="30"/>
      <c r="I3" s="673"/>
      <c r="J3" s="687"/>
      <c r="K3" s="301" t="s">
        <v>10</v>
      </c>
      <c r="L3" s="302" t="s">
        <v>11</v>
      </c>
      <c r="M3" s="303" t="s">
        <v>10</v>
      </c>
      <c r="N3" s="304" t="s">
        <v>11</v>
      </c>
      <c r="O3" s="305" t="s">
        <v>10</v>
      </c>
      <c r="P3" s="306" t="s">
        <v>11</v>
      </c>
      <c r="Q3" s="307" t="s">
        <v>10</v>
      </c>
      <c r="R3" s="308" t="s">
        <v>11</v>
      </c>
    </row>
    <row r="4" spans="2:19" ht="15" thickBot="1" x14ac:dyDescent="0.35">
      <c r="B4" s="3" t="s">
        <v>149</v>
      </c>
      <c r="C4" s="2">
        <v>1.24</v>
      </c>
      <c r="D4" s="46">
        <v>440</v>
      </c>
      <c r="E4" s="328">
        <f>C23+D23+E23+F23</f>
        <v>0</v>
      </c>
      <c r="F4" s="330">
        <f>+C14+D14+E14+F14</f>
        <v>0</v>
      </c>
      <c r="G4" s="330">
        <f>(D4+F4)-E4</f>
        <v>440</v>
      </c>
      <c r="H4" s="30"/>
      <c r="I4" s="3" t="s">
        <v>149</v>
      </c>
      <c r="J4" s="2">
        <v>1.24</v>
      </c>
      <c r="K4" s="46">
        <v>184.21052631578948</v>
      </c>
      <c r="L4" s="46">
        <f>K4*J4</f>
        <v>228.42105263157896</v>
      </c>
      <c r="M4" s="101">
        <f>GETPIVOTDATA(" CONSUMO (L) HCL (10%)",'CONSUMO QUÍMICA - CAUDALES RO'!$A3)</f>
        <v>0</v>
      </c>
      <c r="N4" s="298" t="e">
        <f>SUM(#REF!)</f>
        <v>#REF!</v>
      </c>
      <c r="O4" s="101">
        <f>J14+L14+N14</f>
        <v>360</v>
      </c>
      <c r="P4" s="298"/>
      <c r="Q4" s="50">
        <f>(K4+O4)-M4</f>
        <v>544.21052631578948</v>
      </c>
      <c r="R4" s="51">
        <f>Q4*J4</f>
        <v>674.82105263157894</v>
      </c>
    </row>
    <row r="5" spans="2:19" ht="15.75" customHeight="1" thickBot="1" x14ac:dyDescent="0.35">
      <c r="B5" s="5" t="s">
        <v>150</v>
      </c>
      <c r="C5" s="2">
        <v>1.29</v>
      </c>
      <c r="D5" s="46">
        <v>170</v>
      </c>
      <c r="E5" s="328">
        <f>C24+D24+E24+F24</f>
        <v>0</v>
      </c>
      <c r="F5" s="328">
        <f>+C15+D15+E15+F15</f>
        <v>700</v>
      </c>
      <c r="G5" s="328">
        <f>(D5+F5)-E5</f>
        <v>870</v>
      </c>
      <c r="H5" s="30"/>
      <c r="I5" s="5" t="s">
        <v>150</v>
      </c>
      <c r="J5" s="2">
        <v>1.29</v>
      </c>
      <c r="K5" s="46">
        <v>561.40350877192986</v>
      </c>
      <c r="L5" s="46">
        <f>K5*J5</f>
        <v>724.21052631578959</v>
      </c>
      <c r="M5" s="101">
        <f>GETPIVOTDATA(" CONSUMO (L) KURIVERTER IK-220 (Biocida)",'CONSUMO QUÍMICA - CAUDALES RO'!$A$3)</f>
        <v>1214.2105263157894</v>
      </c>
      <c r="N5" s="299" t="e">
        <f>SUM(#REF!)</f>
        <v>#REF!</v>
      </c>
      <c r="O5" s="117">
        <f>J15+L15+N15</f>
        <v>0</v>
      </c>
      <c r="P5" s="299"/>
      <c r="Q5" s="20">
        <f>(K5+O5)-M5</f>
        <v>-652.8070175438595</v>
      </c>
      <c r="R5" s="4">
        <f>Q5*J5</f>
        <v>-842.12105263157878</v>
      </c>
    </row>
    <row r="6" spans="2:19" ht="15" thickBot="1" x14ac:dyDescent="0.35">
      <c r="B6" s="5" t="s">
        <v>151</v>
      </c>
      <c r="C6" s="2">
        <v>1.2</v>
      </c>
      <c r="D6" s="46">
        <v>83</v>
      </c>
      <c r="E6" s="328">
        <f>C25+D25+E25+F25</f>
        <v>0</v>
      </c>
      <c r="F6" s="328">
        <f>+C16+D16+E16+F16</f>
        <v>0</v>
      </c>
      <c r="G6" s="328">
        <f>(D6+F6)-E6</f>
        <v>83</v>
      </c>
      <c r="H6" s="30"/>
      <c r="I6" s="5" t="s">
        <v>151</v>
      </c>
      <c r="J6" s="2">
        <v>1.2</v>
      </c>
      <c r="K6" s="46">
        <v>929.82456140350882</v>
      </c>
      <c r="L6" s="46">
        <f>K6*J6</f>
        <v>1115.7894736842106</v>
      </c>
      <c r="M6" s="101">
        <f>GETPIVOTDATA("CONSUMO (L) VITEC 7000 (Antiincrustante) ",'CONSUMO QUÍMICA - CAUDALES RO'!$A$3)</f>
        <v>1408.9473684210527</v>
      </c>
      <c r="N6" s="299" t="e">
        <f>SUM(#REF!)</f>
        <v>#REF!</v>
      </c>
      <c r="O6" s="117">
        <f>J16+L16+N16</f>
        <v>580</v>
      </c>
      <c r="P6" s="299"/>
      <c r="Q6" s="20">
        <f>(K6+O6)-M6</f>
        <v>100.87719298245611</v>
      </c>
      <c r="R6" s="4">
        <f>Q6*J6</f>
        <v>121.05263157894733</v>
      </c>
    </row>
    <row r="7" spans="2:19" ht="15" thickBot="1" x14ac:dyDescent="0.35">
      <c r="B7" s="5" t="s">
        <v>152</v>
      </c>
      <c r="C7" s="2">
        <v>1.2</v>
      </c>
      <c r="D7" s="46">
        <v>50</v>
      </c>
      <c r="E7" s="328">
        <f>C26+D26+E26+F26</f>
        <v>0</v>
      </c>
      <c r="F7" s="328">
        <f>+C17+D17+E17+F17</f>
        <v>0</v>
      </c>
      <c r="G7" s="328">
        <f>(D7+F7)-E7</f>
        <v>50</v>
      </c>
      <c r="H7" s="30"/>
      <c r="I7" s="5" t="s">
        <v>152</v>
      </c>
      <c r="J7" s="2">
        <v>1.2</v>
      </c>
      <c r="K7" s="46">
        <v>0</v>
      </c>
      <c r="L7" s="46">
        <f>K7*J7</f>
        <v>0</v>
      </c>
      <c r="M7" s="101">
        <f>GETPIVOTDATA("CONSUMO (L) Hidróxido de Sodio (NaOH) ",'CONSUMO QUÍMICA - CAUDALES RO'!$A$3)</f>
        <v>0</v>
      </c>
      <c r="N7" s="299" t="e">
        <f>SUM(#REF!)</f>
        <v>#REF!</v>
      </c>
      <c r="O7" s="117">
        <f>J17+L17+N17</f>
        <v>0</v>
      </c>
      <c r="P7" s="299"/>
      <c r="Q7" s="20">
        <f>(K7+O7)-M7</f>
        <v>0</v>
      </c>
      <c r="R7" s="4">
        <f>Q7*J7</f>
        <v>0</v>
      </c>
    </row>
    <row r="8" spans="2:19" ht="15" thickBot="1" x14ac:dyDescent="0.35">
      <c r="B8" s="7" t="s">
        <v>153</v>
      </c>
      <c r="C8" s="29">
        <v>1.48</v>
      </c>
      <c r="D8" s="47">
        <v>60</v>
      </c>
      <c r="E8" s="329">
        <f>C27+D27+E27+F27</f>
        <v>25</v>
      </c>
      <c r="F8" s="329">
        <f>+C18+D18+E18+F18</f>
        <v>0</v>
      </c>
      <c r="G8" s="329">
        <f>(D8+F8)-E8</f>
        <v>35</v>
      </c>
      <c r="H8" s="30"/>
      <c r="I8" s="7" t="s">
        <v>153</v>
      </c>
      <c r="J8" s="29">
        <v>2.5000000000000001E-3</v>
      </c>
      <c r="K8" s="47">
        <v>245.61403508771932</v>
      </c>
      <c r="L8" s="47">
        <f>K8*J8</f>
        <v>0.61403508771929827</v>
      </c>
      <c r="M8" s="101">
        <f>GETPIVOTDATA("CONSUMO (L) Bisulfito de sodio ",'CONSUMO QUÍMICA - CAUDALES RO'!$A$3)</f>
        <v>0</v>
      </c>
      <c r="N8" s="300" t="e">
        <f>SUM(#REF!)</f>
        <v>#REF!</v>
      </c>
      <c r="O8" s="100">
        <f>J18+L18+N18</f>
        <v>0</v>
      </c>
      <c r="P8" s="300"/>
      <c r="Q8" s="21">
        <f>(K8+O8)-M8</f>
        <v>245.61403508771932</v>
      </c>
      <c r="R8" s="22">
        <f>Q8*J8</f>
        <v>0.61403508771929827</v>
      </c>
    </row>
    <row r="9" spans="2:19" ht="3.75" customHeight="1" x14ac:dyDescent="0.3">
      <c r="B9" s="9"/>
      <c r="C9" s="338">
        <v>2.5000000000000001E-3</v>
      </c>
      <c r="D9" s="9"/>
    </row>
    <row r="10" spans="2:19" ht="16.5" customHeight="1" thickBot="1" x14ac:dyDescent="0.35"/>
    <row r="11" spans="2:19" ht="15.75" customHeight="1" thickBot="1" x14ac:dyDescent="0.35">
      <c r="B11" s="674" t="s">
        <v>170</v>
      </c>
      <c r="C11" s="627" t="s">
        <v>24</v>
      </c>
      <c r="D11" s="628"/>
      <c r="E11" s="628"/>
      <c r="F11" s="629"/>
      <c r="I11" s="674" t="s">
        <v>7</v>
      </c>
      <c r="J11" s="678" t="s">
        <v>161</v>
      </c>
      <c r="K11" s="679"/>
      <c r="L11" s="679"/>
      <c r="M11" s="679"/>
      <c r="N11" s="679"/>
      <c r="O11" s="679"/>
      <c r="P11" s="679"/>
      <c r="Q11" s="679"/>
      <c r="R11" s="679"/>
      <c r="S11" s="680"/>
    </row>
    <row r="12" spans="2:19" ht="18" customHeight="1" x14ac:dyDescent="0.3">
      <c r="B12" s="675"/>
      <c r="C12" s="313">
        <v>45677</v>
      </c>
      <c r="D12" s="323"/>
      <c r="E12" s="323"/>
      <c r="F12" s="331"/>
      <c r="I12" s="675"/>
      <c r="J12" s="681">
        <v>45550</v>
      </c>
      <c r="K12" s="682"/>
      <c r="L12" s="681">
        <v>45559</v>
      </c>
      <c r="M12" s="682"/>
      <c r="N12" s="681"/>
      <c r="O12" s="682"/>
      <c r="P12" s="681"/>
      <c r="Q12" s="682"/>
      <c r="R12" s="683"/>
      <c r="S12" s="682"/>
    </row>
    <row r="13" spans="2:19" ht="15" thickBot="1" x14ac:dyDescent="0.35">
      <c r="B13" s="676"/>
      <c r="C13" s="40" t="s">
        <v>168</v>
      </c>
      <c r="D13" s="40" t="s">
        <v>168</v>
      </c>
      <c r="E13" s="40" t="s">
        <v>168</v>
      </c>
      <c r="F13" s="332" t="s">
        <v>168</v>
      </c>
      <c r="I13" s="676"/>
      <c r="J13" s="40" t="s">
        <v>10</v>
      </c>
      <c r="K13" s="41" t="s">
        <v>11</v>
      </c>
      <c r="L13" s="40" t="s">
        <v>10</v>
      </c>
      <c r="M13" s="41" t="s">
        <v>11</v>
      </c>
      <c r="N13" s="40" t="s">
        <v>10</v>
      </c>
      <c r="O13" s="41" t="s">
        <v>11</v>
      </c>
      <c r="P13" s="40" t="s">
        <v>10</v>
      </c>
      <c r="Q13" s="41" t="s">
        <v>11</v>
      </c>
      <c r="R13" s="45" t="s">
        <v>10</v>
      </c>
      <c r="S13" s="41" t="s">
        <v>11</v>
      </c>
    </row>
    <row r="14" spans="2:19" x14ac:dyDescent="0.3">
      <c r="B14" s="42" t="str">
        <f>B4</f>
        <v xml:space="preserve"> CONSUMO (L) HCL (10%)</v>
      </c>
      <c r="C14" s="20">
        <v>0</v>
      </c>
      <c r="D14" s="20">
        <v>0</v>
      </c>
      <c r="E14" s="20">
        <v>0</v>
      </c>
      <c r="F14" s="333">
        <v>0</v>
      </c>
      <c r="I14" s="42" t="str">
        <f>I4</f>
        <v xml:space="preserve"> CONSUMO (L) HCL (10%)</v>
      </c>
      <c r="J14" s="20">
        <v>360</v>
      </c>
      <c r="K14" s="4"/>
      <c r="L14" s="20"/>
      <c r="M14" s="4"/>
      <c r="N14" s="20">
        <v>0</v>
      </c>
      <c r="O14" s="4" t="e">
        <f>N14*N4</f>
        <v>#REF!</v>
      </c>
      <c r="P14" s="20">
        <v>0</v>
      </c>
      <c r="Q14" s="4">
        <f>P14*P4</f>
        <v>0</v>
      </c>
      <c r="R14" s="20">
        <v>0</v>
      </c>
      <c r="S14" s="4">
        <f>R14*J4</f>
        <v>0</v>
      </c>
    </row>
    <row r="15" spans="2:19" x14ac:dyDescent="0.3">
      <c r="B15" s="43" t="str">
        <f>B5</f>
        <v xml:space="preserve"> CONSUMO (L) KURIVERTER IK-220 (Biocida)</v>
      </c>
      <c r="C15" s="27">
        <v>700</v>
      </c>
      <c r="D15" s="27">
        <v>0</v>
      </c>
      <c r="E15" s="27">
        <v>0</v>
      </c>
      <c r="F15" s="334">
        <v>0</v>
      </c>
      <c r="I15" s="43" t="str">
        <f>I5</f>
        <v xml:space="preserve"> CONSUMO (L) KURIVERTER IK-220 (Biocida)</v>
      </c>
      <c r="J15" s="27"/>
      <c r="K15" s="6"/>
      <c r="L15" s="27"/>
      <c r="M15" s="6"/>
      <c r="N15" s="27">
        <v>0</v>
      </c>
      <c r="O15" s="6">
        <f>N15*$C$5</f>
        <v>0</v>
      </c>
      <c r="P15" s="27">
        <v>0</v>
      </c>
      <c r="Q15" s="6">
        <f>P15*$C$5</f>
        <v>0</v>
      </c>
      <c r="R15" s="27">
        <v>0</v>
      </c>
      <c r="S15" s="6">
        <f>R15*$C$5</f>
        <v>0</v>
      </c>
    </row>
    <row r="16" spans="2:19" x14ac:dyDescent="0.3">
      <c r="B16" s="43" t="str">
        <f>B6</f>
        <v xml:space="preserve">CONSUMO (L) VITEC 7000 (Antiincrustante) </v>
      </c>
      <c r="C16" s="27">
        <v>0</v>
      </c>
      <c r="D16" s="27">
        <v>0</v>
      </c>
      <c r="E16" s="27">
        <v>0</v>
      </c>
      <c r="F16" s="334">
        <v>0</v>
      </c>
      <c r="I16" s="43" t="str">
        <f>I6</f>
        <v xml:space="preserve">CONSUMO (L) VITEC 7000 (Antiincrustante) </v>
      </c>
      <c r="J16" s="27"/>
      <c r="K16" s="6"/>
      <c r="L16" s="27">
        <v>580</v>
      </c>
      <c r="M16" s="6"/>
      <c r="N16" s="27">
        <v>0</v>
      </c>
      <c r="O16" s="6">
        <f>N16*$C$6</f>
        <v>0</v>
      </c>
      <c r="P16" s="27">
        <v>0</v>
      </c>
      <c r="Q16" s="6">
        <f>P16*$C$6</f>
        <v>0</v>
      </c>
      <c r="R16" s="27">
        <v>0</v>
      </c>
      <c r="S16" s="6">
        <f>R16*$C$6</f>
        <v>0</v>
      </c>
    </row>
    <row r="17" spans="1:102" ht="15" customHeight="1" x14ac:dyDescent="0.3">
      <c r="B17" s="43" t="str">
        <f>B7</f>
        <v xml:space="preserve">CONSUMO (L) Hidróxido de Sodio (NaOH) </v>
      </c>
      <c r="C17" s="27">
        <v>0</v>
      </c>
      <c r="D17" s="27">
        <v>0</v>
      </c>
      <c r="E17" s="27">
        <v>0</v>
      </c>
      <c r="F17" s="334">
        <v>0</v>
      </c>
      <c r="I17" s="43" t="str">
        <f>I7</f>
        <v xml:space="preserve">CONSUMO (L) Hidróxido de Sodio (NaOH) </v>
      </c>
      <c r="J17" s="27"/>
      <c r="K17" s="6"/>
      <c r="L17" s="27"/>
      <c r="M17" s="6"/>
      <c r="N17" s="27">
        <v>0</v>
      </c>
      <c r="O17" s="6">
        <f>N17*$C$7</f>
        <v>0</v>
      </c>
      <c r="P17" s="27">
        <v>0</v>
      </c>
      <c r="Q17" s="6">
        <f>P17*$C$7</f>
        <v>0</v>
      </c>
      <c r="R17" s="27">
        <v>0</v>
      </c>
      <c r="S17" s="6">
        <f>R17*$C$7</f>
        <v>0</v>
      </c>
    </row>
    <row r="18" spans="1:102" ht="17.55" customHeight="1" thickBot="1" x14ac:dyDescent="0.35">
      <c r="B18" s="44" t="str">
        <f>B8</f>
        <v xml:space="preserve">CONSUMO (L) Bisulfito de sodio </v>
      </c>
      <c r="C18" s="28">
        <v>0</v>
      </c>
      <c r="D18" s="28">
        <v>0</v>
      </c>
      <c r="E18" s="28">
        <v>0</v>
      </c>
      <c r="F18" s="335">
        <v>0</v>
      </c>
      <c r="I18" s="44" t="str">
        <f>I8</f>
        <v xml:space="preserve">CONSUMO (L) Bisulfito de sodio </v>
      </c>
      <c r="J18" s="28"/>
      <c r="K18" s="8"/>
      <c r="L18" s="28"/>
      <c r="M18" s="8"/>
      <c r="N18" s="28">
        <v>0</v>
      </c>
      <c r="O18" s="8">
        <f>N18*$C$8</f>
        <v>0</v>
      </c>
      <c r="P18" s="28">
        <v>0</v>
      </c>
      <c r="Q18" s="8">
        <f>P18*$C$8</f>
        <v>0</v>
      </c>
      <c r="R18" s="28">
        <v>0</v>
      </c>
      <c r="S18" s="8">
        <f>R18*$C$8</f>
        <v>0</v>
      </c>
    </row>
    <row r="19" spans="1:102" ht="15" thickBot="1" x14ac:dyDescent="0.35">
      <c r="E19" s="9"/>
      <c r="F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</row>
    <row r="20" spans="1:102" ht="15.75" customHeight="1" thickBot="1" x14ac:dyDescent="0.35">
      <c r="B20" s="669" t="s">
        <v>171</v>
      </c>
      <c r="C20" s="666" t="s">
        <v>169</v>
      </c>
      <c r="D20" s="667"/>
      <c r="E20" s="667"/>
      <c r="F20" s="668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</row>
    <row r="21" spans="1:102" x14ac:dyDescent="0.3">
      <c r="B21" s="670"/>
      <c r="C21" s="324">
        <v>45568</v>
      </c>
      <c r="D21" s="325"/>
      <c r="E21" s="325"/>
      <c r="F21" s="336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</row>
    <row r="22" spans="1:102" ht="15" thickBot="1" x14ac:dyDescent="0.35">
      <c r="B22" s="671"/>
      <c r="C22" s="322" t="s">
        <v>10</v>
      </c>
      <c r="D22" s="322" t="s">
        <v>10</v>
      </c>
      <c r="E22" s="322" t="s">
        <v>10</v>
      </c>
      <c r="F22" s="337" t="s">
        <v>10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</row>
    <row r="23" spans="1:102" x14ac:dyDescent="0.3">
      <c r="B23" s="3" t="s">
        <v>149</v>
      </c>
      <c r="C23" s="20">
        <v>0</v>
      </c>
      <c r="D23" s="20">
        <v>0</v>
      </c>
      <c r="E23" s="20">
        <v>0</v>
      </c>
      <c r="F23" s="333">
        <v>0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</row>
    <row r="24" spans="1:102" x14ac:dyDescent="0.3">
      <c r="B24" s="5" t="s">
        <v>150</v>
      </c>
      <c r="C24" s="27">
        <v>0</v>
      </c>
      <c r="D24" s="27">
        <v>0</v>
      </c>
      <c r="E24" s="27">
        <v>0</v>
      </c>
      <c r="F24" s="334">
        <v>0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</row>
    <row r="25" spans="1:102" x14ac:dyDescent="0.3">
      <c r="A25" s="9"/>
      <c r="B25" s="5" t="s">
        <v>151</v>
      </c>
      <c r="C25" s="27">
        <v>0</v>
      </c>
      <c r="D25" s="27">
        <v>0</v>
      </c>
      <c r="E25" s="27">
        <v>0</v>
      </c>
      <c r="F25" s="334">
        <v>0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</row>
    <row r="26" spans="1:102" x14ac:dyDescent="0.3">
      <c r="B26" s="5" t="s">
        <v>152</v>
      </c>
      <c r="C26" s="27">
        <v>0</v>
      </c>
      <c r="D26" s="27">
        <v>0</v>
      </c>
      <c r="E26" s="27">
        <v>0</v>
      </c>
      <c r="F26" s="334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</row>
    <row r="27" spans="1:102" ht="15" thickBot="1" x14ac:dyDescent="0.35">
      <c r="B27" s="7" t="s">
        <v>153</v>
      </c>
      <c r="C27" s="28">
        <v>25</v>
      </c>
      <c r="D27" s="28">
        <v>0</v>
      </c>
      <c r="E27" s="28">
        <v>0</v>
      </c>
      <c r="F27" s="335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</row>
    <row r="28" spans="1:102" x14ac:dyDescent="0.3">
      <c r="B28" s="9" t="s">
        <v>167</v>
      </c>
      <c r="C28" s="33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</row>
    <row r="29" spans="1:102" x14ac:dyDescent="0.3">
      <c r="B29" s="9"/>
      <c r="C29" s="33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</row>
    <row r="30" spans="1:102" x14ac:dyDescent="0.3">
      <c r="B30" s="9"/>
      <c r="C30" s="33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</row>
    <row r="31" spans="1:102" x14ac:dyDescent="0.3">
      <c r="B31" s="9"/>
      <c r="C31" s="33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</row>
    <row r="32" spans="1:102" x14ac:dyDescent="0.3">
      <c r="B32" s="9"/>
      <c r="C32" s="33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</row>
    <row r="33" spans="2:102" x14ac:dyDescent="0.3">
      <c r="B33" s="9"/>
      <c r="C33" s="33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</row>
    <row r="34" spans="2:102" x14ac:dyDescent="0.3">
      <c r="B34" s="9"/>
      <c r="C34" s="33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</row>
    <row r="35" spans="2:102" x14ac:dyDescent="0.3">
      <c r="B35" s="9"/>
      <c r="C35" s="33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</row>
    <row r="36" spans="2:102" x14ac:dyDescent="0.3">
      <c r="B36" s="9"/>
      <c r="C36" s="33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</row>
    <row r="37" spans="2:102" x14ac:dyDescent="0.3">
      <c r="B37" s="9"/>
      <c r="C37" s="33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</row>
    <row r="38" spans="2:102" x14ac:dyDescent="0.3">
      <c r="B38" s="9"/>
      <c r="C38" s="33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</row>
    <row r="39" spans="2:102" x14ac:dyDescent="0.3">
      <c r="B39" s="9"/>
      <c r="C39" s="33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</row>
    <row r="40" spans="2:102" x14ac:dyDescent="0.3">
      <c r="B40" s="9"/>
      <c r="C40" s="33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</row>
    <row r="41" spans="2:102" x14ac:dyDescent="0.3">
      <c r="B41" s="9"/>
      <c r="C41" s="33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</row>
    <row r="42" spans="2:102" x14ac:dyDescent="0.3">
      <c r="B42" s="9"/>
      <c r="C42" s="33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</row>
    <row r="43" spans="2:102" x14ac:dyDescent="0.3">
      <c r="B43" s="9"/>
      <c r="C43" s="33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</row>
    <row r="44" spans="2:102" x14ac:dyDescent="0.3">
      <c r="B44" s="9"/>
      <c r="C44" s="33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</row>
    <row r="45" spans="2:102" x14ac:dyDescent="0.3">
      <c r="B45" s="9"/>
      <c r="C45" s="33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</row>
    <row r="46" spans="2:102" x14ac:dyDescent="0.3">
      <c r="B46" s="9"/>
      <c r="C46" s="33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</row>
    <row r="47" spans="2:102" x14ac:dyDescent="0.3">
      <c r="B47" s="9"/>
      <c r="C47" s="33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</row>
    <row r="48" spans="2:102" x14ac:dyDescent="0.3">
      <c r="B48" s="9"/>
      <c r="C48" s="33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</row>
    <row r="49" spans="2:102" x14ac:dyDescent="0.3">
      <c r="B49" s="9"/>
      <c r="C49" s="33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</row>
    <row r="50" spans="2:102" x14ac:dyDescent="0.3">
      <c r="B50" s="9"/>
      <c r="C50" s="33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</row>
    <row r="51" spans="2:102" x14ac:dyDescent="0.3">
      <c r="B51" s="9"/>
      <c r="C51" s="33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</row>
    <row r="52" spans="2:102" x14ac:dyDescent="0.3">
      <c r="B52" s="9"/>
      <c r="C52" s="33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</row>
    <row r="53" spans="2:102" x14ac:dyDescent="0.3">
      <c r="B53" s="9"/>
      <c r="C53" s="33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</row>
    <row r="54" spans="2:102" x14ac:dyDescent="0.3">
      <c r="B54" s="9"/>
      <c r="C54" s="33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</row>
    <row r="55" spans="2:102" x14ac:dyDescent="0.3">
      <c r="B55" s="9"/>
      <c r="C55" s="33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</row>
    <row r="56" spans="2:102" x14ac:dyDescent="0.3">
      <c r="B56" s="9"/>
      <c r="C56" s="33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</row>
    <row r="57" spans="2:102" x14ac:dyDescent="0.3">
      <c r="B57" s="9"/>
      <c r="C57" s="33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</row>
    <row r="58" spans="2:102" x14ac:dyDescent="0.3">
      <c r="B58" s="9"/>
      <c r="C58" s="33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</row>
    <row r="59" spans="2:102" x14ac:dyDescent="0.3">
      <c r="B59" s="9"/>
      <c r="C59" s="33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</row>
    <row r="60" spans="2:102" x14ac:dyDescent="0.3">
      <c r="B60" s="9"/>
      <c r="C60" s="33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</row>
    <row r="61" spans="2:102" x14ac:dyDescent="0.3">
      <c r="B61" s="9"/>
      <c r="C61" s="33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</row>
    <row r="62" spans="2:102" x14ac:dyDescent="0.3">
      <c r="B62" s="9"/>
      <c r="C62" s="33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</row>
    <row r="63" spans="2:102" x14ac:dyDescent="0.3">
      <c r="B63" s="9"/>
      <c r="C63" s="33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</row>
    <row r="64" spans="2:102" x14ac:dyDescent="0.3">
      <c r="B64" s="9"/>
      <c r="C64" s="33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</row>
    <row r="65" spans="2:102" x14ac:dyDescent="0.3">
      <c r="B65" s="9"/>
      <c r="C65" s="33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</row>
    <row r="66" spans="2:102" x14ac:dyDescent="0.3">
      <c r="B66" s="9"/>
      <c r="C66" s="33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</row>
    <row r="67" spans="2:102" x14ac:dyDescent="0.3">
      <c r="B67" s="9"/>
      <c r="C67" s="33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</row>
    <row r="68" spans="2:102" x14ac:dyDescent="0.3">
      <c r="B68" s="9"/>
      <c r="C68" s="33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</row>
    <row r="69" spans="2:102" x14ac:dyDescent="0.3">
      <c r="B69" s="9"/>
      <c r="C69" s="33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</row>
    <row r="70" spans="2:102" x14ac:dyDescent="0.3">
      <c r="B70" s="9"/>
      <c r="C70" s="338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</row>
    <row r="71" spans="2:102" x14ac:dyDescent="0.3">
      <c r="B71" s="9"/>
      <c r="C71" s="338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</row>
    <row r="72" spans="2:102" x14ac:dyDescent="0.3">
      <c r="B72" s="9"/>
      <c r="C72" s="338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</row>
    <row r="73" spans="2:102" x14ac:dyDescent="0.3">
      <c r="B73" s="9"/>
      <c r="C73" s="33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</row>
    <row r="74" spans="2:102" x14ac:dyDescent="0.3">
      <c r="B74" s="9"/>
      <c r="C74" s="33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</row>
    <row r="75" spans="2:102" x14ac:dyDescent="0.3">
      <c r="B75" s="9"/>
      <c r="C75" s="338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</row>
    <row r="76" spans="2:102" x14ac:dyDescent="0.3">
      <c r="B76" s="9"/>
      <c r="C76" s="33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</row>
    <row r="77" spans="2:102" x14ac:dyDescent="0.3">
      <c r="B77" s="9"/>
      <c r="C77" s="33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</row>
    <row r="78" spans="2:102" x14ac:dyDescent="0.3">
      <c r="B78" s="9"/>
      <c r="C78" s="338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</row>
    <row r="79" spans="2:102" x14ac:dyDescent="0.3">
      <c r="B79" s="9"/>
      <c r="C79" s="33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</row>
    <row r="80" spans="2:102" x14ac:dyDescent="0.3">
      <c r="B80" s="9"/>
      <c r="C80" s="33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</row>
    <row r="81" spans="2:102" x14ac:dyDescent="0.3">
      <c r="B81" s="9"/>
      <c r="C81" s="33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</row>
    <row r="82" spans="2:102" x14ac:dyDescent="0.3">
      <c r="B82" s="9"/>
      <c r="C82" s="33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</row>
    <row r="83" spans="2:102" x14ac:dyDescent="0.3">
      <c r="B83" s="9"/>
      <c r="C83" s="33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</row>
    <row r="84" spans="2:102" x14ac:dyDescent="0.3">
      <c r="B84" s="9"/>
      <c r="C84" s="33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</row>
    <row r="85" spans="2:102" x14ac:dyDescent="0.3">
      <c r="B85" s="9"/>
      <c r="C85" s="33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</row>
    <row r="86" spans="2:102" x14ac:dyDescent="0.3">
      <c r="B86" s="9"/>
      <c r="C86" s="33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</row>
    <row r="87" spans="2:102" x14ac:dyDescent="0.3">
      <c r="B87" s="9"/>
      <c r="C87" s="338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</row>
    <row r="88" spans="2:102" x14ac:dyDescent="0.3">
      <c r="B88" s="9"/>
      <c r="C88" s="338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</row>
    <row r="89" spans="2:102" x14ac:dyDescent="0.3">
      <c r="B89" s="9"/>
      <c r="C89" s="338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</row>
    <row r="90" spans="2:102" x14ac:dyDescent="0.3">
      <c r="B90" s="9"/>
      <c r="C90" s="338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</row>
    <row r="91" spans="2:102" x14ac:dyDescent="0.3">
      <c r="B91" s="9"/>
      <c r="C91" s="33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</row>
    <row r="92" spans="2:102" x14ac:dyDescent="0.3">
      <c r="B92" s="9"/>
      <c r="C92" s="338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</row>
    <row r="93" spans="2:102" x14ac:dyDescent="0.3">
      <c r="B93" s="9"/>
      <c r="C93" s="338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</row>
    <row r="94" spans="2:102" x14ac:dyDescent="0.3">
      <c r="B94" s="9"/>
      <c r="C94" s="338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</row>
    <row r="95" spans="2:102" x14ac:dyDescent="0.3">
      <c r="B95" s="9"/>
      <c r="C95" s="338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</row>
    <row r="96" spans="2:102" x14ac:dyDescent="0.3">
      <c r="B96" s="9"/>
      <c r="C96" s="338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</row>
    <row r="97" spans="2:102" x14ac:dyDescent="0.3">
      <c r="B97" s="9"/>
      <c r="C97" s="33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</row>
    <row r="98" spans="2:102" x14ac:dyDescent="0.3">
      <c r="B98" s="9"/>
      <c r="C98" s="33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</row>
    <row r="99" spans="2:102" x14ac:dyDescent="0.3">
      <c r="B99" s="9"/>
      <c r="C99" s="33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</row>
    <row r="100" spans="2:102" x14ac:dyDescent="0.3">
      <c r="B100" s="9"/>
      <c r="C100" s="33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</row>
    <row r="101" spans="2:102" x14ac:dyDescent="0.3">
      <c r="B101" s="9"/>
      <c r="C101" s="338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</row>
    <row r="102" spans="2:102" x14ac:dyDescent="0.3">
      <c r="B102" s="9"/>
      <c r="C102" s="33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</row>
    <row r="103" spans="2:102" x14ac:dyDescent="0.3">
      <c r="B103" s="9"/>
      <c r="C103" s="33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</row>
    <row r="104" spans="2:102" x14ac:dyDescent="0.3">
      <c r="B104" s="9"/>
      <c r="C104" s="33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</row>
    <row r="105" spans="2:102" x14ac:dyDescent="0.3">
      <c r="B105" s="9"/>
      <c r="C105" s="33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</row>
    <row r="106" spans="2:102" x14ac:dyDescent="0.3">
      <c r="B106" s="9"/>
      <c r="C106" s="338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</row>
    <row r="107" spans="2:102" x14ac:dyDescent="0.3">
      <c r="B107" s="9"/>
      <c r="C107" s="338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</row>
    <row r="108" spans="2:102" x14ac:dyDescent="0.3">
      <c r="B108" s="9"/>
      <c r="C108" s="338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</row>
    <row r="109" spans="2:102" x14ac:dyDescent="0.3">
      <c r="B109" s="9"/>
      <c r="C109" s="33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</row>
    <row r="110" spans="2:102" x14ac:dyDescent="0.3">
      <c r="B110" s="9"/>
      <c r="C110" s="338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</row>
    <row r="111" spans="2:102" x14ac:dyDescent="0.3">
      <c r="B111" s="9"/>
      <c r="C111" s="338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</row>
    <row r="112" spans="2:102" x14ac:dyDescent="0.3">
      <c r="B112" s="9"/>
      <c r="C112" s="338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</row>
    <row r="113" spans="2:102" x14ac:dyDescent="0.3">
      <c r="B113" s="9"/>
      <c r="C113" s="338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</row>
    <row r="114" spans="2:102" x14ac:dyDescent="0.3">
      <c r="B114" s="9"/>
      <c r="C114" s="33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</row>
    <row r="115" spans="2:102" x14ac:dyDescent="0.3">
      <c r="B115" s="9"/>
      <c r="C115" s="338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</row>
    <row r="116" spans="2:102" x14ac:dyDescent="0.3">
      <c r="B116" s="9"/>
      <c r="C116" s="338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</row>
    <row r="117" spans="2:102" x14ac:dyDescent="0.3">
      <c r="B117" s="9"/>
      <c r="C117" s="338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</row>
    <row r="118" spans="2:102" x14ac:dyDescent="0.3">
      <c r="B118" s="9"/>
      <c r="C118" s="338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</row>
    <row r="119" spans="2:102" x14ac:dyDescent="0.3">
      <c r="B119" s="9"/>
      <c r="C119" s="338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</row>
    <row r="120" spans="2:102" x14ac:dyDescent="0.3">
      <c r="B120" s="9"/>
      <c r="C120" s="338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</row>
    <row r="121" spans="2:102" x14ac:dyDescent="0.3">
      <c r="B121" s="9"/>
      <c r="C121" s="338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</row>
    <row r="122" spans="2:102" x14ac:dyDescent="0.3">
      <c r="B122" s="9"/>
      <c r="C122" s="338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</row>
    <row r="123" spans="2:102" x14ac:dyDescent="0.3">
      <c r="B123" s="9"/>
      <c r="C123" s="338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</row>
    <row r="124" spans="2:102" x14ac:dyDescent="0.3">
      <c r="B124" s="9"/>
      <c r="C124" s="338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</row>
    <row r="125" spans="2:102" x14ac:dyDescent="0.3">
      <c r="B125" s="9"/>
      <c r="C125" s="338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</row>
    <row r="126" spans="2:102" x14ac:dyDescent="0.3">
      <c r="B126" s="9"/>
      <c r="C126" s="338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</row>
    <row r="127" spans="2:102" x14ac:dyDescent="0.3">
      <c r="B127" s="9"/>
      <c r="C127" s="338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</row>
    <row r="128" spans="2:102" x14ac:dyDescent="0.3">
      <c r="B128" s="9"/>
      <c r="C128" s="338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</row>
    <row r="129" spans="2:102" x14ac:dyDescent="0.3">
      <c r="B129" s="9"/>
      <c r="C129" s="338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</row>
    <row r="130" spans="2:102" x14ac:dyDescent="0.3">
      <c r="B130" s="9"/>
      <c r="C130" s="338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</row>
    <row r="131" spans="2:102" x14ac:dyDescent="0.3">
      <c r="B131" s="9"/>
      <c r="C131" s="338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</row>
    <row r="132" spans="2:102" x14ac:dyDescent="0.3">
      <c r="B132" s="9"/>
      <c r="C132" s="338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</row>
    <row r="133" spans="2:102" x14ac:dyDescent="0.3">
      <c r="B133" s="9"/>
      <c r="C133" s="338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</row>
    <row r="134" spans="2:102" x14ac:dyDescent="0.3">
      <c r="B134" s="9"/>
      <c r="C134" s="338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</row>
    <row r="135" spans="2:102" x14ac:dyDescent="0.3">
      <c r="B135" s="9"/>
      <c r="C135" s="338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</row>
    <row r="136" spans="2:102" x14ac:dyDescent="0.3">
      <c r="B136" s="9"/>
      <c r="C136" s="338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</row>
    <row r="137" spans="2:102" x14ac:dyDescent="0.3">
      <c r="B137" s="9"/>
      <c r="C137" s="338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</row>
    <row r="138" spans="2:102" x14ac:dyDescent="0.3">
      <c r="B138" s="9"/>
      <c r="C138" s="338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</row>
    <row r="139" spans="2:102" x14ac:dyDescent="0.3">
      <c r="B139" s="9"/>
      <c r="C139" s="338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</row>
    <row r="140" spans="2:102" x14ac:dyDescent="0.3">
      <c r="B140" s="9"/>
      <c r="C140" s="338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</row>
    <row r="141" spans="2:102" x14ac:dyDescent="0.3">
      <c r="B141" s="9"/>
      <c r="C141" s="338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</row>
    <row r="142" spans="2:102" x14ac:dyDescent="0.3">
      <c r="B142" s="9"/>
      <c r="C142" s="338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</row>
    <row r="143" spans="2:102" x14ac:dyDescent="0.3">
      <c r="B143" s="9"/>
      <c r="C143" s="338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</row>
    <row r="144" spans="2:102" x14ac:dyDescent="0.3">
      <c r="B144" s="9"/>
      <c r="C144" s="338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</row>
    <row r="145" spans="2:102" x14ac:dyDescent="0.3">
      <c r="B145" s="9"/>
      <c r="C145" s="338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</row>
    <row r="146" spans="2:102" x14ac:dyDescent="0.3">
      <c r="B146" s="9"/>
      <c r="C146" s="338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</row>
    <row r="147" spans="2:102" x14ac:dyDescent="0.3">
      <c r="B147" s="9"/>
      <c r="C147" s="338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</row>
    <row r="148" spans="2:102" x14ac:dyDescent="0.3">
      <c r="B148" s="9"/>
      <c r="C148" s="338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</row>
    <row r="149" spans="2:102" x14ac:dyDescent="0.3">
      <c r="B149" s="9"/>
      <c r="C149" s="338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</row>
    <row r="150" spans="2:102" x14ac:dyDescent="0.3">
      <c r="B150" s="9"/>
      <c r="C150" s="338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</row>
    <row r="151" spans="2:102" x14ac:dyDescent="0.3">
      <c r="B151" s="9"/>
      <c r="C151" s="338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</row>
    <row r="152" spans="2:102" x14ac:dyDescent="0.3">
      <c r="B152" s="9"/>
      <c r="C152" s="338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</row>
    <row r="153" spans="2:102" x14ac:dyDescent="0.3">
      <c r="B153" s="9"/>
      <c r="C153" s="338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</row>
    <row r="154" spans="2:102" x14ac:dyDescent="0.3">
      <c r="B154" s="9"/>
      <c r="C154" s="338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</row>
    <row r="155" spans="2:102" x14ac:dyDescent="0.3">
      <c r="B155" s="9"/>
      <c r="C155" s="338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</row>
    <row r="156" spans="2:102" x14ac:dyDescent="0.3">
      <c r="B156" s="9"/>
      <c r="C156" s="338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</row>
    <row r="157" spans="2:102" x14ac:dyDescent="0.3">
      <c r="B157" s="9"/>
      <c r="C157" s="338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</row>
    <row r="158" spans="2:102" x14ac:dyDescent="0.3">
      <c r="B158" s="9"/>
      <c r="C158" s="338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</row>
    <row r="159" spans="2:102" x14ac:dyDescent="0.3">
      <c r="B159" s="9"/>
      <c r="C159" s="338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</row>
    <row r="160" spans="2:102" x14ac:dyDescent="0.3">
      <c r="B160" s="9"/>
      <c r="C160" s="338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</row>
    <row r="161" spans="2:102" x14ac:dyDescent="0.3">
      <c r="B161" s="9"/>
      <c r="C161" s="338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</row>
    <row r="162" spans="2:102" x14ac:dyDescent="0.3">
      <c r="B162" s="9"/>
      <c r="C162" s="338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</row>
    <row r="163" spans="2:102" x14ac:dyDescent="0.3">
      <c r="B163" s="9"/>
      <c r="C163" s="338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</row>
    <row r="164" spans="2:102" x14ac:dyDescent="0.3">
      <c r="B164" s="9"/>
      <c r="C164" s="338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</row>
    <row r="165" spans="2:102" x14ac:dyDescent="0.3">
      <c r="B165" s="9"/>
      <c r="C165" s="338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</row>
    <row r="166" spans="2:102" x14ac:dyDescent="0.3">
      <c r="B166" s="9"/>
      <c r="C166" s="338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</row>
    <row r="167" spans="2:102" x14ac:dyDescent="0.3">
      <c r="B167" s="9"/>
      <c r="C167" s="338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</row>
    <row r="168" spans="2:102" x14ac:dyDescent="0.3">
      <c r="B168" s="9"/>
      <c r="C168" s="338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</row>
    <row r="169" spans="2:102" x14ac:dyDescent="0.3">
      <c r="B169" s="9"/>
      <c r="C169" s="338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</row>
    <row r="170" spans="2:102" x14ac:dyDescent="0.3">
      <c r="B170" s="9"/>
      <c r="C170" s="338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</row>
    <row r="171" spans="2:102" x14ac:dyDescent="0.3">
      <c r="B171" s="9"/>
      <c r="C171" s="338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</row>
    <row r="172" spans="2:102" x14ac:dyDescent="0.3">
      <c r="B172" s="9"/>
      <c r="C172" s="338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</row>
    <row r="173" spans="2:102" x14ac:dyDescent="0.3">
      <c r="B173" s="9"/>
      <c r="C173" s="338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</row>
    <row r="174" spans="2:102" x14ac:dyDescent="0.3">
      <c r="B174" s="9"/>
      <c r="C174" s="338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</row>
    <row r="175" spans="2:102" x14ac:dyDescent="0.3">
      <c r="B175" s="9"/>
      <c r="C175" s="338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</row>
    <row r="176" spans="2:102" x14ac:dyDescent="0.3">
      <c r="B176" s="9"/>
      <c r="C176" s="338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</row>
    <row r="177" spans="2:102" x14ac:dyDescent="0.3">
      <c r="B177" s="9"/>
      <c r="C177" s="338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</row>
    <row r="178" spans="2:102" x14ac:dyDescent="0.3">
      <c r="B178" s="9"/>
      <c r="C178" s="338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</row>
    <row r="179" spans="2:102" x14ac:dyDescent="0.3">
      <c r="B179" s="9"/>
      <c r="C179" s="338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</row>
    <row r="180" spans="2:102" x14ac:dyDescent="0.3">
      <c r="B180" s="9"/>
      <c r="C180" s="338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</row>
    <row r="181" spans="2:102" x14ac:dyDescent="0.3">
      <c r="B181" s="9"/>
      <c r="C181" s="338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</row>
    <row r="182" spans="2:102" x14ac:dyDescent="0.3">
      <c r="B182" s="9"/>
      <c r="C182" s="338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</row>
    <row r="183" spans="2:102" x14ac:dyDescent="0.3">
      <c r="B183" s="9"/>
      <c r="C183" s="338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</row>
    <row r="184" spans="2:102" x14ac:dyDescent="0.3">
      <c r="B184" s="9"/>
      <c r="C184" s="338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</row>
    <row r="185" spans="2:102" x14ac:dyDescent="0.3">
      <c r="B185" s="9"/>
      <c r="C185" s="338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</row>
    <row r="186" spans="2:102" x14ac:dyDescent="0.3">
      <c r="B186" s="9"/>
      <c r="C186" s="338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</row>
    <row r="187" spans="2:102" x14ac:dyDescent="0.3">
      <c r="B187" s="9"/>
      <c r="C187" s="338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</row>
    <row r="188" spans="2:102" x14ac:dyDescent="0.3">
      <c r="B188" s="9"/>
      <c r="C188" s="338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</row>
    <row r="189" spans="2:102" x14ac:dyDescent="0.3">
      <c r="B189" s="9"/>
      <c r="C189" s="338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</row>
    <row r="190" spans="2:102" x14ac:dyDescent="0.3">
      <c r="B190" s="9"/>
      <c r="C190" s="338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</row>
    <row r="191" spans="2:102" x14ac:dyDescent="0.3">
      <c r="B191" s="9"/>
      <c r="C191" s="338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</row>
    <row r="192" spans="2:102" x14ac:dyDescent="0.3">
      <c r="B192" s="9"/>
      <c r="C192" s="338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</row>
    <row r="193" spans="2:102" x14ac:dyDescent="0.3">
      <c r="B193" s="9"/>
      <c r="C193" s="338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</row>
    <row r="194" spans="2:102" x14ac:dyDescent="0.3">
      <c r="B194" s="9"/>
      <c r="C194" s="338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</row>
    <row r="195" spans="2:102" x14ac:dyDescent="0.3">
      <c r="B195" s="9"/>
      <c r="C195" s="338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</row>
    <row r="196" spans="2:102" x14ac:dyDescent="0.3">
      <c r="B196" s="9"/>
      <c r="C196" s="338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</row>
    <row r="197" spans="2:102" x14ac:dyDescent="0.3">
      <c r="B197" s="9"/>
      <c r="C197" s="338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</row>
    <row r="198" spans="2:102" x14ac:dyDescent="0.3">
      <c r="B198" s="9"/>
      <c r="C198" s="338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</row>
    <row r="199" spans="2:102" x14ac:dyDescent="0.3">
      <c r="B199" s="9"/>
      <c r="C199" s="338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</row>
    <row r="200" spans="2:102" x14ac:dyDescent="0.3">
      <c r="B200" s="9"/>
      <c r="C200" s="338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</row>
    <row r="201" spans="2:102" x14ac:dyDescent="0.3">
      <c r="B201" s="9"/>
      <c r="C201" s="338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</row>
    <row r="202" spans="2:102" x14ac:dyDescent="0.3">
      <c r="B202" s="9"/>
      <c r="C202" s="338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</row>
    <row r="203" spans="2:102" x14ac:dyDescent="0.3">
      <c r="B203" s="9"/>
      <c r="C203" s="338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</row>
    <row r="204" spans="2:102" x14ac:dyDescent="0.3">
      <c r="B204" s="9"/>
      <c r="C204" s="338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</row>
    <row r="205" spans="2:102" x14ac:dyDescent="0.3">
      <c r="B205" s="9"/>
      <c r="C205" s="338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</row>
    <row r="206" spans="2:102" x14ac:dyDescent="0.3">
      <c r="B206" s="9"/>
      <c r="C206" s="338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</row>
    <row r="207" spans="2:102" x14ac:dyDescent="0.3">
      <c r="B207" s="9"/>
      <c r="C207" s="338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</row>
    <row r="208" spans="2:102" x14ac:dyDescent="0.3">
      <c r="B208" s="9"/>
      <c r="C208" s="338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</row>
    <row r="209" spans="2:102" x14ac:dyDescent="0.3">
      <c r="B209" s="9"/>
      <c r="C209" s="338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</row>
    <row r="210" spans="2:102" x14ac:dyDescent="0.3">
      <c r="B210" s="9"/>
      <c r="C210" s="338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</row>
    <row r="211" spans="2:102" x14ac:dyDescent="0.3">
      <c r="B211" s="9"/>
      <c r="C211" s="338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</row>
    <row r="212" spans="2:102" x14ac:dyDescent="0.3">
      <c r="B212" s="9"/>
      <c r="C212" s="338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</row>
    <row r="213" spans="2:102" x14ac:dyDescent="0.3">
      <c r="B213" s="9"/>
      <c r="C213" s="338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</row>
    <row r="214" spans="2:102" x14ac:dyDescent="0.3">
      <c r="B214" s="9"/>
      <c r="C214" s="338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</row>
    <row r="215" spans="2:102" x14ac:dyDescent="0.3">
      <c r="B215" s="9"/>
      <c r="C215" s="338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</row>
    <row r="216" spans="2:102" x14ac:dyDescent="0.3">
      <c r="B216" s="9"/>
      <c r="C216" s="338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</row>
    <row r="217" spans="2:102" x14ac:dyDescent="0.3">
      <c r="B217" s="9"/>
      <c r="C217" s="338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</row>
    <row r="218" spans="2:102" x14ac:dyDescent="0.3">
      <c r="B218" s="9"/>
      <c r="C218" s="338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</row>
    <row r="219" spans="2:102" x14ac:dyDescent="0.3">
      <c r="B219" s="9"/>
      <c r="C219" s="338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</row>
    <row r="220" spans="2:102" x14ac:dyDescent="0.3">
      <c r="B220" s="9"/>
      <c r="C220" s="338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</row>
    <row r="221" spans="2:102" x14ac:dyDescent="0.3">
      <c r="B221" s="9"/>
      <c r="C221" s="338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</row>
    <row r="222" spans="2:102" x14ac:dyDescent="0.3">
      <c r="B222" s="9"/>
      <c r="C222" s="338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</row>
    <row r="223" spans="2:102" x14ac:dyDescent="0.3">
      <c r="B223" s="9"/>
      <c r="C223" s="338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</row>
    <row r="224" spans="2:102" x14ac:dyDescent="0.3">
      <c r="B224" s="9"/>
      <c r="C224" s="338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</row>
    <row r="225" spans="2:102" x14ac:dyDescent="0.3">
      <c r="B225" s="9"/>
      <c r="C225" s="338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</row>
    <row r="226" spans="2:102" x14ac:dyDescent="0.3">
      <c r="B226" s="9"/>
      <c r="C226" s="338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</row>
    <row r="227" spans="2:102" x14ac:dyDescent="0.3">
      <c r="B227" s="9"/>
      <c r="C227" s="338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</row>
    <row r="228" spans="2:102" x14ac:dyDescent="0.3">
      <c r="B228" s="9"/>
      <c r="C228" s="338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</row>
    <row r="229" spans="2:102" x14ac:dyDescent="0.3">
      <c r="B229" s="9"/>
      <c r="C229" s="338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</row>
    <row r="230" spans="2:102" x14ac:dyDescent="0.3">
      <c r="B230" s="9"/>
      <c r="C230" s="338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</row>
    <row r="231" spans="2:102" x14ac:dyDescent="0.3">
      <c r="B231" s="9"/>
      <c r="C231" s="338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</row>
    <row r="232" spans="2:102" x14ac:dyDescent="0.3">
      <c r="B232" s="9"/>
      <c r="C232" s="338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</row>
    <row r="233" spans="2:102" x14ac:dyDescent="0.3">
      <c r="B233" s="9"/>
      <c r="C233" s="338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</row>
    <row r="234" spans="2:102" x14ac:dyDescent="0.3">
      <c r="B234" s="9"/>
      <c r="C234" s="338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</row>
    <row r="235" spans="2:102" x14ac:dyDescent="0.3">
      <c r="B235" s="9"/>
      <c r="C235" s="338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</row>
    <row r="236" spans="2:102" x14ac:dyDescent="0.3">
      <c r="B236" s="9"/>
      <c r="C236" s="338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</row>
    <row r="237" spans="2:102" x14ac:dyDescent="0.3">
      <c r="B237" s="9"/>
      <c r="C237" s="338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</row>
    <row r="238" spans="2:102" x14ac:dyDescent="0.3">
      <c r="B238" s="9"/>
      <c r="C238" s="338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</row>
    <row r="239" spans="2:102" x14ac:dyDescent="0.3">
      <c r="B239" s="9"/>
      <c r="C239" s="338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</row>
    <row r="240" spans="2:102" x14ac:dyDescent="0.3">
      <c r="B240" s="9"/>
      <c r="C240" s="338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</row>
    <row r="241" spans="2:102" x14ac:dyDescent="0.3">
      <c r="B241" s="9"/>
      <c r="C241" s="338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</row>
    <row r="242" spans="2:102" x14ac:dyDescent="0.3">
      <c r="B242" s="9"/>
      <c r="C242" s="338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</row>
    <row r="243" spans="2:102" x14ac:dyDescent="0.3">
      <c r="B243" s="9"/>
      <c r="C243" s="338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</row>
    <row r="244" spans="2:102" x14ac:dyDescent="0.3">
      <c r="B244" s="9"/>
      <c r="C244" s="338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</row>
    <row r="245" spans="2:102" x14ac:dyDescent="0.3">
      <c r="B245" s="9"/>
      <c r="C245" s="338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</row>
    <row r="246" spans="2:102" x14ac:dyDescent="0.3">
      <c r="B246" s="9"/>
      <c r="C246" s="338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</row>
    <row r="247" spans="2:102" x14ac:dyDescent="0.3">
      <c r="B247" s="9"/>
      <c r="C247" s="338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</row>
    <row r="248" spans="2:102" x14ac:dyDescent="0.3">
      <c r="B248" s="9"/>
      <c r="C248" s="338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</row>
    <row r="249" spans="2:102" x14ac:dyDescent="0.3">
      <c r="B249" s="9"/>
      <c r="C249" s="338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</row>
    <row r="250" spans="2:102" x14ac:dyDescent="0.3">
      <c r="B250" s="9"/>
      <c r="C250" s="338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</row>
    <row r="251" spans="2:102" x14ac:dyDescent="0.3">
      <c r="B251" s="9"/>
      <c r="C251" s="338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</row>
    <row r="252" spans="2:102" x14ac:dyDescent="0.3">
      <c r="B252" s="9"/>
      <c r="C252" s="338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</row>
    <row r="253" spans="2:102" x14ac:dyDescent="0.3">
      <c r="B253" s="9"/>
      <c r="C253" s="338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</row>
    <row r="254" spans="2:102" x14ac:dyDescent="0.3">
      <c r="B254" s="9"/>
      <c r="C254" s="338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</row>
    <row r="255" spans="2:102" x14ac:dyDescent="0.3">
      <c r="B255" s="9"/>
      <c r="C255" s="338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</row>
    <row r="256" spans="2:102" x14ac:dyDescent="0.3">
      <c r="B256" s="9"/>
      <c r="C256" s="338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</row>
    <row r="257" spans="2:102" x14ac:dyDescent="0.3">
      <c r="B257" s="9"/>
      <c r="C257" s="338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</row>
    <row r="258" spans="2:102" x14ac:dyDescent="0.3">
      <c r="B258" s="9"/>
      <c r="C258" s="338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</row>
    <row r="259" spans="2:102" x14ac:dyDescent="0.3">
      <c r="B259" s="9"/>
      <c r="C259" s="338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</row>
    <row r="260" spans="2:102" x14ac:dyDescent="0.3">
      <c r="B260" s="9"/>
      <c r="C260" s="338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</row>
    <row r="261" spans="2:102" x14ac:dyDescent="0.3">
      <c r="B261" s="9"/>
      <c r="C261" s="338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</row>
    <row r="262" spans="2:102" x14ac:dyDescent="0.3">
      <c r="B262" s="9"/>
      <c r="C262" s="338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</row>
    <row r="263" spans="2:102" x14ac:dyDescent="0.3">
      <c r="B263" s="9"/>
      <c r="C263" s="338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</row>
    <row r="264" spans="2:102" x14ac:dyDescent="0.3">
      <c r="B264" s="9"/>
      <c r="C264" s="338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</row>
    <row r="265" spans="2:102" x14ac:dyDescent="0.3">
      <c r="B265" s="9"/>
      <c r="C265" s="338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</row>
    <row r="266" spans="2:102" x14ac:dyDescent="0.3">
      <c r="B266" s="9"/>
      <c r="C266" s="338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</row>
    <row r="267" spans="2:102" x14ac:dyDescent="0.3">
      <c r="B267" s="9"/>
      <c r="C267" s="338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</row>
    <row r="268" spans="2:102" x14ac:dyDescent="0.3">
      <c r="B268" s="9"/>
      <c r="C268" s="338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</row>
    <row r="269" spans="2:102" x14ac:dyDescent="0.3">
      <c r="B269" s="9"/>
      <c r="C269" s="338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</row>
    <row r="270" spans="2:102" x14ac:dyDescent="0.3">
      <c r="B270" s="9"/>
      <c r="C270" s="338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</row>
    <row r="271" spans="2:102" x14ac:dyDescent="0.3">
      <c r="B271" s="9"/>
      <c r="C271" s="338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</row>
    <row r="272" spans="2:102" x14ac:dyDescent="0.3">
      <c r="B272" s="9"/>
      <c r="C272" s="338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</row>
    <row r="273" spans="2:102" x14ac:dyDescent="0.3">
      <c r="B273" s="9"/>
      <c r="C273" s="338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</row>
    <row r="274" spans="2:102" x14ac:dyDescent="0.3">
      <c r="B274" s="9"/>
      <c r="C274" s="338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</row>
    <row r="275" spans="2:102" x14ac:dyDescent="0.3">
      <c r="B275" s="9"/>
      <c r="C275" s="338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</row>
    <row r="276" spans="2:102" x14ac:dyDescent="0.3">
      <c r="B276" s="9"/>
      <c r="C276" s="338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</row>
    <row r="277" spans="2:102" x14ac:dyDescent="0.3">
      <c r="B277" s="9"/>
      <c r="C277" s="338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</row>
    <row r="278" spans="2:102" x14ac:dyDescent="0.3">
      <c r="B278" s="9"/>
      <c r="C278" s="338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</row>
    <row r="279" spans="2:102" x14ac:dyDescent="0.3">
      <c r="B279" s="9"/>
      <c r="C279" s="338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</row>
    <row r="280" spans="2:102" x14ac:dyDescent="0.3">
      <c r="B280" s="9"/>
      <c r="C280" s="338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</row>
    <row r="281" spans="2:102" x14ac:dyDescent="0.3">
      <c r="B281" s="9"/>
      <c r="C281" s="338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</row>
    <row r="282" spans="2:102" x14ac:dyDescent="0.3">
      <c r="B282" s="9"/>
      <c r="C282" s="338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</row>
    <row r="283" spans="2:102" x14ac:dyDescent="0.3">
      <c r="B283" s="9"/>
      <c r="C283" s="338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</row>
    <row r="284" spans="2:102" x14ac:dyDescent="0.3">
      <c r="B284" s="9"/>
      <c r="C284" s="338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</row>
    <row r="285" spans="2:102" x14ac:dyDescent="0.3">
      <c r="B285" s="9"/>
      <c r="C285" s="338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</row>
    <row r="286" spans="2:102" x14ac:dyDescent="0.3">
      <c r="B286" s="9"/>
      <c r="C286" s="338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</row>
    <row r="287" spans="2:102" x14ac:dyDescent="0.3">
      <c r="B287" s="9"/>
      <c r="C287" s="338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</row>
    <row r="288" spans="2:102" x14ac:dyDescent="0.3">
      <c r="B288" s="9"/>
      <c r="C288" s="338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</row>
    <row r="289" spans="2:102" x14ac:dyDescent="0.3">
      <c r="B289" s="9"/>
      <c r="C289" s="338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</row>
    <row r="290" spans="2:102" x14ac:dyDescent="0.3">
      <c r="B290" s="9"/>
      <c r="C290" s="338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</row>
    <row r="291" spans="2:102" x14ac:dyDescent="0.3">
      <c r="B291" s="9"/>
      <c r="C291" s="338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</row>
    <row r="292" spans="2:102" x14ac:dyDescent="0.3">
      <c r="B292" s="9"/>
      <c r="C292" s="338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</row>
    <row r="293" spans="2:102" x14ac:dyDescent="0.3">
      <c r="B293" s="9"/>
      <c r="C293" s="338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</row>
    <row r="294" spans="2:102" x14ac:dyDescent="0.3">
      <c r="B294" s="9"/>
      <c r="C294" s="338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</row>
    <row r="295" spans="2:102" x14ac:dyDescent="0.3">
      <c r="B295" s="9"/>
      <c r="C295" s="338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</row>
    <row r="296" spans="2:102" x14ac:dyDescent="0.3">
      <c r="B296" s="9"/>
      <c r="C296" s="338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</row>
    <row r="297" spans="2:102" x14ac:dyDescent="0.3">
      <c r="B297" s="9"/>
      <c r="C297" s="338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</row>
    <row r="298" spans="2:102" x14ac:dyDescent="0.3">
      <c r="B298" s="9"/>
      <c r="C298" s="338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</row>
    <row r="299" spans="2:102" x14ac:dyDescent="0.3">
      <c r="B299" s="9"/>
      <c r="C299" s="338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</row>
    <row r="300" spans="2:102" x14ac:dyDescent="0.3">
      <c r="B300" s="9"/>
      <c r="C300" s="338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</row>
    <row r="301" spans="2:102" x14ac:dyDescent="0.3">
      <c r="B301" s="9"/>
      <c r="C301" s="338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</row>
    <row r="302" spans="2:102" x14ac:dyDescent="0.3">
      <c r="B302" s="9"/>
      <c r="C302" s="338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</row>
    <row r="303" spans="2:102" x14ac:dyDescent="0.3">
      <c r="B303" s="9"/>
      <c r="C303" s="338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</row>
    <row r="304" spans="2:102" x14ac:dyDescent="0.3">
      <c r="B304" s="9"/>
      <c r="C304" s="338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</row>
    <row r="305" spans="2:102" x14ac:dyDescent="0.3">
      <c r="B305" s="9"/>
      <c r="C305" s="338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</row>
    <row r="306" spans="2:102" x14ac:dyDescent="0.3">
      <c r="B306" s="9"/>
      <c r="C306" s="338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</row>
    <row r="307" spans="2:102" x14ac:dyDescent="0.3">
      <c r="B307" s="9"/>
      <c r="C307" s="338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</row>
    <row r="308" spans="2:102" x14ac:dyDescent="0.3">
      <c r="B308" s="9"/>
      <c r="C308" s="338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</row>
    <row r="309" spans="2:102" x14ac:dyDescent="0.3">
      <c r="B309" s="9"/>
      <c r="C309" s="338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</row>
    <row r="310" spans="2:102" x14ac:dyDescent="0.3">
      <c r="B310" s="9"/>
      <c r="C310" s="338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</row>
    <row r="311" spans="2:102" x14ac:dyDescent="0.3">
      <c r="B311" s="9"/>
      <c r="C311" s="338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</row>
    <row r="312" spans="2:102" x14ac:dyDescent="0.3">
      <c r="B312" s="9"/>
      <c r="C312" s="338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</row>
    <row r="313" spans="2:102" x14ac:dyDescent="0.3">
      <c r="B313" s="9"/>
      <c r="C313" s="338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</row>
    <row r="314" spans="2:102" x14ac:dyDescent="0.3">
      <c r="B314" s="9"/>
      <c r="C314" s="338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</row>
    <row r="315" spans="2:102" x14ac:dyDescent="0.3">
      <c r="B315" s="9"/>
      <c r="C315" s="338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</row>
    <row r="316" spans="2:102" x14ac:dyDescent="0.3">
      <c r="B316" s="9"/>
      <c r="C316" s="338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</row>
    <row r="317" spans="2:102" x14ac:dyDescent="0.3">
      <c r="B317" s="9"/>
      <c r="C317" s="338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</row>
    <row r="318" spans="2:102" x14ac:dyDescent="0.3">
      <c r="B318" s="9"/>
      <c r="C318" s="338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</row>
    <row r="319" spans="2:102" x14ac:dyDescent="0.3">
      <c r="B319" s="9"/>
      <c r="C319" s="338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</row>
    <row r="320" spans="2:102" x14ac:dyDescent="0.3">
      <c r="B320" s="9"/>
      <c r="C320" s="338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</row>
    <row r="321" spans="2:102" x14ac:dyDescent="0.3">
      <c r="B321" s="9"/>
      <c r="C321" s="338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</row>
    <row r="322" spans="2:102" x14ac:dyDescent="0.3">
      <c r="B322" s="9"/>
      <c r="C322" s="338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</row>
    <row r="323" spans="2:102" x14ac:dyDescent="0.3">
      <c r="B323" s="9"/>
      <c r="C323" s="338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</row>
    <row r="324" spans="2:102" x14ac:dyDescent="0.3">
      <c r="B324" s="9"/>
      <c r="C324" s="338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</row>
    <row r="325" spans="2:102" x14ac:dyDescent="0.3">
      <c r="B325" s="9"/>
      <c r="C325" s="338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</row>
    <row r="326" spans="2:102" x14ac:dyDescent="0.3">
      <c r="B326" s="9"/>
      <c r="C326" s="338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</row>
    <row r="327" spans="2:102" x14ac:dyDescent="0.3">
      <c r="B327" s="9"/>
      <c r="C327" s="338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</row>
    <row r="328" spans="2:102" x14ac:dyDescent="0.3">
      <c r="B328" s="9"/>
      <c r="C328" s="338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</row>
    <row r="329" spans="2:102" x14ac:dyDescent="0.3">
      <c r="B329" s="9"/>
      <c r="C329" s="338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</row>
    <row r="330" spans="2:102" x14ac:dyDescent="0.3">
      <c r="B330" s="9"/>
      <c r="C330" s="338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</row>
    <row r="331" spans="2:102" x14ac:dyDescent="0.3">
      <c r="B331" s="9"/>
      <c r="C331" s="338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</row>
    <row r="332" spans="2:102" x14ac:dyDescent="0.3">
      <c r="B332" s="9"/>
      <c r="C332" s="338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</row>
    <row r="333" spans="2:102" x14ac:dyDescent="0.3">
      <c r="B333" s="9"/>
      <c r="C333" s="338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</row>
    <row r="334" spans="2:102" x14ac:dyDescent="0.3">
      <c r="B334" s="9"/>
      <c r="C334" s="338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</row>
    <row r="335" spans="2:102" x14ac:dyDescent="0.3">
      <c r="B335" s="9"/>
      <c r="C335" s="338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</row>
    <row r="336" spans="2:102" x14ac:dyDescent="0.3">
      <c r="B336" s="9"/>
      <c r="C336" s="338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</row>
    <row r="337" spans="2:102" x14ac:dyDescent="0.3">
      <c r="B337" s="9"/>
      <c r="C337" s="338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</row>
    <row r="338" spans="2:102" x14ac:dyDescent="0.3">
      <c r="B338" s="9"/>
      <c r="C338" s="338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</row>
    <row r="339" spans="2:102" x14ac:dyDescent="0.3">
      <c r="B339" s="9"/>
      <c r="C339" s="338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</row>
    <row r="340" spans="2:102" x14ac:dyDescent="0.3">
      <c r="B340" s="9"/>
      <c r="C340" s="338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</row>
    <row r="341" spans="2:102" x14ac:dyDescent="0.3">
      <c r="B341" s="9"/>
      <c r="C341" s="338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</row>
    <row r="342" spans="2:102" x14ac:dyDescent="0.3">
      <c r="B342" s="9"/>
      <c r="C342" s="338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</row>
    <row r="343" spans="2:102" x14ac:dyDescent="0.3">
      <c r="B343" s="9"/>
      <c r="C343" s="338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</row>
    <row r="344" spans="2:102" x14ac:dyDescent="0.3">
      <c r="B344" s="9"/>
      <c r="C344" s="338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</row>
    <row r="345" spans="2:102" x14ac:dyDescent="0.3">
      <c r="B345" s="9"/>
      <c r="C345" s="338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</row>
    <row r="346" spans="2:102" x14ac:dyDescent="0.3">
      <c r="B346" s="9"/>
      <c r="C346" s="338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</row>
    <row r="347" spans="2:102" x14ac:dyDescent="0.3">
      <c r="B347" s="9"/>
      <c r="C347" s="338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</row>
    <row r="348" spans="2:102" x14ac:dyDescent="0.3">
      <c r="B348" s="9"/>
      <c r="C348" s="338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</row>
    <row r="349" spans="2:102" x14ac:dyDescent="0.3">
      <c r="B349" s="9"/>
      <c r="C349" s="338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</row>
    <row r="350" spans="2:102" x14ac:dyDescent="0.3">
      <c r="B350" s="9"/>
      <c r="C350" s="338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</row>
    <row r="351" spans="2:102" x14ac:dyDescent="0.3">
      <c r="B351" s="9"/>
      <c r="C351" s="338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</row>
    <row r="352" spans="2:102" x14ac:dyDescent="0.3">
      <c r="B352" s="9"/>
      <c r="C352" s="338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</row>
    <row r="353" spans="2:102" x14ac:dyDescent="0.3">
      <c r="B353" s="9"/>
      <c r="C353" s="338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</row>
    <row r="354" spans="2:102" x14ac:dyDescent="0.3">
      <c r="B354" s="9"/>
      <c r="C354" s="338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</row>
    <row r="355" spans="2:102" x14ac:dyDescent="0.3">
      <c r="B355" s="9"/>
      <c r="C355" s="338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</row>
    <row r="356" spans="2:102" x14ac:dyDescent="0.3">
      <c r="B356" s="9"/>
      <c r="C356" s="338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</row>
    <row r="357" spans="2:102" x14ac:dyDescent="0.3">
      <c r="B357" s="9"/>
      <c r="C357" s="338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</row>
    <row r="358" spans="2:102" x14ac:dyDescent="0.3">
      <c r="B358" s="9"/>
      <c r="C358" s="338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</row>
    <row r="359" spans="2:102" x14ac:dyDescent="0.3">
      <c r="B359" s="9"/>
      <c r="C359" s="338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</row>
    <row r="360" spans="2:102" x14ac:dyDescent="0.3">
      <c r="B360" s="9"/>
      <c r="C360" s="338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</row>
    <row r="361" spans="2:102" x14ac:dyDescent="0.3">
      <c r="B361" s="9"/>
      <c r="C361" s="338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</row>
    <row r="362" spans="2:102" x14ac:dyDescent="0.3">
      <c r="B362" s="9"/>
      <c r="C362" s="338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</row>
    <row r="363" spans="2:102" x14ac:dyDescent="0.3">
      <c r="B363" s="9"/>
      <c r="C363" s="338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</row>
    <row r="364" spans="2:102" x14ac:dyDescent="0.3">
      <c r="B364" s="9"/>
      <c r="C364" s="338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</row>
    <row r="365" spans="2:102" x14ac:dyDescent="0.3">
      <c r="B365" s="9"/>
      <c r="C365" s="338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</row>
    <row r="366" spans="2:102" x14ac:dyDescent="0.3">
      <c r="B366" s="9"/>
      <c r="C366" s="338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</row>
    <row r="367" spans="2:102" x14ac:dyDescent="0.3">
      <c r="B367" s="9"/>
      <c r="C367" s="338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</row>
    <row r="368" spans="2:102" x14ac:dyDescent="0.3">
      <c r="B368" s="9"/>
      <c r="C368" s="338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</row>
    <row r="369" spans="2:102" x14ac:dyDescent="0.3">
      <c r="B369" s="9"/>
      <c r="C369" s="338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</row>
    <row r="370" spans="2:102" x14ac:dyDescent="0.3">
      <c r="B370" s="9"/>
      <c r="C370" s="338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</row>
    <row r="371" spans="2:102" x14ac:dyDescent="0.3">
      <c r="B371" s="9"/>
      <c r="C371" s="338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</row>
    <row r="372" spans="2:102" x14ac:dyDescent="0.3">
      <c r="B372" s="9"/>
      <c r="C372" s="338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</row>
    <row r="373" spans="2:102" x14ac:dyDescent="0.3">
      <c r="B373" s="9"/>
      <c r="C373" s="338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</row>
    <row r="374" spans="2:102" x14ac:dyDescent="0.3">
      <c r="B374" s="9"/>
      <c r="C374" s="338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</row>
    <row r="375" spans="2:102" x14ac:dyDescent="0.3">
      <c r="B375" s="9"/>
      <c r="C375" s="338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</row>
    <row r="376" spans="2:102" x14ac:dyDescent="0.3">
      <c r="B376" s="9"/>
      <c r="C376" s="338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</row>
    <row r="377" spans="2:102" x14ac:dyDescent="0.3">
      <c r="B377" s="9"/>
      <c r="C377" s="338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</row>
    <row r="378" spans="2:102" x14ac:dyDescent="0.3">
      <c r="B378" s="9"/>
      <c r="C378" s="338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</row>
    <row r="379" spans="2:102" x14ac:dyDescent="0.3">
      <c r="B379" s="9"/>
      <c r="C379" s="338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</row>
    <row r="380" spans="2:102" x14ac:dyDescent="0.3">
      <c r="B380" s="9"/>
      <c r="C380" s="338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</row>
    <row r="381" spans="2:102" x14ac:dyDescent="0.3">
      <c r="B381" s="9"/>
      <c r="C381" s="338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</row>
    <row r="382" spans="2:102" x14ac:dyDescent="0.3">
      <c r="B382" s="9"/>
      <c r="C382" s="338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</row>
    <row r="383" spans="2:102" x14ac:dyDescent="0.3">
      <c r="B383" s="9"/>
      <c r="C383" s="338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</row>
    <row r="384" spans="2:102" x14ac:dyDescent="0.3">
      <c r="B384" s="9"/>
      <c r="C384" s="338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</row>
    <row r="385" spans="2:102" x14ac:dyDescent="0.3">
      <c r="B385" s="9"/>
      <c r="C385" s="338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</row>
    <row r="386" spans="2:102" x14ac:dyDescent="0.3">
      <c r="B386" s="9"/>
      <c r="C386" s="338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</row>
    <row r="387" spans="2:102" x14ac:dyDescent="0.3">
      <c r="B387" s="9"/>
      <c r="C387" s="338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</row>
    <row r="388" spans="2:102" x14ac:dyDescent="0.3">
      <c r="B388" s="9"/>
      <c r="C388" s="338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</row>
    <row r="389" spans="2:102" x14ac:dyDescent="0.3">
      <c r="B389" s="9"/>
      <c r="C389" s="338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</row>
    <row r="390" spans="2:102" x14ac:dyDescent="0.3">
      <c r="B390" s="9"/>
      <c r="C390" s="338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</row>
    <row r="391" spans="2:102" x14ac:dyDescent="0.3">
      <c r="B391" s="9"/>
      <c r="C391" s="338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</row>
    <row r="392" spans="2:102" x14ac:dyDescent="0.3">
      <c r="B392" s="9"/>
      <c r="C392" s="338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</row>
    <row r="393" spans="2:102" x14ac:dyDescent="0.3">
      <c r="B393" s="9"/>
      <c r="C393" s="338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</row>
    <row r="394" spans="2:102" x14ac:dyDescent="0.3">
      <c r="B394" s="9"/>
      <c r="C394" s="338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</row>
    <row r="395" spans="2:102" x14ac:dyDescent="0.3">
      <c r="B395" s="9"/>
      <c r="C395" s="338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</row>
    <row r="396" spans="2:102" x14ac:dyDescent="0.3">
      <c r="B396" s="9"/>
      <c r="C396" s="338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</row>
    <row r="397" spans="2:102" x14ac:dyDescent="0.3">
      <c r="B397" s="9"/>
      <c r="C397" s="338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</row>
    <row r="398" spans="2:102" x14ac:dyDescent="0.3">
      <c r="B398" s="9"/>
      <c r="C398" s="338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</row>
    <row r="399" spans="2:102" x14ac:dyDescent="0.3">
      <c r="B399" s="9"/>
      <c r="C399" s="338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</row>
    <row r="400" spans="2:102" x14ac:dyDescent="0.3">
      <c r="B400" s="9"/>
      <c r="C400" s="338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</row>
    <row r="401" spans="2:102" x14ac:dyDescent="0.3">
      <c r="B401" s="9"/>
      <c r="C401" s="338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</row>
    <row r="402" spans="2:102" x14ac:dyDescent="0.3">
      <c r="B402" s="9"/>
      <c r="C402" s="338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</row>
    <row r="403" spans="2:102" x14ac:dyDescent="0.3">
      <c r="B403" s="9"/>
      <c r="C403" s="338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</row>
    <row r="404" spans="2:102" x14ac:dyDescent="0.3">
      <c r="B404" s="9"/>
      <c r="C404" s="338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</row>
    <row r="405" spans="2:102" x14ac:dyDescent="0.3">
      <c r="B405" s="9"/>
      <c r="C405" s="338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</row>
    <row r="406" spans="2:102" x14ac:dyDescent="0.3">
      <c r="B406" s="9"/>
      <c r="C406" s="338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</row>
    <row r="407" spans="2:102" x14ac:dyDescent="0.3">
      <c r="B407" s="9"/>
      <c r="C407" s="338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</row>
    <row r="408" spans="2:102" x14ac:dyDescent="0.3">
      <c r="B408" s="9"/>
      <c r="C408" s="338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</row>
    <row r="409" spans="2:102" x14ac:dyDescent="0.3">
      <c r="B409" s="9"/>
      <c r="C409" s="338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</row>
    <row r="410" spans="2:102" x14ac:dyDescent="0.3">
      <c r="B410" s="9"/>
      <c r="C410" s="338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</row>
    <row r="411" spans="2:102" x14ac:dyDescent="0.3">
      <c r="B411" s="9"/>
      <c r="C411" s="338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</row>
    <row r="412" spans="2:102" x14ac:dyDescent="0.3">
      <c r="B412" s="9"/>
      <c r="C412" s="338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</row>
  </sheetData>
  <mergeCells count="19">
    <mergeCell ref="I1:R1"/>
    <mergeCell ref="I11:I13"/>
    <mergeCell ref="J11:S11"/>
    <mergeCell ref="J12:K12"/>
    <mergeCell ref="L12:M12"/>
    <mergeCell ref="R12:S12"/>
    <mergeCell ref="N12:O12"/>
    <mergeCell ref="P12:Q12"/>
    <mergeCell ref="Q2:R2"/>
    <mergeCell ref="I2:I3"/>
    <mergeCell ref="J2:J3"/>
    <mergeCell ref="K2:L2"/>
    <mergeCell ref="M2:N2"/>
    <mergeCell ref="O2:P2"/>
    <mergeCell ref="C20:F20"/>
    <mergeCell ref="B20:B22"/>
    <mergeCell ref="B2:B3"/>
    <mergeCell ref="B11:B13"/>
    <mergeCell ref="C11:F1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8036-2AF3-42B3-AEFF-8FEA59CB8BB0}">
  <dimension ref="A1:F21"/>
  <sheetViews>
    <sheetView workbookViewId="0">
      <selection sqref="A1:F1"/>
    </sheetView>
  </sheetViews>
  <sheetFormatPr baseColWidth="10" defaultRowHeight="14.4" x14ac:dyDescent="0.3"/>
  <cols>
    <col min="1" max="1" width="37.33203125" bestFit="1" customWidth="1"/>
    <col min="2" max="3" width="20.88671875" customWidth="1"/>
    <col min="4" max="4" width="15.109375" bestFit="1" customWidth="1"/>
    <col min="5" max="5" width="18" customWidth="1"/>
    <col min="6" max="6" width="20.33203125" customWidth="1"/>
  </cols>
  <sheetData>
    <row r="1" spans="1:6" x14ac:dyDescent="0.3">
      <c r="A1" s="695" t="s">
        <v>213</v>
      </c>
      <c r="B1" s="695"/>
      <c r="C1" s="695"/>
      <c r="D1" s="695"/>
      <c r="E1" s="695"/>
      <c r="F1" s="695"/>
    </row>
    <row r="2" spans="1:6" ht="28.2" customHeight="1" x14ac:dyDescent="0.3">
      <c r="A2" s="416" t="s">
        <v>154</v>
      </c>
      <c r="B2" s="416" t="s">
        <v>204</v>
      </c>
      <c r="C2" s="416" t="s">
        <v>208</v>
      </c>
      <c r="D2" s="416" t="s">
        <v>205</v>
      </c>
      <c r="E2" s="416" t="s">
        <v>209</v>
      </c>
      <c r="F2" s="418" t="s">
        <v>222</v>
      </c>
    </row>
    <row r="3" spans="1:6" x14ac:dyDescent="0.3">
      <c r="A3" s="414" t="s">
        <v>203</v>
      </c>
      <c r="B3" s="89">
        <f>+'INVENTARIO Y CONSUMO GEM  '!S96</f>
        <v>295</v>
      </c>
      <c r="C3" s="89">
        <f>+B3/23</f>
        <v>12.826086956521738</v>
      </c>
      <c r="D3" s="415">
        <f>+'INVENTARIO Y CONSUMO GEM  '!AN96</f>
        <v>5610800</v>
      </c>
      <c r="E3" s="415">
        <f>+D3/23</f>
        <v>243947.82608695651</v>
      </c>
      <c r="F3" s="419">
        <f>+D3/$B$9</f>
        <v>139.14639287751407</v>
      </c>
    </row>
    <row r="4" spans="1:6" x14ac:dyDescent="0.3">
      <c r="A4" s="414" t="s">
        <v>201</v>
      </c>
      <c r="B4" s="89">
        <f>+'INVENTARIO Y CONSUMO GEM  '!T96</f>
        <v>6747</v>
      </c>
      <c r="C4" s="89">
        <f>+B4/23</f>
        <v>293.3478260869565</v>
      </c>
      <c r="D4" s="415">
        <f>+'INVENTARIO Y CONSUMO GEM  '!AO96</f>
        <v>44688275</v>
      </c>
      <c r="E4" s="415">
        <f>+D4/23</f>
        <v>1942968.4782608696</v>
      </c>
      <c r="F4" s="419">
        <f>+D4/$B$9</f>
        <v>1108.2576941199811</v>
      </c>
    </row>
    <row r="5" spans="1:6" x14ac:dyDescent="0.3">
      <c r="A5" s="414" t="s">
        <v>202</v>
      </c>
      <c r="B5" s="89">
        <f>+'INVENTARIO Y CONSUMO GEM  '!U96</f>
        <v>15396.5</v>
      </c>
      <c r="C5" s="89">
        <f>+B5/23</f>
        <v>669.41304347826087</v>
      </c>
      <c r="D5" s="415">
        <f>+'INVENTARIO Y CONSUMO GEM  '!AP96</f>
        <v>29665187.5</v>
      </c>
      <c r="E5" s="415">
        <f>+D5/23</f>
        <v>1289790.7608695652</v>
      </c>
      <c r="F5" s="419">
        <f>+D5/$B$9</f>
        <v>735.68899883441213</v>
      </c>
    </row>
    <row r="6" spans="1:6" x14ac:dyDescent="0.3">
      <c r="A6" s="414" t="s">
        <v>206</v>
      </c>
      <c r="B6" s="89">
        <f>+'INVENTARIO Y CONSUMO GEM  '!V96</f>
        <v>4700</v>
      </c>
      <c r="C6" s="89">
        <f>+B6/23</f>
        <v>204.34782608695653</v>
      </c>
      <c r="D6" s="415">
        <f>+'INVENTARIO Y CONSUMO GEM  '!AQ96</f>
        <v>2762250</v>
      </c>
      <c r="E6" s="415">
        <f>+D6/23</f>
        <v>120097.82608695653</v>
      </c>
      <c r="F6" s="419">
        <f>+D6/$B$9</f>
        <v>68.503087567889295</v>
      </c>
    </row>
    <row r="7" spans="1:6" x14ac:dyDescent="0.3">
      <c r="A7" s="414" t="s">
        <v>207</v>
      </c>
      <c r="B7" s="89">
        <f>+'INVENTARIO Y CONSUMO GEM  '!W96</f>
        <v>145</v>
      </c>
      <c r="C7" s="89">
        <f>+B7/23</f>
        <v>6.3043478260869561</v>
      </c>
      <c r="D7" s="415">
        <f>+'INVENTARIO Y CONSUMO GEM  '!AR96</f>
        <v>6504750</v>
      </c>
      <c r="E7" s="415">
        <f>+D7/23</f>
        <v>282815.21739130432</v>
      </c>
      <c r="F7" s="419">
        <f>+D7/$B$9</f>
        <v>161.31612231232796</v>
      </c>
    </row>
    <row r="8" spans="1:6" x14ac:dyDescent="0.3">
      <c r="A8" s="413" t="s">
        <v>215</v>
      </c>
      <c r="B8" s="694">
        <f>+SUM(D3:D7)</f>
        <v>89231262.5</v>
      </c>
      <c r="C8" s="694"/>
      <c r="D8" s="694"/>
      <c r="E8" s="417"/>
      <c r="F8" s="420">
        <f>SUM(F3:F7)</f>
        <v>2212.9122957121244</v>
      </c>
    </row>
    <row r="9" spans="1:6" x14ac:dyDescent="0.3">
      <c r="A9" s="413" t="s">
        <v>216</v>
      </c>
      <c r="B9" s="696">
        <v>40323</v>
      </c>
      <c r="C9" s="697"/>
      <c r="D9" s="697"/>
      <c r="E9" s="697"/>
      <c r="F9" s="698"/>
    </row>
    <row r="10" spans="1:6" x14ac:dyDescent="0.3">
      <c r="A10" s="701" t="s">
        <v>214</v>
      </c>
      <c r="B10" s="701"/>
      <c r="C10" s="701"/>
      <c r="D10" s="701"/>
      <c r="E10" s="701"/>
    </row>
    <row r="11" spans="1:6" x14ac:dyDescent="0.3">
      <c r="A11" s="416" t="s">
        <v>154</v>
      </c>
      <c r="B11" s="416" t="s">
        <v>204</v>
      </c>
      <c r="C11" s="416" t="s">
        <v>208</v>
      </c>
      <c r="D11" s="416" t="s">
        <v>205</v>
      </c>
      <c r="E11" s="416" t="s">
        <v>209</v>
      </c>
    </row>
    <row r="12" spans="1:6" x14ac:dyDescent="0.3">
      <c r="A12" s="414" t="s">
        <v>210</v>
      </c>
      <c r="B12" s="89">
        <f>240*2</f>
        <v>480</v>
      </c>
      <c r="C12" s="89">
        <f>+B12/23</f>
        <v>20.869565217391305</v>
      </c>
      <c r="D12" s="415">
        <f>1780*B12</f>
        <v>854400</v>
      </c>
      <c r="E12" s="415">
        <f>+D12/23</f>
        <v>37147.82608695652</v>
      </c>
    </row>
    <row r="13" spans="1:6" x14ac:dyDescent="0.3">
      <c r="A13" s="414" t="s">
        <v>211</v>
      </c>
      <c r="B13" s="89">
        <v>200</v>
      </c>
      <c r="C13" s="89">
        <f>+B13/23</f>
        <v>8.695652173913043</v>
      </c>
      <c r="D13" s="415">
        <f>2100*B13</f>
        <v>420000</v>
      </c>
      <c r="E13" s="415">
        <f>+D13/23</f>
        <v>18260.869565217392</v>
      </c>
    </row>
    <row r="14" spans="1:6" x14ac:dyDescent="0.3">
      <c r="A14" s="414" t="s">
        <v>212</v>
      </c>
      <c r="B14" s="89">
        <v>160</v>
      </c>
      <c r="C14" s="89">
        <f>+B14/23</f>
        <v>6.9565217391304346</v>
      </c>
      <c r="D14" s="415">
        <f>3880*B14</f>
        <v>620800</v>
      </c>
      <c r="E14" s="415">
        <f>+D14/23</f>
        <v>26991.304347826088</v>
      </c>
    </row>
    <row r="15" spans="1:6" x14ac:dyDescent="0.3">
      <c r="A15" s="413" t="s">
        <v>215</v>
      </c>
      <c r="B15" s="699">
        <f>+SUM(D12:D14)</f>
        <v>1895200</v>
      </c>
      <c r="C15" s="700"/>
      <c r="D15" s="700"/>
      <c r="E15" s="700"/>
    </row>
    <row r="16" spans="1:6" x14ac:dyDescent="0.3">
      <c r="A16" s="413" t="s">
        <v>216</v>
      </c>
      <c r="B16" s="694">
        <v>12660</v>
      </c>
      <c r="C16" s="694"/>
      <c r="D16" s="694"/>
      <c r="E16" s="694"/>
    </row>
    <row r="17" spans="1:5" x14ac:dyDescent="0.3">
      <c r="A17" s="413" t="s">
        <v>217</v>
      </c>
      <c r="B17" s="696">
        <v>9612</v>
      </c>
      <c r="C17" s="697"/>
      <c r="D17" s="697"/>
      <c r="E17" s="698"/>
    </row>
    <row r="18" spans="1:5" x14ac:dyDescent="0.3">
      <c r="A18" s="413" t="s">
        <v>218</v>
      </c>
      <c r="B18" s="694">
        <f>+B15/B16</f>
        <v>149.69984202211691</v>
      </c>
      <c r="C18" s="694"/>
      <c r="D18" s="694"/>
      <c r="E18" s="694"/>
    </row>
    <row r="19" spans="1:5" x14ac:dyDescent="0.3">
      <c r="A19" s="413" t="s">
        <v>219</v>
      </c>
      <c r="B19" s="699">
        <f>+B15/B17</f>
        <v>197.17020391177695</v>
      </c>
      <c r="C19" s="700"/>
      <c r="D19" s="700"/>
      <c r="E19" s="700"/>
    </row>
    <row r="20" spans="1:5" x14ac:dyDescent="0.3">
      <c r="A20" s="413" t="s">
        <v>220</v>
      </c>
      <c r="B20" s="699">
        <f>F8+B18</f>
        <v>2362.6121377342415</v>
      </c>
      <c r="C20" s="700"/>
      <c r="D20" s="700"/>
      <c r="E20" s="700"/>
    </row>
    <row r="21" spans="1:5" x14ac:dyDescent="0.3">
      <c r="A21" s="413" t="s">
        <v>221</v>
      </c>
      <c r="B21" s="699">
        <f>F8+B19</f>
        <v>2410.0824996239012</v>
      </c>
      <c r="C21" s="700"/>
      <c r="D21" s="700"/>
      <c r="E21" s="700"/>
    </row>
  </sheetData>
  <mergeCells count="11">
    <mergeCell ref="B8:D8"/>
    <mergeCell ref="A1:F1"/>
    <mergeCell ref="B9:F9"/>
    <mergeCell ref="B21:E21"/>
    <mergeCell ref="A10:E10"/>
    <mergeCell ref="B15:E15"/>
    <mergeCell ref="B16:E16"/>
    <mergeCell ref="B18:E18"/>
    <mergeCell ref="B17:E17"/>
    <mergeCell ref="B19:E19"/>
    <mergeCell ref="B20:E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21A2351E4B0489A6BEC6BD44036EF" ma:contentTypeVersion="5" ma:contentTypeDescription="Create a new document." ma:contentTypeScope="" ma:versionID="9aac6bc7b7c8b17924f142e611c7a16f">
  <xsd:schema xmlns:xsd="http://www.w3.org/2001/XMLSchema" xmlns:xs="http://www.w3.org/2001/XMLSchema" xmlns:p="http://schemas.microsoft.com/office/2006/metadata/properties" xmlns:ns3="881a961d-4b2a-4b28-b591-0805074e351c" xmlns:ns4="7bf68ac6-a195-4bce-95d5-932ed8654a66" targetNamespace="http://schemas.microsoft.com/office/2006/metadata/properties" ma:root="true" ma:fieldsID="bbfb999c87a6525f92adb6b4a97c6717" ns3:_="" ns4:_="">
    <xsd:import namespace="881a961d-4b2a-4b28-b591-0805074e351c"/>
    <xsd:import namespace="7bf68ac6-a195-4bce-95d5-932ed8654a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a961d-4b2a-4b28-b591-0805074e35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68ac6-a195-4bce-95d5-932ed8654a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6B1567-E9CD-4F2D-8A8C-0BEFF53E6E40}">
  <ds:schemaRefs>
    <ds:schemaRef ds:uri="881a961d-4b2a-4b28-b591-0805074e351c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7bf68ac6-a195-4bce-95d5-932ed8654a6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2C5629-0230-4743-A671-A54FB0B74E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451816-1E9D-4C0D-A00F-4D17E2B59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1a961d-4b2a-4b28-b591-0805074e351c"/>
    <ds:schemaRef ds:uri="7bf68ac6-a195-4bce-95d5-932ed8654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INVENTARIO Y CONSUMO GEM  </vt:lpstr>
      <vt:lpstr>DB QUIMICA</vt:lpstr>
      <vt:lpstr>GRAFICAS</vt:lpstr>
      <vt:lpstr>CONSUMO QUÍMICA-CAUDALES GEM  </vt:lpstr>
      <vt:lpstr>INVENTARIO INSUMOS QUÍMICOS GEM</vt:lpstr>
      <vt:lpstr>REGISTRO RO</vt:lpstr>
      <vt:lpstr>CONSUMO QUÍMICA - CAUDALES RO</vt:lpstr>
      <vt:lpstr>INVENTARIO INSUMOS QUÍMICOS RO</vt:lpstr>
      <vt:lpstr>Consumos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Rodriguez</dc:creator>
  <cp:lastModifiedBy>Luna Sofia Osorio Parra</cp:lastModifiedBy>
  <dcterms:created xsi:type="dcterms:W3CDTF">2022-11-30T20:17:52Z</dcterms:created>
  <dcterms:modified xsi:type="dcterms:W3CDTF">2026-04-15T14:34:23Z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0x01010078621A2351E4B0489A6BEC6BD44036EF</vt:lpwstr>
  </property>
</Properties>
</file>