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naop\Downloads\"/>
    </mc:Choice>
  </mc:AlternateContent>
  <xr:revisionPtr revIDLastSave="0" documentId="13_ncr:1_{E43632FF-19C1-41AC-A8A5-B43683CD5061}" xr6:coauthVersionLast="47" xr6:coauthVersionMax="47" xr10:uidLastSave="{00000000-0000-0000-0000-000000000000}"/>
  <bookViews>
    <workbookView xWindow="23880" yWindow="1830" windowWidth="20730" windowHeight="11040" xr2:uid="{00000000-000D-0000-FFFF-FFFF00000000}"/>
  </bookViews>
  <sheets>
    <sheet name="Bogo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K29" i="1"/>
  <c r="K30" i="1" s="1"/>
  <c r="J29" i="1"/>
  <c r="G29" i="1"/>
  <c r="G30" i="1" s="1"/>
  <c r="F29" i="1"/>
  <c r="C30" i="1"/>
  <c r="C29" i="1"/>
  <c r="B29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K4" i="1"/>
  <c r="L4" i="1"/>
  <c r="J4" i="1"/>
</calcChain>
</file>

<file path=xl/sharedStrings.xml><?xml version="1.0" encoding="utf-8"?>
<sst xmlns="http://schemas.openxmlformats.org/spreadsheetml/2006/main" count="9" uniqueCount="7">
  <si>
    <t>Bogota</t>
  </si>
  <si>
    <t>Fecha BD</t>
  </si>
  <si>
    <t>Kg Teñidos BD</t>
  </si>
  <si>
    <t>Litros BD</t>
  </si>
  <si>
    <t>M3</t>
  </si>
  <si>
    <t>Kg Efectivos</t>
  </si>
  <si>
    <t>Litros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</si>
</sst>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(#,##0\)"/>
    <numFmt numFmtId="165" formatCode="m/d/yy"/>
    <numFmt numFmtId="166" formatCode="#,###.##;\(#,###.##\)"/>
  </numFmts>
  <fonts count="4" x14ac:knownFonts="1">
    <font>
      <sz val="10"/>
      <color rgb="FF000000"/>
      <name val="Arial"/>
    </font>
    <font>
      <sz val="8"/>
      <color rgb="FF35383A"/>
      <name val="Open Sans"/>
    </font>
    <font>
      <b/>
      <sz val="8"/>
      <color rgb="FFFFFFFF"/>
      <name val="Open Sans"/>
    </font>
    <font>
      <b/>
      <sz val="14"/>
      <color rgb="FFFFFFFF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1C8DD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187AB8"/>
      </right>
      <top/>
      <bottom style="thin">
        <color rgb="FF187AB8"/>
      </bottom>
      <diagonal/>
    </border>
    <border>
      <left/>
      <right style="thin">
        <color rgb="FFEBEBEB"/>
      </right>
      <top/>
      <bottom style="thin">
        <color rgb="FFEBEB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165" fontId="1" fillId="3" borderId="2" xfId="0" applyNumberFormat="1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0"/>
  <sheetViews>
    <sheetView showGridLines="0" tabSelected="1" topLeftCell="A11" workbookViewId="0">
      <selection activeCell="E19" sqref="E19"/>
    </sheetView>
  </sheetViews>
  <sheetFormatPr baseColWidth="10" defaultColWidth="8.88671875" defaultRowHeight="13.2" x14ac:dyDescent="0.25"/>
  <cols>
    <col min="11" max="11" width="10.109375" bestFit="1" customWidth="1"/>
  </cols>
  <sheetData>
    <row r="1" spans="1:12" ht="21" x14ac:dyDescent="0.25">
      <c r="A1" s="1" t="s">
        <v>0</v>
      </c>
    </row>
    <row r="3" spans="1:12" ht="24" x14ac:dyDescent="0.25">
      <c r="A3" s="2" t="s">
        <v>1</v>
      </c>
      <c r="B3" s="3" t="s">
        <v>2</v>
      </c>
      <c r="C3" s="3" t="s">
        <v>3</v>
      </c>
      <c r="D3" s="3" t="s">
        <v>4</v>
      </c>
      <c r="E3" s="2" t="s">
        <v>1</v>
      </c>
      <c r="F3" s="3" t="s">
        <v>5</v>
      </c>
      <c r="G3" s="3" t="s">
        <v>6</v>
      </c>
      <c r="H3" s="3" t="s">
        <v>4</v>
      </c>
    </row>
    <row r="4" spans="1:12" x14ac:dyDescent="0.25">
      <c r="A4" s="4">
        <v>46024</v>
      </c>
      <c r="B4" s="5">
        <v>0</v>
      </c>
      <c r="C4" s="5">
        <v>0</v>
      </c>
      <c r="D4" s="6">
        <v>0</v>
      </c>
      <c r="E4" s="4">
        <v>46024</v>
      </c>
      <c r="F4" s="6">
        <v>4196</v>
      </c>
      <c r="G4" s="7">
        <v>200710</v>
      </c>
      <c r="H4" s="6">
        <v>200.71</v>
      </c>
      <c r="J4" s="8">
        <f>+B4+F4</f>
        <v>4196</v>
      </c>
      <c r="K4" s="8">
        <f t="shared" ref="K4:L4" si="0">+C4+G4</f>
        <v>200710</v>
      </c>
      <c r="L4" s="8">
        <f t="shared" si="0"/>
        <v>200.71</v>
      </c>
    </row>
    <row r="5" spans="1:12" x14ac:dyDescent="0.25">
      <c r="A5" s="4">
        <v>46025</v>
      </c>
      <c r="B5" s="5">
        <v>0</v>
      </c>
      <c r="C5" s="5">
        <v>0</v>
      </c>
      <c r="D5" s="6">
        <v>0</v>
      </c>
      <c r="E5" s="4">
        <v>46025</v>
      </c>
      <c r="F5" s="6">
        <v>6650</v>
      </c>
      <c r="G5" s="7">
        <v>262628</v>
      </c>
      <c r="H5" s="6">
        <v>262.62799999999999</v>
      </c>
      <c r="J5" s="8">
        <f t="shared" ref="J5:J28" si="1">+B5+F5</f>
        <v>6650</v>
      </c>
      <c r="K5" s="8">
        <f t="shared" ref="K5:K28" si="2">+C5+G5</f>
        <v>262628</v>
      </c>
      <c r="L5" s="8">
        <f t="shared" ref="L5:L28" si="3">+D5+H5</f>
        <v>262.62799999999999</v>
      </c>
    </row>
    <row r="6" spans="1:12" x14ac:dyDescent="0.25">
      <c r="A6" s="4">
        <v>46027</v>
      </c>
      <c r="B6" s="5">
        <v>283</v>
      </c>
      <c r="C6" s="5">
        <v>15780</v>
      </c>
      <c r="D6" s="6">
        <v>15.78</v>
      </c>
      <c r="E6" s="4">
        <v>46027</v>
      </c>
      <c r="F6" s="6">
        <v>8393</v>
      </c>
      <c r="G6" s="7">
        <v>702904</v>
      </c>
      <c r="H6" s="6">
        <v>702.904</v>
      </c>
      <c r="J6" s="8">
        <f t="shared" si="1"/>
        <v>8676</v>
      </c>
      <c r="K6" s="8">
        <f t="shared" si="2"/>
        <v>718684</v>
      </c>
      <c r="L6" s="8">
        <f t="shared" si="3"/>
        <v>718.68399999999997</v>
      </c>
    </row>
    <row r="7" spans="1:12" x14ac:dyDescent="0.25">
      <c r="A7" s="4">
        <v>46028</v>
      </c>
      <c r="B7" s="5">
        <v>357</v>
      </c>
      <c r="C7" s="5">
        <v>17464</v>
      </c>
      <c r="D7" s="6">
        <v>17.463999999999999</v>
      </c>
      <c r="E7" s="4">
        <v>46028</v>
      </c>
      <c r="F7" s="6">
        <v>11034</v>
      </c>
      <c r="G7" s="7">
        <v>476154</v>
      </c>
      <c r="H7" s="6">
        <v>476.154</v>
      </c>
      <c r="J7" s="8">
        <f t="shared" si="1"/>
        <v>11391</v>
      </c>
      <c r="K7" s="8">
        <f t="shared" si="2"/>
        <v>493618</v>
      </c>
      <c r="L7" s="8">
        <f t="shared" si="3"/>
        <v>493.61799999999999</v>
      </c>
    </row>
    <row r="8" spans="1:12" x14ac:dyDescent="0.25">
      <c r="A8" s="4">
        <v>46029</v>
      </c>
      <c r="B8" s="5">
        <v>602</v>
      </c>
      <c r="C8" s="5">
        <v>28160</v>
      </c>
      <c r="D8" s="6">
        <v>28.16</v>
      </c>
      <c r="E8" s="4">
        <v>46029</v>
      </c>
      <c r="F8" s="6">
        <v>11200</v>
      </c>
      <c r="G8" s="7">
        <v>438087</v>
      </c>
      <c r="H8" s="6">
        <v>438.08699999999999</v>
      </c>
      <c r="J8" s="8">
        <f t="shared" si="1"/>
        <v>11802</v>
      </c>
      <c r="K8" s="8">
        <f t="shared" si="2"/>
        <v>466247</v>
      </c>
      <c r="L8" s="8">
        <f t="shared" si="3"/>
        <v>466.24700000000001</v>
      </c>
    </row>
    <row r="9" spans="1:12" x14ac:dyDescent="0.25">
      <c r="A9" s="4">
        <v>46030</v>
      </c>
      <c r="B9" s="5">
        <v>518</v>
      </c>
      <c r="C9" s="5">
        <v>21156</v>
      </c>
      <c r="D9" s="6">
        <v>21.155999999999999</v>
      </c>
      <c r="E9" s="4">
        <v>46030</v>
      </c>
      <c r="F9" s="6">
        <v>9242</v>
      </c>
      <c r="G9" s="7">
        <v>498535</v>
      </c>
      <c r="H9" s="6">
        <v>498.53500000000003</v>
      </c>
      <c r="J9" s="8">
        <f t="shared" si="1"/>
        <v>9760</v>
      </c>
      <c r="K9" s="8">
        <f t="shared" si="2"/>
        <v>519691</v>
      </c>
      <c r="L9" s="8">
        <f t="shared" si="3"/>
        <v>519.69100000000003</v>
      </c>
    </row>
    <row r="10" spans="1:12" x14ac:dyDescent="0.25">
      <c r="A10" s="4">
        <v>46031</v>
      </c>
      <c r="B10" s="5">
        <v>511</v>
      </c>
      <c r="C10" s="5">
        <v>19640</v>
      </c>
      <c r="D10" s="6">
        <v>19.64</v>
      </c>
      <c r="E10" s="4">
        <v>46031</v>
      </c>
      <c r="F10" s="6">
        <v>11542</v>
      </c>
      <c r="G10" s="7">
        <v>573972</v>
      </c>
      <c r="H10" s="6">
        <v>573.97199999999998</v>
      </c>
      <c r="J10" s="8">
        <f t="shared" si="1"/>
        <v>12053</v>
      </c>
      <c r="K10" s="8">
        <f t="shared" si="2"/>
        <v>593612</v>
      </c>
      <c r="L10" s="8">
        <f t="shared" si="3"/>
        <v>593.61199999999997</v>
      </c>
    </row>
    <row r="11" spans="1:12" x14ac:dyDescent="0.25">
      <c r="A11" s="4">
        <v>46032</v>
      </c>
      <c r="B11" s="5">
        <v>417</v>
      </c>
      <c r="C11" s="5">
        <v>15725</v>
      </c>
      <c r="D11" s="6">
        <v>15.725</v>
      </c>
      <c r="E11" s="4">
        <v>46032</v>
      </c>
      <c r="F11" s="6">
        <v>5399</v>
      </c>
      <c r="G11" s="7">
        <v>333550</v>
      </c>
      <c r="H11" s="6">
        <v>333.55</v>
      </c>
      <c r="J11" s="8">
        <f t="shared" si="1"/>
        <v>5816</v>
      </c>
      <c r="K11" s="8">
        <f t="shared" si="2"/>
        <v>349275</v>
      </c>
      <c r="L11" s="8">
        <f t="shared" si="3"/>
        <v>349.27500000000003</v>
      </c>
    </row>
    <row r="12" spans="1:12" x14ac:dyDescent="0.25">
      <c r="A12" s="4">
        <v>46035</v>
      </c>
      <c r="B12" s="5">
        <v>562</v>
      </c>
      <c r="C12" s="5">
        <v>22036</v>
      </c>
      <c r="D12" s="6">
        <v>22.036000000000001</v>
      </c>
      <c r="E12" s="4">
        <v>46035</v>
      </c>
      <c r="F12" s="6">
        <v>11180</v>
      </c>
      <c r="G12" s="7">
        <v>544393</v>
      </c>
      <c r="H12" s="6">
        <v>544.39300000000003</v>
      </c>
      <c r="J12" s="8">
        <f t="shared" si="1"/>
        <v>11742</v>
      </c>
      <c r="K12" s="8">
        <f t="shared" si="2"/>
        <v>566429</v>
      </c>
      <c r="L12" s="8">
        <f t="shared" si="3"/>
        <v>566.42900000000009</v>
      </c>
    </row>
    <row r="13" spans="1:12" x14ac:dyDescent="0.25">
      <c r="A13" s="4">
        <v>46036</v>
      </c>
      <c r="B13" s="5">
        <v>617</v>
      </c>
      <c r="C13" s="5">
        <v>17669</v>
      </c>
      <c r="D13" s="6">
        <v>17.669</v>
      </c>
      <c r="E13" s="4">
        <v>46036</v>
      </c>
      <c r="F13" s="6">
        <v>7809</v>
      </c>
      <c r="G13" s="7">
        <v>369491</v>
      </c>
      <c r="H13" s="6">
        <v>369.49099999999999</v>
      </c>
      <c r="J13" s="8">
        <f t="shared" si="1"/>
        <v>8426</v>
      </c>
      <c r="K13" s="8">
        <f t="shared" si="2"/>
        <v>387160</v>
      </c>
      <c r="L13" s="8">
        <f t="shared" si="3"/>
        <v>387.15999999999997</v>
      </c>
    </row>
    <row r="14" spans="1:12" x14ac:dyDescent="0.25">
      <c r="A14" s="4">
        <v>46037</v>
      </c>
      <c r="B14" s="5">
        <v>295</v>
      </c>
      <c r="C14" s="5">
        <v>12628</v>
      </c>
      <c r="D14" s="6">
        <v>12.628</v>
      </c>
      <c r="E14" s="4">
        <v>46037</v>
      </c>
      <c r="F14" s="6">
        <v>9047</v>
      </c>
      <c r="G14" s="7">
        <v>598126</v>
      </c>
      <c r="H14" s="6">
        <v>598.12599999999998</v>
      </c>
      <c r="J14" s="8">
        <f t="shared" si="1"/>
        <v>9342</v>
      </c>
      <c r="K14" s="8">
        <f t="shared" si="2"/>
        <v>610754</v>
      </c>
      <c r="L14" s="8">
        <f t="shared" si="3"/>
        <v>610.75400000000002</v>
      </c>
    </row>
    <row r="15" spans="1:12" x14ac:dyDescent="0.25">
      <c r="A15" s="4">
        <v>46038</v>
      </c>
      <c r="B15" s="5">
        <v>367</v>
      </c>
      <c r="C15" s="5">
        <v>18108</v>
      </c>
      <c r="D15" s="6">
        <v>18.108000000000001</v>
      </c>
      <c r="E15" s="4">
        <v>46038</v>
      </c>
      <c r="F15" s="6">
        <v>9912</v>
      </c>
      <c r="G15" s="7">
        <v>432747</v>
      </c>
      <c r="H15" s="6">
        <v>432.74700000000001</v>
      </c>
      <c r="J15" s="8">
        <f t="shared" si="1"/>
        <v>10279</v>
      </c>
      <c r="K15" s="8">
        <f t="shared" si="2"/>
        <v>450855</v>
      </c>
      <c r="L15" s="8">
        <f t="shared" si="3"/>
        <v>450.85500000000002</v>
      </c>
    </row>
    <row r="16" spans="1:12" x14ac:dyDescent="0.25">
      <c r="A16" s="4">
        <v>46039</v>
      </c>
      <c r="B16" s="5">
        <v>389</v>
      </c>
      <c r="C16" s="5">
        <v>24120</v>
      </c>
      <c r="D16" s="6">
        <v>24.12</v>
      </c>
      <c r="E16" s="4">
        <v>46039</v>
      </c>
      <c r="F16" s="6">
        <v>3948</v>
      </c>
      <c r="G16" s="7">
        <v>268980</v>
      </c>
      <c r="H16" s="6">
        <v>268.98</v>
      </c>
      <c r="J16" s="8">
        <f t="shared" si="1"/>
        <v>4337</v>
      </c>
      <c r="K16" s="8">
        <f t="shared" si="2"/>
        <v>293100</v>
      </c>
      <c r="L16" s="8">
        <f t="shared" si="3"/>
        <v>293.10000000000002</v>
      </c>
    </row>
    <row r="17" spans="1:12" x14ac:dyDescent="0.25">
      <c r="A17" s="4">
        <v>46041</v>
      </c>
      <c r="B17" s="5">
        <v>467</v>
      </c>
      <c r="C17" s="5">
        <v>22414</v>
      </c>
      <c r="D17" s="6">
        <v>22.414000000000001</v>
      </c>
      <c r="E17" s="4">
        <v>46041</v>
      </c>
      <c r="F17" s="6">
        <v>8420</v>
      </c>
      <c r="G17" s="7">
        <v>385788</v>
      </c>
      <c r="H17" s="6">
        <v>385.78800000000001</v>
      </c>
      <c r="J17" s="8">
        <f t="shared" si="1"/>
        <v>8887</v>
      </c>
      <c r="K17" s="8">
        <f t="shared" si="2"/>
        <v>408202</v>
      </c>
      <c r="L17" s="8">
        <f t="shared" si="3"/>
        <v>408.202</v>
      </c>
    </row>
    <row r="18" spans="1:12" x14ac:dyDescent="0.25">
      <c r="A18" s="4">
        <v>46042</v>
      </c>
      <c r="B18" s="5">
        <v>346</v>
      </c>
      <c r="C18" s="5">
        <v>21600</v>
      </c>
      <c r="D18" s="6">
        <v>21.6</v>
      </c>
      <c r="E18" s="4">
        <v>46042</v>
      </c>
      <c r="F18" s="6">
        <v>14382</v>
      </c>
      <c r="G18" s="7">
        <v>693157</v>
      </c>
      <c r="H18" s="6">
        <v>693.15700000000004</v>
      </c>
      <c r="J18" s="8">
        <f t="shared" si="1"/>
        <v>14728</v>
      </c>
      <c r="K18" s="8">
        <f t="shared" si="2"/>
        <v>714757</v>
      </c>
      <c r="L18" s="8">
        <f t="shared" si="3"/>
        <v>714.75700000000006</v>
      </c>
    </row>
    <row r="19" spans="1:12" x14ac:dyDescent="0.25">
      <c r="A19" s="4">
        <v>46043</v>
      </c>
      <c r="B19" s="5">
        <v>303</v>
      </c>
      <c r="C19" s="5">
        <v>31520</v>
      </c>
      <c r="D19" s="6">
        <v>31.52</v>
      </c>
      <c r="E19" s="4">
        <v>46043</v>
      </c>
      <c r="F19" s="6">
        <v>12315</v>
      </c>
      <c r="G19" s="7">
        <v>708810</v>
      </c>
      <c r="H19" s="6">
        <v>708.81</v>
      </c>
      <c r="J19" s="8">
        <f t="shared" si="1"/>
        <v>12618</v>
      </c>
      <c r="K19" s="8">
        <f t="shared" si="2"/>
        <v>740330</v>
      </c>
      <c r="L19" s="8">
        <f t="shared" si="3"/>
        <v>740.32999999999993</v>
      </c>
    </row>
    <row r="20" spans="1:12" x14ac:dyDescent="0.25">
      <c r="A20" s="4">
        <v>46044</v>
      </c>
      <c r="B20" s="5">
        <v>432</v>
      </c>
      <c r="C20" s="5">
        <v>27152</v>
      </c>
      <c r="D20" s="6">
        <v>27.152000000000001</v>
      </c>
      <c r="E20" s="4">
        <v>46044</v>
      </c>
      <c r="F20" s="6">
        <v>10572</v>
      </c>
      <c r="G20" s="7">
        <v>595383</v>
      </c>
      <c r="H20" s="6">
        <v>595.38300000000004</v>
      </c>
      <c r="J20" s="8">
        <f t="shared" si="1"/>
        <v>11004</v>
      </c>
      <c r="K20" s="8">
        <f t="shared" si="2"/>
        <v>622535</v>
      </c>
      <c r="L20" s="8">
        <f t="shared" si="3"/>
        <v>622.53500000000008</v>
      </c>
    </row>
    <row r="21" spans="1:12" x14ac:dyDescent="0.25">
      <c r="A21" s="4">
        <v>46045</v>
      </c>
      <c r="B21" s="5">
        <v>316</v>
      </c>
      <c r="C21" s="5">
        <v>20720</v>
      </c>
      <c r="D21" s="6">
        <v>20.72</v>
      </c>
      <c r="E21" s="4">
        <v>46045</v>
      </c>
      <c r="F21" s="6">
        <v>6575</v>
      </c>
      <c r="G21" s="7">
        <v>331848</v>
      </c>
      <c r="H21" s="6">
        <v>331.84800000000001</v>
      </c>
      <c r="J21" s="8">
        <f t="shared" si="1"/>
        <v>6891</v>
      </c>
      <c r="K21" s="8">
        <f t="shared" si="2"/>
        <v>352568</v>
      </c>
      <c r="L21" s="8">
        <f t="shared" si="3"/>
        <v>352.56799999999998</v>
      </c>
    </row>
    <row r="22" spans="1:12" x14ac:dyDescent="0.25">
      <c r="A22" s="4">
        <v>46046</v>
      </c>
      <c r="B22" s="5">
        <v>388</v>
      </c>
      <c r="C22" s="5">
        <v>20643</v>
      </c>
      <c r="D22" s="6">
        <v>20.643000000000001</v>
      </c>
      <c r="E22" s="4">
        <v>46046</v>
      </c>
      <c r="F22" s="6">
        <v>1622</v>
      </c>
      <c r="G22" s="7">
        <v>69890</v>
      </c>
      <c r="H22" s="6">
        <v>69.89</v>
      </c>
      <c r="J22" s="8">
        <f t="shared" si="1"/>
        <v>2010</v>
      </c>
      <c r="K22" s="8">
        <f t="shared" si="2"/>
        <v>90533</v>
      </c>
      <c r="L22" s="8">
        <f t="shared" si="3"/>
        <v>90.533000000000001</v>
      </c>
    </row>
    <row r="23" spans="1:12" x14ac:dyDescent="0.25">
      <c r="A23" s="4">
        <v>46048</v>
      </c>
      <c r="B23" s="5">
        <v>367</v>
      </c>
      <c r="C23" s="5">
        <v>18730</v>
      </c>
      <c r="D23" s="6">
        <v>18.73</v>
      </c>
      <c r="E23" s="4">
        <v>46048</v>
      </c>
      <c r="F23" s="6">
        <v>1842</v>
      </c>
      <c r="G23" s="7">
        <v>159070</v>
      </c>
      <c r="H23" s="6">
        <v>159.07</v>
      </c>
      <c r="J23" s="8">
        <f t="shared" si="1"/>
        <v>2209</v>
      </c>
      <c r="K23" s="8">
        <f t="shared" si="2"/>
        <v>177800</v>
      </c>
      <c r="L23" s="8">
        <f t="shared" si="3"/>
        <v>177.79999999999998</v>
      </c>
    </row>
    <row r="24" spans="1:12" x14ac:dyDescent="0.25">
      <c r="A24" s="4">
        <v>46049</v>
      </c>
      <c r="B24" s="5">
        <v>431</v>
      </c>
      <c r="C24" s="5">
        <v>33560</v>
      </c>
      <c r="D24" s="6">
        <v>33.56</v>
      </c>
      <c r="E24" s="4">
        <v>46049</v>
      </c>
      <c r="F24" s="6">
        <v>4731</v>
      </c>
      <c r="G24" s="7">
        <v>257850</v>
      </c>
      <c r="H24" s="6">
        <v>257.85000000000002</v>
      </c>
      <c r="J24" s="8">
        <f t="shared" si="1"/>
        <v>5162</v>
      </c>
      <c r="K24" s="8">
        <f t="shared" si="2"/>
        <v>291410</v>
      </c>
      <c r="L24" s="8">
        <f t="shared" si="3"/>
        <v>291.41000000000003</v>
      </c>
    </row>
    <row r="25" spans="1:12" x14ac:dyDescent="0.25">
      <c r="A25" s="4">
        <v>46050</v>
      </c>
      <c r="B25" s="5">
        <v>337</v>
      </c>
      <c r="C25" s="5">
        <v>28920</v>
      </c>
      <c r="D25" s="6">
        <v>28.92</v>
      </c>
      <c r="E25" s="4">
        <v>46050</v>
      </c>
      <c r="F25" s="6">
        <v>6886</v>
      </c>
      <c r="G25" s="7">
        <v>361616</v>
      </c>
      <c r="H25" s="6">
        <v>361.61599999999999</v>
      </c>
      <c r="J25" s="8">
        <f t="shared" si="1"/>
        <v>7223</v>
      </c>
      <c r="K25" s="8">
        <f t="shared" si="2"/>
        <v>390536</v>
      </c>
      <c r="L25" s="8">
        <f t="shared" si="3"/>
        <v>390.536</v>
      </c>
    </row>
    <row r="26" spans="1:12" x14ac:dyDescent="0.25">
      <c r="A26" s="4">
        <v>46051</v>
      </c>
      <c r="B26" s="5">
        <v>502</v>
      </c>
      <c r="C26" s="5">
        <v>35528</v>
      </c>
      <c r="D26" s="6">
        <v>35.527999999999999</v>
      </c>
      <c r="E26" s="4">
        <v>46051</v>
      </c>
      <c r="F26" s="6">
        <v>8464</v>
      </c>
      <c r="G26" s="7">
        <v>311045</v>
      </c>
      <c r="H26" s="6">
        <v>311.04500000000002</v>
      </c>
      <c r="J26" s="8">
        <f t="shared" si="1"/>
        <v>8966</v>
      </c>
      <c r="K26" s="8">
        <f t="shared" si="2"/>
        <v>346573</v>
      </c>
      <c r="L26" s="8">
        <f t="shared" si="3"/>
        <v>346.57300000000004</v>
      </c>
    </row>
    <row r="27" spans="1:12" x14ac:dyDescent="0.25">
      <c r="A27" s="4">
        <v>46052</v>
      </c>
      <c r="B27" s="5">
        <v>402</v>
      </c>
      <c r="C27" s="5">
        <v>21994</v>
      </c>
      <c r="D27" s="6">
        <v>21.994</v>
      </c>
      <c r="E27" s="4">
        <v>46052</v>
      </c>
      <c r="F27" s="6">
        <v>7361</v>
      </c>
      <c r="G27" s="7">
        <v>429478</v>
      </c>
      <c r="H27" s="6">
        <v>429.47800000000001</v>
      </c>
      <c r="J27" s="8">
        <f t="shared" si="1"/>
        <v>7763</v>
      </c>
      <c r="K27" s="8">
        <f t="shared" si="2"/>
        <v>451472</v>
      </c>
      <c r="L27" s="8">
        <f t="shared" si="3"/>
        <v>451.47199999999998</v>
      </c>
    </row>
    <row r="28" spans="1:12" x14ac:dyDescent="0.25">
      <c r="A28" s="4">
        <v>46053</v>
      </c>
      <c r="B28" s="5">
        <v>231</v>
      </c>
      <c r="C28" s="5">
        <v>16650</v>
      </c>
      <c r="D28" s="6">
        <v>16.649999999999999</v>
      </c>
      <c r="E28" s="4">
        <v>46053</v>
      </c>
      <c r="F28" s="6">
        <v>4613</v>
      </c>
      <c r="G28" s="7">
        <v>278660</v>
      </c>
      <c r="H28" s="6">
        <v>278.66000000000003</v>
      </c>
      <c r="J28" s="8">
        <f t="shared" si="1"/>
        <v>4844</v>
      </c>
      <c r="K28" s="8">
        <f t="shared" si="2"/>
        <v>295310</v>
      </c>
      <c r="L28" s="8">
        <f t="shared" si="3"/>
        <v>295.31</v>
      </c>
    </row>
    <row r="29" spans="1:12" x14ac:dyDescent="0.25">
      <c r="B29">
        <f>SUM(B4:B28)</f>
        <v>9440</v>
      </c>
      <c r="C29">
        <f>SUM(C4:C28)</f>
        <v>511917</v>
      </c>
      <c r="F29">
        <f>SUM(F4:F28)</f>
        <v>197335</v>
      </c>
      <c r="G29">
        <f>SUM(G4:G28)</f>
        <v>10282872</v>
      </c>
      <c r="J29">
        <f>SUM(J4:J28)</f>
        <v>206775</v>
      </c>
      <c r="K29">
        <f>SUM(K4:K28)</f>
        <v>10794789</v>
      </c>
      <c r="L29">
        <f>SUM(L4:L28)</f>
        <v>10794.788999999999</v>
      </c>
    </row>
    <row r="30" spans="1:12" x14ac:dyDescent="0.25">
      <c r="C30">
        <f>+C29/B29</f>
        <v>54.228495762711866</v>
      </c>
      <c r="G30">
        <f>+G29/F29</f>
        <v>52.108708541312993</v>
      </c>
      <c r="K30">
        <f>+K29/J29</f>
        <v>52.205484221980413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Bogota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Luna Sofia Osorio Parra</cp:lastModifiedBy>
  <dcterms:modified xsi:type="dcterms:W3CDTF">2026-02-03T19:48:42Z</dcterms:modified>
</cp:coreProperties>
</file>