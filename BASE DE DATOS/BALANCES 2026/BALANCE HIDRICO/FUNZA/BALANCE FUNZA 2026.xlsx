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2026\BALANCES 2026\BALANCE HIDRICO\FUNZA\"/>
    </mc:Choice>
  </mc:AlternateContent>
  <xr:revisionPtr revIDLastSave="0" documentId="13_ncr:1_{E049CB8B-B562-48A3-AE21-19017E79264C}" xr6:coauthVersionLast="47" xr6:coauthVersionMax="47" xr10:uidLastSave="{00000000-0000-0000-0000-000000000000}"/>
  <bookViews>
    <workbookView xWindow="-108" yWindow="-108" windowWidth="19416" windowHeight="10296" activeTab="2" xr2:uid="{B4641592-A717-4D2B-8E90-A1B175E3B9F5}"/>
  </bookViews>
  <sheets>
    <sheet name="ENERO" sheetId="2" r:id="rId1"/>
    <sheet name="FEBRERO" sheetId="1" r:id="rId2"/>
    <sheet name="MARZ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3" l="1"/>
  <c r="O29" i="3"/>
  <c r="O40" i="2"/>
</calcChain>
</file>

<file path=xl/sharedStrings.xml><?xml version="1.0" encoding="utf-8"?>
<sst xmlns="http://schemas.openxmlformats.org/spreadsheetml/2006/main" count="34" uniqueCount="11">
  <si>
    <t>BALANCE HIDRICO</t>
  </si>
  <si>
    <t>BALANCE DE FLUJOS DE AGUA: PRODUCCIÓN Y RESIDUALES EN MULAS</t>
  </si>
  <si>
    <t>COMENTARIOS:</t>
  </si>
  <si>
    <t>INDICADOR TINTORERIA</t>
  </si>
  <si>
    <t xml:space="preserve">COMENTARIOS: </t>
  </si>
  <si>
    <t>CONSOLIDADO BALANCE GLOBAL</t>
  </si>
  <si>
    <t xml:space="preserve">COSTOS QUÍMICA </t>
  </si>
  <si>
    <t>INFORME  - FUNZA  - MARZO 2026</t>
  </si>
  <si>
    <t>INFORME  - FUNZA  - ENERO 2026</t>
  </si>
  <si>
    <t xml:space="preserve">COMENTARIOS: 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</si>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</sst>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1" xfId="0" applyFill="1" applyBorder="1" applyAlignment="1">
      <alignment horizontal="left"/>
    </xf>
    <xf numFmtId="0" fontId="0" fillId="3" borderId="11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emf"/><Relationship Id="rId3" Type="http://schemas.openxmlformats.org/officeDocument/2006/relationships/image" Target="../media/image23.png"/><Relationship Id="rId7" Type="http://schemas.openxmlformats.org/officeDocument/2006/relationships/image" Target="../media/image27.emf"/><Relationship Id="rId2" Type="http://schemas.openxmlformats.org/officeDocument/2006/relationships/image" Target="../media/image22.png"/><Relationship Id="rId1" Type="http://schemas.openxmlformats.org/officeDocument/2006/relationships/image" Target="../media/image21.emf"/><Relationship Id="rId6" Type="http://schemas.openxmlformats.org/officeDocument/2006/relationships/image" Target="../media/image26.png"/><Relationship Id="rId5" Type="http://schemas.openxmlformats.org/officeDocument/2006/relationships/image" Target="../media/image25.emf"/><Relationship Id="rId10" Type="http://schemas.openxmlformats.org/officeDocument/2006/relationships/image" Target="../media/image30.emf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142875</xdr:rowOff>
    </xdr:from>
    <xdr:to>
      <xdr:col>6</xdr:col>
      <xdr:colOff>1694497</xdr:colOff>
      <xdr:row>16</xdr:row>
      <xdr:rowOff>24840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0A84B02-5CBA-EF89-5EF6-52142D43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12981622" cy="2977590"/>
        </a:xfrm>
        <a:prstGeom prst="rect">
          <a:avLst/>
        </a:prstGeom>
      </xdr:spPr>
    </xdr:pic>
    <xdr:clientData/>
  </xdr:twoCellAnchor>
  <xdr:twoCellAnchor editAs="oneCell">
    <xdr:from>
      <xdr:col>6</xdr:col>
      <xdr:colOff>1855470</xdr:colOff>
      <xdr:row>3</xdr:row>
      <xdr:rowOff>91441</xdr:rowOff>
    </xdr:from>
    <xdr:to>
      <xdr:col>8</xdr:col>
      <xdr:colOff>1469150</xdr:colOff>
      <xdr:row>16</xdr:row>
      <xdr:rowOff>47626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41F7E41-BE0B-967B-575D-49191E5F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2595" y="805816"/>
          <a:ext cx="3376055" cy="3051810"/>
        </a:xfrm>
        <a:prstGeom prst="rect">
          <a:avLst/>
        </a:prstGeom>
      </xdr:spPr>
    </xdr:pic>
    <xdr:clientData/>
  </xdr:twoCellAnchor>
  <xdr:twoCellAnchor editAs="oneCell">
    <xdr:from>
      <xdr:col>9</xdr:col>
      <xdr:colOff>357187</xdr:colOff>
      <xdr:row>5</xdr:row>
      <xdr:rowOff>0</xdr:rowOff>
    </xdr:from>
    <xdr:to>
      <xdr:col>12</xdr:col>
      <xdr:colOff>871538</xdr:colOff>
      <xdr:row>15</xdr:row>
      <xdr:rowOff>123825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5BCF376-5451-D4B6-B626-BB87194D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7875" y="1190625"/>
          <a:ext cx="615791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23812</xdr:colOff>
      <xdr:row>74</xdr:row>
      <xdr:rowOff>2535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F478BDA-453C-11FF-EA3E-857744609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810875"/>
          <a:ext cx="15073312" cy="7741598"/>
        </a:xfrm>
        <a:prstGeom prst="rect">
          <a:avLst/>
        </a:prstGeom>
      </xdr:spPr>
    </xdr:pic>
    <xdr:clientData/>
  </xdr:twoCellAnchor>
  <xdr:twoCellAnchor editAs="oneCell">
    <xdr:from>
      <xdr:col>8</xdr:col>
      <xdr:colOff>1000126</xdr:colOff>
      <xdr:row>57</xdr:row>
      <xdr:rowOff>67627</xdr:rowOff>
    </xdr:from>
    <xdr:to>
      <xdr:col>11</xdr:col>
      <xdr:colOff>3523</xdr:colOff>
      <xdr:row>63</xdr:row>
      <xdr:rowOff>211455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5954B39-C59A-B942-98CB-215958F9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6" y="13450252"/>
          <a:ext cx="4646960" cy="1858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359873</xdr:colOff>
      <xdr:row>100</xdr:row>
      <xdr:rowOff>121225</xdr:rowOff>
    </xdr:from>
    <xdr:to>
      <xdr:col>9</xdr:col>
      <xdr:colOff>386258</xdr:colOff>
      <xdr:row>127</xdr:row>
      <xdr:rowOff>121505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FCBF0C-DAE6-E70B-69B3-F5EC50665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9873" y="24453270"/>
          <a:ext cx="16859658" cy="4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1143000</xdr:colOff>
      <xdr:row>106</xdr:row>
      <xdr:rowOff>69273</xdr:rowOff>
    </xdr:from>
    <xdr:to>
      <xdr:col>12</xdr:col>
      <xdr:colOff>1034761</xdr:colOff>
      <xdr:row>111</xdr:row>
      <xdr:rowOff>19917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F44414-F58B-103E-A4A1-93E609CF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6273" y="25440409"/>
          <a:ext cx="5502852" cy="816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740773</xdr:colOff>
      <xdr:row>82</xdr:row>
      <xdr:rowOff>37011</xdr:rowOff>
    </xdr:from>
    <xdr:to>
      <xdr:col>7</xdr:col>
      <xdr:colOff>1430591</xdr:colOff>
      <xdr:row>90</xdr:row>
      <xdr:rowOff>56334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B7AEF1-1FC1-6A57-9A76-FD941EAD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773" y="20066725"/>
          <a:ext cx="13834318" cy="2196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225606</xdr:colOff>
      <xdr:row>23</xdr:row>
      <xdr:rowOff>85452</xdr:rowOff>
    </xdr:from>
    <xdr:to>
      <xdr:col>8</xdr:col>
      <xdr:colOff>139634</xdr:colOff>
      <xdr:row>39</xdr:row>
      <xdr:rowOff>174988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1D347CC-37E4-FB2F-9DB9-4263E1E4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606" y="5092881"/>
          <a:ext cx="14936314" cy="3790678"/>
        </a:xfrm>
        <a:prstGeom prst="rect">
          <a:avLst/>
        </a:prstGeom>
      </xdr:spPr>
    </xdr:pic>
    <xdr:clientData/>
  </xdr:twoCellAnchor>
  <xdr:twoCellAnchor editAs="oneCell">
    <xdr:from>
      <xdr:col>8</xdr:col>
      <xdr:colOff>336368</xdr:colOff>
      <xdr:row>23</xdr:row>
      <xdr:rowOff>151584</xdr:rowOff>
    </xdr:from>
    <xdr:to>
      <xdr:col>10</xdr:col>
      <xdr:colOff>1351733</xdr:colOff>
      <xdr:row>39</xdr:row>
      <xdr:rowOff>212544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E999E7E-6AFF-0ABD-8886-09A1CCBA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8654" y="5159013"/>
          <a:ext cx="4770936" cy="3762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6</xdr:row>
      <xdr:rowOff>23812</xdr:rowOff>
    </xdr:from>
    <xdr:to>
      <xdr:col>6</xdr:col>
      <xdr:colOff>965511</xdr:colOff>
      <xdr:row>16</xdr:row>
      <xdr:rowOff>93344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F8FA495-62D1-5CE5-9D70-60F2C7927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452562"/>
          <a:ext cx="11300136" cy="2450782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1238250</xdr:colOff>
      <xdr:row>4</xdr:row>
      <xdr:rowOff>166688</xdr:rowOff>
    </xdr:from>
    <xdr:to>
      <xdr:col>8</xdr:col>
      <xdr:colOff>480330</xdr:colOff>
      <xdr:row>16</xdr:row>
      <xdr:rowOff>20003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FADF42-A3F2-6BFF-3D8A-6A8E528D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5375" y="1119188"/>
          <a:ext cx="3004455" cy="2710815"/>
        </a:xfrm>
        <a:prstGeom prst="rect">
          <a:avLst/>
        </a:prstGeom>
      </xdr:spPr>
    </xdr:pic>
    <xdr:clientData/>
  </xdr:twoCellAnchor>
  <xdr:twoCellAnchor editAs="oneCell">
    <xdr:from>
      <xdr:col>8</xdr:col>
      <xdr:colOff>1476375</xdr:colOff>
      <xdr:row>3</xdr:row>
      <xdr:rowOff>214313</xdr:rowOff>
    </xdr:from>
    <xdr:to>
      <xdr:col>12</xdr:col>
      <xdr:colOff>109538</xdr:colOff>
      <xdr:row>14</xdr:row>
      <xdr:rowOff>100013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E9499A4-F911-69C8-5BED-FEAE0DF31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75" y="928688"/>
          <a:ext cx="615791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976313</xdr:colOff>
      <xdr:row>49</xdr:row>
      <xdr:rowOff>95250</xdr:rowOff>
    </xdr:from>
    <xdr:to>
      <xdr:col>7</xdr:col>
      <xdr:colOff>1862403</xdr:colOff>
      <xdr:row>73</xdr:row>
      <xdr:rowOff>455540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A111185-B1A5-36EC-69DB-35744534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6313" y="11191875"/>
          <a:ext cx="14054403" cy="7218290"/>
        </a:xfrm>
        <a:prstGeom prst="rect">
          <a:avLst/>
        </a:prstGeom>
      </xdr:spPr>
    </xdr:pic>
    <xdr:clientData/>
  </xdr:twoCellAnchor>
  <xdr:twoCellAnchor editAs="oneCell">
    <xdr:from>
      <xdr:col>0</xdr:col>
      <xdr:colOff>1198246</xdr:colOff>
      <xdr:row>83</xdr:row>
      <xdr:rowOff>261938</xdr:rowOff>
    </xdr:from>
    <xdr:to>
      <xdr:col>8</xdr:col>
      <xdr:colOff>1122850</xdr:colOff>
      <xdr:row>91</xdr:row>
      <xdr:rowOff>168591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DC75D07-510F-62F6-F2F9-18CC3669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6" y="21026438"/>
          <a:ext cx="14974104" cy="2168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187859</xdr:rowOff>
    </xdr:from>
    <xdr:to>
      <xdr:col>12</xdr:col>
      <xdr:colOff>38100</xdr:colOff>
      <xdr:row>60</xdr:row>
      <xdr:rowOff>160020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F44AA5-4618-E9AD-F3F3-33C55735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2100" y="11846459"/>
          <a:ext cx="5638800" cy="225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149679</xdr:colOff>
      <xdr:row>100</xdr:row>
      <xdr:rowOff>149677</xdr:rowOff>
    </xdr:from>
    <xdr:to>
      <xdr:col>8</xdr:col>
      <xdr:colOff>1253449</xdr:colOff>
      <xdr:row>126</xdr:row>
      <xdr:rowOff>27213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DCFFF-A63B-470A-16F3-A975E988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679" y="24479248"/>
          <a:ext cx="16126056" cy="4476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11</xdr:col>
      <xdr:colOff>1760220</xdr:colOff>
      <xdr:row>107</xdr:row>
      <xdr:rowOff>121920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BA4125-1DBF-1D91-D9C9-1ABBA76F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70680" y="24848820"/>
          <a:ext cx="550926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935082</xdr:colOff>
      <xdr:row>25</xdr:row>
      <xdr:rowOff>1</xdr:rowOff>
    </xdr:from>
    <xdr:to>
      <xdr:col>11</xdr:col>
      <xdr:colOff>1451337</xdr:colOff>
      <xdr:row>36</xdr:row>
      <xdr:rowOff>167640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F8D8841-10CE-3673-E42F-C2985287A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7368" y="5470072"/>
          <a:ext cx="6149612" cy="271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204107</xdr:colOff>
      <xdr:row>23</xdr:row>
      <xdr:rowOff>149678</xdr:rowOff>
    </xdr:from>
    <xdr:to>
      <xdr:col>8</xdr:col>
      <xdr:colOff>451338</xdr:colOff>
      <xdr:row>38</xdr:row>
      <xdr:rowOff>207460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D03669D-323B-3B37-298F-B97C6A29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4107" y="5157107"/>
          <a:ext cx="15269517" cy="35276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911679</xdr:colOff>
      <xdr:row>24</xdr:row>
      <xdr:rowOff>54429</xdr:rowOff>
    </xdr:from>
    <xdr:to>
      <xdr:col>12</xdr:col>
      <xdr:colOff>1429838</xdr:colOff>
      <xdr:row>36</xdr:row>
      <xdr:rowOff>183969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FC3041-C2B1-8E0A-232A-8F62C750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0" y="5293179"/>
          <a:ext cx="6151517" cy="2905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207917</xdr:colOff>
      <xdr:row>23</xdr:row>
      <xdr:rowOff>40821</xdr:rowOff>
    </xdr:from>
    <xdr:to>
      <xdr:col>9</xdr:col>
      <xdr:colOff>136072</xdr:colOff>
      <xdr:row>39</xdr:row>
      <xdr:rowOff>224634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632A61-FE88-082C-24EE-645CF6764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917" y="5048250"/>
          <a:ext cx="16828226" cy="3884955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408215</xdr:colOff>
      <xdr:row>3</xdr:row>
      <xdr:rowOff>122464</xdr:rowOff>
    </xdr:from>
    <xdr:to>
      <xdr:col>6</xdr:col>
      <xdr:colOff>1710166</xdr:colOff>
      <xdr:row>15</xdr:row>
      <xdr:rowOff>224702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526A6E-DF84-3E10-C9DF-E86F6EB65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15" y="802821"/>
          <a:ext cx="12568665" cy="2878095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1850571</xdr:colOff>
      <xdr:row>3</xdr:row>
      <xdr:rowOff>163286</xdr:rowOff>
    </xdr:from>
    <xdr:to>
      <xdr:col>8</xdr:col>
      <xdr:colOff>1289361</xdr:colOff>
      <xdr:row>16</xdr:row>
      <xdr:rowOff>34202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931DC0-45BD-B19E-4211-5202DB3C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17285" y="843643"/>
          <a:ext cx="3194362" cy="2878095"/>
        </a:xfrm>
        <a:prstGeom prst="rect">
          <a:avLst/>
        </a:prstGeom>
      </xdr:spPr>
    </xdr:pic>
    <xdr:clientData/>
  </xdr:twoCellAnchor>
  <xdr:twoCellAnchor editAs="oneCell">
    <xdr:from>
      <xdr:col>8</xdr:col>
      <xdr:colOff>1574618</xdr:colOff>
      <xdr:row>3</xdr:row>
      <xdr:rowOff>190500</xdr:rowOff>
    </xdr:from>
    <xdr:to>
      <xdr:col>12</xdr:col>
      <xdr:colOff>214992</xdr:colOff>
      <xdr:row>14</xdr:row>
      <xdr:rowOff>86813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1A3F08-00A6-F5D9-6D13-61004C7D7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6904" y="870857"/>
          <a:ext cx="6151517" cy="244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231321</xdr:colOff>
      <xdr:row>47</xdr:row>
      <xdr:rowOff>165191</xdr:rowOff>
    </xdr:from>
    <xdr:to>
      <xdr:col>8</xdr:col>
      <xdr:colOff>640886</xdr:colOff>
      <xdr:row>74</xdr:row>
      <xdr:rowOff>122464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3DA2881-90A7-670F-4D0B-775AF473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321" y="10370548"/>
          <a:ext cx="15431851" cy="7931059"/>
        </a:xfrm>
        <a:prstGeom prst="rect">
          <a:avLst/>
        </a:prstGeom>
      </xdr:spPr>
    </xdr:pic>
    <xdr:clientData/>
  </xdr:twoCellAnchor>
  <xdr:twoCellAnchor editAs="oneCell">
    <xdr:from>
      <xdr:col>8</xdr:col>
      <xdr:colOff>1220832</xdr:colOff>
      <xdr:row>57</xdr:row>
      <xdr:rowOff>126274</xdr:rowOff>
    </xdr:from>
    <xdr:to>
      <xdr:col>11</xdr:col>
      <xdr:colOff>484272</xdr:colOff>
      <xdr:row>64</xdr:row>
      <xdr:rowOff>83548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B319830-9D1A-AD61-78D2-3CA77F0E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3118" y="13148310"/>
          <a:ext cx="4896797" cy="195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519793</xdr:colOff>
      <xdr:row>82</xdr:row>
      <xdr:rowOff>247650</xdr:rowOff>
    </xdr:from>
    <xdr:to>
      <xdr:col>8</xdr:col>
      <xdr:colOff>1768601</xdr:colOff>
      <xdr:row>91</xdr:row>
      <xdr:rowOff>57150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77500B6-7350-2882-6F7A-A8EEE9EA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3" y="20421600"/>
          <a:ext cx="16184008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100</xdr:row>
      <xdr:rowOff>152400</xdr:rowOff>
    </xdr:from>
    <xdr:to>
      <xdr:col>9</xdr:col>
      <xdr:colOff>698119</xdr:colOff>
      <xdr:row>124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13CA46-E2D0-EB31-611A-80693446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0" y="24631650"/>
          <a:ext cx="17214469" cy="45910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146704</xdr:colOff>
      <xdr:row>101</xdr:row>
      <xdr:rowOff>95250</xdr:rowOff>
    </xdr:from>
    <xdr:to>
      <xdr:col>12</xdr:col>
      <xdr:colOff>4802333</xdr:colOff>
      <xdr:row>108</xdr:row>
      <xdr:rowOff>110836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FE1C950-FC47-D800-F412-F9E0592D9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0340" y="24659359"/>
          <a:ext cx="8396357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3799-DB23-46FB-A263-5771A9C7A1F3}">
  <dimension ref="A1:P132"/>
  <sheetViews>
    <sheetView topLeftCell="A101" zoomScale="70" zoomScaleNormal="70" zoomScalePageLayoutView="40" workbookViewId="0">
      <selection activeCell="K118" sqref="K118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17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s="1" customFormat="1" x14ac:dyDescent="0.3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s="1" customFormat="1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 s="1" customFormat="1" ht="18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s="1" customFormat="1" ht="18" customHeight="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s="1" customFormat="1" ht="18" customHeigh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</row>
    <row r="7" spans="1:14" s="1" customFormat="1" ht="18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1" customFormat="1" ht="18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s="1" customFormat="1" ht="18" customHeigh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1:14" s="1" customFormat="1" ht="18" customHeigh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1:14" s="1" customFormat="1" ht="18" customHeigh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14" s="1" customFormat="1" ht="18" customHeigh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s="1" customFormat="1" ht="18" customHeight="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4" s="1" customFormat="1" ht="18" customHeight="1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  <row r="15" spans="1:14" s="1" customFormat="1" ht="18" customHeigh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spans="1:14" s="1" customFormat="1" ht="18" customHeight="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1:14" s="1" customFormat="1" ht="18" customHeight="1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s="1" customFormat="1" x14ac:dyDescent="0.3">
      <c r="A18" s="26" t="s">
        <v>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4" s="1" customForma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s="1" customForma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s="1" customForma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4" s="1" customFormat="1" ht="15" customHeight="1" x14ac:dyDescent="0.3">
      <c r="A22" s="27" t="s">
        <v>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s="1" customFormat="1" ht="15" customHeight="1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</row>
    <row r="24" spans="1:14" s="1" customFormat="1" ht="18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s="1" customFormat="1" ht="18" customHeight="1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spans="1:14" s="1" customFormat="1" ht="18" customHeight="1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1:14" s="1" customFormat="1" ht="18" customHeigh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4" s="1" customFormat="1" ht="18" customHeight="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1:14" s="1" customFormat="1" ht="18" customHeight="1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1:14" s="1" customFormat="1" ht="18" customHeight="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</row>
    <row r="31" spans="1:14" s="1" customFormat="1" ht="18" customHeight="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spans="1:14" s="1" customFormat="1" ht="18" customHeight="1" x14ac:dyDescent="0.3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</row>
    <row r="33" spans="1:15" s="1" customFormat="1" ht="18" customHeight="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spans="1:15" s="1" customFormat="1" ht="18" customHeight="1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</row>
    <row r="35" spans="1:15" s="1" customFormat="1" ht="18" customHeight="1" x14ac:dyDescent="0.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5" s="1" customFormat="1" ht="18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5" s="1" customFormat="1" ht="18" customHeight="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spans="1:15" s="1" customFormat="1" ht="18" customHeight="1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</row>
    <row r="39" spans="1:15" s="1" customFormat="1" ht="18" customHeight="1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spans="1:15" s="1" customFormat="1" ht="18" customHeight="1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  <c r="O40" s="1">
        <f>358-122-25</f>
        <v>211</v>
      </c>
    </row>
    <row r="41" spans="1:15" s="1" customFormat="1" x14ac:dyDescent="0.3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</row>
    <row r="42" spans="1:15" s="1" customFormat="1" x14ac:dyDescent="0.3">
      <c r="A42" s="26" t="s">
        <v>2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5" s="1" customForma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5" s="1" customForma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5" s="1" customForma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5" s="1" customFormat="1" ht="15" customHeight="1" x14ac:dyDescent="0.3">
      <c r="A46" s="20" t="s">
        <v>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5" s="1" customFormat="1" ht="15" customHeight="1" x14ac:dyDescent="0.3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1:15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26" t="s">
        <v>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spans="1:14" s="1" customForma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</row>
    <row r="78" spans="1:14" s="1" customForma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spans="1:14" s="1" customForma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spans="1:14" s="1" customFormat="1" ht="15" customHeight="1" x14ac:dyDescent="0.3">
      <c r="A80" s="28" t="s">
        <v>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0"/>
    </row>
    <row r="81" spans="1:14" s="1" customFormat="1" ht="15" customHeight="1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3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26" t="s">
        <v>4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spans="1:14" s="1" customForma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1:14" s="1" customForma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spans="1:14" s="1" customFormat="1" ht="12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</row>
    <row r="99" spans="1:14" s="1" customFormat="1" x14ac:dyDescent="0.3">
      <c r="A99" s="34" t="s">
        <v>6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6"/>
    </row>
    <row r="100" spans="1:14" s="1" customFormat="1" x14ac:dyDescent="0.3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26" t="s">
        <v>4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spans="1:14" s="1" customForma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</row>
    <row r="131" spans="1:14" s="1" customForma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</row>
    <row r="132" spans="1:14" s="1" customForma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</row>
  </sheetData>
  <mergeCells count="13">
    <mergeCell ref="A129:N132"/>
    <mergeCell ref="A42:N45"/>
    <mergeCell ref="A46:N47"/>
    <mergeCell ref="A76:N79"/>
    <mergeCell ref="A80:N81"/>
    <mergeCell ref="A95:N98"/>
    <mergeCell ref="A99:N100"/>
    <mergeCell ref="A24:N41"/>
    <mergeCell ref="A1:N1"/>
    <mergeCell ref="A2:N3"/>
    <mergeCell ref="A4:N17"/>
    <mergeCell ref="A18:N21"/>
    <mergeCell ref="A22:N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B1FC-821E-4E05-9C99-D9BDCA313617}">
  <dimension ref="A1:P132"/>
  <sheetViews>
    <sheetView topLeftCell="B81" zoomScale="85" zoomScaleNormal="85" zoomScalePageLayoutView="40" workbookViewId="0">
      <selection activeCell="H83" sqref="H83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17" t="s">
        <v>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s="1" customFormat="1" x14ac:dyDescent="0.3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s="1" customFormat="1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 s="1" customFormat="1" ht="18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s="1" customFormat="1" ht="18" customHeight="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s="1" customFormat="1" ht="18" customHeigh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</row>
    <row r="7" spans="1:14" s="1" customFormat="1" ht="18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1" customFormat="1" ht="18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s="1" customFormat="1" ht="18" customHeigh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1:14" s="1" customFormat="1" ht="18" customHeigh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1:14" s="1" customFormat="1" ht="18" customHeigh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14" s="1" customFormat="1" ht="18" customHeigh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s="1" customFormat="1" ht="18" customHeight="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4" s="1" customFormat="1" ht="18" customHeight="1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  <row r="15" spans="1:14" s="1" customFormat="1" ht="18" customHeigh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spans="1:14" s="1" customFormat="1" ht="18" customHeight="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1:14" s="1" customFormat="1" ht="18" customHeight="1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4" s="1" customFormat="1" x14ac:dyDescent="0.3">
      <c r="A18" s="26" t="s">
        <v>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4" s="1" customForma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s="1" customForma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s="1" customForma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4" s="1" customFormat="1" ht="15" customHeight="1" x14ac:dyDescent="0.3">
      <c r="A22" s="27" t="s">
        <v>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s="1" customFormat="1" ht="15" customHeight="1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</row>
    <row r="24" spans="1:14" s="1" customFormat="1" ht="18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4" s="1" customFormat="1" ht="18" customHeight="1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spans="1:14" s="1" customFormat="1" ht="18" customHeight="1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1:14" s="1" customFormat="1" ht="18" customHeigh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4" s="1" customFormat="1" ht="18" customHeight="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1:14" s="1" customFormat="1" ht="18" customHeight="1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spans="1:14" s="1" customFormat="1" ht="18" customHeight="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</row>
    <row r="31" spans="1:14" s="1" customFormat="1" ht="18" customHeight="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spans="1:14" s="1" customFormat="1" ht="18" customHeight="1" x14ac:dyDescent="0.3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</row>
    <row r="33" spans="1:14" s="1" customFormat="1" ht="18" customHeight="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spans="1:14" s="1" customFormat="1" ht="18" customHeight="1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</row>
    <row r="35" spans="1:14" s="1" customFormat="1" ht="18" customHeight="1" x14ac:dyDescent="0.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4" s="1" customFormat="1" ht="18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4" s="1" customFormat="1" ht="18" customHeight="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spans="1:14" s="1" customFormat="1" ht="18" customHeight="1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</row>
    <row r="39" spans="1:14" s="1" customFormat="1" ht="18" customHeight="1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spans="1:14" s="1" customFormat="1" ht="18" customHeight="1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</row>
    <row r="41" spans="1:14" s="1" customFormat="1" x14ac:dyDescent="0.3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</row>
    <row r="42" spans="1:14" s="1" customFormat="1" x14ac:dyDescent="0.3">
      <c r="A42" s="26" t="s">
        <v>2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s="1" customForma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s="1" customForma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s="1" customForma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s="1" customFormat="1" ht="15" customHeight="1" x14ac:dyDescent="0.3">
      <c r="A46" s="20" t="s">
        <v>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s="1" customFormat="1" ht="15" customHeight="1" x14ac:dyDescent="0.3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26" t="s">
        <v>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spans="1:14" s="1" customForma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</row>
    <row r="78" spans="1:14" s="1" customForma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spans="1:14" s="1" customForma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spans="1:14" s="1" customFormat="1" ht="15" customHeight="1" x14ac:dyDescent="0.3">
      <c r="A80" s="28" t="s">
        <v>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0"/>
    </row>
    <row r="81" spans="1:14" s="1" customFormat="1" ht="15" customHeight="1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3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26" t="s">
        <v>4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spans="1:14" s="1" customForma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1:14" s="1" customForma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spans="1:14" s="1" customFormat="1" ht="12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</row>
    <row r="99" spans="1:14" s="1" customFormat="1" x14ac:dyDescent="0.3">
      <c r="A99" s="34" t="s">
        <v>6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6"/>
    </row>
    <row r="100" spans="1:14" s="1" customFormat="1" x14ac:dyDescent="0.3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26" t="s">
        <v>9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spans="1:14" s="1" customForma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</row>
    <row r="131" spans="1:14" s="1" customForma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</row>
    <row r="132" spans="1:14" s="1" customForma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</row>
  </sheetData>
  <mergeCells count="13">
    <mergeCell ref="A129:N132"/>
    <mergeCell ref="A42:N45"/>
    <mergeCell ref="A46:N47"/>
    <mergeCell ref="A76:N79"/>
    <mergeCell ref="A80:N81"/>
    <mergeCell ref="A95:N98"/>
    <mergeCell ref="A99:N100"/>
    <mergeCell ref="A24:N41"/>
    <mergeCell ref="A1:N1"/>
    <mergeCell ref="A2:N3"/>
    <mergeCell ref="A4:N17"/>
    <mergeCell ref="A18:N21"/>
    <mergeCell ref="A22:N2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C5E7-A1D6-4F7C-B735-EB744524DCA9}">
  <dimension ref="A1:P132"/>
  <sheetViews>
    <sheetView tabSelected="1" topLeftCell="G96" zoomScale="55" zoomScaleNormal="55" zoomScalePageLayoutView="40" workbookViewId="0">
      <selection activeCell="N106" sqref="N106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17" t="s">
        <v>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s="1" customFormat="1" x14ac:dyDescent="0.3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4" s="1" customFormat="1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 s="1" customFormat="1" ht="18" customHeight="1" x14ac:dyDescent="0.3">
      <c r="A4" s="8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 s="1" customFormat="1" ht="18" customHeight="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s="1" customFormat="1" ht="18" customHeigh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</row>
    <row r="7" spans="1:14" s="1" customFormat="1" ht="18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1" customFormat="1" ht="18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s="1" customFormat="1" ht="18" customHeigh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1:14" s="1" customFormat="1" ht="18" customHeigh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1:14" s="1" customFormat="1" ht="18" customHeigh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spans="1:14" s="1" customFormat="1" ht="18" customHeigh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s="1" customFormat="1" ht="18" customHeight="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4" s="1" customFormat="1" ht="18" customHeight="1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  <row r="15" spans="1:14" s="1" customFormat="1" ht="18" customHeigh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spans="1:14" s="1" customFormat="1" ht="18" customHeight="1" x14ac:dyDescent="0.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1:15" s="1" customFormat="1" ht="18" customHeight="1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spans="1:15" s="1" customFormat="1" x14ac:dyDescent="0.3">
      <c r="A18" s="26" t="s">
        <v>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5" s="1" customForma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5" s="1" customForma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5" s="1" customForma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5" s="1" customFormat="1" ht="15" customHeight="1" x14ac:dyDescent="0.3">
      <c r="A22" s="27" t="s">
        <v>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5" s="1" customFormat="1" ht="15" customHeight="1" x14ac:dyDescent="0.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</row>
    <row r="24" spans="1:15" s="1" customFormat="1" ht="18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15" s="1" customFormat="1" ht="18" customHeight="1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spans="1:15" s="1" customFormat="1" ht="18" customHeight="1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1:15" s="1" customFormat="1" ht="18" customHeigh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5" s="1" customFormat="1" ht="18" customHeight="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spans="1:15" s="1" customFormat="1" ht="18" customHeight="1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  <c r="O29" s="1">
        <f>1008-O30</f>
        <v>25</v>
      </c>
    </row>
    <row r="30" spans="1:15" s="1" customFormat="1" ht="18" customHeight="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">
        <f>835+148</f>
        <v>983</v>
      </c>
    </row>
    <row r="31" spans="1:15" s="1" customFormat="1" ht="18" customHeight="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spans="1:15" s="1" customFormat="1" ht="18" customHeight="1" x14ac:dyDescent="0.3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</row>
    <row r="33" spans="1:14" s="1" customFormat="1" ht="18" customHeight="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spans="1:14" s="1" customFormat="1" ht="18" customHeight="1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</row>
    <row r="35" spans="1:14" s="1" customFormat="1" ht="18" customHeight="1" x14ac:dyDescent="0.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spans="1:14" s="1" customFormat="1" ht="18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</row>
    <row r="37" spans="1:14" s="1" customFormat="1" ht="18" customHeight="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spans="1:14" s="1" customFormat="1" ht="18" customHeight="1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</row>
    <row r="39" spans="1:14" s="1" customFormat="1" ht="18" customHeight="1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spans="1:14" s="1" customFormat="1" ht="18" customHeight="1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</row>
    <row r="41" spans="1:14" s="1" customFormat="1" x14ac:dyDescent="0.3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</row>
    <row r="42" spans="1:14" s="1" customFormat="1" x14ac:dyDescent="0.3">
      <c r="A42" s="26" t="s">
        <v>2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s="1" customForma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s="1" customForma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s="1" customForma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s="1" customFormat="1" ht="15" customHeight="1" x14ac:dyDescent="0.3">
      <c r="A46" s="20" t="s">
        <v>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</row>
    <row r="47" spans="1:14" s="1" customFormat="1" ht="15" customHeight="1" x14ac:dyDescent="0.3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26" t="s">
        <v>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spans="1:14" s="1" customForma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</row>
    <row r="78" spans="1:14" s="1" customForma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spans="1:14" s="1" customForma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spans="1:14" s="1" customFormat="1" ht="15" customHeight="1" x14ac:dyDescent="0.3">
      <c r="A80" s="28" t="s">
        <v>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30"/>
    </row>
    <row r="81" spans="1:14" s="1" customFormat="1" ht="15" customHeight="1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3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26" t="s">
        <v>4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spans="1:14" s="1" customForma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1:14" s="1" customForma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spans="1:14" s="1" customFormat="1" ht="12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</row>
    <row r="99" spans="1:14" s="1" customFormat="1" x14ac:dyDescent="0.3">
      <c r="A99" s="34" t="s">
        <v>6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6"/>
    </row>
    <row r="100" spans="1:14" s="1" customFormat="1" x14ac:dyDescent="0.3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5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26" t="s">
        <v>4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spans="1:14" s="1" customForma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</row>
    <row r="131" spans="1:14" s="1" customForma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</row>
    <row r="132" spans="1:14" s="1" customForma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</row>
  </sheetData>
  <mergeCells count="13">
    <mergeCell ref="A129:N132"/>
    <mergeCell ref="A42:N45"/>
    <mergeCell ref="A46:N47"/>
    <mergeCell ref="A76:N79"/>
    <mergeCell ref="A80:N81"/>
    <mergeCell ref="A95:N98"/>
    <mergeCell ref="A99:N100"/>
    <mergeCell ref="A24:N41"/>
    <mergeCell ref="A1:N1"/>
    <mergeCell ref="A2:N3"/>
    <mergeCell ref="A4:N17"/>
    <mergeCell ref="A18:N21"/>
    <mergeCell ref="A22:N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2026-03-04T18:13:34Z</dcterms:created>
  <dcterms:modified xsi:type="dcterms:W3CDTF">2026-04-14T13:49:05Z</dcterms:modified>
</cp:coreProperties>
</file>