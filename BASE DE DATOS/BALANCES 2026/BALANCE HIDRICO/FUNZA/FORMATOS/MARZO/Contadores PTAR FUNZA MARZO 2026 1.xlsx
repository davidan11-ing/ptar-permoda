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T:\2026\BALANCES 2026\BALANCE HIDRICO\FUNZA\FORMATOS\MARZO\"/>
    </mc:Choice>
  </mc:AlternateContent>
  <xr:revisionPtr revIDLastSave="0" documentId="8_{0EF0A747-7A0F-4DB6-AD1E-67C30C941A8B}" xr6:coauthVersionLast="47" xr6:coauthVersionMax="47" xr10:uidLastSave="{00000000-0000-0000-0000-000000000000}"/>
  <bookViews>
    <workbookView xWindow="23880" yWindow="1830" windowWidth="20730" windowHeight="11040" tabRatio="604" xr2:uid="{AEB1549C-BEF4-4D7A-8E3C-E420BB5A6EF0}"/>
  </bookViews>
  <sheets>
    <sheet name="DASH BH" sheetId="9" r:id="rId1"/>
    <sheet name="BALANCE" sheetId="8" r:id="rId2"/>
    <sheet name="REGISTRO DE DATOS" sheetId="10" r:id="rId3"/>
  </sheets>
  <externalReferences>
    <externalReference r:id="rId4"/>
  </externalReferences>
  <definedNames>
    <definedName name="_xlnm._FilterDatabase" localSheetId="1" hidden="1">BALANCE!$A$1:$Z$95</definedName>
    <definedName name="SegmentaciónDeDatos_DIA">#N/A</definedName>
    <definedName name="SegmentaciónDeDatos_DIA1">#N/A</definedName>
    <definedName name="SegmentaciónDeDatos_FECHA">#N/A</definedName>
  </definedNames>
  <calcPr calcId="191029"/>
  <pivotCaches>
    <pivotCache cacheId="0" r:id="rId5"/>
    <pivotCache cacheId="1" r:id="rId6"/>
    <pivotCache cacheId="2" r:id="rId7"/>
  </pivotCaches>
  <fileRecoveryPr repairLoad="1"/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5" i="10" l="1"/>
  <c r="AB95" i="10"/>
  <c r="AA95" i="10"/>
  <c r="Z95" i="10"/>
  <c r="X95" i="10"/>
  <c r="V95" i="10"/>
  <c r="T95" i="10"/>
  <c r="R95" i="10"/>
  <c r="N95" i="10"/>
  <c r="L95" i="10"/>
  <c r="J95" i="10"/>
  <c r="I95" i="10"/>
  <c r="G95" i="10"/>
  <c r="D95" i="10"/>
  <c r="A95" i="10"/>
  <c r="AB94" i="10"/>
  <c r="AA94" i="10"/>
  <c r="Z94" i="10"/>
  <c r="X94" i="10"/>
  <c r="V94" i="10"/>
  <c r="T94" i="10"/>
  <c r="R94" i="10"/>
  <c r="O94" i="10"/>
  <c r="N94" i="10"/>
  <c r="L94" i="10"/>
  <c r="J94" i="10"/>
  <c r="I94" i="10"/>
  <c r="G94" i="10"/>
  <c r="D94" i="10"/>
  <c r="A94" i="10"/>
  <c r="AB93" i="10"/>
  <c r="AA93" i="10"/>
  <c r="Z93" i="10"/>
  <c r="X93" i="10"/>
  <c r="V93" i="10"/>
  <c r="T93" i="10"/>
  <c r="R93" i="10"/>
  <c r="O93" i="10"/>
  <c r="N93" i="10"/>
  <c r="L93" i="10"/>
  <c r="J93" i="10"/>
  <c r="I93" i="10"/>
  <c r="G93" i="10"/>
  <c r="D93" i="10"/>
  <c r="A93" i="10"/>
  <c r="AB92" i="10"/>
  <c r="AA92" i="10"/>
  <c r="Z92" i="10"/>
  <c r="X92" i="10"/>
  <c r="V92" i="10"/>
  <c r="T92" i="10"/>
  <c r="R92" i="10"/>
  <c r="O92" i="10"/>
  <c r="N92" i="10"/>
  <c r="L92" i="10"/>
  <c r="J92" i="10"/>
  <c r="I92" i="10"/>
  <c r="G92" i="10"/>
  <c r="D92" i="10"/>
  <c r="A92" i="10"/>
  <c r="AB91" i="10"/>
  <c r="AA91" i="10"/>
  <c r="Z91" i="10"/>
  <c r="X91" i="10"/>
  <c r="V91" i="10"/>
  <c r="T91" i="10"/>
  <c r="R91" i="10"/>
  <c r="O91" i="10"/>
  <c r="N91" i="10"/>
  <c r="L91" i="10"/>
  <c r="J91" i="10"/>
  <c r="I91" i="10"/>
  <c r="G91" i="10"/>
  <c r="D91" i="10"/>
  <c r="A91" i="10"/>
  <c r="AB90" i="10"/>
  <c r="AA90" i="10"/>
  <c r="Z90" i="10"/>
  <c r="X90" i="10"/>
  <c r="V90" i="10"/>
  <c r="T90" i="10"/>
  <c r="R90" i="10"/>
  <c r="O90" i="10"/>
  <c r="N90" i="10"/>
  <c r="L90" i="10"/>
  <c r="J90" i="10"/>
  <c r="I90" i="10"/>
  <c r="G90" i="10"/>
  <c r="D90" i="10"/>
  <c r="A90" i="10"/>
  <c r="AB89" i="10"/>
  <c r="AA89" i="10"/>
  <c r="Z89" i="10"/>
  <c r="X89" i="10"/>
  <c r="V89" i="10"/>
  <c r="T89" i="10"/>
  <c r="R89" i="10"/>
  <c r="O89" i="10"/>
  <c r="N89" i="10"/>
  <c r="L89" i="10"/>
  <c r="J89" i="10"/>
  <c r="I89" i="10"/>
  <c r="G89" i="10"/>
  <c r="D89" i="10"/>
  <c r="A89" i="10"/>
  <c r="AB88" i="10"/>
  <c r="AA88" i="10"/>
  <c r="Z88" i="10"/>
  <c r="X88" i="10"/>
  <c r="V88" i="10"/>
  <c r="T88" i="10"/>
  <c r="R88" i="10"/>
  <c r="O88" i="10"/>
  <c r="N88" i="10"/>
  <c r="L88" i="10"/>
  <c r="J88" i="10"/>
  <c r="I88" i="10"/>
  <c r="G88" i="10"/>
  <c r="D88" i="10"/>
  <c r="A88" i="10"/>
  <c r="AB87" i="10"/>
  <c r="AA87" i="10"/>
  <c r="Z87" i="10"/>
  <c r="X87" i="10"/>
  <c r="V87" i="10"/>
  <c r="T87" i="10"/>
  <c r="R87" i="10"/>
  <c r="O87" i="10"/>
  <c r="N87" i="10"/>
  <c r="L87" i="10"/>
  <c r="J87" i="10"/>
  <c r="I87" i="10"/>
  <c r="G87" i="10"/>
  <c r="D87" i="10"/>
  <c r="A87" i="10"/>
  <c r="AB86" i="10"/>
  <c r="AA86" i="10"/>
  <c r="Z86" i="10"/>
  <c r="X86" i="10"/>
  <c r="V86" i="10"/>
  <c r="T86" i="10"/>
  <c r="R86" i="10"/>
  <c r="O86" i="10"/>
  <c r="N86" i="10"/>
  <c r="L86" i="10"/>
  <c r="J86" i="10"/>
  <c r="I86" i="10"/>
  <c r="G86" i="10"/>
  <c r="D86" i="10"/>
  <c r="A86" i="10"/>
  <c r="AB85" i="10"/>
  <c r="AA85" i="10"/>
  <c r="Z85" i="10"/>
  <c r="X85" i="10"/>
  <c r="V85" i="10"/>
  <c r="T85" i="10"/>
  <c r="R85" i="10"/>
  <c r="O85" i="10"/>
  <c r="N85" i="10"/>
  <c r="L85" i="10"/>
  <c r="J85" i="10"/>
  <c r="I85" i="10"/>
  <c r="G85" i="10"/>
  <c r="D85" i="10"/>
  <c r="A85" i="10"/>
  <c r="AB84" i="10"/>
  <c r="AA84" i="10"/>
  <c r="Z84" i="10"/>
  <c r="X84" i="10"/>
  <c r="V84" i="10"/>
  <c r="T84" i="10"/>
  <c r="R84" i="10"/>
  <c r="O84" i="10"/>
  <c r="N84" i="10"/>
  <c r="L84" i="10"/>
  <c r="J84" i="10"/>
  <c r="I84" i="10"/>
  <c r="G84" i="10"/>
  <c r="D84" i="10"/>
  <c r="A84" i="10"/>
  <c r="AB83" i="10"/>
  <c r="AA83" i="10"/>
  <c r="Z83" i="10"/>
  <c r="X83" i="10"/>
  <c r="V83" i="10"/>
  <c r="T83" i="10"/>
  <c r="R83" i="10"/>
  <c r="O83" i="10"/>
  <c r="N83" i="10"/>
  <c r="L83" i="10"/>
  <c r="J83" i="10"/>
  <c r="I83" i="10"/>
  <c r="G83" i="10"/>
  <c r="D83" i="10"/>
  <c r="A83" i="10"/>
  <c r="AB82" i="10"/>
  <c r="AA82" i="10"/>
  <c r="Z82" i="10"/>
  <c r="X82" i="10"/>
  <c r="V82" i="10"/>
  <c r="T82" i="10"/>
  <c r="R82" i="10"/>
  <c r="O82" i="10"/>
  <c r="N82" i="10"/>
  <c r="L82" i="10"/>
  <c r="J82" i="10"/>
  <c r="I82" i="10"/>
  <c r="G82" i="10"/>
  <c r="D82" i="10"/>
  <c r="A82" i="10"/>
  <c r="AB81" i="10"/>
  <c r="AA81" i="10"/>
  <c r="Z81" i="10"/>
  <c r="X81" i="10"/>
  <c r="V81" i="10"/>
  <c r="T81" i="10"/>
  <c r="R81" i="10"/>
  <c r="O81" i="10"/>
  <c r="N81" i="10"/>
  <c r="L81" i="10"/>
  <c r="J81" i="10"/>
  <c r="I81" i="10"/>
  <c r="G81" i="10"/>
  <c r="D81" i="10"/>
  <c r="A81" i="10"/>
  <c r="AB80" i="10"/>
  <c r="AA80" i="10"/>
  <c r="Z80" i="10"/>
  <c r="X80" i="10"/>
  <c r="V80" i="10"/>
  <c r="T80" i="10"/>
  <c r="R80" i="10"/>
  <c r="O80" i="10"/>
  <c r="N80" i="10"/>
  <c r="L80" i="10"/>
  <c r="J80" i="10"/>
  <c r="I80" i="10"/>
  <c r="G80" i="10"/>
  <c r="D80" i="10"/>
  <c r="A80" i="10"/>
  <c r="AB79" i="10"/>
  <c r="AA79" i="10"/>
  <c r="Z79" i="10"/>
  <c r="X79" i="10"/>
  <c r="V79" i="10"/>
  <c r="T79" i="10"/>
  <c r="R79" i="10"/>
  <c r="O79" i="10"/>
  <c r="N79" i="10"/>
  <c r="L79" i="10"/>
  <c r="J79" i="10"/>
  <c r="I79" i="10"/>
  <c r="G79" i="10"/>
  <c r="D79" i="10"/>
  <c r="A79" i="10"/>
  <c r="AB78" i="10"/>
  <c r="AA78" i="10"/>
  <c r="Z78" i="10"/>
  <c r="X78" i="10"/>
  <c r="V78" i="10"/>
  <c r="T78" i="10"/>
  <c r="R78" i="10"/>
  <c r="O78" i="10"/>
  <c r="N78" i="10"/>
  <c r="L78" i="10"/>
  <c r="J78" i="10"/>
  <c r="I78" i="10"/>
  <c r="G78" i="10"/>
  <c r="D78" i="10"/>
  <c r="A78" i="10"/>
  <c r="AB77" i="10"/>
  <c r="AA77" i="10"/>
  <c r="Z77" i="10"/>
  <c r="X77" i="10"/>
  <c r="V77" i="10"/>
  <c r="T77" i="10"/>
  <c r="R77" i="10"/>
  <c r="O77" i="10"/>
  <c r="N77" i="10"/>
  <c r="L77" i="10"/>
  <c r="J77" i="10"/>
  <c r="I77" i="10"/>
  <c r="G77" i="10"/>
  <c r="D77" i="10"/>
  <c r="A77" i="10"/>
  <c r="AB76" i="10"/>
  <c r="AA76" i="10"/>
  <c r="Z76" i="10"/>
  <c r="X76" i="10"/>
  <c r="V76" i="10"/>
  <c r="T76" i="10"/>
  <c r="R76" i="10"/>
  <c r="O76" i="10"/>
  <c r="N76" i="10"/>
  <c r="L76" i="10"/>
  <c r="J76" i="10"/>
  <c r="I76" i="10"/>
  <c r="G76" i="10"/>
  <c r="D76" i="10"/>
  <c r="A76" i="10"/>
  <c r="AB75" i="10"/>
  <c r="AA75" i="10"/>
  <c r="Z75" i="10"/>
  <c r="X75" i="10"/>
  <c r="V75" i="10"/>
  <c r="T75" i="10"/>
  <c r="R75" i="10"/>
  <c r="O75" i="10"/>
  <c r="N75" i="10"/>
  <c r="L75" i="10"/>
  <c r="J75" i="10"/>
  <c r="I75" i="10"/>
  <c r="G75" i="10"/>
  <c r="D75" i="10"/>
  <c r="A75" i="10"/>
  <c r="AB74" i="10"/>
  <c r="AA74" i="10"/>
  <c r="Z74" i="10"/>
  <c r="X74" i="10"/>
  <c r="V74" i="10"/>
  <c r="T74" i="10"/>
  <c r="R74" i="10"/>
  <c r="O74" i="10"/>
  <c r="N74" i="10"/>
  <c r="L74" i="10"/>
  <c r="J74" i="10"/>
  <c r="I74" i="10"/>
  <c r="G74" i="10"/>
  <c r="D74" i="10"/>
  <c r="A74" i="10"/>
  <c r="AB73" i="10"/>
  <c r="AA73" i="10"/>
  <c r="Z73" i="10"/>
  <c r="X73" i="10"/>
  <c r="V73" i="10"/>
  <c r="T73" i="10"/>
  <c r="R73" i="10"/>
  <c r="O73" i="10"/>
  <c r="N73" i="10"/>
  <c r="L73" i="10"/>
  <c r="J73" i="10"/>
  <c r="I73" i="10"/>
  <c r="G73" i="10"/>
  <c r="D73" i="10"/>
  <c r="A73" i="10"/>
  <c r="AB72" i="10"/>
  <c r="AA72" i="10"/>
  <c r="Z72" i="10"/>
  <c r="X72" i="10"/>
  <c r="V72" i="10"/>
  <c r="T72" i="10"/>
  <c r="R72" i="10"/>
  <c r="O72" i="10"/>
  <c r="N72" i="10"/>
  <c r="L72" i="10"/>
  <c r="J72" i="10"/>
  <c r="I72" i="10"/>
  <c r="G72" i="10"/>
  <c r="D72" i="10"/>
  <c r="A72" i="10"/>
  <c r="AB71" i="10"/>
  <c r="AA71" i="10"/>
  <c r="Z71" i="10"/>
  <c r="X71" i="10"/>
  <c r="V71" i="10"/>
  <c r="T71" i="10"/>
  <c r="R71" i="10"/>
  <c r="O71" i="10"/>
  <c r="N71" i="10"/>
  <c r="L71" i="10"/>
  <c r="J71" i="10"/>
  <c r="I71" i="10"/>
  <c r="G71" i="10"/>
  <c r="D71" i="10"/>
  <c r="A71" i="10"/>
  <c r="AB70" i="10"/>
  <c r="AA70" i="10"/>
  <c r="Z70" i="10"/>
  <c r="X70" i="10"/>
  <c r="V70" i="10"/>
  <c r="T70" i="10"/>
  <c r="R70" i="10"/>
  <c r="O70" i="10"/>
  <c r="N70" i="10"/>
  <c r="L70" i="10"/>
  <c r="J70" i="10"/>
  <c r="I70" i="10"/>
  <c r="G70" i="10"/>
  <c r="D70" i="10"/>
  <c r="A70" i="10"/>
  <c r="AB69" i="10"/>
  <c r="AA69" i="10"/>
  <c r="Z69" i="10"/>
  <c r="X69" i="10"/>
  <c r="V69" i="10"/>
  <c r="T69" i="10"/>
  <c r="R69" i="10"/>
  <c r="O69" i="10"/>
  <c r="N69" i="10"/>
  <c r="L69" i="10"/>
  <c r="J69" i="10"/>
  <c r="I69" i="10"/>
  <c r="G69" i="10"/>
  <c r="D69" i="10"/>
  <c r="A69" i="10"/>
  <c r="AB68" i="10"/>
  <c r="AA68" i="10"/>
  <c r="Z68" i="10"/>
  <c r="X68" i="10"/>
  <c r="V68" i="10"/>
  <c r="T68" i="10"/>
  <c r="R68" i="10"/>
  <c r="O68" i="10"/>
  <c r="N68" i="10"/>
  <c r="L68" i="10"/>
  <c r="J68" i="10"/>
  <c r="I68" i="10"/>
  <c r="G68" i="10"/>
  <c r="D68" i="10"/>
  <c r="A68" i="10"/>
  <c r="AB67" i="10"/>
  <c r="AA67" i="10"/>
  <c r="Z67" i="10"/>
  <c r="X67" i="10"/>
  <c r="V67" i="10"/>
  <c r="T67" i="10"/>
  <c r="R67" i="10"/>
  <c r="O67" i="10"/>
  <c r="N67" i="10"/>
  <c r="L67" i="10"/>
  <c r="J67" i="10"/>
  <c r="I67" i="10"/>
  <c r="G67" i="10"/>
  <c r="D67" i="10"/>
  <c r="A67" i="10"/>
  <c r="AB66" i="10"/>
  <c r="AA66" i="10"/>
  <c r="Z66" i="10"/>
  <c r="X66" i="10"/>
  <c r="V66" i="10"/>
  <c r="T66" i="10"/>
  <c r="R66" i="10"/>
  <c r="O66" i="10"/>
  <c r="N66" i="10"/>
  <c r="L66" i="10"/>
  <c r="J66" i="10"/>
  <c r="I66" i="10"/>
  <c r="G66" i="10"/>
  <c r="D66" i="10"/>
  <c r="A66" i="10"/>
  <c r="AB65" i="10"/>
  <c r="AA65" i="10"/>
  <c r="Z65" i="10"/>
  <c r="X65" i="10"/>
  <c r="V65" i="10"/>
  <c r="T65" i="10"/>
  <c r="R65" i="10"/>
  <c r="O65" i="10"/>
  <c r="N65" i="10"/>
  <c r="L65" i="10"/>
  <c r="J65" i="10"/>
  <c r="I65" i="10"/>
  <c r="G65" i="10"/>
  <c r="D65" i="10"/>
  <c r="A65" i="10"/>
  <c r="AB64" i="10"/>
  <c r="AA64" i="10"/>
  <c r="Z64" i="10"/>
  <c r="X64" i="10"/>
  <c r="V64" i="10"/>
  <c r="T64" i="10"/>
  <c r="R64" i="10"/>
  <c r="O64" i="10"/>
  <c r="N64" i="10"/>
  <c r="L64" i="10"/>
  <c r="J64" i="10"/>
  <c r="I64" i="10"/>
  <c r="G64" i="10"/>
  <c r="D64" i="10"/>
  <c r="A64" i="10"/>
  <c r="AB63" i="10"/>
  <c r="AA63" i="10"/>
  <c r="Z63" i="10"/>
  <c r="X63" i="10"/>
  <c r="V63" i="10"/>
  <c r="T63" i="10"/>
  <c r="R63" i="10"/>
  <c r="O63" i="10"/>
  <c r="N63" i="10"/>
  <c r="L63" i="10"/>
  <c r="J63" i="10"/>
  <c r="I63" i="10"/>
  <c r="G63" i="10"/>
  <c r="D63" i="10"/>
  <c r="A63" i="10"/>
  <c r="AB62" i="10"/>
  <c r="AA62" i="10"/>
  <c r="Z62" i="10"/>
  <c r="X62" i="10"/>
  <c r="V62" i="10"/>
  <c r="T62" i="10"/>
  <c r="R62" i="10"/>
  <c r="O62" i="10"/>
  <c r="N62" i="10"/>
  <c r="L62" i="10"/>
  <c r="J62" i="10"/>
  <c r="I62" i="10"/>
  <c r="G62" i="10"/>
  <c r="D62" i="10"/>
  <c r="A62" i="10"/>
  <c r="AB61" i="10"/>
  <c r="AA61" i="10"/>
  <c r="Z61" i="10"/>
  <c r="X61" i="10"/>
  <c r="V61" i="10"/>
  <c r="T61" i="10"/>
  <c r="R61" i="10"/>
  <c r="O61" i="10"/>
  <c r="N61" i="10"/>
  <c r="L61" i="10"/>
  <c r="J61" i="10"/>
  <c r="I61" i="10"/>
  <c r="G61" i="10"/>
  <c r="D61" i="10"/>
  <c r="A61" i="10"/>
  <c r="AB60" i="10"/>
  <c r="AA60" i="10"/>
  <c r="Z60" i="10"/>
  <c r="X60" i="10"/>
  <c r="V60" i="10"/>
  <c r="T60" i="10"/>
  <c r="R60" i="10"/>
  <c r="O60" i="10"/>
  <c r="N60" i="10"/>
  <c r="L60" i="10"/>
  <c r="J60" i="10"/>
  <c r="I60" i="10"/>
  <c r="G60" i="10"/>
  <c r="D60" i="10"/>
  <c r="A60" i="10"/>
  <c r="AB59" i="10"/>
  <c r="AA59" i="10"/>
  <c r="Z59" i="10"/>
  <c r="X59" i="10"/>
  <c r="V59" i="10"/>
  <c r="T59" i="10"/>
  <c r="R59" i="10"/>
  <c r="O59" i="10"/>
  <c r="N59" i="10"/>
  <c r="L59" i="10"/>
  <c r="J59" i="10"/>
  <c r="I59" i="10"/>
  <c r="G59" i="10"/>
  <c r="D59" i="10"/>
  <c r="A59" i="10"/>
  <c r="AB58" i="10"/>
  <c r="AA58" i="10"/>
  <c r="Z58" i="10"/>
  <c r="X58" i="10"/>
  <c r="V58" i="10"/>
  <c r="T58" i="10"/>
  <c r="R58" i="10"/>
  <c r="O58" i="10"/>
  <c r="N58" i="10"/>
  <c r="L58" i="10"/>
  <c r="J58" i="10"/>
  <c r="I58" i="10"/>
  <c r="G58" i="10"/>
  <c r="D58" i="10"/>
  <c r="A58" i="10"/>
  <c r="AB57" i="10"/>
  <c r="AA57" i="10"/>
  <c r="Z57" i="10"/>
  <c r="X57" i="10"/>
  <c r="V57" i="10"/>
  <c r="T57" i="10"/>
  <c r="R57" i="10"/>
  <c r="O57" i="10"/>
  <c r="N57" i="10"/>
  <c r="L57" i="10"/>
  <c r="J57" i="10"/>
  <c r="I57" i="10"/>
  <c r="G57" i="10"/>
  <c r="D57" i="10"/>
  <c r="A57" i="10"/>
  <c r="AB56" i="10"/>
  <c r="AA56" i="10"/>
  <c r="Z56" i="10"/>
  <c r="X56" i="10"/>
  <c r="V56" i="10"/>
  <c r="T56" i="10"/>
  <c r="R56" i="10"/>
  <c r="O56" i="10"/>
  <c r="N56" i="10"/>
  <c r="L56" i="10"/>
  <c r="J56" i="10"/>
  <c r="I56" i="10"/>
  <c r="G56" i="10"/>
  <c r="D56" i="10"/>
  <c r="A56" i="10"/>
  <c r="AB55" i="10"/>
  <c r="AA55" i="10"/>
  <c r="Z55" i="10"/>
  <c r="X55" i="10"/>
  <c r="V55" i="10"/>
  <c r="T55" i="10"/>
  <c r="R55" i="10"/>
  <c r="O55" i="10"/>
  <c r="N55" i="10"/>
  <c r="L55" i="10"/>
  <c r="J55" i="10"/>
  <c r="I55" i="10"/>
  <c r="G55" i="10"/>
  <c r="D55" i="10"/>
  <c r="A55" i="10"/>
  <c r="AB54" i="10"/>
  <c r="AA54" i="10"/>
  <c r="Z54" i="10"/>
  <c r="X54" i="10"/>
  <c r="V54" i="10"/>
  <c r="T54" i="10"/>
  <c r="R54" i="10"/>
  <c r="O54" i="10"/>
  <c r="N54" i="10"/>
  <c r="L54" i="10"/>
  <c r="J54" i="10"/>
  <c r="I54" i="10"/>
  <c r="G54" i="10"/>
  <c r="D54" i="10"/>
  <c r="A54" i="10"/>
  <c r="AB53" i="10"/>
  <c r="AA53" i="10"/>
  <c r="Z53" i="10"/>
  <c r="X53" i="10"/>
  <c r="V53" i="10"/>
  <c r="T53" i="10"/>
  <c r="R53" i="10"/>
  <c r="O53" i="10"/>
  <c r="N53" i="10"/>
  <c r="L53" i="10"/>
  <c r="J53" i="10"/>
  <c r="I53" i="10"/>
  <c r="G53" i="10"/>
  <c r="D53" i="10"/>
  <c r="A53" i="10"/>
  <c r="AB52" i="10"/>
  <c r="AA52" i="10"/>
  <c r="Z52" i="10"/>
  <c r="X52" i="10"/>
  <c r="V52" i="10"/>
  <c r="T52" i="10"/>
  <c r="R52" i="10"/>
  <c r="O52" i="10"/>
  <c r="N52" i="10"/>
  <c r="L52" i="10"/>
  <c r="J52" i="10"/>
  <c r="I52" i="10"/>
  <c r="G52" i="10"/>
  <c r="D52" i="10"/>
  <c r="A52" i="10"/>
  <c r="AB51" i="10"/>
  <c r="AA51" i="10"/>
  <c r="Z51" i="10"/>
  <c r="X51" i="10"/>
  <c r="V51" i="10"/>
  <c r="T51" i="10"/>
  <c r="R51" i="10"/>
  <c r="O51" i="10"/>
  <c r="N51" i="10"/>
  <c r="L51" i="10"/>
  <c r="J51" i="10"/>
  <c r="I51" i="10"/>
  <c r="G51" i="10"/>
  <c r="D51" i="10"/>
  <c r="A51" i="10"/>
  <c r="AB50" i="10"/>
  <c r="AA50" i="10"/>
  <c r="Z50" i="10"/>
  <c r="X50" i="10"/>
  <c r="V50" i="10"/>
  <c r="T50" i="10"/>
  <c r="R50" i="10"/>
  <c r="O50" i="10"/>
  <c r="N50" i="10"/>
  <c r="L50" i="10"/>
  <c r="J50" i="10"/>
  <c r="I50" i="10"/>
  <c r="G50" i="10"/>
  <c r="D50" i="10"/>
  <c r="A50" i="10"/>
  <c r="AB49" i="10"/>
  <c r="AA49" i="10"/>
  <c r="Z49" i="10"/>
  <c r="X49" i="10"/>
  <c r="V49" i="10"/>
  <c r="T49" i="10"/>
  <c r="R49" i="10"/>
  <c r="O49" i="10"/>
  <c r="N49" i="10"/>
  <c r="L49" i="10"/>
  <c r="J49" i="10"/>
  <c r="I49" i="10"/>
  <c r="G49" i="10"/>
  <c r="D49" i="10"/>
  <c r="A49" i="10"/>
  <c r="AB48" i="10"/>
  <c r="AA48" i="10"/>
  <c r="V48" i="10"/>
  <c r="T48" i="10"/>
  <c r="R48" i="10"/>
  <c r="O48" i="10"/>
  <c r="N48" i="10"/>
  <c r="L48" i="10"/>
  <c r="J48" i="10"/>
  <c r="I48" i="10"/>
  <c r="G48" i="10"/>
  <c r="D48" i="10"/>
  <c r="A48" i="10"/>
  <c r="AB47" i="10"/>
  <c r="AA47" i="10"/>
  <c r="Z47" i="10"/>
  <c r="X47" i="10"/>
  <c r="V47" i="10"/>
  <c r="T47" i="10"/>
  <c r="R47" i="10"/>
  <c r="O47" i="10"/>
  <c r="N47" i="10"/>
  <c r="L47" i="10"/>
  <c r="J47" i="10"/>
  <c r="I47" i="10"/>
  <c r="G47" i="10"/>
  <c r="D47" i="10"/>
  <c r="A47" i="10"/>
  <c r="AB46" i="10"/>
  <c r="AA46" i="10"/>
  <c r="Z46" i="10"/>
  <c r="X46" i="10"/>
  <c r="V46" i="10"/>
  <c r="T46" i="10"/>
  <c r="R46" i="10"/>
  <c r="O46" i="10"/>
  <c r="N46" i="10"/>
  <c r="L46" i="10"/>
  <c r="J46" i="10"/>
  <c r="I46" i="10"/>
  <c r="G46" i="10"/>
  <c r="D46" i="10"/>
  <c r="A46" i="10"/>
  <c r="AB45" i="10"/>
  <c r="AA45" i="10"/>
  <c r="Z45" i="10"/>
  <c r="X45" i="10"/>
  <c r="V45" i="10"/>
  <c r="T45" i="10"/>
  <c r="R45" i="10"/>
  <c r="O45" i="10"/>
  <c r="N45" i="10"/>
  <c r="L45" i="10"/>
  <c r="J45" i="10"/>
  <c r="I45" i="10"/>
  <c r="G45" i="10"/>
  <c r="D45" i="10"/>
  <c r="A45" i="10"/>
  <c r="AB44" i="10"/>
  <c r="AA44" i="10"/>
  <c r="Z44" i="10"/>
  <c r="X44" i="10"/>
  <c r="V44" i="10"/>
  <c r="T44" i="10"/>
  <c r="R44" i="10"/>
  <c r="O44" i="10"/>
  <c r="N44" i="10"/>
  <c r="L44" i="10"/>
  <c r="J44" i="10"/>
  <c r="I44" i="10"/>
  <c r="G44" i="10"/>
  <c r="D44" i="10"/>
  <c r="A44" i="10"/>
  <c r="AB43" i="10"/>
  <c r="AA43" i="10"/>
  <c r="Z43" i="10"/>
  <c r="X43" i="10"/>
  <c r="V43" i="10"/>
  <c r="T43" i="10"/>
  <c r="R43" i="10"/>
  <c r="O43" i="10"/>
  <c r="N43" i="10"/>
  <c r="L43" i="10"/>
  <c r="J43" i="10"/>
  <c r="I43" i="10"/>
  <c r="G43" i="10"/>
  <c r="D43" i="10"/>
  <c r="A43" i="10"/>
  <c r="AB42" i="10"/>
  <c r="AA42" i="10"/>
  <c r="Z42" i="10"/>
  <c r="X42" i="10"/>
  <c r="V42" i="10"/>
  <c r="T42" i="10"/>
  <c r="R42" i="10"/>
  <c r="O42" i="10"/>
  <c r="N42" i="10"/>
  <c r="L42" i="10"/>
  <c r="J42" i="10"/>
  <c r="I42" i="10"/>
  <c r="G42" i="10"/>
  <c r="D42" i="10"/>
  <c r="A42" i="10"/>
  <c r="AB41" i="10"/>
  <c r="AA41" i="10"/>
  <c r="Z41" i="10"/>
  <c r="X41" i="10"/>
  <c r="V41" i="10"/>
  <c r="T41" i="10"/>
  <c r="R41" i="10"/>
  <c r="O41" i="10"/>
  <c r="N41" i="10"/>
  <c r="L41" i="10"/>
  <c r="J41" i="10"/>
  <c r="I41" i="10"/>
  <c r="G41" i="10"/>
  <c r="D41" i="10"/>
  <c r="A41" i="10"/>
  <c r="AB40" i="10"/>
  <c r="AA40" i="10"/>
  <c r="Z40" i="10"/>
  <c r="X40" i="10"/>
  <c r="V40" i="10"/>
  <c r="T40" i="10"/>
  <c r="R40" i="10"/>
  <c r="O40" i="10"/>
  <c r="N40" i="10"/>
  <c r="L40" i="10"/>
  <c r="J40" i="10"/>
  <c r="I40" i="10"/>
  <c r="G40" i="10"/>
  <c r="D40" i="10"/>
  <c r="A40" i="10"/>
  <c r="AB39" i="10"/>
  <c r="AA39" i="10"/>
  <c r="Z39" i="10"/>
  <c r="X39" i="10"/>
  <c r="V39" i="10"/>
  <c r="T39" i="10"/>
  <c r="R39" i="10"/>
  <c r="O39" i="10"/>
  <c r="N39" i="10"/>
  <c r="L39" i="10"/>
  <c r="J39" i="10"/>
  <c r="I39" i="10"/>
  <c r="G39" i="10"/>
  <c r="D39" i="10"/>
  <c r="A39" i="10"/>
  <c r="AB38" i="10"/>
  <c r="AA38" i="10"/>
  <c r="Z38" i="10"/>
  <c r="X38" i="10"/>
  <c r="V38" i="10"/>
  <c r="T38" i="10"/>
  <c r="R38" i="10"/>
  <c r="O38" i="10"/>
  <c r="N38" i="10"/>
  <c r="L38" i="10"/>
  <c r="J38" i="10"/>
  <c r="I38" i="10"/>
  <c r="G38" i="10"/>
  <c r="D38" i="10"/>
  <c r="A38" i="10"/>
  <c r="AB37" i="10"/>
  <c r="AA37" i="10"/>
  <c r="Z37" i="10"/>
  <c r="X37" i="10"/>
  <c r="V37" i="10"/>
  <c r="T37" i="10"/>
  <c r="R37" i="10"/>
  <c r="O37" i="10"/>
  <c r="N37" i="10"/>
  <c r="L37" i="10"/>
  <c r="J37" i="10"/>
  <c r="I37" i="10"/>
  <c r="G37" i="10"/>
  <c r="D37" i="10"/>
  <c r="A37" i="10"/>
  <c r="AB36" i="10"/>
  <c r="AA36" i="10"/>
  <c r="Z36" i="10"/>
  <c r="X36" i="10"/>
  <c r="V36" i="10"/>
  <c r="T36" i="10"/>
  <c r="R36" i="10"/>
  <c r="O36" i="10"/>
  <c r="N36" i="10"/>
  <c r="L36" i="10"/>
  <c r="J36" i="10"/>
  <c r="I36" i="10"/>
  <c r="G36" i="10"/>
  <c r="D36" i="10"/>
  <c r="A36" i="10"/>
  <c r="AB35" i="10"/>
  <c r="AA35" i="10"/>
  <c r="Z35" i="10"/>
  <c r="X35" i="10"/>
  <c r="V35" i="10"/>
  <c r="T35" i="10"/>
  <c r="R35" i="10"/>
  <c r="O35" i="10"/>
  <c r="N35" i="10"/>
  <c r="L35" i="10"/>
  <c r="J35" i="10"/>
  <c r="I35" i="10"/>
  <c r="G35" i="10"/>
  <c r="D35" i="10"/>
  <c r="A35" i="10"/>
  <c r="AB34" i="10"/>
  <c r="AA34" i="10"/>
  <c r="Z34" i="10"/>
  <c r="X34" i="10"/>
  <c r="V34" i="10"/>
  <c r="T34" i="10"/>
  <c r="R34" i="10"/>
  <c r="O34" i="10"/>
  <c r="N34" i="10"/>
  <c r="L34" i="10"/>
  <c r="J34" i="10"/>
  <c r="I34" i="10"/>
  <c r="G34" i="10"/>
  <c r="D34" i="10"/>
  <c r="A34" i="10"/>
  <c r="AB33" i="10"/>
  <c r="AA33" i="10"/>
  <c r="Z33" i="10"/>
  <c r="X33" i="10"/>
  <c r="V33" i="10"/>
  <c r="T33" i="10"/>
  <c r="R33" i="10"/>
  <c r="O33" i="10"/>
  <c r="N33" i="10"/>
  <c r="L33" i="10"/>
  <c r="J33" i="10"/>
  <c r="I33" i="10"/>
  <c r="G33" i="10"/>
  <c r="D33" i="10"/>
  <c r="A33" i="10"/>
  <c r="AB32" i="10"/>
  <c r="AA32" i="10"/>
  <c r="Z32" i="10"/>
  <c r="X32" i="10"/>
  <c r="V32" i="10"/>
  <c r="T32" i="10"/>
  <c r="R32" i="10"/>
  <c r="O32" i="10"/>
  <c r="N32" i="10"/>
  <c r="L32" i="10"/>
  <c r="J32" i="10"/>
  <c r="I32" i="10"/>
  <c r="G32" i="10"/>
  <c r="D32" i="10"/>
  <c r="A32" i="10"/>
  <c r="AB31" i="10"/>
  <c r="AA31" i="10"/>
  <c r="Z31" i="10"/>
  <c r="X31" i="10"/>
  <c r="V31" i="10"/>
  <c r="T31" i="10"/>
  <c r="R31" i="10"/>
  <c r="O31" i="10"/>
  <c r="N31" i="10"/>
  <c r="L31" i="10"/>
  <c r="J31" i="10"/>
  <c r="I31" i="10"/>
  <c r="G31" i="10"/>
  <c r="D31" i="10"/>
  <c r="A31" i="10"/>
  <c r="AB30" i="10"/>
  <c r="AA30" i="10"/>
  <c r="Z30" i="10"/>
  <c r="X30" i="10"/>
  <c r="V30" i="10"/>
  <c r="T30" i="10"/>
  <c r="R30" i="10"/>
  <c r="O30" i="10"/>
  <c r="N30" i="10"/>
  <c r="L30" i="10"/>
  <c r="J30" i="10"/>
  <c r="I30" i="10"/>
  <c r="G30" i="10"/>
  <c r="D30" i="10"/>
  <c r="A30" i="10"/>
  <c r="AB29" i="10"/>
  <c r="AA29" i="10"/>
  <c r="Z29" i="10"/>
  <c r="X29" i="10"/>
  <c r="V29" i="10"/>
  <c r="T29" i="10"/>
  <c r="R29" i="10"/>
  <c r="O29" i="10"/>
  <c r="N29" i="10"/>
  <c r="L29" i="10"/>
  <c r="J29" i="10"/>
  <c r="I29" i="10"/>
  <c r="G29" i="10"/>
  <c r="D29" i="10"/>
  <c r="A29" i="10"/>
  <c r="AB28" i="10"/>
  <c r="AA28" i="10"/>
  <c r="Z28" i="10"/>
  <c r="X28" i="10"/>
  <c r="V28" i="10"/>
  <c r="T28" i="10"/>
  <c r="R28" i="10"/>
  <c r="O28" i="10"/>
  <c r="N28" i="10"/>
  <c r="L28" i="10"/>
  <c r="J28" i="10"/>
  <c r="I28" i="10"/>
  <c r="G28" i="10"/>
  <c r="D28" i="10"/>
  <c r="A28" i="10"/>
  <c r="AB27" i="10"/>
  <c r="AA27" i="10"/>
  <c r="Z27" i="10"/>
  <c r="X27" i="10"/>
  <c r="V27" i="10"/>
  <c r="T27" i="10"/>
  <c r="R27" i="10"/>
  <c r="O27" i="10"/>
  <c r="N27" i="10"/>
  <c r="L27" i="10"/>
  <c r="J27" i="10"/>
  <c r="I27" i="10"/>
  <c r="G27" i="10"/>
  <c r="D27" i="10"/>
  <c r="A27" i="10"/>
  <c r="AB26" i="10"/>
  <c r="AA26" i="10"/>
  <c r="Z26" i="10"/>
  <c r="X26" i="10"/>
  <c r="V26" i="10"/>
  <c r="T26" i="10"/>
  <c r="R26" i="10"/>
  <c r="O26" i="10"/>
  <c r="N26" i="10"/>
  <c r="L26" i="10"/>
  <c r="J26" i="10"/>
  <c r="I26" i="10"/>
  <c r="G26" i="10"/>
  <c r="D26" i="10"/>
  <c r="A26" i="10"/>
  <c r="AB25" i="10"/>
  <c r="AA25" i="10"/>
  <c r="Z25" i="10"/>
  <c r="X25" i="10"/>
  <c r="V25" i="10"/>
  <c r="T25" i="10"/>
  <c r="R25" i="10"/>
  <c r="O25" i="10"/>
  <c r="N25" i="10"/>
  <c r="L25" i="10"/>
  <c r="J25" i="10"/>
  <c r="I25" i="10"/>
  <c r="G25" i="10"/>
  <c r="D25" i="10"/>
  <c r="A25" i="10"/>
  <c r="AB24" i="10"/>
  <c r="AA24" i="10"/>
  <c r="Z24" i="10"/>
  <c r="X24" i="10"/>
  <c r="V24" i="10"/>
  <c r="T24" i="10"/>
  <c r="R24" i="10"/>
  <c r="O24" i="10"/>
  <c r="N24" i="10"/>
  <c r="L24" i="10"/>
  <c r="J24" i="10"/>
  <c r="I24" i="10"/>
  <c r="G24" i="10"/>
  <c r="D24" i="10"/>
  <c r="A24" i="10"/>
  <c r="AB23" i="10"/>
  <c r="AA23" i="10"/>
  <c r="Z23" i="10"/>
  <c r="X23" i="10"/>
  <c r="V23" i="10"/>
  <c r="T23" i="10"/>
  <c r="R23" i="10"/>
  <c r="O23" i="10"/>
  <c r="N23" i="10"/>
  <c r="L23" i="10"/>
  <c r="J23" i="10"/>
  <c r="I23" i="10"/>
  <c r="G23" i="10"/>
  <c r="D23" i="10"/>
  <c r="A23" i="10"/>
  <c r="AB22" i="10"/>
  <c r="AA22" i="10"/>
  <c r="Z22" i="10"/>
  <c r="X22" i="10"/>
  <c r="V22" i="10"/>
  <c r="T22" i="10"/>
  <c r="R22" i="10"/>
  <c r="O22" i="10"/>
  <c r="N22" i="10"/>
  <c r="L22" i="10"/>
  <c r="J22" i="10"/>
  <c r="I22" i="10"/>
  <c r="G22" i="10"/>
  <c r="D22" i="10"/>
  <c r="A22" i="10"/>
  <c r="AB21" i="10"/>
  <c r="AA21" i="10"/>
  <c r="Z21" i="10"/>
  <c r="X21" i="10"/>
  <c r="V21" i="10"/>
  <c r="T21" i="10"/>
  <c r="R21" i="10"/>
  <c r="O21" i="10"/>
  <c r="N21" i="10"/>
  <c r="L21" i="10"/>
  <c r="J21" i="10"/>
  <c r="I21" i="10"/>
  <c r="G21" i="10"/>
  <c r="D21" i="10"/>
  <c r="A21" i="10"/>
  <c r="AB20" i="10"/>
  <c r="AA20" i="10"/>
  <c r="Z20" i="10"/>
  <c r="X20" i="10"/>
  <c r="V20" i="10"/>
  <c r="T20" i="10"/>
  <c r="R20" i="10"/>
  <c r="O20" i="10"/>
  <c r="N20" i="10"/>
  <c r="L20" i="10"/>
  <c r="J20" i="10"/>
  <c r="I20" i="10"/>
  <c r="G20" i="10"/>
  <c r="D20" i="10"/>
  <c r="A20" i="10"/>
  <c r="AB19" i="10"/>
  <c r="AA19" i="10"/>
  <c r="Z19" i="10"/>
  <c r="X19" i="10"/>
  <c r="V19" i="10"/>
  <c r="T19" i="10"/>
  <c r="R19" i="10"/>
  <c r="O19" i="10"/>
  <c r="N19" i="10"/>
  <c r="L19" i="10"/>
  <c r="J19" i="10"/>
  <c r="I19" i="10"/>
  <c r="G19" i="10"/>
  <c r="D19" i="10"/>
  <c r="A19" i="10"/>
  <c r="AB18" i="10"/>
  <c r="AA18" i="10"/>
  <c r="Z18" i="10"/>
  <c r="X18" i="10"/>
  <c r="V18" i="10"/>
  <c r="T18" i="10"/>
  <c r="R18" i="10"/>
  <c r="O18" i="10"/>
  <c r="N18" i="10"/>
  <c r="L18" i="10"/>
  <c r="J18" i="10"/>
  <c r="I18" i="10"/>
  <c r="G18" i="10"/>
  <c r="D18" i="10"/>
  <c r="A18" i="10"/>
  <c r="AB17" i="10"/>
  <c r="AA17" i="10"/>
  <c r="Z17" i="10"/>
  <c r="X17" i="10"/>
  <c r="V17" i="10"/>
  <c r="T17" i="10"/>
  <c r="R17" i="10"/>
  <c r="O17" i="10"/>
  <c r="N17" i="10"/>
  <c r="L17" i="10"/>
  <c r="J17" i="10"/>
  <c r="I17" i="10"/>
  <c r="G17" i="10"/>
  <c r="D17" i="10"/>
  <c r="A17" i="10"/>
  <c r="AB16" i="10"/>
  <c r="AA16" i="10"/>
  <c r="Z16" i="10"/>
  <c r="X16" i="10"/>
  <c r="V16" i="10"/>
  <c r="T16" i="10"/>
  <c r="R16" i="10"/>
  <c r="O16" i="10"/>
  <c r="N16" i="10"/>
  <c r="L16" i="10"/>
  <c r="J16" i="10"/>
  <c r="I16" i="10"/>
  <c r="G16" i="10"/>
  <c r="D16" i="10"/>
  <c r="A16" i="10"/>
  <c r="AB15" i="10"/>
  <c r="AA15" i="10"/>
  <c r="Z15" i="10"/>
  <c r="X15" i="10"/>
  <c r="V15" i="10"/>
  <c r="T15" i="10"/>
  <c r="R15" i="10"/>
  <c r="O15" i="10"/>
  <c r="N15" i="10"/>
  <c r="L15" i="10"/>
  <c r="J15" i="10"/>
  <c r="I15" i="10"/>
  <c r="G15" i="10"/>
  <c r="D15" i="10"/>
  <c r="A15" i="10"/>
  <c r="AB14" i="10"/>
  <c r="AA14" i="10"/>
  <c r="Z14" i="10"/>
  <c r="X14" i="10"/>
  <c r="V14" i="10"/>
  <c r="T14" i="10"/>
  <c r="R14" i="10"/>
  <c r="O14" i="10"/>
  <c r="L14" i="10"/>
  <c r="J14" i="10"/>
  <c r="I14" i="10"/>
  <c r="G14" i="10"/>
  <c r="D14" i="10"/>
  <c r="A14" i="10"/>
  <c r="AB13" i="10"/>
  <c r="AA13" i="10"/>
  <c r="Z13" i="10"/>
  <c r="X13" i="10"/>
  <c r="V13" i="10"/>
  <c r="T13" i="10"/>
  <c r="R13" i="10"/>
  <c r="O13" i="10"/>
  <c r="N13" i="10"/>
  <c r="L13" i="10"/>
  <c r="J13" i="10"/>
  <c r="I13" i="10"/>
  <c r="G13" i="10"/>
  <c r="D13" i="10"/>
  <c r="A13" i="10"/>
  <c r="AB12" i="10"/>
  <c r="AA12" i="10"/>
  <c r="Z12" i="10"/>
  <c r="X12" i="10"/>
  <c r="V12" i="10"/>
  <c r="T12" i="10"/>
  <c r="R12" i="10"/>
  <c r="O12" i="10"/>
  <c r="N12" i="10"/>
  <c r="L12" i="10"/>
  <c r="J12" i="10"/>
  <c r="I12" i="10"/>
  <c r="G12" i="10"/>
  <c r="D12" i="10"/>
  <c r="A12" i="10"/>
  <c r="AB11" i="10"/>
  <c r="AA11" i="10"/>
  <c r="Z11" i="10"/>
  <c r="X11" i="10"/>
  <c r="V11" i="10"/>
  <c r="T11" i="10"/>
  <c r="R11" i="10"/>
  <c r="O11" i="10"/>
  <c r="N11" i="10"/>
  <c r="L11" i="10"/>
  <c r="J11" i="10"/>
  <c r="I11" i="10"/>
  <c r="G11" i="10"/>
  <c r="D11" i="10"/>
  <c r="A11" i="10"/>
  <c r="AB10" i="10"/>
  <c r="AA10" i="10"/>
  <c r="Z10" i="10"/>
  <c r="X10" i="10"/>
  <c r="V10" i="10"/>
  <c r="T10" i="10"/>
  <c r="R10" i="10"/>
  <c r="O10" i="10"/>
  <c r="N10" i="10"/>
  <c r="L10" i="10"/>
  <c r="J10" i="10"/>
  <c r="I10" i="10"/>
  <c r="G10" i="10"/>
  <c r="D10" i="10"/>
  <c r="A10" i="10"/>
  <c r="AB9" i="10"/>
  <c r="AA9" i="10"/>
  <c r="Z9" i="10"/>
  <c r="X9" i="10"/>
  <c r="V9" i="10"/>
  <c r="T9" i="10"/>
  <c r="R9" i="10"/>
  <c r="O9" i="10"/>
  <c r="N9" i="10"/>
  <c r="L9" i="10"/>
  <c r="J9" i="10"/>
  <c r="I9" i="10"/>
  <c r="G9" i="10"/>
  <c r="D9" i="10"/>
  <c r="A9" i="10"/>
  <c r="AB8" i="10"/>
  <c r="AA8" i="10"/>
  <c r="Z8" i="10"/>
  <c r="X8" i="10"/>
  <c r="V8" i="10"/>
  <c r="T8" i="10"/>
  <c r="R8" i="10"/>
  <c r="O8" i="10"/>
  <c r="N8" i="10"/>
  <c r="L8" i="10"/>
  <c r="J8" i="10"/>
  <c r="I8" i="10"/>
  <c r="G8" i="10"/>
  <c r="D8" i="10"/>
  <c r="A8" i="10"/>
  <c r="AB7" i="10"/>
  <c r="AA7" i="10"/>
  <c r="Z7" i="10"/>
  <c r="X7" i="10"/>
  <c r="V7" i="10"/>
  <c r="T7" i="10"/>
  <c r="R7" i="10"/>
  <c r="O7" i="10"/>
  <c r="N7" i="10"/>
  <c r="L7" i="10"/>
  <c r="J7" i="10"/>
  <c r="I7" i="10"/>
  <c r="G7" i="10"/>
  <c r="D7" i="10"/>
  <c r="A7" i="10"/>
  <c r="AB6" i="10"/>
  <c r="AA6" i="10"/>
  <c r="Z6" i="10"/>
  <c r="X6" i="10"/>
  <c r="V6" i="10"/>
  <c r="T6" i="10"/>
  <c r="R6" i="10"/>
  <c r="O6" i="10"/>
  <c r="L6" i="10"/>
  <c r="J6" i="10"/>
  <c r="I6" i="10"/>
  <c r="G6" i="10"/>
  <c r="D6" i="10"/>
  <c r="A6" i="10"/>
  <c r="AB5" i="10"/>
  <c r="AA5" i="10"/>
  <c r="Z5" i="10"/>
  <c r="X5" i="10"/>
  <c r="V5" i="10"/>
  <c r="T5" i="10"/>
  <c r="R5" i="10"/>
  <c r="O5" i="10"/>
  <c r="L5" i="10"/>
  <c r="J5" i="10"/>
  <c r="I5" i="10"/>
  <c r="G5" i="10"/>
  <c r="D5" i="10"/>
  <c r="A5" i="10"/>
  <c r="AB4" i="10"/>
  <c r="AA4" i="10"/>
  <c r="Z4" i="10"/>
  <c r="X4" i="10"/>
  <c r="V4" i="10"/>
  <c r="T4" i="10"/>
  <c r="R4" i="10"/>
  <c r="O4" i="10"/>
  <c r="L4" i="10"/>
  <c r="J4" i="10"/>
  <c r="I4" i="10"/>
  <c r="G4" i="10"/>
  <c r="D4" i="10"/>
  <c r="A4" i="10"/>
  <c r="AB3" i="10"/>
  <c r="AA3" i="10"/>
  <c r="V3" i="10"/>
  <c r="R3" i="10"/>
  <c r="O3" i="10"/>
  <c r="J3" i="10"/>
  <c r="I3" i="10"/>
  <c r="G3" i="10"/>
  <c r="B3" i="10"/>
  <c r="T99" i="8"/>
  <c r="T98" i="8"/>
  <c r="Q98" i="8"/>
  <c r="W96" i="8"/>
  <c r="O96" i="8"/>
  <c r="H96" i="8"/>
  <c r="G96" i="8"/>
  <c r="E96" i="8"/>
  <c r="Y95" i="8"/>
  <c r="W95" i="8"/>
  <c r="O95" i="8"/>
  <c r="N95" i="8"/>
  <c r="M95" i="8"/>
  <c r="L95" i="8"/>
  <c r="K95" i="8"/>
  <c r="J95" i="8"/>
  <c r="I95" i="8"/>
  <c r="H95" i="8"/>
  <c r="G95" i="8"/>
  <c r="F95" i="8"/>
  <c r="E95" i="8"/>
  <c r="D95" i="8"/>
  <c r="Y94" i="8"/>
  <c r="W94" i="8"/>
  <c r="O94" i="8"/>
  <c r="N94" i="8"/>
  <c r="M94" i="8"/>
  <c r="L94" i="8"/>
  <c r="K94" i="8"/>
  <c r="J94" i="8"/>
  <c r="I94" i="8"/>
  <c r="H94" i="8"/>
  <c r="G94" i="8"/>
  <c r="F94" i="8"/>
  <c r="E94" i="8"/>
  <c r="D94" i="8"/>
  <c r="B94" i="8"/>
  <c r="Y93" i="8"/>
  <c r="W93" i="8"/>
  <c r="O93" i="8"/>
  <c r="N93" i="8"/>
  <c r="M93" i="8"/>
  <c r="L93" i="8"/>
  <c r="K93" i="8"/>
  <c r="J93" i="8"/>
  <c r="I93" i="8"/>
  <c r="H93" i="8"/>
  <c r="G93" i="8"/>
  <c r="F93" i="8"/>
  <c r="E93" i="8"/>
  <c r="D93" i="8"/>
  <c r="B93" i="8"/>
  <c r="Y92" i="8"/>
  <c r="W92" i="8"/>
  <c r="O92" i="8"/>
  <c r="N92" i="8"/>
  <c r="M92" i="8"/>
  <c r="L92" i="8"/>
  <c r="K92" i="8"/>
  <c r="J92" i="8"/>
  <c r="I92" i="8"/>
  <c r="H92" i="8"/>
  <c r="G92" i="8"/>
  <c r="F92" i="8"/>
  <c r="E92" i="8"/>
  <c r="D92" i="8"/>
  <c r="B92" i="8"/>
  <c r="Y91" i="8"/>
  <c r="W91" i="8"/>
  <c r="O91" i="8"/>
  <c r="N91" i="8"/>
  <c r="M91" i="8"/>
  <c r="L91" i="8"/>
  <c r="K91" i="8"/>
  <c r="J91" i="8"/>
  <c r="I91" i="8"/>
  <c r="H91" i="8"/>
  <c r="G91" i="8"/>
  <c r="F91" i="8"/>
  <c r="E91" i="8"/>
  <c r="D91" i="8"/>
  <c r="B91" i="8"/>
  <c r="Y90" i="8"/>
  <c r="W90" i="8"/>
  <c r="O90" i="8"/>
  <c r="N90" i="8"/>
  <c r="M90" i="8"/>
  <c r="L90" i="8"/>
  <c r="K90" i="8"/>
  <c r="J90" i="8"/>
  <c r="I90" i="8"/>
  <c r="H90" i="8"/>
  <c r="G90" i="8"/>
  <c r="F90" i="8"/>
  <c r="E90" i="8"/>
  <c r="D90" i="8"/>
  <c r="B90" i="8"/>
  <c r="Y89" i="8"/>
  <c r="W89" i="8"/>
  <c r="O89" i="8"/>
  <c r="N89" i="8"/>
  <c r="M89" i="8"/>
  <c r="L89" i="8"/>
  <c r="K89" i="8"/>
  <c r="J89" i="8"/>
  <c r="I89" i="8"/>
  <c r="H89" i="8"/>
  <c r="G89" i="8"/>
  <c r="F89" i="8"/>
  <c r="E89" i="8"/>
  <c r="D89" i="8"/>
  <c r="B89" i="8"/>
  <c r="Y88" i="8"/>
  <c r="W88" i="8"/>
  <c r="O88" i="8"/>
  <c r="N88" i="8"/>
  <c r="M88" i="8"/>
  <c r="L88" i="8"/>
  <c r="K88" i="8"/>
  <c r="J88" i="8"/>
  <c r="I88" i="8"/>
  <c r="H88" i="8"/>
  <c r="G88" i="8"/>
  <c r="F88" i="8"/>
  <c r="E88" i="8"/>
  <c r="D88" i="8"/>
  <c r="B88" i="8"/>
  <c r="Y87" i="8"/>
  <c r="W87" i="8"/>
  <c r="O87" i="8"/>
  <c r="N87" i="8"/>
  <c r="M87" i="8"/>
  <c r="L87" i="8"/>
  <c r="K87" i="8"/>
  <c r="J87" i="8"/>
  <c r="I87" i="8"/>
  <c r="H87" i="8"/>
  <c r="G87" i="8"/>
  <c r="F87" i="8"/>
  <c r="E87" i="8"/>
  <c r="D87" i="8"/>
  <c r="B87" i="8"/>
  <c r="Y86" i="8"/>
  <c r="W86" i="8"/>
  <c r="O86" i="8"/>
  <c r="N86" i="8"/>
  <c r="M86" i="8"/>
  <c r="L86" i="8"/>
  <c r="K86" i="8"/>
  <c r="J86" i="8"/>
  <c r="I86" i="8"/>
  <c r="H86" i="8"/>
  <c r="G86" i="8"/>
  <c r="F86" i="8"/>
  <c r="E86" i="8"/>
  <c r="D86" i="8"/>
  <c r="B86" i="8"/>
  <c r="Y85" i="8"/>
  <c r="W85" i="8"/>
  <c r="O85" i="8"/>
  <c r="N85" i="8"/>
  <c r="M85" i="8"/>
  <c r="L85" i="8"/>
  <c r="K85" i="8"/>
  <c r="J85" i="8"/>
  <c r="I85" i="8"/>
  <c r="H85" i="8"/>
  <c r="G85" i="8"/>
  <c r="F85" i="8"/>
  <c r="E85" i="8"/>
  <c r="D85" i="8"/>
  <c r="B85" i="8"/>
  <c r="Y84" i="8"/>
  <c r="W84" i="8"/>
  <c r="O84" i="8"/>
  <c r="N84" i="8"/>
  <c r="M84" i="8"/>
  <c r="L84" i="8"/>
  <c r="K84" i="8"/>
  <c r="J84" i="8"/>
  <c r="I84" i="8"/>
  <c r="H84" i="8"/>
  <c r="G84" i="8"/>
  <c r="F84" i="8"/>
  <c r="E84" i="8"/>
  <c r="D84" i="8"/>
  <c r="B84" i="8"/>
  <c r="Y83" i="8"/>
  <c r="W83" i="8"/>
  <c r="O83" i="8"/>
  <c r="N83" i="8"/>
  <c r="M83" i="8"/>
  <c r="L83" i="8"/>
  <c r="K83" i="8"/>
  <c r="J83" i="8"/>
  <c r="I83" i="8"/>
  <c r="H83" i="8"/>
  <c r="G83" i="8"/>
  <c r="F83" i="8"/>
  <c r="E83" i="8"/>
  <c r="D83" i="8"/>
  <c r="B83" i="8"/>
  <c r="Y82" i="8"/>
  <c r="W82" i="8"/>
  <c r="O82" i="8"/>
  <c r="N82" i="8"/>
  <c r="M82" i="8"/>
  <c r="L82" i="8"/>
  <c r="K82" i="8"/>
  <c r="J82" i="8"/>
  <c r="I82" i="8"/>
  <c r="H82" i="8"/>
  <c r="G82" i="8"/>
  <c r="F82" i="8"/>
  <c r="E82" i="8"/>
  <c r="D82" i="8"/>
  <c r="B82" i="8"/>
  <c r="Y81" i="8"/>
  <c r="W81" i="8"/>
  <c r="O81" i="8"/>
  <c r="N81" i="8"/>
  <c r="M81" i="8"/>
  <c r="L81" i="8"/>
  <c r="K81" i="8"/>
  <c r="J81" i="8"/>
  <c r="I81" i="8"/>
  <c r="H81" i="8"/>
  <c r="G81" i="8"/>
  <c r="F81" i="8"/>
  <c r="E81" i="8"/>
  <c r="D81" i="8"/>
  <c r="B81" i="8"/>
  <c r="Y80" i="8"/>
  <c r="W80" i="8"/>
  <c r="O80" i="8"/>
  <c r="N80" i="8"/>
  <c r="M80" i="8"/>
  <c r="L80" i="8"/>
  <c r="K80" i="8"/>
  <c r="J80" i="8"/>
  <c r="I80" i="8"/>
  <c r="H80" i="8"/>
  <c r="G80" i="8"/>
  <c r="F80" i="8"/>
  <c r="E80" i="8"/>
  <c r="D80" i="8"/>
  <c r="B80" i="8"/>
  <c r="Y79" i="8"/>
  <c r="W79" i="8"/>
  <c r="O79" i="8"/>
  <c r="N79" i="8"/>
  <c r="M79" i="8"/>
  <c r="L79" i="8"/>
  <c r="K79" i="8"/>
  <c r="J79" i="8"/>
  <c r="I79" i="8"/>
  <c r="H79" i="8"/>
  <c r="G79" i="8"/>
  <c r="F79" i="8"/>
  <c r="E79" i="8"/>
  <c r="D79" i="8"/>
  <c r="B79" i="8"/>
  <c r="Y78" i="8"/>
  <c r="O78" i="8"/>
  <c r="N78" i="8"/>
  <c r="M78" i="8"/>
  <c r="L78" i="8"/>
  <c r="K78" i="8"/>
  <c r="J78" i="8"/>
  <c r="I78" i="8"/>
  <c r="H78" i="8"/>
  <c r="G78" i="8"/>
  <c r="F78" i="8"/>
  <c r="E78" i="8"/>
  <c r="D78" i="8"/>
  <c r="B78" i="8"/>
  <c r="Y77" i="8"/>
  <c r="W77" i="8"/>
  <c r="O77" i="8"/>
  <c r="N77" i="8"/>
  <c r="M77" i="8"/>
  <c r="L77" i="8"/>
  <c r="K77" i="8"/>
  <c r="J77" i="8"/>
  <c r="I77" i="8"/>
  <c r="H77" i="8"/>
  <c r="G77" i="8"/>
  <c r="F77" i="8"/>
  <c r="E77" i="8"/>
  <c r="D77" i="8"/>
  <c r="B77" i="8"/>
  <c r="Y76" i="8"/>
  <c r="W76" i="8"/>
  <c r="O76" i="8"/>
  <c r="N76" i="8"/>
  <c r="M76" i="8"/>
  <c r="L76" i="8"/>
  <c r="K76" i="8"/>
  <c r="J76" i="8"/>
  <c r="I76" i="8"/>
  <c r="H76" i="8"/>
  <c r="G76" i="8"/>
  <c r="F76" i="8"/>
  <c r="E76" i="8"/>
  <c r="D76" i="8"/>
  <c r="B76" i="8"/>
  <c r="Y75" i="8"/>
  <c r="O75" i="8"/>
  <c r="N75" i="8"/>
  <c r="M75" i="8"/>
  <c r="L75" i="8"/>
  <c r="K75" i="8"/>
  <c r="J75" i="8"/>
  <c r="I75" i="8"/>
  <c r="H75" i="8"/>
  <c r="G75" i="8"/>
  <c r="F75" i="8"/>
  <c r="E75" i="8"/>
  <c r="D75" i="8"/>
  <c r="B75" i="8"/>
  <c r="Y74" i="8"/>
  <c r="W74" i="8"/>
  <c r="O74" i="8"/>
  <c r="N74" i="8"/>
  <c r="M74" i="8"/>
  <c r="L74" i="8"/>
  <c r="K74" i="8"/>
  <c r="J74" i="8"/>
  <c r="I74" i="8"/>
  <c r="H74" i="8"/>
  <c r="G74" i="8"/>
  <c r="F74" i="8"/>
  <c r="E74" i="8"/>
  <c r="D74" i="8"/>
  <c r="B74" i="8"/>
  <c r="Y73" i="8"/>
  <c r="W73" i="8"/>
  <c r="O73" i="8"/>
  <c r="N73" i="8"/>
  <c r="M73" i="8"/>
  <c r="L73" i="8"/>
  <c r="K73" i="8"/>
  <c r="J73" i="8"/>
  <c r="I73" i="8"/>
  <c r="H73" i="8"/>
  <c r="G73" i="8"/>
  <c r="F73" i="8"/>
  <c r="E73" i="8"/>
  <c r="D73" i="8"/>
  <c r="B73" i="8"/>
  <c r="Y72" i="8"/>
  <c r="W72" i="8"/>
  <c r="O72" i="8"/>
  <c r="N72" i="8"/>
  <c r="M72" i="8"/>
  <c r="L72" i="8"/>
  <c r="K72" i="8"/>
  <c r="J72" i="8"/>
  <c r="I72" i="8"/>
  <c r="H72" i="8"/>
  <c r="G72" i="8"/>
  <c r="F72" i="8"/>
  <c r="E72" i="8"/>
  <c r="D72" i="8"/>
  <c r="B72" i="8"/>
  <c r="Y71" i="8"/>
  <c r="W71" i="8"/>
  <c r="O71" i="8"/>
  <c r="N71" i="8"/>
  <c r="M71" i="8"/>
  <c r="L71" i="8"/>
  <c r="K71" i="8"/>
  <c r="J71" i="8"/>
  <c r="I71" i="8"/>
  <c r="H71" i="8"/>
  <c r="G71" i="8"/>
  <c r="F71" i="8"/>
  <c r="E71" i="8"/>
  <c r="D71" i="8"/>
  <c r="B71" i="8"/>
  <c r="Y70" i="8"/>
  <c r="W70" i="8"/>
  <c r="O70" i="8"/>
  <c r="N70" i="8"/>
  <c r="M70" i="8"/>
  <c r="L70" i="8"/>
  <c r="K70" i="8"/>
  <c r="J70" i="8"/>
  <c r="I70" i="8"/>
  <c r="H70" i="8"/>
  <c r="G70" i="8"/>
  <c r="F70" i="8"/>
  <c r="E70" i="8"/>
  <c r="D70" i="8"/>
  <c r="B70" i="8"/>
  <c r="Y69" i="8"/>
  <c r="W69" i="8"/>
  <c r="O69" i="8"/>
  <c r="N69" i="8"/>
  <c r="M69" i="8"/>
  <c r="L69" i="8"/>
  <c r="K69" i="8"/>
  <c r="J69" i="8"/>
  <c r="I69" i="8"/>
  <c r="H69" i="8"/>
  <c r="G69" i="8"/>
  <c r="F69" i="8"/>
  <c r="E69" i="8"/>
  <c r="D69" i="8"/>
  <c r="B69" i="8"/>
  <c r="Y68" i="8"/>
  <c r="W68" i="8"/>
  <c r="O68" i="8"/>
  <c r="N68" i="8"/>
  <c r="M68" i="8"/>
  <c r="L68" i="8"/>
  <c r="K68" i="8"/>
  <c r="J68" i="8"/>
  <c r="I68" i="8"/>
  <c r="H68" i="8"/>
  <c r="G68" i="8"/>
  <c r="F68" i="8"/>
  <c r="E68" i="8"/>
  <c r="D68" i="8"/>
  <c r="B68" i="8"/>
  <c r="Y67" i="8"/>
  <c r="W67" i="8"/>
  <c r="O67" i="8"/>
  <c r="N67" i="8"/>
  <c r="M67" i="8"/>
  <c r="L67" i="8"/>
  <c r="K67" i="8"/>
  <c r="J67" i="8"/>
  <c r="I67" i="8"/>
  <c r="H67" i="8"/>
  <c r="G67" i="8"/>
  <c r="F67" i="8"/>
  <c r="E67" i="8"/>
  <c r="D67" i="8"/>
  <c r="B67" i="8"/>
  <c r="Y66" i="8"/>
  <c r="W66" i="8"/>
  <c r="O66" i="8"/>
  <c r="N66" i="8"/>
  <c r="M66" i="8"/>
  <c r="L66" i="8"/>
  <c r="K66" i="8"/>
  <c r="J66" i="8"/>
  <c r="I66" i="8"/>
  <c r="H66" i="8"/>
  <c r="G66" i="8"/>
  <c r="F66" i="8"/>
  <c r="E66" i="8"/>
  <c r="D66" i="8"/>
  <c r="B66" i="8"/>
  <c r="Y65" i="8"/>
  <c r="W65" i="8"/>
  <c r="O65" i="8"/>
  <c r="N65" i="8"/>
  <c r="M65" i="8"/>
  <c r="L65" i="8"/>
  <c r="K65" i="8"/>
  <c r="J65" i="8"/>
  <c r="I65" i="8"/>
  <c r="H65" i="8"/>
  <c r="G65" i="8"/>
  <c r="F65" i="8"/>
  <c r="E65" i="8"/>
  <c r="D65" i="8"/>
  <c r="B65" i="8"/>
  <c r="Y64" i="8"/>
  <c r="W64" i="8"/>
  <c r="O64" i="8"/>
  <c r="N64" i="8"/>
  <c r="M64" i="8"/>
  <c r="L64" i="8"/>
  <c r="K64" i="8"/>
  <c r="J64" i="8"/>
  <c r="I64" i="8"/>
  <c r="H64" i="8"/>
  <c r="G64" i="8"/>
  <c r="F64" i="8"/>
  <c r="E64" i="8"/>
  <c r="D64" i="8"/>
  <c r="B64" i="8"/>
  <c r="Y63" i="8"/>
  <c r="O63" i="8"/>
  <c r="N63" i="8"/>
  <c r="M63" i="8"/>
  <c r="L63" i="8"/>
  <c r="K63" i="8"/>
  <c r="J63" i="8"/>
  <c r="I63" i="8"/>
  <c r="H63" i="8"/>
  <c r="G63" i="8"/>
  <c r="F63" i="8"/>
  <c r="E63" i="8"/>
  <c r="D63" i="8"/>
  <c r="B63" i="8"/>
  <c r="Y62" i="8"/>
  <c r="W62" i="8"/>
  <c r="O62" i="8"/>
  <c r="N62" i="8"/>
  <c r="M62" i="8"/>
  <c r="L62" i="8"/>
  <c r="K62" i="8"/>
  <c r="J62" i="8"/>
  <c r="I62" i="8"/>
  <c r="H62" i="8"/>
  <c r="G62" i="8"/>
  <c r="F62" i="8"/>
  <c r="E62" i="8"/>
  <c r="D62" i="8"/>
  <c r="B62" i="8"/>
  <c r="Y61" i="8"/>
  <c r="W61" i="8"/>
  <c r="O61" i="8"/>
  <c r="N61" i="8"/>
  <c r="M61" i="8"/>
  <c r="L61" i="8"/>
  <c r="K61" i="8"/>
  <c r="J61" i="8"/>
  <c r="I61" i="8"/>
  <c r="H61" i="8"/>
  <c r="G61" i="8"/>
  <c r="F61" i="8"/>
  <c r="E61" i="8"/>
  <c r="D61" i="8"/>
  <c r="B61" i="8"/>
  <c r="Y60" i="8"/>
  <c r="O60" i="8"/>
  <c r="N60" i="8"/>
  <c r="M60" i="8"/>
  <c r="L60" i="8"/>
  <c r="K60" i="8"/>
  <c r="J60" i="8"/>
  <c r="I60" i="8"/>
  <c r="H60" i="8"/>
  <c r="G60" i="8"/>
  <c r="F60" i="8"/>
  <c r="E60" i="8"/>
  <c r="D60" i="8"/>
  <c r="B60" i="8"/>
  <c r="Y59" i="8"/>
  <c r="W59" i="8"/>
  <c r="O59" i="8"/>
  <c r="N59" i="8"/>
  <c r="M59" i="8"/>
  <c r="L59" i="8"/>
  <c r="K59" i="8"/>
  <c r="J59" i="8"/>
  <c r="I59" i="8"/>
  <c r="H59" i="8"/>
  <c r="G59" i="8"/>
  <c r="F59" i="8"/>
  <c r="E59" i="8"/>
  <c r="D59" i="8"/>
  <c r="B59" i="8"/>
  <c r="Y58" i="8"/>
  <c r="W58" i="8"/>
  <c r="O58" i="8"/>
  <c r="N58" i="8"/>
  <c r="M58" i="8"/>
  <c r="L58" i="8"/>
  <c r="K58" i="8"/>
  <c r="J58" i="8"/>
  <c r="I58" i="8"/>
  <c r="H58" i="8"/>
  <c r="G58" i="8"/>
  <c r="F58" i="8"/>
  <c r="E58" i="8"/>
  <c r="D58" i="8"/>
  <c r="B58" i="8"/>
  <c r="Y57" i="8"/>
  <c r="O57" i="8"/>
  <c r="N57" i="8"/>
  <c r="M57" i="8"/>
  <c r="L57" i="8"/>
  <c r="K57" i="8"/>
  <c r="J57" i="8"/>
  <c r="I57" i="8"/>
  <c r="H57" i="8"/>
  <c r="G57" i="8"/>
  <c r="F57" i="8"/>
  <c r="E57" i="8"/>
  <c r="D57" i="8"/>
  <c r="B57" i="8"/>
  <c r="Y56" i="8"/>
  <c r="W56" i="8"/>
  <c r="O56" i="8"/>
  <c r="N56" i="8"/>
  <c r="M56" i="8"/>
  <c r="L56" i="8"/>
  <c r="K56" i="8"/>
  <c r="J56" i="8"/>
  <c r="I56" i="8"/>
  <c r="H56" i="8"/>
  <c r="G56" i="8"/>
  <c r="F56" i="8"/>
  <c r="E56" i="8"/>
  <c r="D56" i="8"/>
  <c r="B56" i="8"/>
  <c r="Y55" i="8"/>
  <c r="W55" i="8"/>
  <c r="O55" i="8"/>
  <c r="N55" i="8"/>
  <c r="M55" i="8"/>
  <c r="L55" i="8"/>
  <c r="K55" i="8"/>
  <c r="J55" i="8"/>
  <c r="I55" i="8"/>
  <c r="H55" i="8"/>
  <c r="G55" i="8"/>
  <c r="F55" i="8"/>
  <c r="E55" i="8"/>
  <c r="D55" i="8"/>
  <c r="B55" i="8"/>
  <c r="Y54" i="8"/>
  <c r="W54" i="8"/>
  <c r="O54" i="8"/>
  <c r="N54" i="8"/>
  <c r="M54" i="8"/>
  <c r="L54" i="8"/>
  <c r="K54" i="8"/>
  <c r="J54" i="8"/>
  <c r="I54" i="8"/>
  <c r="H54" i="8"/>
  <c r="G54" i="8"/>
  <c r="F54" i="8"/>
  <c r="E54" i="8"/>
  <c r="D54" i="8"/>
  <c r="B54" i="8"/>
  <c r="Y53" i="8"/>
  <c r="W53" i="8"/>
  <c r="O53" i="8"/>
  <c r="N53" i="8"/>
  <c r="M53" i="8"/>
  <c r="L53" i="8"/>
  <c r="K53" i="8"/>
  <c r="J53" i="8"/>
  <c r="I53" i="8"/>
  <c r="H53" i="8"/>
  <c r="G53" i="8"/>
  <c r="F53" i="8"/>
  <c r="E53" i="8"/>
  <c r="D53" i="8"/>
  <c r="B53" i="8"/>
  <c r="Y52" i="8"/>
  <c r="W52" i="8"/>
  <c r="O52" i="8"/>
  <c r="N52" i="8"/>
  <c r="M52" i="8"/>
  <c r="L52" i="8"/>
  <c r="K52" i="8"/>
  <c r="J52" i="8"/>
  <c r="I52" i="8"/>
  <c r="H52" i="8"/>
  <c r="G52" i="8"/>
  <c r="F52" i="8"/>
  <c r="E52" i="8"/>
  <c r="D52" i="8"/>
  <c r="B52" i="8"/>
  <c r="Y51" i="8"/>
  <c r="O51" i="8"/>
  <c r="N51" i="8"/>
  <c r="M51" i="8"/>
  <c r="L51" i="8"/>
  <c r="K51" i="8"/>
  <c r="J51" i="8"/>
  <c r="I51" i="8"/>
  <c r="H51" i="8"/>
  <c r="G51" i="8"/>
  <c r="F51" i="8"/>
  <c r="E51" i="8"/>
  <c r="D51" i="8"/>
  <c r="B51" i="8"/>
  <c r="Y50" i="8"/>
  <c r="W50" i="8"/>
  <c r="O50" i="8"/>
  <c r="N50" i="8"/>
  <c r="M50" i="8"/>
  <c r="L50" i="8"/>
  <c r="K50" i="8"/>
  <c r="J50" i="8"/>
  <c r="I50" i="8"/>
  <c r="H50" i="8"/>
  <c r="G50" i="8"/>
  <c r="F50" i="8"/>
  <c r="E50" i="8"/>
  <c r="D50" i="8"/>
  <c r="B50" i="8"/>
  <c r="Y49" i="8"/>
  <c r="W49" i="8"/>
  <c r="O49" i="8"/>
  <c r="N49" i="8"/>
  <c r="M49" i="8"/>
  <c r="L49" i="8"/>
  <c r="K49" i="8"/>
  <c r="J49" i="8"/>
  <c r="I49" i="8"/>
  <c r="H49" i="8"/>
  <c r="G49" i="8"/>
  <c r="F49" i="8"/>
  <c r="E49" i="8"/>
  <c r="D49" i="8"/>
  <c r="B49" i="8"/>
  <c r="Y48" i="8"/>
  <c r="W48" i="8"/>
  <c r="O48" i="8"/>
  <c r="N48" i="8"/>
  <c r="M48" i="8"/>
  <c r="L48" i="8"/>
  <c r="K48" i="8"/>
  <c r="J48" i="8"/>
  <c r="I48" i="8"/>
  <c r="H48" i="8"/>
  <c r="G48" i="8"/>
  <c r="F48" i="8"/>
  <c r="E48" i="8"/>
  <c r="D48" i="8"/>
  <c r="B48" i="8"/>
  <c r="Y47" i="8"/>
  <c r="W47" i="8"/>
  <c r="O47" i="8"/>
  <c r="N47" i="8"/>
  <c r="M47" i="8"/>
  <c r="L47" i="8"/>
  <c r="K47" i="8"/>
  <c r="J47" i="8"/>
  <c r="I47" i="8"/>
  <c r="H47" i="8"/>
  <c r="G47" i="8"/>
  <c r="F47" i="8"/>
  <c r="E47" i="8"/>
  <c r="D47" i="8"/>
  <c r="B47" i="8"/>
  <c r="Y46" i="8"/>
  <c r="W46" i="8"/>
  <c r="O46" i="8"/>
  <c r="N46" i="8"/>
  <c r="M46" i="8"/>
  <c r="L46" i="8"/>
  <c r="K46" i="8"/>
  <c r="J46" i="8"/>
  <c r="I46" i="8"/>
  <c r="H46" i="8"/>
  <c r="G46" i="8"/>
  <c r="F46" i="8"/>
  <c r="E46" i="8"/>
  <c r="D46" i="8"/>
  <c r="B46" i="8"/>
  <c r="Y45" i="8"/>
  <c r="W45" i="8"/>
  <c r="O45" i="8"/>
  <c r="N45" i="8"/>
  <c r="M45" i="8"/>
  <c r="L45" i="8"/>
  <c r="K45" i="8"/>
  <c r="J45" i="8"/>
  <c r="I45" i="8"/>
  <c r="H45" i="8"/>
  <c r="G45" i="8"/>
  <c r="F45" i="8"/>
  <c r="E45" i="8"/>
  <c r="D45" i="8"/>
  <c r="B45" i="8"/>
  <c r="Y44" i="8"/>
  <c r="W44" i="8"/>
  <c r="O44" i="8"/>
  <c r="N44" i="8"/>
  <c r="M44" i="8"/>
  <c r="L44" i="8"/>
  <c r="K44" i="8"/>
  <c r="J44" i="8"/>
  <c r="I44" i="8"/>
  <c r="H44" i="8"/>
  <c r="G44" i="8"/>
  <c r="F44" i="8"/>
  <c r="E44" i="8"/>
  <c r="D44" i="8"/>
  <c r="B44" i="8"/>
  <c r="Y43" i="8"/>
  <c r="W43" i="8"/>
  <c r="O43" i="8"/>
  <c r="N43" i="8"/>
  <c r="M43" i="8"/>
  <c r="L43" i="8"/>
  <c r="K43" i="8"/>
  <c r="J43" i="8"/>
  <c r="I43" i="8"/>
  <c r="H43" i="8"/>
  <c r="G43" i="8"/>
  <c r="F43" i="8"/>
  <c r="E43" i="8"/>
  <c r="D43" i="8"/>
  <c r="B43" i="8"/>
  <c r="Y42" i="8"/>
  <c r="W42" i="8"/>
  <c r="O42" i="8"/>
  <c r="N42" i="8"/>
  <c r="M42" i="8"/>
  <c r="L42" i="8"/>
  <c r="K42" i="8"/>
  <c r="J42" i="8"/>
  <c r="I42" i="8"/>
  <c r="H42" i="8"/>
  <c r="G42" i="8"/>
  <c r="E42" i="8"/>
  <c r="D42" i="8"/>
  <c r="B42" i="8"/>
  <c r="Y41" i="8"/>
  <c r="W41" i="8"/>
  <c r="O41" i="8"/>
  <c r="N41" i="8"/>
  <c r="M41" i="8"/>
  <c r="L41" i="8"/>
  <c r="K41" i="8"/>
  <c r="J41" i="8"/>
  <c r="I41" i="8"/>
  <c r="H41" i="8"/>
  <c r="G41" i="8"/>
  <c r="F41" i="8"/>
  <c r="E41" i="8"/>
  <c r="D41" i="8"/>
  <c r="B41" i="8"/>
  <c r="Y40" i="8"/>
  <c r="W40" i="8"/>
  <c r="O40" i="8"/>
  <c r="N40" i="8"/>
  <c r="M40" i="8"/>
  <c r="L40" i="8"/>
  <c r="K40" i="8"/>
  <c r="J40" i="8"/>
  <c r="I40" i="8"/>
  <c r="H40" i="8"/>
  <c r="G40" i="8"/>
  <c r="F40" i="8"/>
  <c r="E40" i="8"/>
  <c r="D40" i="8"/>
  <c r="B40" i="8"/>
  <c r="Y39" i="8"/>
  <c r="W39" i="8"/>
  <c r="O39" i="8"/>
  <c r="N39" i="8"/>
  <c r="M39" i="8"/>
  <c r="L39" i="8"/>
  <c r="K39" i="8"/>
  <c r="J39" i="8"/>
  <c r="I39" i="8"/>
  <c r="H39" i="8"/>
  <c r="G39" i="8"/>
  <c r="F39" i="8"/>
  <c r="E39" i="8"/>
  <c r="D39" i="8"/>
  <c r="B39" i="8"/>
  <c r="Y38" i="8"/>
  <c r="W38" i="8"/>
  <c r="O38" i="8"/>
  <c r="N38" i="8"/>
  <c r="M38" i="8"/>
  <c r="L38" i="8"/>
  <c r="K38" i="8"/>
  <c r="J38" i="8"/>
  <c r="I38" i="8"/>
  <c r="H38" i="8"/>
  <c r="G38" i="8"/>
  <c r="F38" i="8"/>
  <c r="E38" i="8"/>
  <c r="D38" i="8"/>
  <c r="B38" i="8"/>
  <c r="Y37" i="8"/>
  <c r="W37" i="8"/>
  <c r="O37" i="8"/>
  <c r="N37" i="8"/>
  <c r="M37" i="8"/>
  <c r="L37" i="8"/>
  <c r="K37" i="8"/>
  <c r="J37" i="8"/>
  <c r="I37" i="8"/>
  <c r="H37" i="8"/>
  <c r="G37" i="8"/>
  <c r="F37" i="8"/>
  <c r="E37" i="8"/>
  <c r="D37" i="8"/>
  <c r="B37" i="8"/>
  <c r="Y36" i="8"/>
  <c r="W36" i="8"/>
  <c r="O36" i="8"/>
  <c r="N36" i="8"/>
  <c r="M36" i="8"/>
  <c r="L36" i="8"/>
  <c r="K36" i="8"/>
  <c r="J36" i="8"/>
  <c r="I36" i="8"/>
  <c r="H36" i="8"/>
  <c r="G36" i="8"/>
  <c r="F36" i="8"/>
  <c r="E36" i="8"/>
  <c r="D36" i="8"/>
  <c r="B36" i="8"/>
  <c r="Y35" i="8"/>
  <c r="W35" i="8"/>
  <c r="O35" i="8"/>
  <c r="N35" i="8"/>
  <c r="M35" i="8"/>
  <c r="L35" i="8"/>
  <c r="K35" i="8"/>
  <c r="J35" i="8"/>
  <c r="I35" i="8"/>
  <c r="H35" i="8"/>
  <c r="G35" i="8"/>
  <c r="F35" i="8"/>
  <c r="E35" i="8"/>
  <c r="D35" i="8"/>
  <c r="B35" i="8"/>
  <c r="Y34" i="8"/>
  <c r="W34" i="8"/>
  <c r="O34" i="8"/>
  <c r="N34" i="8"/>
  <c r="M34" i="8"/>
  <c r="L34" i="8"/>
  <c r="K34" i="8"/>
  <c r="J34" i="8"/>
  <c r="I34" i="8"/>
  <c r="H34" i="8"/>
  <c r="G34" i="8"/>
  <c r="F34" i="8"/>
  <c r="E34" i="8"/>
  <c r="D34" i="8"/>
  <c r="B34" i="8"/>
  <c r="Y33" i="8"/>
  <c r="W33" i="8"/>
  <c r="O33" i="8"/>
  <c r="N33" i="8"/>
  <c r="M33" i="8"/>
  <c r="L33" i="8"/>
  <c r="K33" i="8"/>
  <c r="J33" i="8"/>
  <c r="I33" i="8"/>
  <c r="H33" i="8"/>
  <c r="G33" i="8"/>
  <c r="F33" i="8"/>
  <c r="E33" i="8"/>
  <c r="D33" i="8"/>
  <c r="B33" i="8"/>
  <c r="Y32" i="8"/>
  <c r="W32" i="8"/>
  <c r="O32" i="8"/>
  <c r="N32" i="8"/>
  <c r="M32" i="8"/>
  <c r="L32" i="8"/>
  <c r="K32" i="8"/>
  <c r="J32" i="8"/>
  <c r="I32" i="8"/>
  <c r="H32" i="8"/>
  <c r="G32" i="8"/>
  <c r="F32" i="8"/>
  <c r="E32" i="8"/>
  <c r="D32" i="8"/>
  <c r="B32" i="8"/>
  <c r="Y31" i="8"/>
  <c r="W31" i="8"/>
  <c r="O31" i="8"/>
  <c r="N31" i="8"/>
  <c r="M31" i="8"/>
  <c r="L31" i="8"/>
  <c r="K31" i="8"/>
  <c r="J31" i="8"/>
  <c r="I31" i="8"/>
  <c r="H31" i="8"/>
  <c r="G31" i="8"/>
  <c r="F31" i="8"/>
  <c r="E31" i="8"/>
  <c r="D31" i="8"/>
  <c r="B31" i="8"/>
  <c r="Y30" i="8"/>
  <c r="W30" i="8"/>
  <c r="O30" i="8"/>
  <c r="N30" i="8"/>
  <c r="M30" i="8"/>
  <c r="L30" i="8"/>
  <c r="K30" i="8"/>
  <c r="J30" i="8"/>
  <c r="I30" i="8"/>
  <c r="H30" i="8"/>
  <c r="G30" i="8"/>
  <c r="F30" i="8"/>
  <c r="E30" i="8"/>
  <c r="D30" i="8"/>
  <c r="B30" i="8"/>
  <c r="Y29" i="8"/>
  <c r="W29" i="8"/>
  <c r="O29" i="8"/>
  <c r="N29" i="8"/>
  <c r="M29" i="8"/>
  <c r="L29" i="8"/>
  <c r="K29" i="8"/>
  <c r="J29" i="8"/>
  <c r="I29" i="8"/>
  <c r="H29" i="8"/>
  <c r="G29" i="8"/>
  <c r="F29" i="8"/>
  <c r="E29" i="8"/>
  <c r="D29" i="8"/>
  <c r="B29" i="8"/>
  <c r="Y28" i="8"/>
  <c r="W28" i="8"/>
  <c r="O28" i="8"/>
  <c r="N28" i="8"/>
  <c r="M28" i="8"/>
  <c r="L28" i="8"/>
  <c r="K28" i="8"/>
  <c r="J28" i="8"/>
  <c r="I28" i="8"/>
  <c r="H28" i="8"/>
  <c r="G28" i="8"/>
  <c r="F28" i="8"/>
  <c r="E28" i="8"/>
  <c r="D28" i="8"/>
  <c r="B28" i="8"/>
  <c r="Y27" i="8"/>
  <c r="W27" i="8"/>
  <c r="O27" i="8"/>
  <c r="N27" i="8"/>
  <c r="M27" i="8"/>
  <c r="L27" i="8"/>
  <c r="K27" i="8"/>
  <c r="J27" i="8"/>
  <c r="I27" i="8"/>
  <c r="H27" i="8"/>
  <c r="G27" i="8"/>
  <c r="F27" i="8"/>
  <c r="E27" i="8"/>
  <c r="D27" i="8"/>
  <c r="B27" i="8"/>
  <c r="Y26" i="8"/>
  <c r="W26" i="8"/>
  <c r="O26" i="8"/>
  <c r="N26" i="8"/>
  <c r="M26" i="8"/>
  <c r="L26" i="8"/>
  <c r="K26" i="8"/>
  <c r="J26" i="8"/>
  <c r="I26" i="8"/>
  <c r="H26" i="8"/>
  <c r="G26" i="8"/>
  <c r="F26" i="8"/>
  <c r="E26" i="8"/>
  <c r="D26" i="8"/>
  <c r="B26" i="8"/>
  <c r="Y25" i="8"/>
  <c r="W25" i="8"/>
  <c r="O25" i="8"/>
  <c r="N25" i="8"/>
  <c r="M25" i="8"/>
  <c r="L25" i="8"/>
  <c r="K25" i="8"/>
  <c r="J25" i="8"/>
  <c r="I25" i="8"/>
  <c r="H25" i="8"/>
  <c r="G25" i="8"/>
  <c r="F25" i="8"/>
  <c r="E25" i="8"/>
  <c r="D25" i="8"/>
  <c r="B25" i="8"/>
  <c r="Y24" i="8"/>
  <c r="W24" i="8"/>
  <c r="O24" i="8"/>
  <c r="N24" i="8"/>
  <c r="M24" i="8"/>
  <c r="L24" i="8"/>
  <c r="K24" i="8"/>
  <c r="J24" i="8"/>
  <c r="I24" i="8"/>
  <c r="H24" i="8"/>
  <c r="G24" i="8"/>
  <c r="F24" i="8"/>
  <c r="E24" i="8"/>
  <c r="D24" i="8"/>
  <c r="B24" i="8"/>
  <c r="Y23" i="8"/>
  <c r="W23" i="8"/>
  <c r="O23" i="8"/>
  <c r="N23" i="8"/>
  <c r="M23" i="8"/>
  <c r="L23" i="8"/>
  <c r="K23" i="8"/>
  <c r="J23" i="8"/>
  <c r="I23" i="8"/>
  <c r="H23" i="8"/>
  <c r="G23" i="8"/>
  <c r="F23" i="8"/>
  <c r="E23" i="8"/>
  <c r="D23" i="8"/>
  <c r="B23" i="8"/>
  <c r="Y22" i="8"/>
  <c r="W22" i="8"/>
  <c r="O22" i="8"/>
  <c r="N22" i="8"/>
  <c r="M22" i="8"/>
  <c r="L22" i="8"/>
  <c r="K22" i="8"/>
  <c r="J22" i="8"/>
  <c r="I22" i="8"/>
  <c r="H22" i="8"/>
  <c r="G22" i="8"/>
  <c r="F22" i="8"/>
  <c r="E22" i="8"/>
  <c r="D22" i="8"/>
  <c r="B22" i="8"/>
  <c r="Y21" i="8"/>
  <c r="W21" i="8"/>
  <c r="O21" i="8"/>
  <c r="N21" i="8"/>
  <c r="M21" i="8"/>
  <c r="L21" i="8"/>
  <c r="K21" i="8"/>
  <c r="J21" i="8"/>
  <c r="I21" i="8"/>
  <c r="H21" i="8"/>
  <c r="G21" i="8"/>
  <c r="F21" i="8"/>
  <c r="E21" i="8"/>
  <c r="D21" i="8"/>
  <c r="B21" i="8"/>
  <c r="Y20" i="8"/>
  <c r="W20" i="8"/>
  <c r="O20" i="8"/>
  <c r="N20" i="8"/>
  <c r="M20" i="8"/>
  <c r="L20" i="8"/>
  <c r="K20" i="8"/>
  <c r="J20" i="8"/>
  <c r="I20" i="8"/>
  <c r="H20" i="8"/>
  <c r="G20" i="8"/>
  <c r="F20" i="8"/>
  <c r="E20" i="8"/>
  <c r="D20" i="8"/>
  <c r="B20" i="8"/>
  <c r="Y19" i="8"/>
  <c r="W19" i="8"/>
  <c r="O19" i="8"/>
  <c r="N19" i="8"/>
  <c r="M19" i="8"/>
  <c r="L19" i="8"/>
  <c r="K19" i="8"/>
  <c r="J19" i="8"/>
  <c r="I19" i="8"/>
  <c r="H19" i="8"/>
  <c r="G19" i="8"/>
  <c r="F19" i="8"/>
  <c r="E19" i="8"/>
  <c r="D19" i="8"/>
  <c r="B19" i="8"/>
  <c r="Y18" i="8"/>
  <c r="W18" i="8"/>
  <c r="O18" i="8"/>
  <c r="N18" i="8"/>
  <c r="M18" i="8"/>
  <c r="L18" i="8"/>
  <c r="K18" i="8"/>
  <c r="J18" i="8"/>
  <c r="I18" i="8"/>
  <c r="H18" i="8"/>
  <c r="G18" i="8"/>
  <c r="F18" i="8"/>
  <c r="E18" i="8"/>
  <c r="D18" i="8"/>
  <c r="B18" i="8"/>
  <c r="Y17" i="8"/>
  <c r="W17" i="8"/>
  <c r="O17" i="8"/>
  <c r="N17" i="8"/>
  <c r="M17" i="8"/>
  <c r="L17" i="8"/>
  <c r="K17" i="8"/>
  <c r="J17" i="8"/>
  <c r="I17" i="8"/>
  <c r="H17" i="8"/>
  <c r="G17" i="8"/>
  <c r="F17" i="8"/>
  <c r="E17" i="8"/>
  <c r="D17" i="8"/>
  <c r="B17" i="8"/>
  <c r="Y16" i="8"/>
  <c r="W16" i="8"/>
  <c r="O16" i="8"/>
  <c r="N16" i="8"/>
  <c r="M16" i="8"/>
  <c r="L16" i="8"/>
  <c r="K16" i="8"/>
  <c r="J16" i="8"/>
  <c r="I16" i="8"/>
  <c r="H16" i="8"/>
  <c r="G16" i="8"/>
  <c r="F16" i="8"/>
  <c r="E16" i="8"/>
  <c r="D16" i="8"/>
  <c r="B16" i="8"/>
  <c r="Y15" i="8"/>
  <c r="W15" i="8"/>
  <c r="O15" i="8"/>
  <c r="N15" i="8"/>
  <c r="M15" i="8"/>
  <c r="L15" i="8"/>
  <c r="K15" i="8"/>
  <c r="J15" i="8"/>
  <c r="I15" i="8"/>
  <c r="H15" i="8"/>
  <c r="G15" i="8"/>
  <c r="F15" i="8"/>
  <c r="E15" i="8"/>
  <c r="D15" i="8"/>
  <c r="B15" i="8"/>
  <c r="Y14" i="8"/>
  <c r="W14" i="8"/>
  <c r="O14" i="8"/>
  <c r="N14" i="8"/>
  <c r="M14" i="8"/>
  <c r="L14" i="8"/>
  <c r="K14" i="8"/>
  <c r="J14" i="8"/>
  <c r="I14" i="8"/>
  <c r="H14" i="8"/>
  <c r="G14" i="8"/>
  <c r="F14" i="8"/>
  <c r="E14" i="8"/>
  <c r="D14" i="8"/>
  <c r="B14" i="8"/>
  <c r="Y13" i="8"/>
  <c r="W13" i="8"/>
  <c r="O13" i="8"/>
  <c r="N13" i="8"/>
  <c r="M13" i="8"/>
  <c r="L13" i="8"/>
  <c r="K13" i="8"/>
  <c r="J13" i="8"/>
  <c r="I13" i="8"/>
  <c r="H13" i="8"/>
  <c r="G13" i="8"/>
  <c r="F13" i="8"/>
  <c r="E13" i="8"/>
  <c r="D13" i="8"/>
  <c r="B13" i="8"/>
  <c r="Y12" i="8"/>
  <c r="W12" i="8"/>
  <c r="O12" i="8"/>
  <c r="N12" i="8"/>
  <c r="M12" i="8"/>
  <c r="L12" i="8"/>
  <c r="K12" i="8"/>
  <c r="J12" i="8"/>
  <c r="I12" i="8"/>
  <c r="H12" i="8"/>
  <c r="G12" i="8"/>
  <c r="F12" i="8"/>
  <c r="E12" i="8"/>
  <c r="D12" i="8"/>
  <c r="B12" i="8"/>
  <c r="Y11" i="8"/>
  <c r="W11" i="8"/>
  <c r="O11" i="8"/>
  <c r="N11" i="8"/>
  <c r="M11" i="8"/>
  <c r="L11" i="8"/>
  <c r="K11" i="8"/>
  <c r="J11" i="8"/>
  <c r="I11" i="8"/>
  <c r="H11" i="8"/>
  <c r="G11" i="8"/>
  <c r="F11" i="8"/>
  <c r="E11" i="8"/>
  <c r="D11" i="8"/>
  <c r="B11" i="8"/>
  <c r="Y10" i="8"/>
  <c r="W10" i="8"/>
  <c r="O10" i="8"/>
  <c r="N10" i="8"/>
  <c r="M10" i="8"/>
  <c r="L10" i="8"/>
  <c r="K10" i="8"/>
  <c r="J10" i="8"/>
  <c r="I10" i="8"/>
  <c r="H10" i="8"/>
  <c r="G10" i="8"/>
  <c r="F10" i="8"/>
  <c r="E10" i="8"/>
  <c r="D10" i="8"/>
  <c r="B10" i="8"/>
  <c r="Y9" i="8"/>
  <c r="W9" i="8"/>
  <c r="O9" i="8"/>
  <c r="N9" i="8"/>
  <c r="M9" i="8"/>
  <c r="L9" i="8"/>
  <c r="K9" i="8"/>
  <c r="J9" i="8"/>
  <c r="I9" i="8"/>
  <c r="H9" i="8"/>
  <c r="G9" i="8"/>
  <c r="F9" i="8"/>
  <c r="E9" i="8"/>
  <c r="D9" i="8"/>
  <c r="B9" i="8"/>
  <c r="Y8" i="8"/>
  <c r="W8" i="8"/>
  <c r="O8" i="8"/>
  <c r="N8" i="8"/>
  <c r="M8" i="8"/>
  <c r="L8" i="8"/>
  <c r="K8" i="8"/>
  <c r="J8" i="8"/>
  <c r="I8" i="8"/>
  <c r="H8" i="8"/>
  <c r="G8" i="8"/>
  <c r="F8" i="8"/>
  <c r="E8" i="8"/>
  <c r="D8" i="8"/>
  <c r="B8" i="8"/>
  <c r="Y7" i="8"/>
  <c r="W7" i="8"/>
  <c r="O7" i="8"/>
  <c r="N7" i="8"/>
  <c r="M7" i="8"/>
  <c r="L7" i="8"/>
  <c r="K7" i="8"/>
  <c r="J7" i="8"/>
  <c r="I7" i="8"/>
  <c r="H7" i="8"/>
  <c r="G7" i="8"/>
  <c r="F7" i="8"/>
  <c r="E7" i="8"/>
  <c r="D7" i="8"/>
  <c r="B7" i="8"/>
  <c r="Y6" i="8"/>
  <c r="W6" i="8"/>
  <c r="O6" i="8"/>
  <c r="N6" i="8"/>
  <c r="M6" i="8"/>
  <c r="L6" i="8"/>
  <c r="K6" i="8"/>
  <c r="J6" i="8"/>
  <c r="I6" i="8"/>
  <c r="H6" i="8"/>
  <c r="G6" i="8"/>
  <c r="F6" i="8"/>
  <c r="E6" i="8"/>
  <c r="D6" i="8"/>
  <c r="B6" i="8"/>
  <c r="Y5" i="8"/>
  <c r="W5" i="8"/>
  <c r="O5" i="8"/>
  <c r="N5" i="8"/>
  <c r="M5" i="8"/>
  <c r="L5" i="8"/>
  <c r="K5" i="8"/>
  <c r="J5" i="8"/>
  <c r="I5" i="8"/>
  <c r="H5" i="8"/>
  <c r="G5" i="8"/>
  <c r="F5" i="8"/>
  <c r="E5" i="8"/>
  <c r="D5" i="8"/>
  <c r="B5" i="8"/>
  <c r="Y4" i="8"/>
  <c r="W4" i="8"/>
  <c r="O4" i="8"/>
  <c r="N4" i="8"/>
  <c r="M4" i="8"/>
  <c r="L4" i="8"/>
  <c r="K4" i="8"/>
  <c r="J4" i="8"/>
  <c r="I4" i="8"/>
  <c r="H4" i="8"/>
  <c r="G4" i="8"/>
  <c r="F4" i="8"/>
  <c r="E4" i="8"/>
  <c r="D4" i="8"/>
  <c r="B4" i="8"/>
  <c r="Y3" i="8"/>
  <c r="W3" i="8"/>
  <c r="O3" i="8"/>
  <c r="N3" i="8"/>
  <c r="M3" i="8"/>
  <c r="L3" i="8"/>
  <c r="K3" i="8"/>
  <c r="J3" i="8"/>
  <c r="I3" i="8"/>
  <c r="H3" i="8"/>
  <c r="G3" i="8"/>
  <c r="F3" i="8"/>
  <c r="E3" i="8"/>
  <c r="D3" i="8"/>
  <c r="B3" i="8"/>
  <c r="Y2" i="8"/>
  <c r="W2" i="8"/>
  <c r="O2" i="8"/>
  <c r="N2" i="8"/>
  <c r="M2" i="8"/>
  <c r="L2" i="8"/>
  <c r="K2" i="8"/>
  <c r="J2" i="8"/>
  <c r="I2" i="8"/>
  <c r="H2" i="8"/>
  <c r="G2" i="8"/>
  <c r="F2" i="8"/>
  <c r="E2" i="8"/>
  <c r="D2" i="8"/>
  <c r="B2" i="8"/>
  <c r="E155" i="9"/>
  <c r="D155" i="9"/>
  <c r="C155" i="9"/>
  <c r="E154" i="9"/>
  <c r="D154" i="9"/>
  <c r="C154" i="9"/>
  <c r="D153" i="9"/>
  <c r="C153" i="9"/>
  <c r="C152" i="9"/>
  <c r="C146" i="9"/>
  <c r="C145" i="9"/>
  <c r="C143" i="9"/>
  <c r="D142" i="9"/>
  <c r="C142" i="9"/>
  <c r="D139" i="9"/>
  <c r="C139" i="9"/>
  <c r="D138" i="9"/>
  <c r="C138" i="9"/>
  <c r="D137" i="9"/>
  <c r="C137" i="9"/>
  <c r="D136" i="9"/>
  <c r="C136" i="9"/>
  <c r="D123" i="9"/>
  <c r="C122" i="9"/>
  <c r="C121" i="9"/>
  <c r="D120" i="9"/>
  <c r="C120" i="9"/>
  <c r="D117" i="9"/>
  <c r="C117" i="9"/>
  <c r="D116" i="9"/>
  <c r="C116" i="9"/>
  <c r="D115" i="9"/>
  <c r="C115" i="9"/>
  <c r="D114" i="9"/>
  <c r="C114" i="9"/>
  <c r="R110" i="9"/>
  <c r="S109" i="9"/>
  <c r="R109" i="9"/>
  <c r="D108" i="9"/>
  <c r="U107" i="9"/>
  <c r="T107" i="9"/>
  <c r="S107" i="9"/>
  <c r="R107" i="9"/>
  <c r="Q107" i="9"/>
  <c r="P107" i="9"/>
  <c r="O107" i="9"/>
  <c r="N107" i="9"/>
  <c r="M107" i="9"/>
  <c r="K107" i="9"/>
  <c r="J107" i="9"/>
  <c r="H107" i="9"/>
  <c r="E107" i="9"/>
  <c r="D107" i="9"/>
  <c r="C107" i="9"/>
  <c r="B107" i="9"/>
  <c r="N90" i="9"/>
  <c r="M90" i="9"/>
  <c r="L90" i="9"/>
  <c r="K90" i="9"/>
  <c r="N73" i="9"/>
  <c r="N68" i="9"/>
  <c r="L68" i="9"/>
  <c r="L60" i="9"/>
  <c r="L59" i="9"/>
  <c r="L57" i="9"/>
  <c r="L56" i="9"/>
  <c r="L5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</authors>
  <commentList>
    <comment ref="D1" authorId="0" shapeId="0" xr:uid="{59BC5248-DECD-404E-95C5-00E07ADD0B60}">
      <text>
        <r>
          <rPr>
            <b/>
            <sz val="9"/>
            <color indexed="81"/>
            <rFont val="Tahoma"/>
            <family val="2"/>
          </rPr>
          <t xml:space="preserve">TOMAR DATO EN CONTADOR
</t>
        </r>
      </text>
    </comment>
    <comment ref="E1" authorId="0" shapeId="0" xr:uid="{9DBB5A59-22D1-4CDA-A58C-753CEBB3A5D4}">
      <text>
        <r>
          <rPr>
            <b/>
            <sz val="9"/>
            <color indexed="81"/>
            <rFont val="Tahoma"/>
            <family val="2"/>
          </rPr>
          <t>TOMAR LECTURA DE SCLAVO (EN ESPERA MEDIDOR)</t>
        </r>
      </text>
    </comment>
    <comment ref="G1" authorId="0" shapeId="0" xr:uid="{5B46A884-28C3-48D1-B79D-13138BA9EA4C}">
      <text>
        <r>
          <rPr>
            <b/>
            <sz val="9"/>
            <color indexed="81"/>
            <rFont val="Tahoma"/>
            <family val="2"/>
          </rPr>
          <t>REMISIÓN</t>
        </r>
      </text>
    </comment>
    <comment ref="H1" authorId="0" shapeId="0" xr:uid="{8B83ADC7-3148-4602-99BD-BDB8C9488474}">
      <text>
        <r>
          <rPr>
            <b/>
            <sz val="9"/>
            <color indexed="81"/>
            <rFont val="Tahoma"/>
            <family val="2"/>
          </rPr>
          <t xml:space="preserve">COORDINADOR PRODUCCIÓN
</t>
        </r>
      </text>
    </comment>
  </commentList>
</comments>
</file>

<file path=xl/sharedStrings.xml><?xml version="1.0" encoding="utf-8"?>
<sst xmlns="http://schemas.openxmlformats.org/spreadsheetml/2006/main" count="219" uniqueCount="145">
  <si>
    <t>(m3)</t>
  </si>
  <si>
    <t>FECHA</t>
  </si>
  <si>
    <t>VOLUMEN ENVIADO PTAP</t>
  </si>
  <si>
    <t>VOLUMEN ENVIO MULAS</t>
  </si>
  <si>
    <t>VOLUMEN CONSUMIDO PRODUCCIÓN</t>
  </si>
  <si>
    <t>VOLUMEN EXTRAIDO PTAP</t>
  </si>
  <si>
    <t>TOTAL KG TEÑIDOS</t>
  </si>
  <si>
    <t>TURNO</t>
  </si>
  <si>
    <t>TOTAL KG TEÑIDOS MS</t>
  </si>
  <si>
    <t>Total general</t>
  </si>
  <si>
    <t xml:space="preserve"> VOLUMEN EXTRAIDO PTAP </t>
  </si>
  <si>
    <t xml:space="preserve"> VOLUMEN ENVIADO PTAP </t>
  </si>
  <si>
    <t>DIA</t>
  </si>
  <si>
    <t>INDICADOR PRODUCCIÓN</t>
  </si>
  <si>
    <t xml:space="preserve"> INDICADOR DIA PRODUCCIÓN</t>
  </si>
  <si>
    <t xml:space="preserve">  TOTAL KG TEÑIDOS MS</t>
  </si>
  <si>
    <t>CONSUMO (m3)</t>
  </si>
  <si>
    <t>Kg TELA</t>
  </si>
  <si>
    <t>INDICADOR L/Kg</t>
  </si>
  <si>
    <t xml:space="preserve">  INDICADOR CONSUMO DIA (L/Kg)</t>
  </si>
  <si>
    <t>Etiquetas de fila</t>
  </si>
  <si>
    <t xml:space="preserve"> VOLUMEN ENVIO MULAS RESIDUAL</t>
  </si>
  <si>
    <t>VOLUMEN INGRESO RO</t>
  </si>
  <si>
    <t>VOLUMEN RECHAZO RO</t>
  </si>
  <si>
    <t>VOLUMEN PERMEADO RO</t>
  </si>
  <si>
    <t>EFICIENCIA RO</t>
  </si>
  <si>
    <t>VOLUMEN POTABLE CARROTANQUES</t>
  </si>
  <si>
    <t xml:space="preserve"> VOLUMEN POTABLE CARROTANQUES</t>
  </si>
  <si>
    <t xml:space="preserve">  VOLUMEN PERMEADO RO</t>
  </si>
  <si>
    <t>%</t>
  </si>
  <si>
    <t xml:space="preserve">  VOLUMEN INGRESO RO</t>
  </si>
  <si>
    <t xml:space="preserve">  VOLUMEN RECHAZO RO</t>
  </si>
  <si>
    <t xml:space="preserve">  VOLUMEN MULAS RESIDUAL</t>
  </si>
  <si>
    <t xml:space="preserve"> VOLUMEN ENVIADO A PRODUCCIÓN</t>
  </si>
  <si>
    <t>DIFERENCIA ENVIO VS CONSUMO</t>
  </si>
  <si>
    <t>PORCENTAJE PERDIDA AGUA EN EL PROCESO</t>
  </si>
  <si>
    <t>VOLUMEN AGUA RESIDUAL ENVIADA A PTAR</t>
  </si>
  <si>
    <t>VOLUMEN ALMACENADO PTAR</t>
  </si>
  <si>
    <t>% DE RECUPERACIÓN</t>
  </si>
  <si>
    <t xml:space="preserve"> VOLUMEN REPORTE CONSUMIDO PRODUCCIÓN</t>
  </si>
  <si>
    <t xml:space="preserve">VOLUMEN REAL ENVIADO A PRODUCCIÓN </t>
  </si>
  <si>
    <t xml:space="preserve">  VOLUMEN REAL ENVIADO A PRODUCCIÓN </t>
  </si>
  <si>
    <t xml:space="preserve">VOLUMEN </t>
  </si>
  <si>
    <t>DIAS EFECTIVOS</t>
  </si>
  <si>
    <t>CONSOLIDADO INDICADOR</t>
  </si>
  <si>
    <t>KG/DIA</t>
  </si>
  <si>
    <t>CONSOLIDADO KG REPORTADOS</t>
  </si>
  <si>
    <t>ABASTECIMIENTO</t>
  </si>
  <si>
    <t>CONSOLIDADO TRATABILIDAD</t>
  </si>
  <si>
    <t xml:space="preserve">CONSOLIDADO AGUA RESIDUAL </t>
  </si>
  <si>
    <t>BALANCE RO</t>
  </si>
  <si>
    <t>VOLUMEN  PERDIDA AGUA EN EL PROCESO</t>
  </si>
  <si>
    <t>VOLUMEN PERDIDAS!!</t>
  </si>
  <si>
    <t xml:space="preserve"> VOLUMEN DE PTAP ENVIADO A PLANTA DE PRODUCCIÓN</t>
  </si>
  <si>
    <t xml:space="preserve"> VOLUMEN PERMEADO RO (RECUPERADO)</t>
  </si>
  <si>
    <t xml:space="preserve">VOLUMEN RESIDUAL GENERADO </t>
  </si>
  <si>
    <t xml:space="preserve">VOLUMEN DIFERENCIA RESIDUAL GENERADO - ENVIO MULAS </t>
  </si>
  <si>
    <t>VOLUMEN</t>
  </si>
  <si>
    <t xml:space="preserve">  VOLUMEN DIFERENCIA REPORTADO Vs CONSUMO</t>
  </si>
  <si>
    <t>% POR ENCIMA DE LO REPORTADO</t>
  </si>
  <si>
    <t>% POR ENCIMA DE LO REPORTADO EN MULAS</t>
  </si>
  <si>
    <t>% DE DIFERENCIA</t>
  </si>
  <si>
    <t>M3/DIA</t>
  </si>
  <si>
    <t>ENERO</t>
  </si>
  <si>
    <t>FEBRERO</t>
  </si>
  <si>
    <t>MARZO</t>
  </si>
  <si>
    <t>PROYECCIÓN ABRIL</t>
  </si>
  <si>
    <t>MES</t>
  </si>
  <si>
    <t xml:space="preserve"> VOLUMEN PURGAS, RETROLAVADOS, LIMPIEZAS PTAR Y PTAP </t>
  </si>
  <si>
    <t>VOLUMEN TEORICO RESIDUAL GENERADO</t>
  </si>
  <si>
    <t>VOLUMEN AGUA RESIDUAL RECUPERADA RO</t>
  </si>
  <si>
    <t>ENVIADO A PRODUCCIÓN</t>
  </si>
  <si>
    <t>INGRESO DE DATOS RO</t>
  </si>
  <si>
    <t>CARROTANQUES POTABLE</t>
  </si>
  <si>
    <t>MULAS RESIDUAL</t>
  </si>
  <si>
    <t>PTAP</t>
  </si>
  <si>
    <t>CONTADOR ENVIO A PRODUCCIÓN</t>
  </si>
  <si>
    <t>VOLUMEN ENVIADO A PRODUCCIÓN (m3)</t>
  </si>
  <si>
    <t>ROTAMETRO INGRESO RO (M3/H)</t>
  </si>
  <si>
    <t>TIEMPO DE TRABAJO (HORAS)</t>
  </si>
  <si>
    <t>VOLUMEN INGRESO A RO (M3)</t>
  </si>
  <si>
    <t>ROTAMETRO PERMEADO RO (M3/H)</t>
  </si>
  <si>
    <t>VOLUMEN PERMEO RO (M3)</t>
  </si>
  <si>
    <t>VOLUMEN RECHAZO RO (M3)</t>
  </si>
  <si>
    <t>CONTADOR CARROTANQUES FINAL DE TURNO</t>
  </si>
  <si>
    <t>VOLUMEN INGRESO CARROTANQUES (m3)</t>
  </si>
  <si>
    <t>VOLUMEN (40M3)</t>
  </si>
  <si>
    <t>NUMERO DE VIAJES (40M3)</t>
  </si>
  <si>
    <t>VOLUMEN INGRESO CARROTANQUES</t>
  </si>
  <si>
    <t>NUMERO DE MULAS 40 M3</t>
  </si>
  <si>
    <t>VOLUMEN REMISIÓN</t>
  </si>
  <si>
    <t>VOLUMEN SEGÚN TIPO DE VEHICULO</t>
  </si>
  <si>
    <t>CONTADOR  (VOLUMEN EXTRAIDO POZO)</t>
  </si>
  <si>
    <t>VOLUMEN EXTRAIDO POZO</t>
  </si>
  <si>
    <t>TOTAL NUMERO DE VIAJES</t>
  </si>
  <si>
    <t xml:space="preserve">DIA </t>
  </si>
  <si>
    <t xml:space="preserve">VOLUMEN INGRESO RO </t>
  </si>
  <si>
    <t xml:space="preserve">VOLUMEN PERMEADO RO </t>
  </si>
  <si>
    <t xml:space="preserve">VOLUMEN RECHAZO RO </t>
  </si>
  <si>
    <t xml:space="preserve">EFICIENCIA RO </t>
  </si>
  <si>
    <t>Meses (FECHA)</t>
  </si>
  <si>
    <t>(Todas)</t>
  </si>
  <si>
    <t>Días (FECHA)</t>
  </si>
  <si>
    <t>CONTADOR ENTRADA PTAR</t>
  </si>
  <si>
    <t xml:space="preserve"> VOLUMEN PTAP ENVIADO A PRODUCCIÓN</t>
  </si>
  <si>
    <t>VOL m3 SCLAVOS</t>
  </si>
  <si>
    <t>VOL m3 BELLINIS</t>
  </si>
  <si>
    <t>VOL m3 ERBATECH</t>
  </si>
  <si>
    <t>Kg teñidos SCLAVOS</t>
  </si>
  <si>
    <t>Kg teñidos BELLINI</t>
  </si>
  <si>
    <t>Kg teñidos ERBATECH</t>
  </si>
  <si>
    <t>VOLUMEN INGRESO A PTAR</t>
  </si>
  <si>
    <t>KG PROCESADOS</t>
  </si>
  <si>
    <t>KG (SCLAVOS + BELLINI + ERBATECH)</t>
  </si>
  <si>
    <t>KG DIFERENCIA</t>
  </si>
  <si>
    <t xml:space="preserve">  TOTAL KG PROCESADOS</t>
  </si>
  <si>
    <t xml:space="preserve"> TOTAL KG + ERBATECH</t>
  </si>
  <si>
    <t>KG ERBATECH</t>
  </si>
  <si>
    <t>CONTADOR SALIDA PTAR</t>
  </si>
  <si>
    <t>AGUA TRATADA</t>
  </si>
  <si>
    <t>PERDIDAS TRATAMIENTO</t>
  </si>
  <si>
    <t xml:space="preserve">OBSERVACIONES </t>
  </si>
  <si>
    <t>EFICIENCIA</t>
  </si>
  <si>
    <t xml:space="preserve">DIAS  </t>
  </si>
  <si>
    <t>VOLUMEN TRATADO EN PTAR</t>
  </si>
  <si>
    <t xml:space="preserve">VOLUMEN INGRESO A PTAR </t>
  </si>
  <si>
    <t>ENVIO PILOTEADORA</t>
  </si>
  <si>
    <t xml:space="preserve">VOLUMEN EXTRAIDO PTAP  </t>
  </si>
  <si>
    <t xml:space="preserve">  VOLUMEN REAL EXTRAIDO DEL POZO</t>
  </si>
  <si>
    <t>REPORTADO SCLAVOS</t>
  </si>
  <si>
    <t>REPORTADO BELLINI</t>
  </si>
  <si>
    <t>REPORTADO GLOBAL</t>
  </si>
  <si>
    <t>REAL GLOBAL</t>
  </si>
  <si>
    <t>Numero de Viajes</t>
  </si>
  <si>
    <t>PROMEDIO MIN INDICADOR</t>
  </si>
  <si>
    <t>Promedio de PROMEDIO MIN INDICADOR</t>
  </si>
  <si>
    <t>Mín. de PROMEDIO MIN INDICADOR</t>
  </si>
  <si>
    <t xml:space="preserve">Numero de Viajes </t>
  </si>
  <si>
    <t xml:space="preserve"> </t>
  </si>
  <si>
    <t>operación de la ptap por 1 hora</t>
  </si>
  <si>
    <t>operación de la ptap por 2 horas</t>
  </si>
  <si>
    <t>g</t>
  </si>
  <si>
    <t>TRATADO</t>
  </si>
  <si>
    <t>VOLUMEN ENVIADO A PILOTES</t>
  </si>
  <si>
    <t>VOLUMEN TRATADO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</si>
</sst>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#,##0.0"/>
    <numFmt numFmtId="166" formatCode="0.0"/>
    <numFmt numFmtId="167" formatCode="_-* #,##0_-;\-* #,##0_-;_-* &quot;-&quot;??_-;_-@_-"/>
    <numFmt numFmtId="168" formatCode="#,##0.00\ &quot;€&quot;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9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8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14" fontId="0" fillId="0" borderId="2" xfId="0" applyNumberFormat="1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0" fillId="3" borderId="19" xfId="0" applyFill="1" applyBorder="1"/>
    <xf numFmtId="0" fontId="0" fillId="3" borderId="3" xfId="0" applyFill="1" applyBorder="1"/>
    <xf numFmtId="0" fontId="0" fillId="3" borderId="20" xfId="0" applyFill="1" applyBorder="1"/>
    <xf numFmtId="0" fontId="0" fillId="3" borderId="1" xfId="0" applyFill="1" applyBorder="1"/>
    <xf numFmtId="0" fontId="0" fillId="3" borderId="21" xfId="0" applyFill="1" applyBorder="1"/>
    <xf numFmtId="0" fontId="0" fillId="3" borderId="6" xfId="0" applyFill="1" applyBorder="1"/>
    <xf numFmtId="0" fontId="0" fillId="3" borderId="0" xfId="0" applyFill="1"/>
    <xf numFmtId="2" fontId="1" fillId="0" borderId="25" xfId="0" applyNumberFormat="1" applyFont="1" applyBorder="1" applyAlignment="1">
      <alignment horizontal="center" vertical="center"/>
    </xf>
    <xf numFmtId="2" fontId="0" fillId="0" borderId="0" xfId="0" applyNumberFormat="1"/>
    <xf numFmtId="1" fontId="0" fillId="0" borderId="26" xfId="0" applyNumberFormat="1" applyBorder="1"/>
    <xf numFmtId="0" fontId="1" fillId="4" borderId="0" xfId="0" applyFont="1" applyFill="1" applyAlignment="1">
      <alignment horizontal="center" vertical="center" wrapText="1"/>
    </xf>
    <xf numFmtId="0" fontId="0" fillId="6" borderId="0" xfId="0" applyFill="1"/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wrapText="1"/>
    </xf>
    <xf numFmtId="1" fontId="0" fillId="6" borderId="0" xfId="0" applyNumberFormat="1" applyFill="1" applyAlignment="1">
      <alignment horizontal="center" vertical="center"/>
    </xf>
    <xf numFmtId="14" fontId="0" fillId="6" borderId="0" xfId="0" applyNumberFormat="1" applyFill="1"/>
    <xf numFmtId="0" fontId="0" fillId="7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0" fillId="0" borderId="27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31" xfId="0" applyBorder="1"/>
    <xf numFmtId="0" fontId="0" fillId="0" borderId="34" xfId="0" applyBorder="1"/>
    <xf numFmtId="165" fontId="0" fillId="6" borderId="0" xfId="0" applyNumberFormat="1" applyFill="1" applyAlignment="1">
      <alignment horizontal="center" vertical="center" wrapText="1"/>
    </xf>
    <xf numFmtId="165" fontId="0" fillId="6" borderId="0" xfId="0" applyNumberFormat="1" applyFill="1" applyAlignment="1">
      <alignment horizontal="center" vertical="center"/>
    </xf>
    <xf numFmtId="3" fontId="0" fillId="6" borderId="0" xfId="0" applyNumberFormat="1" applyFill="1" applyAlignment="1">
      <alignment horizontal="center" vertical="center"/>
    </xf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3" fontId="0" fillId="6" borderId="0" xfId="0" applyNumberFormat="1" applyFill="1" applyAlignment="1">
      <alignment wrapText="1"/>
    </xf>
    <xf numFmtId="3" fontId="0" fillId="0" borderId="0" xfId="0" applyNumberFormat="1"/>
    <xf numFmtId="167" fontId="0" fillId="0" borderId="0" xfId="0" applyNumberFormat="1"/>
    <xf numFmtId="0" fontId="0" fillId="8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3" fontId="0" fillId="2" borderId="1" xfId="0" applyNumberFormat="1" applyFill="1" applyBorder="1" applyAlignment="1">
      <alignment horizontal="center" wrapText="1"/>
    </xf>
    <xf numFmtId="9" fontId="0" fillId="0" borderId="0" xfId="1" applyFont="1"/>
    <xf numFmtId="3" fontId="0" fillId="6" borderId="0" xfId="0" applyNumberFormat="1" applyFill="1"/>
    <xf numFmtId="10" fontId="0" fillId="6" borderId="0" xfId="1" applyNumberFormat="1" applyFont="1" applyFill="1"/>
    <xf numFmtId="0" fontId="1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top" wrapText="1"/>
    </xf>
    <xf numFmtId="165" fontId="0" fillId="2" borderId="1" xfId="0" applyNumberFormat="1" applyFill="1" applyBorder="1" applyAlignment="1">
      <alignment horizontal="center"/>
    </xf>
    <xf numFmtId="9" fontId="0" fillId="0" borderId="0" xfId="1" applyFont="1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3" fontId="0" fillId="2" borderId="5" xfId="0" applyNumberFormat="1" applyFill="1" applyBorder="1" applyAlignment="1">
      <alignment horizontal="center" wrapText="1"/>
    </xf>
    <xf numFmtId="3" fontId="0" fillId="2" borderId="6" xfId="0" applyNumberFormat="1" applyFill="1" applyBorder="1" applyAlignment="1">
      <alignment horizontal="center" wrapText="1"/>
    </xf>
    <xf numFmtId="3" fontId="0" fillId="2" borderId="9" xfId="0" applyNumberFormat="1" applyFill="1" applyBorder="1" applyAlignment="1">
      <alignment horizontal="center" wrapText="1"/>
    </xf>
    <xf numFmtId="9" fontId="0" fillId="2" borderId="6" xfId="1" applyFont="1" applyFill="1" applyBorder="1" applyAlignment="1">
      <alignment horizontal="center" wrapText="1"/>
    </xf>
    <xf numFmtId="166" fontId="0" fillId="2" borderId="6" xfId="1" applyNumberFormat="1" applyFont="1" applyFill="1" applyBorder="1" applyAlignment="1">
      <alignment horizontal="center" wrapText="1"/>
    </xf>
    <xf numFmtId="9" fontId="0" fillId="2" borderId="9" xfId="1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vertical="center" wrapText="1"/>
    </xf>
    <xf numFmtId="9" fontId="6" fillId="2" borderId="1" xfId="1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" fontId="0" fillId="0" borderId="35" xfId="0" applyNumberFormat="1" applyBorder="1"/>
    <xf numFmtId="0" fontId="0" fillId="0" borderId="22" xfId="0" applyBorder="1"/>
    <xf numFmtId="0" fontId="0" fillId="0" borderId="23" xfId="0" applyBorder="1"/>
    <xf numFmtId="1" fontId="0" fillId="0" borderId="25" xfId="0" applyNumberFormat="1" applyBorder="1"/>
    <xf numFmtId="0" fontId="0" fillId="0" borderId="2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9" xfId="0" applyBorder="1"/>
    <xf numFmtId="0" fontId="0" fillId="0" borderId="36" xfId="0" applyBorder="1"/>
    <xf numFmtId="0" fontId="0" fillId="0" borderId="40" xfId="0" applyBorder="1"/>
    <xf numFmtId="0" fontId="0" fillId="0" borderId="41" xfId="0" applyBorder="1"/>
    <xf numFmtId="9" fontId="0" fillId="19" borderId="4" xfId="1" applyFont="1" applyFill="1" applyBorder="1" applyAlignment="1">
      <alignment horizontal="center"/>
    </xf>
    <xf numFmtId="9" fontId="0" fillId="19" borderId="0" xfId="1" applyFont="1" applyFill="1" applyBorder="1" applyAlignment="1">
      <alignment horizontal="center"/>
    </xf>
    <xf numFmtId="167" fontId="1" fillId="2" borderId="1" xfId="2" applyNumberFormat="1" applyFont="1" applyFill="1" applyBorder="1" applyAlignment="1">
      <alignment wrapText="1"/>
    </xf>
    <xf numFmtId="10" fontId="6" fillId="2" borderId="1" xfId="1" applyNumberFormat="1" applyFont="1" applyFill="1" applyBorder="1" applyAlignment="1">
      <alignment horizontal="center" vertical="center"/>
    </xf>
    <xf numFmtId="0" fontId="0" fillId="0" borderId="4" xfId="0" quotePrefix="1" applyBorder="1"/>
    <xf numFmtId="167" fontId="0" fillId="6" borderId="0" xfId="0" applyNumberFormat="1" applyFill="1"/>
    <xf numFmtId="9" fontId="0" fillId="6" borderId="0" xfId="1" applyFont="1" applyFill="1"/>
    <xf numFmtId="0" fontId="7" fillId="3" borderId="1" xfId="0" applyFont="1" applyFill="1" applyBorder="1" applyAlignment="1">
      <alignment horizontal="center" wrapText="1"/>
    </xf>
    <xf numFmtId="167" fontId="0" fillId="2" borderId="1" xfId="2" applyNumberFormat="1" applyFont="1" applyFill="1" applyBorder="1"/>
    <xf numFmtId="0" fontId="1" fillId="16" borderId="27" xfId="0" applyFont="1" applyFill="1" applyBorder="1" applyAlignment="1">
      <alignment horizontal="center" vertical="center" wrapText="1"/>
    </xf>
    <xf numFmtId="0" fontId="1" fillId="16" borderId="28" xfId="0" applyFont="1" applyFill="1" applyBorder="1" applyAlignment="1">
      <alignment horizontal="center" vertical="center" wrapText="1"/>
    </xf>
    <xf numFmtId="0" fontId="1" fillId="17" borderId="28" xfId="0" applyFont="1" applyFill="1" applyBorder="1" applyAlignment="1">
      <alignment horizontal="center" vertical="center" wrapText="1"/>
    </xf>
    <xf numFmtId="0" fontId="1" fillId="17" borderId="30" xfId="0" applyFont="1" applyFill="1" applyBorder="1" applyAlignment="1">
      <alignment horizontal="center" vertical="center" wrapText="1"/>
    </xf>
    <xf numFmtId="0" fontId="1" fillId="10" borderId="27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0" borderId="30" xfId="0" applyFont="1" applyFill="1" applyBorder="1" applyAlignment="1">
      <alignment horizontal="center" vertical="center" wrapText="1"/>
    </xf>
    <xf numFmtId="0" fontId="1" fillId="11" borderId="27" xfId="0" applyFont="1" applyFill="1" applyBorder="1" applyAlignment="1">
      <alignment horizontal="center" vertical="center" wrapText="1"/>
    </xf>
    <xf numFmtId="0" fontId="1" fillId="12" borderId="28" xfId="0" applyFont="1" applyFill="1" applyBorder="1" applyAlignment="1">
      <alignment horizontal="center" vertical="center" wrapText="1"/>
    </xf>
    <xf numFmtId="0" fontId="1" fillId="11" borderId="30" xfId="0" applyFont="1" applyFill="1" applyBorder="1" applyAlignment="1">
      <alignment horizontal="center" vertical="center" wrapText="1"/>
    </xf>
    <xf numFmtId="0" fontId="1" fillId="18" borderId="27" xfId="0" applyFont="1" applyFill="1" applyBorder="1" applyAlignment="1">
      <alignment horizontal="center" vertical="center" wrapText="1"/>
    </xf>
    <xf numFmtId="0" fontId="1" fillId="18" borderId="28" xfId="0" applyFont="1" applyFill="1" applyBorder="1" applyAlignment="1">
      <alignment horizontal="center" vertical="center" wrapText="1"/>
    </xf>
    <xf numFmtId="0" fontId="1" fillId="18" borderId="30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1" fontId="0" fillId="20" borderId="13" xfId="0" applyNumberFormat="1" applyFill="1" applyBorder="1"/>
    <xf numFmtId="0" fontId="0" fillId="20" borderId="13" xfId="0" applyFill="1" applyBorder="1"/>
    <xf numFmtId="1" fontId="0" fillId="20" borderId="14" xfId="0" applyNumberFormat="1" applyFill="1" applyBorder="1"/>
    <xf numFmtId="0" fontId="0" fillId="20" borderId="14" xfId="0" applyFill="1" applyBorder="1"/>
    <xf numFmtId="1" fontId="0" fillId="20" borderId="15" xfId="0" applyNumberFormat="1" applyFill="1" applyBorder="1"/>
    <xf numFmtId="0" fontId="0" fillId="20" borderId="15" xfId="0" applyFill="1" applyBorder="1"/>
    <xf numFmtId="0" fontId="5" fillId="11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 wrapText="1"/>
    </xf>
    <xf numFmtId="9" fontId="0" fillId="0" borderId="0" xfId="0" applyNumberFormat="1"/>
    <xf numFmtId="0" fontId="1" fillId="16" borderId="16" xfId="0" applyFont="1" applyFill="1" applyBorder="1" applyAlignment="1">
      <alignment horizontal="center" vertical="center" wrapText="1"/>
    </xf>
    <xf numFmtId="1" fontId="0" fillId="0" borderId="2" xfId="0" applyNumberFormat="1" applyBorder="1"/>
    <xf numFmtId="3" fontId="10" fillId="6" borderId="0" xfId="0" applyNumberFormat="1" applyFont="1" applyFill="1"/>
    <xf numFmtId="0" fontId="10" fillId="6" borderId="0" xfId="0" applyFont="1" applyFill="1"/>
    <xf numFmtId="14" fontId="10" fillId="6" borderId="0" xfId="0" applyNumberFormat="1" applyFont="1" applyFill="1"/>
    <xf numFmtId="0" fontId="10" fillId="6" borderId="0" xfId="0" applyFont="1" applyFill="1" applyAlignment="1">
      <alignment wrapText="1"/>
    </xf>
    <xf numFmtId="0" fontId="1" fillId="16" borderId="10" xfId="0" applyFont="1" applyFill="1" applyBorder="1" applyAlignment="1">
      <alignment horizontal="center" vertical="center" wrapText="1"/>
    </xf>
    <xf numFmtId="0" fontId="1" fillId="22" borderId="10" xfId="0" applyFont="1" applyFill="1" applyBorder="1" applyAlignment="1">
      <alignment horizontal="center" vertical="center" wrapText="1"/>
    </xf>
    <xf numFmtId="0" fontId="1" fillId="22" borderId="12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23" borderId="18" xfId="0" applyFont="1" applyFill="1" applyBorder="1" applyAlignment="1">
      <alignment horizontal="center" vertical="center" wrapText="1"/>
    </xf>
    <xf numFmtId="0" fontId="1" fillId="23" borderId="11" xfId="0" applyFont="1" applyFill="1" applyBorder="1" applyAlignment="1">
      <alignment horizontal="center" vertical="center" wrapText="1"/>
    </xf>
    <xf numFmtId="0" fontId="1" fillId="23" borderId="12" xfId="0" applyFont="1" applyFill="1" applyBorder="1" applyAlignment="1">
      <alignment horizontal="center" vertical="center" wrapText="1"/>
    </xf>
    <xf numFmtId="0" fontId="0" fillId="7" borderId="3" xfId="0" applyFill="1" applyBorder="1"/>
    <xf numFmtId="0" fontId="0" fillId="7" borderId="1" xfId="0" applyFill="1" applyBorder="1"/>
    <xf numFmtId="0" fontId="0" fillId="7" borderId="6" xfId="0" applyFill="1" applyBorder="1"/>
    <xf numFmtId="0" fontId="1" fillId="24" borderId="12" xfId="0" applyFont="1" applyFill="1" applyBorder="1" applyAlignment="1">
      <alignment horizontal="center" vertical="center" wrapText="1"/>
    </xf>
    <xf numFmtId="0" fontId="1" fillId="24" borderId="18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/>
    </xf>
    <xf numFmtId="14" fontId="0" fillId="0" borderId="22" xfId="0" applyNumberFormat="1" applyBorder="1"/>
    <xf numFmtId="14" fontId="0" fillId="0" borderId="23" xfId="0" applyNumberFormat="1" applyBorder="1"/>
    <xf numFmtId="14" fontId="0" fillId="0" borderId="24" xfId="0" applyNumberFormat="1" applyBorder="1"/>
    <xf numFmtId="14" fontId="0" fillId="0" borderId="43" xfId="0" applyNumberFormat="1" applyBorder="1"/>
    <xf numFmtId="14" fontId="0" fillId="0" borderId="44" xfId="0" applyNumberFormat="1" applyBorder="1"/>
    <xf numFmtId="0" fontId="1" fillId="16" borderId="45" xfId="0" applyFont="1" applyFill="1" applyBorder="1" applyAlignment="1">
      <alignment horizontal="center" vertical="center" wrapText="1"/>
    </xf>
    <xf numFmtId="0" fontId="1" fillId="16" borderId="46" xfId="0" applyFont="1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66" fontId="0" fillId="11" borderId="28" xfId="0" applyNumberFormat="1" applyFill="1" applyBorder="1" applyAlignment="1">
      <alignment horizontal="center" vertical="center" wrapText="1"/>
    </xf>
    <xf numFmtId="166" fontId="0" fillId="11" borderId="48" xfId="0" applyNumberFormat="1" applyFill="1" applyBorder="1" applyAlignment="1">
      <alignment horizontal="center" vertical="center" wrapText="1"/>
    </xf>
    <xf numFmtId="0" fontId="0" fillId="16" borderId="13" xfId="0" applyFill="1" applyBorder="1"/>
    <xf numFmtId="0" fontId="0" fillId="16" borderId="14" xfId="0" applyFill="1" applyBorder="1"/>
    <xf numFmtId="0" fontId="0" fillId="16" borderId="15" xfId="0" applyFill="1" applyBorder="1"/>
    <xf numFmtId="0" fontId="0" fillId="16" borderId="22" xfId="0" applyFill="1" applyBorder="1"/>
    <xf numFmtId="0" fontId="0" fillId="16" borderId="23" xfId="0" applyFill="1" applyBorder="1"/>
    <xf numFmtId="0" fontId="0" fillId="16" borderId="24" xfId="0" applyFill="1" applyBorder="1"/>
    <xf numFmtId="0" fontId="0" fillId="16" borderId="43" xfId="0" applyFill="1" applyBorder="1"/>
    <xf numFmtId="0" fontId="0" fillId="16" borderId="44" xfId="0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1" fillId="6" borderId="16" xfId="0" applyFont="1" applyFill="1" applyBorder="1" applyAlignment="1">
      <alignment horizontal="center" vertical="center" wrapText="1"/>
    </xf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0" fontId="0" fillId="10" borderId="13" xfId="0" applyFill="1" applyBorder="1"/>
    <xf numFmtId="0" fontId="0" fillId="10" borderId="14" xfId="0" applyFill="1" applyBorder="1"/>
    <xf numFmtId="0" fontId="0" fillId="10" borderId="15" xfId="0" applyFill="1" applyBorder="1"/>
    <xf numFmtId="0" fontId="0" fillId="16" borderId="26" xfId="0" applyFill="1" applyBorder="1"/>
    <xf numFmtId="0" fontId="0" fillId="16" borderId="35" xfId="0" applyFill="1" applyBorder="1"/>
    <xf numFmtId="0" fontId="0" fillId="16" borderId="38" xfId="0" applyFill="1" applyBorder="1"/>
    <xf numFmtId="0" fontId="0" fillId="16" borderId="0" xfId="0" applyFill="1"/>
    <xf numFmtId="0" fontId="0" fillId="0" borderId="0" xfId="0" applyAlignment="1">
      <alignment horizontal="left"/>
    </xf>
    <xf numFmtId="0" fontId="12" fillId="3" borderId="42" xfId="0" applyFont="1" applyFill="1" applyBorder="1" applyAlignment="1">
      <alignment horizontal="center"/>
    </xf>
    <xf numFmtId="0" fontId="12" fillId="3" borderId="45" xfId="0" applyFont="1" applyFill="1" applyBorder="1" applyAlignment="1">
      <alignment horizontal="center"/>
    </xf>
    <xf numFmtId="0" fontId="12" fillId="3" borderId="17" xfId="0" applyFont="1" applyFill="1" applyBorder="1" applyAlignment="1">
      <alignment horizontal="center"/>
    </xf>
    <xf numFmtId="0" fontId="7" fillId="2" borderId="56" xfId="0" applyFont="1" applyFill="1" applyBorder="1"/>
    <xf numFmtId="3" fontId="0" fillId="2" borderId="0" xfId="0" applyNumberFormat="1" applyFill="1" applyAlignment="1">
      <alignment horizontal="center"/>
    </xf>
    <xf numFmtId="9" fontId="0" fillId="2" borderId="57" xfId="1" applyFont="1" applyFill="1" applyBorder="1" applyAlignment="1">
      <alignment horizontal="center"/>
    </xf>
    <xf numFmtId="10" fontId="0" fillId="2" borderId="57" xfId="1" applyNumberFormat="1" applyFont="1" applyFill="1" applyBorder="1" applyAlignment="1">
      <alignment horizontal="center"/>
    </xf>
    <xf numFmtId="10" fontId="0" fillId="6" borderId="0" xfId="0" applyNumberFormat="1" applyFill="1" applyAlignment="1">
      <alignment horizontal="left"/>
    </xf>
    <xf numFmtId="10" fontId="0" fillId="6" borderId="0" xfId="1" applyNumberFormat="1" applyFont="1" applyFill="1" applyAlignment="1">
      <alignment horizontal="left"/>
    </xf>
    <xf numFmtId="0" fontId="7" fillId="2" borderId="58" xfId="0" applyFont="1" applyFill="1" applyBorder="1"/>
    <xf numFmtId="10" fontId="0" fillId="2" borderId="59" xfId="1" applyNumberFormat="1" applyFont="1" applyFill="1" applyBorder="1" applyAlignment="1">
      <alignment horizontal="center"/>
    </xf>
    <xf numFmtId="164" fontId="0" fillId="0" borderId="0" xfId="4" applyFont="1"/>
    <xf numFmtId="164" fontId="0" fillId="0" borderId="0" xfId="0" applyNumberFormat="1"/>
    <xf numFmtId="0" fontId="0" fillId="0" borderId="60" xfId="0" applyBorder="1"/>
    <xf numFmtId="0" fontId="0" fillId="4" borderId="33" xfId="0" applyFill="1" applyBorder="1"/>
    <xf numFmtId="1" fontId="0" fillId="20" borderId="33" xfId="0" applyNumberFormat="1" applyFill="1" applyBorder="1"/>
    <xf numFmtId="0" fontId="0" fillId="7" borderId="33" xfId="0" applyFill="1" applyBorder="1"/>
    <xf numFmtId="0" fontId="0" fillId="6" borderId="33" xfId="0" applyFill="1" applyBorder="1"/>
    <xf numFmtId="0" fontId="0" fillId="20" borderId="33" xfId="0" applyFill="1" applyBorder="1"/>
    <xf numFmtId="166" fontId="0" fillId="11" borderId="61" xfId="0" applyNumberFormat="1" applyFill="1" applyBorder="1" applyAlignment="1">
      <alignment horizontal="center" vertical="center" wrapText="1"/>
    </xf>
    <xf numFmtId="0" fontId="0" fillId="10" borderId="33" xfId="0" applyFill="1" applyBorder="1"/>
    <xf numFmtId="0" fontId="0" fillId="16" borderId="33" xfId="0" applyFill="1" applyBorder="1"/>
    <xf numFmtId="0" fontId="0" fillId="4" borderId="29" xfId="0" applyFill="1" applyBorder="1"/>
    <xf numFmtId="1" fontId="0" fillId="20" borderId="29" xfId="0" applyNumberFormat="1" applyFill="1" applyBorder="1"/>
    <xf numFmtId="0" fontId="0" fillId="7" borderId="29" xfId="0" applyFill="1" applyBorder="1"/>
    <xf numFmtId="0" fontId="0" fillId="6" borderId="29" xfId="0" applyFill="1" applyBorder="1"/>
    <xf numFmtId="0" fontId="0" fillId="20" borderId="29" xfId="0" applyFill="1" applyBorder="1"/>
    <xf numFmtId="0" fontId="0" fillId="10" borderId="29" xfId="0" applyFill="1" applyBorder="1"/>
    <xf numFmtId="0" fontId="0" fillId="16" borderId="29" xfId="0" applyFill="1" applyBorder="1"/>
    <xf numFmtId="0" fontId="0" fillId="16" borderId="47" xfId="0" applyFill="1" applyBorder="1"/>
    <xf numFmtId="0" fontId="0" fillId="16" borderId="62" xfId="0" applyFill="1" applyBorder="1"/>
    <xf numFmtId="0" fontId="0" fillId="16" borderId="59" xfId="0" applyFill="1" applyBorder="1"/>
    <xf numFmtId="168" fontId="0" fillId="0" borderId="0" xfId="4" applyNumberFormat="1" applyFont="1"/>
    <xf numFmtId="0" fontId="0" fillId="6" borderId="1" xfId="0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/>
    <xf numFmtId="165" fontId="0" fillId="6" borderId="1" xfId="0" applyNumberFormat="1" applyFill="1" applyBorder="1" applyAlignment="1">
      <alignment wrapText="1"/>
    </xf>
    <xf numFmtId="0" fontId="1" fillId="21" borderId="16" xfId="0" applyFont="1" applyFill="1" applyBorder="1" applyAlignment="1">
      <alignment horizontal="center" vertical="center" wrapText="1"/>
    </xf>
    <xf numFmtId="0" fontId="1" fillId="20" borderId="10" xfId="0" applyFont="1" applyFill="1" applyBorder="1" applyAlignment="1">
      <alignment horizontal="center" vertical="center" wrapText="1"/>
    </xf>
    <xf numFmtId="0" fontId="1" fillId="25" borderId="10" xfId="0" applyFont="1" applyFill="1" applyBorder="1" applyAlignment="1">
      <alignment horizontal="center" vertical="center" wrapText="1"/>
    </xf>
    <xf numFmtId="14" fontId="0" fillId="6" borderId="0" xfId="0" applyNumberFormat="1" applyFill="1" applyAlignment="1">
      <alignment horizontal="left"/>
    </xf>
    <xf numFmtId="0" fontId="7" fillId="10" borderId="16" xfId="0" applyFont="1" applyFill="1" applyBorder="1" applyAlignment="1">
      <alignment horizontal="center" vertical="center" wrapText="1"/>
    </xf>
    <xf numFmtId="0" fontId="0" fillId="20" borderId="46" xfId="0" applyFill="1" applyBorder="1"/>
    <xf numFmtId="0" fontId="0" fillId="20" borderId="63" xfId="0" applyFill="1" applyBorder="1"/>
    <xf numFmtId="0" fontId="0" fillId="20" borderId="1" xfId="0" applyFill="1" applyBorder="1"/>
    <xf numFmtId="0" fontId="0" fillId="4" borderId="46" xfId="0" applyFill="1" applyBorder="1"/>
    <xf numFmtId="0" fontId="0" fillId="4" borderId="1" xfId="0" applyFill="1" applyBorder="1"/>
    <xf numFmtId="0" fontId="0" fillId="4" borderId="3" xfId="0" applyFill="1" applyBorder="1"/>
    <xf numFmtId="0" fontId="0" fillId="20" borderId="7" xfId="0" applyFill="1" applyBorder="1"/>
    <xf numFmtId="0" fontId="0" fillId="20" borderId="8" xfId="0" applyFill="1" applyBorder="1"/>
    <xf numFmtId="0" fontId="0" fillId="4" borderId="6" xfId="0" applyFill="1" applyBorder="1"/>
    <xf numFmtId="0" fontId="0" fillId="20" borderId="9" xfId="0" applyFill="1" applyBorder="1"/>
    <xf numFmtId="0" fontId="0" fillId="4" borderId="63" xfId="0" applyFill="1" applyBorder="1"/>
    <xf numFmtId="166" fontId="0" fillId="0" borderId="0" xfId="0" applyNumberFormat="1"/>
    <xf numFmtId="14" fontId="0" fillId="6" borderId="0" xfId="0" applyNumberFormat="1" applyFill="1" applyAlignment="1">
      <alignment horizontal="center" vertical="center"/>
    </xf>
    <xf numFmtId="0" fontId="0" fillId="7" borderId="0" xfId="0" applyFill="1"/>
    <xf numFmtId="10" fontId="6" fillId="2" borderId="1" xfId="1" applyNumberFormat="1" applyFont="1" applyFill="1" applyBorder="1" applyAlignment="1">
      <alignment vertical="center"/>
    </xf>
    <xf numFmtId="10" fontId="6" fillId="2" borderId="1" xfId="1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center"/>
    </xf>
    <xf numFmtId="10" fontId="6" fillId="2" borderId="32" xfId="1" applyNumberFormat="1" applyFont="1" applyFill="1" applyBorder="1" applyAlignment="1">
      <alignment horizontal="center" vertical="center"/>
    </xf>
    <xf numFmtId="10" fontId="6" fillId="2" borderId="61" xfId="1" applyNumberFormat="1" applyFont="1" applyFill="1" applyBorder="1" applyAlignment="1">
      <alignment horizontal="center" vertical="center"/>
    </xf>
    <xf numFmtId="10" fontId="6" fillId="2" borderId="28" xfId="1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top" wrapText="1"/>
    </xf>
    <xf numFmtId="0" fontId="5" fillId="13" borderId="42" xfId="0" applyFont="1" applyFill="1" applyBorder="1" applyAlignment="1">
      <alignment horizontal="center"/>
    </xf>
    <xf numFmtId="0" fontId="5" fillId="13" borderId="25" xfId="0" applyFont="1" applyFill="1" applyBorder="1" applyAlignment="1">
      <alignment horizontal="center"/>
    </xf>
    <xf numFmtId="0" fontId="5" fillId="13" borderId="17" xfId="0" applyFont="1" applyFill="1" applyBorder="1" applyAlignment="1">
      <alignment horizontal="center"/>
    </xf>
    <xf numFmtId="0" fontId="5" fillId="14" borderId="42" xfId="0" applyFont="1" applyFill="1" applyBorder="1" applyAlignment="1">
      <alignment horizontal="center"/>
    </xf>
    <xf numFmtId="0" fontId="5" fillId="14" borderId="25" xfId="0" applyFont="1" applyFill="1" applyBorder="1" applyAlignment="1">
      <alignment horizontal="center"/>
    </xf>
    <xf numFmtId="0" fontId="5" fillId="14" borderId="17" xfId="0" applyFont="1" applyFill="1" applyBorder="1" applyAlignment="1">
      <alignment horizontal="center"/>
    </xf>
    <xf numFmtId="0" fontId="5" fillId="15" borderId="42" xfId="0" applyFont="1" applyFill="1" applyBorder="1" applyAlignment="1">
      <alignment horizontal="center"/>
    </xf>
    <xf numFmtId="0" fontId="5" fillId="15" borderId="25" xfId="0" applyFont="1" applyFill="1" applyBorder="1" applyAlignment="1">
      <alignment horizontal="center"/>
    </xf>
    <xf numFmtId="0" fontId="5" fillId="15" borderId="17" xfId="0" applyFont="1" applyFill="1" applyBorder="1" applyAlignment="1">
      <alignment horizontal="center"/>
    </xf>
    <xf numFmtId="0" fontId="5" fillId="5" borderId="42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47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52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0" borderId="54" xfId="0" applyFont="1" applyBorder="1" applyAlignment="1">
      <alignment horizontal="center"/>
    </xf>
    <xf numFmtId="0" fontId="11" fillId="0" borderId="55" xfId="0" applyFont="1" applyBorder="1" applyAlignment="1">
      <alignment horizont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0" fillId="4" borderId="38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20" borderId="38" xfId="0" applyFill="1" applyBorder="1" applyAlignment="1">
      <alignment horizontal="center"/>
    </xf>
    <xf numFmtId="0" fontId="0" fillId="15" borderId="38" xfId="0" applyFill="1" applyBorder="1" applyAlignment="1">
      <alignment horizontal="center"/>
    </xf>
    <xf numFmtId="0" fontId="0" fillId="10" borderId="38" xfId="0" applyFill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62" xfId="0" applyFont="1" applyBorder="1" applyAlignment="1">
      <alignment horizontal="center"/>
    </xf>
  </cellXfs>
  <cellStyles count="5">
    <cellStyle name="Millares" xfId="2" builtinId="3"/>
    <cellStyle name="Moneda" xfId="4" builtinId="4"/>
    <cellStyle name="Moneda 2" xfId="3" xr:uid="{AEB47FBF-CF11-47EA-AB71-628E60BDE78E}"/>
    <cellStyle name="Normal" xfId="0" builtinId="0"/>
    <cellStyle name="Porcentaje" xfId="1" builtinId="5"/>
  </cellStyles>
  <dxfs count="72"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  <alignment horizontal="center" vertical="center" wrapText="1"/>
    </dxf>
    <dxf>
      <alignment wrapText="1"/>
    </dxf>
    <dxf>
      <fill>
        <patternFill>
          <fgColor theme="9" tint="0.79998168889431442"/>
        </patternFill>
      </fill>
      <alignment horizontal="center" vertical="center" wrapText="1"/>
    </dxf>
    <dxf>
      <numFmt numFmtId="3" formatCode="#,##0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numFmt numFmtId="19" formatCode="d/mm/yyyy"/>
    </dxf>
    <dxf>
      <numFmt numFmtId="19" formatCode="d/mm/yyyy"/>
    </dxf>
    <dxf>
      <alignment wrapText="1"/>
    </dxf>
    <dxf>
      <alignment wrapText="1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"/>
    </dxf>
    <dxf>
      <alignment vertical="center"/>
    </dxf>
    <dxf>
      <alignment vertical="center"/>
    </dxf>
    <dxf>
      <alignment horizontal="center"/>
    </dxf>
    <dxf>
      <alignment wrapText="1"/>
    </dxf>
    <dxf>
      <numFmt numFmtId="3" formatCode="#,##0"/>
    </dxf>
    <dxf>
      <numFmt numFmtId="167" formatCode="_-* #,##0_-;\-* #,##0_-;_-* &quot;-&quot;??_-;_-@_-"/>
    </dxf>
    <dxf>
      <numFmt numFmtId="165" formatCode="#,##0.0"/>
    </dxf>
    <dxf>
      <numFmt numFmtId="165" formatCode="#,##0.0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3" formatCode="#,##0"/>
    </dxf>
    <dxf>
      <numFmt numFmtId="3" formatCode="#,##0"/>
    </dxf>
    <dxf>
      <numFmt numFmtId="3" formatCode="#,##0"/>
    </dxf>
    <dxf>
      <numFmt numFmtId="13" formatCode="0%"/>
    </dxf>
    <dxf>
      <numFmt numFmtId="165" formatCode="#,##0.0"/>
    </dxf>
    <dxf>
      <numFmt numFmtId="3" formatCode="#,##0"/>
    </dxf>
    <dxf>
      <numFmt numFmtId="3" formatCode="#,##0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</dxfs>
  <tableStyles count="0" defaultTableStyle="TableStyleMedium2" defaultPivotStyle="PivotStyleLight16"/>
  <colors>
    <mruColors>
      <color rgb="FFFF99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07/relationships/slicerCache" Target="slicerCaches/slicerCache3.xml"/><Relationship Id="rId4" Type="http://schemas.openxmlformats.org/officeDocument/2006/relationships/externalLink" Target="externalLinks/externalLink1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[Contadores PTAR FUNZA MARZO 2026 1.xlsx]DASH BH!TablaDinámica1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HIDRICO</a:t>
            </a:r>
            <a:r>
              <a:rPr lang="es-CO" baseline="0"/>
              <a:t> FUNZA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  <c:dLbl>
          <c:idx val="0"/>
          <c:spPr>
            <a:solidFill>
              <a:schemeClr val="accent1">
                <a:lumMod val="20000"/>
                <a:lumOff val="80000"/>
                <a:alpha val="62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2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2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3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6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3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noFill/>
            </a:ln>
            <a:effectLst/>
          </c:spPr>
        </c:marker>
      </c:pivotFmt>
      <c:pivotFmt>
        <c:idx val="43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noFill/>
            </a:ln>
            <a:effectLst/>
          </c:spPr>
        </c:marker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noFill/>
            </a:ln>
            <a:effectLst/>
          </c:spPr>
        </c:marker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</c:pivotFmts>
    <c:plotArea>
      <c:layout>
        <c:manualLayout>
          <c:layoutTarget val="inner"/>
          <c:xMode val="edge"/>
          <c:yMode val="edge"/>
          <c:x val="0.17243216455642768"/>
          <c:y val="0.14188092095615196"/>
          <c:w val="0.8202239069352707"/>
          <c:h val="0.5787479102507698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'DASH BH'!$O$5</c:f>
              <c:strCache>
                <c:ptCount val="1"/>
                <c:pt idx="0">
                  <c:v> VOLUMEN DE PTAP ENVIADO A PLANTA DE PRODUCCIÓN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09-4998-91B7-928DDF88408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96AF-4175-9A4E-A6B6E00B774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D09-4998-91B7-928DDF88408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96AF-4175-9A4E-A6B6E00B7741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D09-4998-91B7-928DDF884086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2-96AF-4175-9A4E-A6B6E00B77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BH'!$M$6:$M$37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BH'!$O$6:$O$37</c:f>
              <c:numCache>
                <c:formatCode>#,##0</c:formatCode>
                <c:ptCount val="31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2E-42C5-BE24-E394EC766421}"/>
            </c:ext>
          </c:extLst>
        </c:ser>
        <c:ser>
          <c:idx val="2"/>
          <c:order val="2"/>
          <c:tx>
            <c:strRef>
              <c:f>'DASH BH'!$P$5</c:f>
              <c:strCache>
                <c:ptCount val="1"/>
                <c:pt idx="0">
                  <c:v> VOLUMEN POTABLE CARROTANQUES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DD09-4998-91B7-928DDF884086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DD09-4998-91B7-928DDF884086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DD09-4998-91B7-928DDF884086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DD09-4998-91B7-928DDF884086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DD09-4998-91B7-928DDF8840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BH'!$M$6:$M$37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BH'!$P$6:$P$37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2E-42C5-BE24-E394EC766421}"/>
            </c:ext>
          </c:extLst>
        </c:ser>
        <c:ser>
          <c:idx val="3"/>
          <c:order val="3"/>
          <c:tx>
            <c:strRef>
              <c:f>'DASH BH'!$Q$5</c:f>
              <c:strCache>
                <c:ptCount val="1"/>
                <c:pt idx="0">
                  <c:v>  VOLUMEN PERMEADO RO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DD09-4998-91B7-928DDF88408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DD09-4998-91B7-928DDF88408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DD09-4998-91B7-928DDF88408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DD09-4998-91B7-928DDF88408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DD09-4998-91B7-928DDF88408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DD09-4998-91B7-928DDF88408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DD09-4998-91B7-928DDF88408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DD09-4998-91B7-928DDF88408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DD09-4998-91B7-928DDF884086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DD09-4998-91B7-928DDF884086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DD09-4998-91B7-928DDF884086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DD09-4998-91B7-928DDF884086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DD09-4998-91B7-928DDF884086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DD09-4998-91B7-928DDF884086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DD09-4998-91B7-928DDF884086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DD09-4998-91B7-928DDF884086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DD09-4998-91B7-928DDF884086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DD09-4998-91B7-928DDF884086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DD09-4998-91B7-928DDF8840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BH'!$M$6:$M$37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BH'!$Q$6:$Q$37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F-4175-9A4E-A6B6E00B77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7659560"/>
        <c:axId val="557661360"/>
      </c:barChart>
      <c:lineChart>
        <c:grouping val="standard"/>
        <c:varyColors val="0"/>
        <c:ser>
          <c:idx val="0"/>
          <c:order val="0"/>
          <c:tx>
            <c:strRef>
              <c:f>'DASH BH'!$N$5</c:f>
              <c:strCache>
                <c:ptCount val="1"/>
                <c:pt idx="0">
                  <c:v> VOLUMEN REPORTE CONSUMIDO PRODUCCIÓN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DD09-4998-91B7-928DDF884086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DD09-4998-91B7-928DDF884086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DD09-4998-91B7-928DDF884086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DD09-4998-91B7-928DDF884086}"/>
              </c:ext>
            </c:extLst>
          </c:dPt>
          <c:dLbls>
            <c:spPr>
              <a:solidFill>
                <a:schemeClr val="accent1">
                  <a:lumMod val="20000"/>
                  <a:lumOff val="80000"/>
                  <a:alpha val="62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BH'!$M$6:$M$37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BH'!$N$6:$N$37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E-42C5-BE24-E394EC766421}"/>
            </c:ext>
          </c:extLst>
        </c:ser>
        <c:ser>
          <c:idx val="4"/>
          <c:order val="4"/>
          <c:tx>
            <c:strRef>
              <c:f>'DASH BH'!$R$5</c:f>
              <c:strCache>
                <c:ptCount val="1"/>
                <c:pt idx="0">
                  <c:v>  VOLUMEN REAL ENVIADO A PRODUCCIÓN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DD09-4998-91B7-928DDF884086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DD09-4998-91B7-928DDF8840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BH'!$M$6:$M$37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BH'!$R$6:$R$37</c:f>
              <c:numCache>
                <c:formatCode>#,##0</c:formatCode>
                <c:ptCount val="31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AF-4175-9A4E-A6B6E00B77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7659560"/>
        <c:axId val="557661360"/>
      </c:lineChart>
      <c:catAx>
        <c:axId val="55765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7661360"/>
        <c:crosses val="autoZero"/>
        <c:auto val="1"/>
        <c:lblAlgn val="ctr"/>
        <c:lblOffset val="100"/>
        <c:noMultiLvlLbl val="0"/>
      </c:catAx>
      <c:valAx>
        <c:axId val="55766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76595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[Contadores PTAR FUNZA MARZO 2026 1.xlsx]DASH BH!TablaDinámica4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 vs VOLUMEN CONSUMO AGUA</a:t>
            </a:r>
            <a:r>
              <a:rPr lang="es-CO" baseline="0"/>
              <a:t> (m3)</a:t>
            </a:r>
            <a:r>
              <a:rPr lang="es-CO"/>
              <a:t> </a:t>
            </a:r>
            <a:r>
              <a:rPr lang="es-CO" baseline="0"/>
              <a:t>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rgbClr val="FF0000"/>
            </a:solidFill>
            <a:prstDash val="sysDot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9525">
            <a:solidFill>
              <a:srgbClr val="FF0000"/>
            </a:solidFill>
            <a:prstDash val="sysDash"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rgbClr val="00B050">
                  <a:alpha val="99000"/>
                </a:srgb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FF0000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'DASH BH'!$W$3</c:f>
              <c:strCache>
                <c:ptCount val="1"/>
                <c:pt idx="0">
                  <c:v>  VOLUMEN REAL ENVIADO A PRODUCCIÓN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BH'!$U$4:$U$35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BH'!$W$4:$W$35</c:f>
              <c:numCache>
                <c:formatCode>General</c:formatCode>
                <c:ptCount val="31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65-492E-B86F-5DA635C54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4195248"/>
        <c:axId val="614194528"/>
      </c:barChart>
      <c:lineChart>
        <c:grouping val="standard"/>
        <c:varyColors val="0"/>
        <c:ser>
          <c:idx val="0"/>
          <c:order val="0"/>
          <c:tx>
            <c:strRef>
              <c:f>'DASH BH'!$V$3</c:f>
              <c:strCache>
                <c:ptCount val="1"/>
                <c:pt idx="0">
                  <c:v> INDICADOR DIA PRODUCCIÓN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rgbClr val="00B050">
                    <a:alpha val="99000"/>
                  </a:srgbClr>
                </a:solidFill>
              </a:ln>
              <a:effectLst/>
            </c:spPr>
          </c:marker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BH'!$U$4:$U$35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BH'!$V$4:$V$35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111.11111111111111</c:v>
                </c:pt>
                <c:pt idx="19">
                  <c:v>83.333333333333329</c:v>
                </c:pt>
                <c:pt idx="20">
                  <c:v>41.666666666666664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55.555555555555557</c:v>
                </c:pt>
                <c:pt idx="25">
                  <c:v>78.94736842105263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65-492E-B86F-5DA635C5431A}"/>
            </c:ext>
          </c:extLst>
        </c:ser>
        <c:ser>
          <c:idx val="2"/>
          <c:order val="2"/>
          <c:tx>
            <c:strRef>
              <c:f>'DASH BH'!$X$3</c:f>
              <c:strCache>
                <c:ptCount val="1"/>
                <c:pt idx="0">
                  <c:v>Mín. de PROMEDIO MIN INDICADOR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'DASH BH'!$U$4:$U$35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BH'!$X$4:$X$35</c:f>
              <c:numCache>
                <c:formatCode>General</c:formatCode>
                <c:ptCount val="31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DB-4DCC-9364-E69DFE9E8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58512"/>
        <c:axId val="199074352"/>
      </c:lineChart>
      <c:valAx>
        <c:axId val="6141945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4195248"/>
        <c:crosses val="max"/>
        <c:crossBetween val="between"/>
      </c:valAx>
      <c:catAx>
        <c:axId val="614195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4194528"/>
        <c:crosses val="autoZero"/>
        <c:auto val="1"/>
        <c:lblAlgn val="ctr"/>
        <c:lblOffset val="100"/>
        <c:noMultiLvlLbl val="0"/>
      </c:catAx>
      <c:valAx>
        <c:axId val="199074352"/>
        <c:scaling>
          <c:orientation val="minMax"/>
          <c:max val="120"/>
        </c:scaling>
        <c:delete val="0"/>
        <c:axPos val="l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058512"/>
        <c:crosses val="autoZero"/>
        <c:crossBetween val="between"/>
      </c:valAx>
      <c:catAx>
        <c:axId val="199058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074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[Contadores PTAR FUNZA MARZO 2026 1.xlsx]DASH BH!TablaDinámica5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</a:t>
            </a:r>
            <a:r>
              <a:rPr lang="es-CO" baseline="0"/>
              <a:t> vs Kg TEÑIDOS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40000"/>
                <a:lumOff val="60000"/>
                <a:alpha val="78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58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FF0000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BH'!$AB$3</c:f>
              <c:strCache>
                <c:ptCount val="1"/>
                <c:pt idx="0">
                  <c:v>  TOTAL KG TEÑIDOS MS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BH'!$AA$4:$AA$35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BH'!$AB$4:$AB$35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20</c:v>
                </c:pt>
                <c:pt idx="17">
                  <c:v>0</c:v>
                </c:pt>
                <c:pt idx="18">
                  <c:v>18</c:v>
                </c:pt>
                <c:pt idx="19">
                  <c:v>36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36</c:v>
                </c:pt>
                <c:pt idx="25">
                  <c:v>38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2-432D-A938-430C027BC7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17926176"/>
        <c:axId val="617925816"/>
      </c:barChart>
      <c:lineChart>
        <c:grouping val="standard"/>
        <c:varyColors val="0"/>
        <c:ser>
          <c:idx val="1"/>
          <c:order val="1"/>
          <c:tx>
            <c:strRef>
              <c:f>'DASH BH'!$AC$3</c:f>
              <c:strCache>
                <c:ptCount val="1"/>
                <c:pt idx="0">
                  <c:v>  INDICADOR CONSUMO DIA (L/Kg)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spPr>
              <a:solidFill>
                <a:schemeClr val="accent6">
                  <a:lumMod val="40000"/>
                  <a:lumOff val="60000"/>
                  <a:alpha val="7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BH'!$AA$4:$AA$35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BH'!$AC$4:$AC$35</c:f>
              <c:numCache>
                <c:formatCode>#,##0.0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111.11111111111111</c:v>
                </c:pt>
                <c:pt idx="19">
                  <c:v>83.333333333333329</c:v>
                </c:pt>
                <c:pt idx="20">
                  <c:v>41.666666666666664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55.555555555555557</c:v>
                </c:pt>
                <c:pt idx="25">
                  <c:v>78.94736842105263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2-432D-A938-430C027BC70C}"/>
            </c:ext>
          </c:extLst>
        </c:ser>
        <c:ser>
          <c:idx val="2"/>
          <c:order val="2"/>
          <c:tx>
            <c:strRef>
              <c:f>'DASH BH'!$AD$3</c:f>
              <c:strCache>
                <c:ptCount val="1"/>
                <c:pt idx="0">
                  <c:v>Promedio de PROMEDIO MIN INDICADOR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'DASH BH'!$AA$4:$AA$35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BH'!$AD$4:$AD$35</c:f>
              <c:numCache>
                <c:formatCode>General</c:formatCode>
                <c:ptCount val="31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F5-467D-AB8A-45489E3BB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37488"/>
        <c:axId val="36434128"/>
      </c:lineChart>
      <c:valAx>
        <c:axId val="61792581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7926176"/>
        <c:crosses val="max"/>
        <c:crossBetween val="between"/>
      </c:valAx>
      <c:catAx>
        <c:axId val="61792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7925816"/>
        <c:crosses val="autoZero"/>
        <c:auto val="1"/>
        <c:lblAlgn val="ctr"/>
        <c:lblOffset val="100"/>
        <c:noMultiLvlLbl val="0"/>
      </c:catAx>
      <c:valAx>
        <c:axId val="36434128"/>
        <c:scaling>
          <c:orientation val="minMax"/>
          <c:max val="120"/>
        </c:scaling>
        <c:delete val="0"/>
        <c:axPos val="l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437488"/>
        <c:crosses val="autoZero"/>
        <c:crossBetween val="between"/>
      </c:valAx>
      <c:catAx>
        <c:axId val="36437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434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[Contadores PTAR FUNZA MARZO 2026 1.xlsx]DASH BH!TablaDinámica2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VOLUMEN</a:t>
            </a:r>
            <a:r>
              <a:rPr lang="es-CO" baseline="0"/>
              <a:t> ENVIADO A PRODUCCIÓN Vs MULAS AGUA RESIDUAL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3">
                <a:lumMod val="75000"/>
              </a:schemeClr>
            </a:solidFill>
          </a:ln>
          <a:effectLst/>
        </c:spPr>
        <c:marker>
          <c:symbol val="circle"/>
          <c:size val="5"/>
          <c:spPr>
            <a:solidFill>
              <a:schemeClr val="accent3">
                <a:lumMod val="20000"/>
                <a:lumOff val="80000"/>
              </a:schemeClr>
            </a:solidFill>
            <a:ln w="9525">
              <a:solidFill>
                <a:schemeClr val="accent3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2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accent1">
                <a:alpha val="0"/>
              </a:schemeClr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accent1">
                <a:alpha val="0"/>
              </a:schemeClr>
            </a:solidFill>
          </a:ln>
          <a:effectLst/>
        </c:spPr>
        <c:marker>
          <c:symbol val="circle"/>
          <c:size val="5"/>
          <c:spPr>
            <a:noFill/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chemeClr val="accent3">
                <a:lumMod val="75000"/>
              </a:schemeClr>
            </a:solidFill>
          </a:ln>
          <a:effectLst/>
        </c:spPr>
        <c:marker>
          <c:symbol val="circle"/>
          <c:size val="5"/>
          <c:spPr>
            <a:solidFill>
              <a:schemeClr val="bg1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tx2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"/>
        <c:spPr>
          <a:ln w="28575" cap="rnd">
            <a:solidFill>
              <a:schemeClr val="tx2"/>
            </a:solidFill>
            <a:round/>
          </a:ln>
          <a:effectLst/>
        </c:spPr>
        <c:marker>
          <c:symbol val="circle"/>
          <c:size val="5"/>
          <c:spPr>
            <a:solidFill>
              <a:schemeClr val="tx2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'DASH BH'!$AH$3</c:f>
              <c:strCache>
                <c:ptCount val="1"/>
                <c:pt idx="0">
                  <c:v>VOLUMEN EXTRAIDO PTAP 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BH'!$AF$4:$AF$35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BH'!$AH$4:$AH$35</c:f>
              <c:numCache>
                <c:formatCode>#,##0</c:formatCode>
                <c:ptCount val="31"/>
                <c:pt idx="0">
                  <c:v>0</c:v>
                </c:pt>
                <c:pt idx="1">
                  <c:v>46</c:v>
                </c:pt>
                <c:pt idx="2">
                  <c:v>99</c:v>
                </c:pt>
                <c:pt idx="3">
                  <c:v>53</c:v>
                </c:pt>
                <c:pt idx="4">
                  <c:v>50</c:v>
                </c:pt>
                <c:pt idx="5">
                  <c:v>0</c:v>
                </c:pt>
                <c:pt idx="6">
                  <c:v>20</c:v>
                </c:pt>
                <c:pt idx="7">
                  <c:v>0</c:v>
                </c:pt>
                <c:pt idx="8">
                  <c:v>41</c:v>
                </c:pt>
                <c:pt idx="9">
                  <c:v>53</c:v>
                </c:pt>
                <c:pt idx="10">
                  <c:v>62</c:v>
                </c:pt>
                <c:pt idx="11">
                  <c:v>39</c:v>
                </c:pt>
                <c:pt idx="12">
                  <c:v>54</c:v>
                </c:pt>
                <c:pt idx="13">
                  <c:v>42</c:v>
                </c:pt>
                <c:pt idx="14">
                  <c:v>0</c:v>
                </c:pt>
                <c:pt idx="15">
                  <c:v>48</c:v>
                </c:pt>
                <c:pt idx="16">
                  <c:v>68</c:v>
                </c:pt>
                <c:pt idx="17">
                  <c:v>54</c:v>
                </c:pt>
                <c:pt idx="18">
                  <c:v>94</c:v>
                </c:pt>
                <c:pt idx="19">
                  <c:v>70</c:v>
                </c:pt>
                <c:pt idx="20">
                  <c:v>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53</c:v>
                </c:pt>
                <c:pt idx="3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7D-4391-A0E4-48EC46C89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72719903"/>
        <c:axId val="672716543"/>
      </c:barChart>
      <c:lineChart>
        <c:grouping val="standard"/>
        <c:varyColors val="0"/>
        <c:ser>
          <c:idx val="0"/>
          <c:order val="0"/>
          <c:tx>
            <c:strRef>
              <c:f>'DASH BH'!$AG$3</c:f>
              <c:strCache>
                <c:ptCount val="1"/>
                <c:pt idx="0">
                  <c:v> VOLUMEN ENVIO MULAS RESIDUAL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BH'!$AF$4:$AF$35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BH'!$AG$4:$AG$35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F-4457-8474-C26B1D092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2719903"/>
        <c:axId val="672716543"/>
      </c:lineChart>
      <c:lineChart>
        <c:grouping val="standard"/>
        <c:varyColors val="0"/>
        <c:ser>
          <c:idx val="2"/>
          <c:order val="2"/>
          <c:tx>
            <c:strRef>
              <c:f>'DASH BH'!$AI$3</c:f>
              <c:strCache>
                <c:ptCount val="1"/>
                <c:pt idx="0">
                  <c:v>Numero de Viajes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BH'!$AF$4:$AF$35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BH'!$AI$4:$AI$35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42-414E-B4F1-F334C5131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9758112"/>
        <c:axId val="1969756192"/>
      </c:lineChart>
      <c:catAx>
        <c:axId val="6727199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72716543"/>
        <c:crosses val="autoZero"/>
        <c:auto val="1"/>
        <c:lblAlgn val="ctr"/>
        <c:lblOffset val="100"/>
        <c:noMultiLvlLbl val="0"/>
      </c:catAx>
      <c:valAx>
        <c:axId val="67271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72719903"/>
        <c:crosses val="autoZero"/>
        <c:crossBetween val="between"/>
      </c:valAx>
      <c:valAx>
        <c:axId val="1969756192"/>
        <c:scaling>
          <c:orientation val="minMax"/>
          <c:max val="8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9758112"/>
        <c:crosses val="max"/>
        <c:crossBetween val="between"/>
      </c:valAx>
      <c:catAx>
        <c:axId val="1969758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975619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[Contadores PTAR FUNZA MARZO 2026 1.xlsx]DASH BH!TablaDinámica3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KG PROCESADOS VS KG CON</a:t>
            </a:r>
            <a:r>
              <a:rPr lang="es-CO" baseline="0"/>
              <a:t> ERBATECH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solidFill>
              <a:schemeClr val="bg2">
                <a:alpha val="6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6.0955995967909363E-2"/>
          <c:y val="0.18649250601893802"/>
          <c:w val="0.89791451508455988"/>
          <c:h val="0.604705328629617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 BH'!$AO$3</c:f>
              <c:strCache>
                <c:ptCount val="1"/>
                <c:pt idx="0">
                  <c:v>  TOTAL KG PROCESADOS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BH'!$AN$4:$AN$35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BH'!$AO$4:$AO$35</c:f>
              <c:numCache>
                <c:formatCode>_-* #,##0_-;\-* #,##0_-;_-*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20</c:v>
                </c:pt>
                <c:pt idx="17">
                  <c:v>0</c:v>
                </c:pt>
                <c:pt idx="18">
                  <c:v>18</c:v>
                </c:pt>
                <c:pt idx="19">
                  <c:v>36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36</c:v>
                </c:pt>
                <c:pt idx="25">
                  <c:v>38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8-4035-B980-7142EC3194B1}"/>
            </c:ext>
          </c:extLst>
        </c:ser>
        <c:ser>
          <c:idx val="1"/>
          <c:order val="1"/>
          <c:tx>
            <c:strRef>
              <c:f>'DASH BH'!$AP$3</c:f>
              <c:strCache>
                <c:ptCount val="1"/>
                <c:pt idx="0">
                  <c:v> TOTAL KG + ERBATECH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BH'!$AN$4:$AN$35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BH'!$AP$4:$AP$35</c:f>
              <c:numCache>
                <c:formatCode>_-* #,##0_-;\-* #,##0_-;_-* "-"??_-;_-@_-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1-36F8-4035-B980-7142EC3194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46747807"/>
        <c:axId val="2046757407"/>
      </c:barChart>
      <c:lineChart>
        <c:grouping val="standard"/>
        <c:varyColors val="0"/>
        <c:ser>
          <c:idx val="2"/>
          <c:order val="2"/>
          <c:tx>
            <c:strRef>
              <c:f>'DASH BH'!$AQ$3</c:f>
              <c:strCache>
                <c:ptCount val="1"/>
                <c:pt idx="0">
                  <c:v>KG ERBATECH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21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A9-4050-AB01-0B8362870756}"/>
              </c:ext>
            </c:extLst>
          </c:dPt>
          <c:dLbls>
            <c:spPr>
              <a:solidFill>
                <a:schemeClr val="bg2">
                  <a:alpha val="6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BH'!$AN$4:$AN$35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BH'!$AQ$4:$AQ$35</c:f>
              <c:numCache>
                <c:formatCode>_-* #,##0_-;\-* #,##0_-;_-* "-"??_-;_-@_-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-20</c:v>
                </c:pt>
                <c:pt idx="17">
                  <c:v>0</c:v>
                </c:pt>
                <c:pt idx="18">
                  <c:v>-18</c:v>
                </c:pt>
                <c:pt idx="19">
                  <c:v>-36</c:v>
                </c:pt>
                <c:pt idx="20">
                  <c:v>-24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-36</c:v>
                </c:pt>
                <c:pt idx="25">
                  <c:v>-38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DB-4DE5-9D05-423C0DBC4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769648"/>
        <c:axId val="604768208"/>
      </c:lineChart>
      <c:catAx>
        <c:axId val="2046747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DIA (FEBRERO)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6757407"/>
        <c:crosses val="autoZero"/>
        <c:auto val="1"/>
        <c:lblAlgn val="ctr"/>
        <c:lblOffset val="100"/>
        <c:noMultiLvlLbl val="0"/>
      </c:catAx>
      <c:valAx>
        <c:axId val="204675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 TEÑIDOS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6747807"/>
        <c:crosses val="autoZero"/>
        <c:crossBetween val="between"/>
      </c:valAx>
      <c:valAx>
        <c:axId val="604768208"/>
        <c:scaling>
          <c:orientation val="minMax"/>
          <c:max val="14000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4769648"/>
        <c:crosses val="max"/>
        <c:crossBetween val="between"/>
      </c:valAx>
      <c:catAx>
        <c:axId val="604769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4768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</a:t>
            </a:r>
            <a:r>
              <a:rPr lang="es-CO" baseline="0"/>
              <a:t> HIDRICO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332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14"/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1C7E-45ED-9E30-73F92AC155D4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1C7E-45ED-9E30-73F92AC155D4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C7E-45ED-9E30-73F92AC155D4}"/>
              </c:ext>
            </c:extLst>
          </c:dPt>
          <c:dLbls>
            <c:dLbl>
              <c:idx val="1"/>
              <c:layout>
                <c:manualLayout>
                  <c:x val="2.0443122131385944E-3"/>
                  <c:y val="4.48206006756312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7E-45ED-9E30-73F92AC155D4}"/>
                </c:ext>
              </c:extLst>
            </c:dLbl>
            <c:numFmt formatCode="0.00%" sourceLinked="0"/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 BH'!$B$114:$B$116</c:f>
              <c:strCache>
                <c:ptCount val="3"/>
                <c:pt idx="0">
                  <c:v> VOLUMEN PTAP ENVIADO A PRODUCCIÓN</c:v>
                </c:pt>
                <c:pt idx="1">
                  <c:v> VOLUMEN POTABLE CARROTANQUES</c:v>
                </c:pt>
                <c:pt idx="2">
                  <c:v>  VOLUMEN PERMEADO RO</c:v>
                </c:pt>
              </c:strCache>
            </c:strRef>
          </c:cat>
          <c:val>
            <c:numRef>
              <c:f>'DASH BH'!$C$114:$C$116</c:f>
              <c:numCache>
                <c:formatCode>_-* #,##0_-;\-* #,##0_-;_-* "-"??_-;_-@_-</c:formatCode>
                <c:ptCount val="3"/>
                <c:pt idx="0">
                  <c:v>42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E-45ED-9E30-73F92AC155D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D2E-4738-AF0D-8342CA93C0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D2E-4738-AF0D-8342CA93C0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FD2E-4738-AF0D-8342CA93C0C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 BH'!$B$114:$B$116</c:f>
              <c:strCache>
                <c:ptCount val="3"/>
                <c:pt idx="0">
                  <c:v> VOLUMEN PTAP ENVIADO A PRODUCCIÓN</c:v>
                </c:pt>
                <c:pt idx="1">
                  <c:v> VOLUMEN POTABLE CARROTANQUES</c:v>
                </c:pt>
                <c:pt idx="2">
                  <c:v>  VOLUMEN PERMEADO RO</c:v>
                </c:pt>
              </c:strCache>
            </c:strRef>
          </c:cat>
          <c:val>
            <c:numRef>
              <c:f>'DASH BH'!$D$114:$D$116</c:f>
              <c:numCache>
                <c:formatCode>0.00%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7E-45ED-9E30-73F92AC155D4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[Contadores PTAR FUNZA MARZO 2026 1.xlsx]DASH BH!TablaDinámica6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GLOBAL 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>
                <a:lumMod val="75000"/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noFill/>
            <a:ln w="9525">
              <a:solidFill>
                <a:schemeClr val="accent1">
                  <a:lumMod val="75000"/>
                  <a:alpha val="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>
                <a:lumMod val="60000"/>
                <a:lumOff val="40000"/>
              </a:schemeClr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40000"/>
                <a:lumOff val="60000"/>
              </a:schemeClr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'DASH BH'!$AU$4</c:f>
              <c:strCache>
                <c:ptCount val="1"/>
                <c:pt idx="0">
                  <c:v>VOLUMEN PERMEADO RO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BH'!$AS$5:$AS$36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BH'!$AU$5:$AU$36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2F-410E-AC9F-EFF9F0549031}"/>
            </c:ext>
          </c:extLst>
        </c:ser>
        <c:ser>
          <c:idx val="2"/>
          <c:order val="2"/>
          <c:tx>
            <c:strRef>
              <c:f>'DASH BH'!$AV$4</c:f>
              <c:strCache>
                <c:ptCount val="1"/>
                <c:pt idx="0">
                  <c:v>VOLUMEN RECHAZO RO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BH'!$AS$5:$AS$36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BH'!$AV$5:$AV$36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2F-410E-AC9F-EFF9F0549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06426079"/>
        <c:axId val="1406434719"/>
      </c:barChart>
      <c:lineChart>
        <c:grouping val="standard"/>
        <c:varyColors val="0"/>
        <c:ser>
          <c:idx val="0"/>
          <c:order val="0"/>
          <c:tx>
            <c:strRef>
              <c:f>'DASH BH'!$AT$4</c:f>
              <c:strCache>
                <c:ptCount val="1"/>
                <c:pt idx="0">
                  <c:v>VOLUMEN INGRESO RO 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>
                    <a:lumMod val="75000"/>
                    <a:alpha val="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BH'!$AS$5:$AS$36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BH'!$AT$5:$AT$36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F-410E-AC9F-EFF9F0549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6426079"/>
        <c:axId val="1406434719"/>
      </c:lineChart>
      <c:lineChart>
        <c:grouping val="standard"/>
        <c:varyColors val="0"/>
        <c:ser>
          <c:idx val="3"/>
          <c:order val="3"/>
          <c:tx>
            <c:strRef>
              <c:f>'DASH BH'!$AW$4</c:f>
              <c:strCache>
                <c:ptCount val="1"/>
                <c:pt idx="0">
                  <c:v>EFICIENCIA RO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 BH'!$AS$5:$AS$36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'DASH BH'!$AW$5:$AW$36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2F-410E-AC9F-EFF9F0549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6431839"/>
        <c:axId val="1406437119"/>
      </c:lineChart>
      <c:catAx>
        <c:axId val="1406426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6434719"/>
        <c:crosses val="autoZero"/>
        <c:auto val="1"/>
        <c:lblAlgn val="ctr"/>
        <c:lblOffset val="100"/>
        <c:noMultiLvlLbl val="0"/>
      </c:catAx>
      <c:valAx>
        <c:axId val="1406434719"/>
        <c:scaling>
          <c:orientation val="minMax"/>
          <c:max val="2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6426079"/>
        <c:crosses val="autoZero"/>
        <c:crossBetween val="between"/>
      </c:valAx>
      <c:valAx>
        <c:axId val="1406437119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EFICIENCIA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6431839"/>
        <c:crosses val="max"/>
        <c:crossBetween val="between"/>
      </c:valAx>
      <c:catAx>
        <c:axId val="1406431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643711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DE TRATABILIDAD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2.1470333219148915E-2"/>
          <c:y val="0.20976163066932335"/>
          <c:w val="0.94095658364734047"/>
          <c:h val="0.63819355371807707"/>
        </c:manualLayout>
      </c:layout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AEC-4F46-B09A-C7C6A7F472D5}"/>
              </c:ext>
            </c:extLst>
          </c:dPt>
          <c:dPt>
            <c:idx val="1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EC-4F46-B09A-C7C6A7F472D5}"/>
              </c:ext>
            </c:extLst>
          </c:dPt>
          <c:dPt>
            <c:idx val="2"/>
            <c:bubble3D val="0"/>
            <c:spPr>
              <a:solidFill>
                <a:srgbClr val="70AD47">
                  <a:lumMod val="60000"/>
                  <a:lumOff val="40000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AEC-4F46-B09A-C7C6A7F472D5}"/>
              </c:ext>
            </c:extLst>
          </c:dPt>
          <c:dPt>
            <c:idx val="3"/>
            <c:bubble3D val="0"/>
            <c:spPr>
              <a:solidFill>
                <a:srgbClr val="ED7D31">
                  <a:lumMod val="50000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AEC-4F46-B09A-C7C6A7F472D5}"/>
              </c:ext>
            </c:extLst>
          </c:dPt>
          <c:dPt>
            <c:idx val="4"/>
            <c:bubble3D val="0"/>
            <c:spPr>
              <a:solidFill>
                <a:srgbClr val="1AF10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AEC-4F46-B09A-C7C6A7F472D5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69DEBE5-BEF6-47D2-99C5-01D383D07F67}" type="VALUE">
                      <a:rPr lang="en-US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[VALOR]</a:t>
                    </a:fld>
                    <a:r>
                      <a:rPr lang="en-US" baseline="0"/>
                      <a:t>; 100%</a:t>
                    </a:r>
                  </a:p>
                </c:rich>
              </c:tx>
              <c:numFmt formatCode="0.00%" sourceLinked="0"/>
              <c:spPr>
                <a:solidFill>
                  <a:sysClr val="windowText" lastClr="000000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AEC-4F46-B09A-C7C6A7F472D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EC-4F46-B09A-C7C6A7F472D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2CF5352-C05C-4DE3-A4F6-388AD55A0A42}" type="VALUE">
                      <a:rPr lang="en-US"/>
                      <a:pPr/>
                      <a:t>[VALOR]</a:t>
                    </a:fld>
                    <a:r>
                      <a:rPr lang="en-US" baseline="0"/>
                      <a:t>; 41,09%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AEC-4F46-B09A-C7C6A7F472D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9EC0543-DCEB-41C6-8625-294CA2F56FBE}" type="VALUE">
                      <a:rPr lang="en-US"/>
                      <a:pPr/>
                      <a:t>[VALOR]</a:t>
                    </a:fld>
                    <a:r>
                      <a:rPr lang="en-US" baseline="0"/>
                      <a:t>; 58,91%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0AEC-4F46-B09A-C7C6A7F472D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287DE8F-7C97-42C3-95AB-21DCDADF8AB4}" type="VALUE">
                      <a:rPr lang="en-US"/>
                      <a:pPr/>
                      <a:t>[VALOR]</a:t>
                    </a:fld>
                    <a:r>
                      <a:rPr lang="en-US" baseline="0"/>
                      <a:t>; 64,42%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AEC-4F46-B09A-C7C6A7F472D5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 BH'!$B$152:$B$155</c:f>
              <c:strCache>
                <c:ptCount val="4"/>
                <c:pt idx="0">
                  <c:v>VOLUMEN TRATADO EN PTAR</c:v>
                </c:pt>
                <c:pt idx="1">
                  <c:v>VOLUMEN INGRESO RO</c:v>
                </c:pt>
                <c:pt idx="2">
                  <c:v>VOLUMEN PERMEADO RO</c:v>
                </c:pt>
                <c:pt idx="3">
                  <c:v>VOLUMEN RECHAZO RO</c:v>
                </c:pt>
              </c:strCache>
            </c:strRef>
          </c:cat>
          <c:val>
            <c:numRef>
              <c:f>'DASH BH'!$C$152:$C$155</c:f>
              <c:numCache>
                <c:formatCode>#,##0</c:formatCode>
                <c:ptCount val="4"/>
                <c:pt idx="0">
                  <c:v>-33560</c:v>
                </c:pt>
                <c:pt idx="1">
                  <c:v>0</c:v>
                </c:pt>
                <c:pt idx="2">
                  <c:v>148</c:v>
                </c:pt>
                <c:pt idx="3">
                  <c:v>-148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EC-4F46-B09A-C7C6A7F472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19628</xdr:colOff>
      <xdr:row>1</xdr:row>
      <xdr:rowOff>127721</xdr:rowOff>
    </xdr:from>
    <xdr:to>
      <xdr:col>10</xdr:col>
      <xdr:colOff>78922</xdr:colOff>
      <xdr:row>18</xdr:row>
      <xdr:rowOff>108221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2E021D-FB3E-4E88-CF2C-935E683CD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514349</xdr:colOff>
      <xdr:row>42</xdr:row>
      <xdr:rowOff>4760</xdr:rowOff>
    </xdr:from>
    <xdr:to>
      <xdr:col>9</xdr:col>
      <xdr:colOff>485286</xdr:colOff>
      <xdr:row>58</xdr:row>
      <xdr:rowOff>175760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7721B2-15E3-1FA6-FF27-2AC5BB851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455130</xdr:colOff>
      <xdr:row>61</xdr:row>
      <xdr:rowOff>3520</xdr:rowOff>
    </xdr:from>
    <xdr:to>
      <xdr:col>9</xdr:col>
      <xdr:colOff>426067</xdr:colOff>
      <xdr:row>79</xdr:row>
      <xdr:rowOff>174520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A546993-5D96-F65B-024B-03794C437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701156</xdr:colOff>
      <xdr:row>29</xdr:row>
      <xdr:rowOff>175527</xdr:rowOff>
    </xdr:from>
    <xdr:to>
      <xdr:col>1</xdr:col>
      <xdr:colOff>276195</xdr:colOff>
      <xdr:row>31</xdr:row>
      <xdr:rowOff>87604</xdr:rowOff>
    </xdr:to>
    <xdr:sp macro="" textlink="">
      <xdr:nvSpPr>
        <xdr:cNvPr id="3" name="CuadroTexto 1">
          <a:extLst>
            <a:ext uri="{FF2B5EF4-FFF2-40B4-BE49-F238E27FC236}">
              <a16:creationId xmlns:a16="http://schemas.microsoft.com/office/drawing/2014/main" id="{6B3DCEA9-321E-5A9C-3967-AA8B50D254FD}"/>
            </a:ext>
          </a:extLst>
        </xdr:cNvPr>
        <xdr:cNvSpPr txBox="1"/>
      </xdr:nvSpPr>
      <xdr:spPr>
        <a:xfrm>
          <a:off x="701156" y="6081027"/>
          <a:ext cx="337039" cy="293077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s-CO" sz="800" kern="1200">
              <a:solidFill>
                <a:srgbClr val="FF0000"/>
              </a:solidFill>
            </a:rPr>
            <a:t>23</a:t>
          </a:r>
        </a:p>
      </xdr:txBody>
    </xdr:sp>
    <xdr:clientData/>
  </xdr:twoCellAnchor>
  <xdr:twoCellAnchor>
    <xdr:from>
      <xdr:col>0</xdr:col>
      <xdr:colOff>595515</xdr:colOff>
      <xdr:row>20</xdr:row>
      <xdr:rowOff>140037</xdr:rowOff>
    </xdr:from>
    <xdr:to>
      <xdr:col>10</xdr:col>
      <xdr:colOff>623453</xdr:colOff>
      <xdr:row>39</xdr:row>
      <xdr:rowOff>135080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FB436A7-2D51-1AE6-7A89-2513D45FA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442632</xdr:colOff>
      <xdr:row>81</xdr:row>
      <xdr:rowOff>12325</xdr:rowOff>
    </xdr:from>
    <xdr:to>
      <xdr:col>9</xdr:col>
      <xdr:colOff>413569</xdr:colOff>
      <xdr:row>101</xdr:row>
      <xdr:rowOff>103909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F73C2A8-5943-137B-40EF-4D076EBDA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420220</xdr:colOff>
      <xdr:row>109</xdr:row>
      <xdr:rowOff>90767</xdr:rowOff>
    </xdr:from>
    <xdr:to>
      <xdr:col>7</xdr:col>
      <xdr:colOff>942975</xdr:colOff>
      <xdr:row>131</xdr:row>
      <xdr:rowOff>114300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A81A4A25-C5B5-6CA8-D422-8445A33D47E6}"/>
            </a:ext>
          </a:extLst>
        </xdr:cNvPr>
        <xdr:cNvGrpSpPr/>
      </xdr:nvGrpSpPr>
      <xdr:grpSpPr>
        <a:xfrm>
          <a:off x="7332649" y="20940720"/>
          <a:ext cx="5174492" cy="4510080"/>
          <a:chOff x="9792820" y="31694717"/>
          <a:chExt cx="6949888" cy="3784786"/>
        </a:xfrm>
      </xdr:grpSpPr>
      <xdr:graphicFrame macro="">
        <xdr:nvGraphicFramePr>
          <xdr:cNvPr id="9" name="Gráfico 8">
            <a:extLst>
              <a:ext uri="{FF2B5EF4-FFF2-40B4-BE49-F238E27FC236}">
                <a16:creationId xmlns:a16="http://schemas.microsoft.com/office/drawing/2014/main" id="{3BBDF037-DA71-47EC-A60D-7CAE356940B9}"/>
              </a:ext>
            </a:extLst>
          </xdr:cNvPr>
          <xdr:cNvGraphicFramePr/>
        </xdr:nvGraphicFramePr>
        <xdr:xfrm>
          <a:off x="9792820" y="31694717"/>
          <a:ext cx="6949888" cy="37847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5CF872CB-AE89-49BD-BA14-9B43F9826FE9}"/>
              </a:ext>
            </a:extLst>
          </xdr:cNvPr>
          <xdr:cNvSpPr txBox="1"/>
        </xdr:nvSpPr>
        <xdr:spPr>
          <a:xfrm>
            <a:off x="12607485" y="34473107"/>
            <a:ext cx="1559645" cy="268941"/>
          </a:xfrm>
          <a:prstGeom prst="rect">
            <a:avLst/>
          </a:prstGeom>
          <a:solidFill>
            <a:schemeClr val="accen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CO" sz="1200" b="1">
                <a:solidFill>
                  <a:schemeClr val="bg1"/>
                </a:solidFill>
              </a:rPr>
              <a:t>42 ; 100%</a:t>
            </a:r>
          </a:p>
        </xdr:txBody>
      </xdr:sp>
    </xdr:grpSp>
    <xdr:clientData/>
  </xdr:twoCellAnchor>
  <xdr:twoCellAnchor editAs="oneCell">
    <xdr:from>
      <xdr:col>10</xdr:col>
      <xdr:colOff>353875</xdr:colOff>
      <xdr:row>1</xdr:row>
      <xdr:rowOff>20018</xdr:rowOff>
    </xdr:from>
    <xdr:to>
      <xdr:col>11</xdr:col>
      <xdr:colOff>987272</xdr:colOff>
      <xdr:row>12</xdr:row>
      <xdr:rowOff>72571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DIA">
              <a:extLst>
                <a:ext uri="{FF2B5EF4-FFF2-40B4-BE49-F238E27FC236}">
                  <a16:creationId xmlns:a16="http://schemas.microsoft.com/office/drawing/2014/main" id="{3EBAED5D-1497-CD2F-C37A-1EF9D725BF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75089" y="201447"/>
              <a:ext cx="2520254" cy="3182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173179</xdr:colOff>
      <xdr:row>109</xdr:row>
      <xdr:rowOff>48490</xdr:rowOff>
    </xdr:from>
    <xdr:to>
      <xdr:col>15</xdr:col>
      <xdr:colOff>1549400</xdr:colOff>
      <xdr:row>132</xdr:row>
      <xdr:rowOff>51954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0C75EE0-3686-61EA-8F5C-0926238C9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747033</xdr:colOff>
      <xdr:row>21</xdr:row>
      <xdr:rowOff>15875</xdr:rowOff>
    </xdr:from>
    <xdr:to>
      <xdr:col>11</xdr:col>
      <xdr:colOff>792390</xdr:colOff>
      <xdr:row>39</xdr:row>
      <xdr:rowOff>126992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FECHA">
              <a:extLst>
                <a:ext uri="{FF2B5EF4-FFF2-40B4-BE49-F238E27FC236}">
                  <a16:creationId xmlns:a16="http://schemas.microsoft.com/office/drawing/2014/main" id="{7964404D-FC6C-F52C-FD57-DBDF548FEF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28333" y="3873500"/>
              <a:ext cx="1931307" cy="3254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792014</xdr:colOff>
      <xdr:row>150</xdr:row>
      <xdr:rowOff>94609</xdr:rowOff>
    </xdr:from>
    <xdr:to>
      <xdr:col>6</xdr:col>
      <xdr:colOff>944682</xdr:colOff>
      <xdr:row>162</xdr:row>
      <xdr:rowOff>126359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DIA 1">
              <a:extLst>
                <a:ext uri="{FF2B5EF4-FFF2-40B4-BE49-F238E27FC236}">
                  <a16:creationId xmlns:a16="http://schemas.microsoft.com/office/drawing/2014/main" id="{47B6F78E-3D4E-8D1A-EECC-F46D6F650A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96426" y="30921991"/>
              <a:ext cx="1827200" cy="25297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150</xdr:row>
      <xdr:rowOff>0</xdr:rowOff>
    </xdr:from>
    <xdr:to>
      <xdr:col>10</xdr:col>
      <xdr:colOff>1020536</xdr:colOff>
      <xdr:row>164</xdr:row>
      <xdr:rowOff>103415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4FF86063-6E28-4D70-95AC-A3B9DF339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</cdr:x>
      <cdr:y>0.57406</cdr:y>
    </cdr:from>
    <cdr:to>
      <cdr:x>0.05003</cdr:x>
      <cdr:y>0.66452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3BD4C0C2-EBBE-CBD0-ED24-A4D30333D426}"/>
            </a:ext>
          </a:extLst>
        </cdr:cNvPr>
        <cdr:cNvSpPr txBox="1"/>
      </cdr:nvSpPr>
      <cdr:spPr>
        <a:xfrm xmlns:a="http://schemas.openxmlformats.org/drawingml/2006/main">
          <a:off x="135925" y="1847886"/>
          <a:ext cx="544076" cy="2911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800" kern="1200">
              <a:solidFill>
                <a:srgbClr val="FF0000"/>
              </a:solidFill>
            </a:rPr>
            <a:t>23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0.0215</cdr:x>
      <cdr:y>0.74681</cdr:y>
    </cdr:from>
    <cdr:to>
      <cdr:x>0.06126</cdr:x>
      <cdr:y>0.83727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168F16C2-5EA5-8F57-348A-6704C97069E5}"/>
            </a:ext>
          </a:extLst>
        </cdr:cNvPr>
        <cdr:cNvSpPr txBox="1"/>
      </cdr:nvSpPr>
      <cdr:spPr>
        <a:xfrm xmlns:a="http://schemas.openxmlformats.org/drawingml/2006/main">
          <a:off x="292264" y="2688528"/>
          <a:ext cx="540406" cy="3256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O" sz="800" kern="1200">
              <a:solidFill>
                <a:srgbClr val="FF0000"/>
              </a:solidFill>
            </a:rPr>
            <a:t>23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2025\BALANCES%202025\BALANCES%20FUNZA\BALANCES\BALANCE%20HIDRICO\Contadores%20PTAR%20FUNZA%20AGOSTO%202025%20JULIO%20-%20copia.xlsx" TargetMode="External"/><Relationship Id="rId1" Type="http://schemas.openxmlformats.org/officeDocument/2006/relationships/externalLinkPath" Target="https://permodaco-my.sharepoint.com/personal/raulbg_permoda_com_co/Documents/Escritorio/FORMATOS/2026/3.%20Marzo/Contadores%20PTAR%20FUNZA%20AGOSTO%202025%20JULIO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 BH"/>
      <sheetName val="BALANCE"/>
      <sheetName val="REGISTRO DE DATOS"/>
    </sheetNames>
    <sheetDataSet>
      <sheetData sheetId="0" refreshError="1"/>
      <sheetData sheetId="1" refreshError="1"/>
      <sheetData sheetId="2">
        <row r="3">
          <cell r="D3">
            <v>130</v>
          </cell>
        </row>
        <row r="4">
          <cell r="W4">
            <v>0</v>
          </cell>
        </row>
        <row r="5">
          <cell r="W5">
            <v>0</v>
          </cell>
        </row>
        <row r="6">
          <cell r="W6">
            <v>0</v>
          </cell>
        </row>
        <row r="7">
          <cell r="W7">
            <v>0</v>
          </cell>
        </row>
        <row r="8">
          <cell r="W8">
            <v>0</v>
          </cell>
        </row>
        <row r="9">
          <cell r="W9">
            <v>0</v>
          </cell>
        </row>
        <row r="10">
          <cell r="W10">
            <v>0</v>
          </cell>
        </row>
        <row r="11">
          <cell r="W11">
            <v>0</v>
          </cell>
        </row>
        <row r="12">
          <cell r="W12">
            <v>0</v>
          </cell>
        </row>
        <row r="13">
          <cell r="W13">
            <v>0</v>
          </cell>
        </row>
        <row r="14">
          <cell r="W14">
            <v>0</v>
          </cell>
        </row>
        <row r="15">
          <cell r="W15">
            <v>0</v>
          </cell>
        </row>
        <row r="16">
          <cell r="W16">
            <v>0</v>
          </cell>
        </row>
        <row r="17">
          <cell r="W17">
            <v>0</v>
          </cell>
        </row>
        <row r="18">
          <cell r="W18">
            <v>0</v>
          </cell>
        </row>
        <row r="19">
          <cell r="W19">
            <v>0</v>
          </cell>
        </row>
        <row r="20">
          <cell r="W20">
            <v>0</v>
          </cell>
        </row>
        <row r="21">
          <cell r="W21">
            <v>0</v>
          </cell>
        </row>
        <row r="22">
          <cell r="W22">
            <v>0</v>
          </cell>
        </row>
        <row r="23">
          <cell r="W23">
            <v>0</v>
          </cell>
        </row>
        <row r="24">
          <cell r="W24">
            <v>0</v>
          </cell>
        </row>
        <row r="25">
          <cell r="W25">
            <v>0</v>
          </cell>
        </row>
        <row r="26">
          <cell r="W26">
            <v>0</v>
          </cell>
        </row>
        <row r="27">
          <cell r="W27">
            <v>0</v>
          </cell>
        </row>
        <row r="28">
          <cell r="W28">
            <v>0</v>
          </cell>
        </row>
        <row r="29">
          <cell r="W29">
            <v>0</v>
          </cell>
        </row>
        <row r="30">
          <cell r="W30">
            <v>0</v>
          </cell>
        </row>
        <row r="31">
          <cell r="W31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W34">
            <v>0</v>
          </cell>
        </row>
        <row r="35">
          <cell r="W35">
            <v>0</v>
          </cell>
        </row>
        <row r="36">
          <cell r="W36">
            <v>0</v>
          </cell>
        </row>
        <row r="37">
          <cell r="W37">
            <v>0</v>
          </cell>
        </row>
        <row r="38">
          <cell r="W38">
            <v>0</v>
          </cell>
        </row>
        <row r="39">
          <cell r="W39">
            <v>0</v>
          </cell>
        </row>
        <row r="40">
          <cell r="W40">
            <v>0</v>
          </cell>
        </row>
        <row r="41">
          <cell r="W41">
            <v>0</v>
          </cell>
        </row>
        <row r="42">
          <cell r="W42">
            <v>0</v>
          </cell>
        </row>
        <row r="43">
          <cell r="W43">
            <v>0</v>
          </cell>
        </row>
        <row r="44">
          <cell r="W44">
            <v>0</v>
          </cell>
        </row>
        <row r="45">
          <cell r="W45">
            <v>0</v>
          </cell>
        </row>
        <row r="46">
          <cell r="W46">
            <v>0</v>
          </cell>
        </row>
        <row r="47">
          <cell r="W47">
            <v>0</v>
          </cell>
        </row>
        <row r="48">
          <cell r="W48">
            <v>0</v>
          </cell>
        </row>
        <row r="49">
          <cell r="W49">
            <v>0</v>
          </cell>
        </row>
        <row r="50">
          <cell r="W50">
            <v>0</v>
          </cell>
        </row>
        <row r="51">
          <cell r="W51">
            <v>0</v>
          </cell>
        </row>
        <row r="52">
          <cell r="W52">
            <v>0</v>
          </cell>
        </row>
        <row r="53">
          <cell r="W53">
            <v>0</v>
          </cell>
        </row>
        <row r="54">
          <cell r="W54">
            <v>0</v>
          </cell>
        </row>
        <row r="55">
          <cell r="W55">
            <v>0</v>
          </cell>
        </row>
        <row r="56">
          <cell r="W56">
            <v>0</v>
          </cell>
        </row>
        <row r="57">
          <cell r="W57">
            <v>0</v>
          </cell>
        </row>
        <row r="58">
          <cell r="W58">
            <v>0</v>
          </cell>
        </row>
        <row r="59">
          <cell r="W59">
            <v>0</v>
          </cell>
        </row>
        <row r="60">
          <cell r="W60">
            <v>-33560</v>
          </cell>
        </row>
        <row r="61">
          <cell r="W61">
            <v>0</v>
          </cell>
        </row>
        <row r="62">
          <cell r="W62">
            <v>0</v>
          </cell>
        </row>
        <row r="63">
          <cell r="W63">
            <v>0</v>
          </cell>
        </row>
        <row r="64">
          <cell r="W64">
            <v>0</v>
          </cell>
        </row>
        <row r="65">
          <cell r="W65">
            <v>0</v>
          </cell>
        </row>
        <row r="66">
          <cell r="W66">
            <v>0</v>
          </cell>
        </row>
        <row r="67">
          <cell r="W67">
            <v>0</v>
          </cell>
        </row>
        <row r="68">
          <cell r="W68">
            <v>0</v>
          </cell>
        </row>
        <row r="69">
          <cell r="W69">
            <v>0</v>
          </cell>
        </row>
        <row r="70">
          <cell r="W70">
            <v>0</v>
          </cell>
        </row>
        <row r="71">
          <cell r="W71">
            <v>0</v>
          </cell>
        </row>
        <row r="72">
          <cell r="W72">
            <v>0</v>
          </cell>
        </row>
        <row r="73">
          <cell r="W73">
            <v>0</v>
          </cell>
        </row>
        <row r="74">
          <cell r="W74">
            <v>0</v>
          </cell>
        </row>
        <row r="75">
          <cell r="W75">
            <v>0</v>
          </cell>
        </row>
        <row r="76">
          <cell r="W76">
            <v>0</v>
          </cell>
        </row>
        <row r="77">
          <cell r="W77">
            <v>0</v>
          </cell>
        </row>
        <row r="78">
          <cell r="W78">
            <v>0</v>
          </cell>
        </row>
        <row r="79">
          <cell r="W79">
            <v>0</v>
          </cell>
        </row>
        <row r="80">
          <cell r="W80">
            <v>0</v>
          </cell>
        </row>
        <row r="81">
          <cell r="W81">
            <v>0</v>
          </cell>
        </row>
        <row r="82">
          <cell r="W82">
            <v>0</v>
          </cell>
        </row>
        <row r="83">
          <cell r="W83">
            <v>0</v>
          </cell>
        </row>
        <row r="84">
          <cell r="W84">
            <v>0</v>
          </cell>
        </row>
        <row r="85">
          <cell r="W85">
            <v>0</v>
          </cell>
        </row>
        <row r="86">
          <cell r="W86">
            <v>0</v>
          </cell>
        </row>
        <row r="87">
          <cell r="W87">
            <v>0</v>
          </cell>
        </row>
        <row r="88">
          <cell r="W88">
            <v>0</v>
          </cell>
        </row>
        <row r="89">
          <cell r="W89">
            <v>0</v>
          </cell>
        </row>
        <row r="90">
          <cell r="W90">
            <v>0</v>
          </cell>
        </row>
        <row r="91">
          <cell r="W91">
            <v>0</v>
          </cell>
        </row>
        <row r="92">
          <cell r="W92">
            <v>0</v>
          </cell>
        </row>
        <row r="93">
          <cell r="W93">
            <v>0</v>
          </cell>
        </row>
        <row r="94">
          <cell r="W94">
            <v>0</v>
          </cell>
        </row>
        <row r="95">
          <cell r="W95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25.72068460648" createdVersion="8" refreshedVersion="8" minRefreshableVersion="3" recordCount="94" xr:uid="{DAB67217-C33C-48DF-8181-8A9FD310C6BB}">
  <cacheSource type="worksheet">
    <worksheetSource ref="A1:W95" sheet="BALANCE"/>
  </cacheSource>
  <cacheFields count="25">
    <cacheField name="FECHA" numFmtId="14">
      <sharedItems containsSemiMixedTypes="0" containsNonDate="0" containsDate="1" containsString="0" minDate="2025-01-01T00:00:00" maxDate="2025-09-02T00:00:00" count="215"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</sharedItems>
      <fieldGroup par="24"/>
    </cacheField>
    <cacheField name="DIA" numFmtId="1">
      <sharedItems containsString="0" containsBlank="1" containsNumber="1" containsInteg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</sharedItems>
    </cacheField>
    <cacheField name="TURNO" numFmtId="0">
      <sharedItems containsString="0" containsBlank="1" containsNumber="1" containsInteger="1" minValue="1" maxValue="3"/>
    </cacheField>
    <cacheField name="VOLUMEN EXTRAIDO PTAP" numFmtId="0">
      <sharedItems containsSemiMixedTypes="0" containsString="0" containsNumber="1" containsInteger="1" minValue="0" maxValue="94"/>
    </cacheField>
    <cacheField name="VOLUMEN ENVIADO PTAP" numFmtId="0">
      <sharedItems containsSemiMixedTypes="0" containsString="0" containsNumber="1" containsInteger="1" minValue="0" maxValue="4"/>
    </cacheField>
    <cacheField name="VOLUMEN PERDIDAS!!" numFmtId="0">
      <sharedItems containsSemiMixedTypes="0" containsString="0" containsNumber="1" containsInteger="1" minValue="-4" maxValue="94"/>
    </cacheField>
    <cacheField name="VOLUMEN ENVIO MULAS" numFmtId="0">
      <sharedItems containsSemiMixedTypes="0" containsString="0" containsNumber="1" containsInteger="1" minValue="0" maxValue="10"/>
    </cacheField>
    <cacheField name="VOLUMEN CONSUMIDO PRODUCCIÓN" numFmtId="0">
      <sharedItems containsSemiMixedTypes="0" containsString="0" containsNumber="1" containsInteger="1" minValue="0" maxValue="0"/>
    </cacheField>
    <cacheField name="VOLUMEN POTABLE CARROTANQUES" numFmtId="0">
      <sharedItems containsSemiMixedTypes="0" containsString="0" containsNumber="1" containsInteger="1" minValue="0" maxValue="0"/>
    </cacheField>
    <cacheField name="VOLUMEN INGRESO RO" numFmtId="0">
      <sharedItems containsSemiMixedTypes="0" containsString="0" containsNumber="1" containsInteger="1" minValue="0" maxValue="0"/>
    </cacheField>
    <cacheField name="VOLUMEN PERMEADO RO" numFmtId="0">
      <sharedItems containsSemiMixedTypes="0" containsString="0" containsNumber="1" containsInteger="1" minValue="0" maxValue="0"/>
    </cacheField>
    <cacheField name="VOLUMEN RECHAZO RO" numFmtId="0">
      <sharedItems containsSemiMixedTypes="0" containsString="0" containsNumber="1" containsInteger="1" minValue="0" maxValue="0"/>
    </cacheField>
    <cacheField name="EFICIENCIA RO" numFmtId="9">
      <sharedItems/>
    </cacheField>
    <cacheField name="VOLUMEN REAL ENVIADO A PRODUCCIÓN " numFmtId="0">
      <sharedItems containsSemiMixedTypes="0" containsString="0" containsNumber="1" containsInteger="1" minValue="0" maxValue="4"/>
    </cacheField>
    <cacheField name="VOLUMEN INGRESO A PTAR" numFmtId="0">
      <sharedItems containsSemiMixedTypes="0" containsString="0" containsNumber="1" containsInteger="1" minValue="-33560" maxValue="0"/>
    </cacheField>
    <cacheField name="VOL m3 SCLAVOS" numFmtId="0">
      <sharedItems containsNonDate="0" containsString="0" containsBlank="1"/>
    </cacheField>
    <cacheField name="VOL m3 BELLINIS" numFmtId="0">
      <sharedItems containsNonDate="0" containsString="0" containsBlank="1"/>
    </cacheField>
    <cacheField name="VOL m3 ERBATECH" numFmtId="0">
      <sharedItems containsNonDate="0" containsString="0" containsBlank="1"/>
    </cacheField>
    <cacheField name="TOTAL KG TEÑIDOS" numFmtId="0">
      <sharedItems containsNonDate="0" containsString="0" containsBlank="1"/>
    </cacheField>
    <cacheField name="Kg teñidos SCLAVOS" numFmtId="0">
      <sharedItems containsNonDate="0" containsString="0" containsBlank="1"/>
    </cacheField>
    <cacheField name="Kg teñidos BELLINI" numFmtId="0">
      <sharedItems containsNonDate="0" containsString="0" containsBlank="1"/>
    </cacheField>
    <cacheField name="Kg teñidos ERBATECH" numFmtId="0">
      <sharedItems containsNonDate="0" containsString="0" containsBlank="1"/>
    </cacheField>
    <cacheField name="TOTAL KG TEÑIDOS MS" numFmtId="0">
      <sharedItems containsSemiMixedTypes="0" containsString="0" containsNumber="1" containsInteger="1" minValue="0" maxValue="38"/>
    </cacheField>
    <cacheField name="Días (FECHA)" numFmtId="0" databaseField="0">
      <fieldGroup base="0">
        <rangePr groupBy="days" startDate="2025-08-01T00:00:00" endDate="2025-09-02T00:00:00"/>
        <groupItems count="368">
          <s v="&lt;1/08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/09/2025"/>
        </groupItems>
      </fieldGroup>
    </cacheField>
    <cacheField name="Meses (FECHA)" numFmtId="0" databaseField="0">
      <fieldGroup base="0">
        <rangePr groupBy="months" startDate="2025-08-01T00:00:00" endDate="2025-09-02T00:00:00"/>
        <groupItems count="14">
          <s v="&lt;1/08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09/2025"/>
        </groupItems>
      </fieldGroup>
    </cacheField>
  </cacheFields>
  <extLst>
    <ext xmlns:x14="http://schemas.microsoft.com/office/spreadsheetml/2009/9/main" uri="{725AE2AE-9491-48be-B2B4-4EB974FC3084}">
      <x14:pivotCacheDefinition pivotCacheId="172777212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25.720685185188" createdVersion="8" refreshedVersion="8" minRefreshableVersion="3" recordCount="95" xr:uid="{71F7D0F8-671A-4EBE-B728-00A8D11691AE}">
  <cacheSource type="worksheet">
    <worksheetSource ref="A1:Z96" sheet="BALANCE"/>
  </cacheSource>
  <cacheFields count="28">
    <cacheField name="FECHA" numFmtId="0">
      <sharedItems containsNonDate="0" containsDate="1" containsString="0" containsBlank="1" minDate="2025-05-01T00:00:00" maxDate="2025-09-02T00:00:00" count="96"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m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6-01T00:00:00" u="1"/>
      </sharedItems>
      <fieldGroup par="27"/>
    </cacheField>
    <cacheField name="DIA" numFmtId="0">
      <sharedItems containsString="0" containsBlank="1" containsNumber="1" containsInteg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</sharedItems>
    </cacheField>
    <cacheField name="TURNO" numFmtId="0">
      <sharedItems containsString="0" containsBlank="1" containsNumber="1" containsInteger="1" minValue="1" maxValue="3"/>
    </cacheField>
    <cacheField name="VOLUMEN EXTRAIDO PTAP" numFmtId="0">
      <sharedItems containsString="0" containsBlank="1" containsNumber="1" containsInteger="1" minValue="0" maxValue="94"/>
    </cacheField>
    <cacheField name="VOLUMEN ENVIADO PTAP" numFmtId="0">
      <sharedItems containsSemiMixedTypes="0" containsString="0" containsNumber="1" containsInteger="1" minValue="0" maxValue="4"/>
    </cacheField>
    <cacheField name="VOLUMEN PERDIDAS!!" numFmtId="0">
      <sharedItems containsString="0" containsBlank="1" containsNumber="1" containsInteger="1" minValue="-4" maxValue="94"/>
    </cacheField>
    <cacheField name="VOLUMEN ENVIO MULAS" numFmtId="0">
      <sharedItems containsSemiMixedTypes="0" containsString="0" containsNumber="1" containsInteger="1" minValue="0" maxValue="10"/>
    </cacheField>
    <cacheField name="VOLUMEN CONSUMIDO PRODUCCIÓN" numFmtId="0">
      <sharedItems containsSemiMixedTypes="0" containsString="0" containsNumber="1" containsInteger="1" minValue="0" maxValue="0"/>
    </cacheField>
    <cacheField name="VOLUMEN POTABLE CARROTANQUES" numFmtId="0">
      <sharedItems containsString="0" containsBlank="1" containsNumber="1" containsInteger="1" minValue="0" maxValue="0"/>
    </cacheField>
    <cacheField name="VOLUMEN INGRESO RO" numFmtId="0">
      <sharedItems containsString="0" containsBlank="1" containsNumber="1" containsInteger="1" minValue="0" maxValue="0"/>
    </cacheField>
    <cacheField name="VOLUMEN PERMEADO RO" numFmtId="0">
      <sharedItems containsString="0" containsBlank="1" containsNumber="1" containsInteger="1" minValue="0" maxValue="0"/>
    </cacheField>
    <cacheField name="VOLUMEN RECHAZO RO" numFmtId="0">
      <sharedItems containsString="0" containsBlank="1" containsNumber="1" containsInteger="1" minValue="0" maxValue="0"/>
    </cacheField>
    <cacheField name="EFICIENCIA RO" numFmtId="9">
      <sharedItems containsBlank="1"/>
    </cacheField>
    <cacheField name="VOLUMEN REAL ENVIADO A PRODUCCIÓN " numFmtId="0">
      <sharedItems containsString="0" containsBlank="1" containsNumber="1" containsInteger="1" minValue="0" maxValue="4"/>
    </cacheField>
    <cacheField name="VOLUMEN INGRESO A PTAR" numFmtId="0">
      <sharedItems containsSemiMixedTypes="0" containsString="0" containsNumber="1" containsInteger="1" minValue="-33560" maxValue="0"/>
    </cacheField>
    <cacheField name="VOL m3 SCLAVOS" numFmtId="0">
      <sharedItems containsNonDate="0" containsString="0" containsBlank="1"/>
    </cacheField>
    <cacheField name="VOL m3 BELLINIS" numFmtId="0">
      <sharedItems containsNonDate="0" containsString="0" containsBlank="1"/>
    </cacheField>
    <cacheField name="VOL m3 ERBATECH" numFmtId="0">
      <sharedItems containsNonDate="0" containsString="0" containsBlank="1"/>
    </cacheField>
    <cacheField name="TOTAL KG TEÑIDOS" numFmtId="0">
      <sharedItems containsNonDate="0" containsString="0" containsBlank="1"/>
    </cacheField>
    <cacheField name="Kg teñidos SCLAVOS" numFmtId="0">
      <sharedItems containsNonDate="0" containsString="0" containsBlank="1"/>
    </cacheField>
    <cacheField name="Kg teñidos BELLINI" numFmtId="0">
      <sharedItems containsNonDate="0" containsString="0" containsBlank="1"/>
    </cacheField>
    <cacheField name="Kg teñidos ERBATECH" numFmtId="0">
      <sharedItems containsNonDate="0" containsString="0" containsBlank="1"/>
    </cacheField>
    <cacheField name="TOTAL KG TEÑIDOS MS" numFmtId="0">
      <sharedItems containsSemiMixedTypes="0" containsString="0" containsNumber="1" containsInteger="1" minValue="0" maxValue="38"/>
    </cacheField>
    <cacheField name="INDICADOR PRODUCCIÓN" numFmtId="0">
      <sharedItems containsString="0" containsBlank="1" containsNumber="1" containsInteger="1" minValue="23" maxValue="23"/>
    </cacheField>
    <cacheField name="Numero de Viajes" numFmtId="0">
      <sharedItems containsString="0" containsBlank="1" containsNumber="1" containsInteger="1" minValue="0" maxValue="1"/>
    </cacheField>
    <cacheField name="PROMEDIO MIN INDICADOR" numFmtId="0">
      <sharedItems containsString="0" containsBlank="1" containsNumber="1" containsInteger="1" minValue="23" maxValue="23"/>
    </cacheField>
    <cacheField name="Días (FECHA)" numFmtId="0" databaseField="0">
      <fieldGroup base="0">
        <rangePr groupBy="days" startDate="2025-08-01T00:00:00" endDate="2025-09-02T00:00:00"/>
        <groupItems count="368">
          <s v="&lt;1/08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/09/2025"/>
        </groupItems>
      </fieldGroup>
    </cacheField>
    <cacheField name="Meses (FECHA)" numFmtId="0" databaseField="0">
      <fieldGroup base="0">
        <rangePr groupBy="months" startDate="2025-08-01T00:00:00" endDate="2025-09-02T00:00:00"/>
        <groupItems count="14">
          <s v="&lt;1/08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09/2025"/>
        </groupItems>
      </fieldGroup>
    </cacheField>
  </cacheFields>
  <extLst>
    <ext xmlns:x14="http://schemas.microsoft.com/office/spreadsheetml/2009/9/main" uri="{725AE2AE-9491-48be-B2B4-4EB974FC3084}">
      <x14:pivotCacheDefinition pivotCacheId="1841375688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25.720685416665" createdVersion="8" refreshedVersion="8" minRefreshableVersion="3" recordCount="94" xr:uid="{2EE48103-FD76-4BF2-BD67-E9A733DACEAC}">
  <cacheSource type="worksheet">
    <worksheetSource ref="A1:Z95" sheet="BALANCE"/>
  </cacheSource>
  <cacheFields count="33">
    <cacheField name="FECHA" numFmtId="14">
      <sharedItems containsSemiMixedTypes="0" containsNonDate="0" containsDate="1" containsString="0" minDate="2025-04-01T00:00:00" maxDate="2025-09-02T00:00:00" count="125"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</sharedItems>
      <fieldGroup par="32"/>
    </cacheField>
    <cacheField name="DIA" numFmtId="1">
      <sharedItems containsString="0" containsBlank="1" containsNumber="1" containsInteg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</sharedItems>
    </cacheField>
    <cacheField name="TURNO" numFmtId="0">
      <sharedItems containsString="0" containsBlank="1" containsNumber="1" containsInteger="1" minValue="1" maxValue="3"/>
    </cacheField>
    <cacheField name="VOLUMEN EXTRAIDO PTAP" numFmtId="0">
      <sharedItems containsSemiMixedTypes="0" containsString="0" containsNumber="1" containsInteger="1" minValue="0" maxValue="94"/>
    </cacheField>
    <cacheField name="VOLUMEN ENVIADO PTAP" numFmtId="0">
      <sharedItems containsSemiMixedTypes="0" containsString="0" containsNumber="1" containsInteger="1" minValue="0" maxValue="4"/>
    </cacheField>
    <cacheField name="VOLUMEN PERDIDAS!!" numFmtId="0">
      <sharedItems containsSemiMixedTypes="0" containsString="0" containsNumber="1" containsInteger="1" minValue="-4" maxValue="94"/>
    </cacheField>
    <cacheField name="VOLUMEN ENVIO MULAS" numFmtId="0">
      <sharedItems containsSemiMixedTypes="0" containsString="0" containsNumber="1" containsInteger="1" minValue="0" maxValue="10"/>
    </cacheField>
    <cacheField name="VOLUMEN CONSUMIDO PRODUCCIÓN" numFmtId="0">
      <sharedItems containsSemiMixedTypes="0" containsString="0" containsNumber="1" containsInteger="1" minValue="0" maxValue="0"/>
    </cacheField>
    <cacheField name="VOLUMEN POTABLE CARROTANQUES" numFmtId="0">
      <sharedItems containsSemiMixedTypes="0" containsString="0" containsNumber="1" containsInteger="1" minValue="0" maxValue="0"/>
    </cacheField>
    <cacheField name="VOLUMEN INGRESO RO" numFmtId="0">
      <sharedItems containsSemiMixedTypes="0" containsString="0" containsNumber="1" containsInteger="1" minValue="0" maxValue="0"/>
    </cacheField>
    <cacheField name="VOLUMEN PERMEADO RO" numFmtId="0">
      <sharedItems containsSemiMixedTypes="0" containsString="0" containsNumber="1" containsInteger="1" minValue="0" maxValue="0"/>
    </cacheField>
    <cacheField name="VOLUMEN RECHAZO RO" numFmtId="0">
      <sharedItems containsSemiMixedTypes="0" containsString="0" containsNumber="1" containsInteger="1" minValue="0" maxValue="0"/>
    </cacheField>
    <cacheField name="EFICIENCIA RO" numFmtId="9">
      <sharedItems/>
    </cacheField>
    <cacheField name="VOLUMEN REAL ENVIADO A PRODUCCIÓN " numFmtId="0">
      <sharedItems containsSemiMixedTypes="0" containsString="0" containsNumber="1" containsInteger="1" minValue="0" maxValue="4"/>
    </cacheField>
    <cacheField name="VOLUMEN INGRESO A PTAR" numFmtId="0">
      <sharedItems containsSemiMixedTypes="0" containsString="0" containsNumber="1" containsInteger="1" minValue="-33560" maxValue="0"/>
    </cacheField>
    <cacheField name="VOL m3 SCLAVOS" numFmtId="0">
      <sharedItems containsNonDate="0" containsString="0" containsBlank="1"/>
    </cacheField>
    <cacheField name="VOL m3 BELLINIS" numFmtId="0">
      <sharedItems containsNonDate="0" containsString="0" containsBlank="1"/>
    </cacheField>
    <cacheField name="VOL m3 ERBATECH" numFmtId="0">
      <sharedItems containsNonDate="0" containsString="0" containsBlank="1"/>
    </cacheField>
    <cacheField name="TOTAL KG TEÑIDOS" numFmtId="0">
      <sharedItems containsNonDate="0" containsString="0" containsBlank="1"/>
    </cacheField>
    <cacheField name="Kg teñidos SCLAVOS" numFmtId="0">
      <sharedItems containsNonDate="0" containsString="0" containsBlank="1"/>
    </cacheField>
    <cacheField name="Kg teñidos BELLINI" numFmtId="0">
      <sharedItems containsNonDate="0" containsString="0" containsBlank="1"/>
    </cacheField>
    <cacheField name="Kg teñidos ERBATECH" numFmtId="0">
      <sharedItems containsNonDate="0" containsString="0" containsBlank="1"/>
    </cacheField>
    <cacheField name="TOTAL KG TEÑIDOS MS" numFmtId="0">
      <sharedItems containsSemiMixedTypes="0" containsString="0" containsNumber="1" containsInteger="1" minValue="0" maxValue="38"/>
    </cacheField>
    <cacheField name="INDICADOR PRODUCCIÓN" numFmtId="0">
      <sharedItems containsSemiMixedTypes="0" containsString="0" containsNumber="1" containsInteger="1" minValue="23" maxValue="23"/>
    </cacheField>
    <cacheField name="Numero de Viajes" numFmtId="0">
      <sharedItems containsSemiMixedTypes="0" containsString="0" containsNumber="1" containsInteger="1" minValue="0" maxValue="1"/>
    </cacheField>
    <cacheField name="PROMEDIO MIN INDICADOR" numFmtId="0">
      <sharedItems containsSemiMixedTypes="0" containsString="0" containsNumber="1" containsInteger="1" minValue="23" maxValue="23"/>
    </cacheField>
    <cacheField name="INDICADOR DIA PRODUCCIÓN" numFmtId="0" formula=" ('VOLUMEN REAL ENVIADO A PRODUCCIÓN '*1000)/'TOTAL KG TEÑIDOS MS'*1/1" databaseField="0"/>
    <cacheField name="DIFERENCIA ENVIADO A PRODUCCIÓN - ENVIO MULAS RESIDUAL" numFmtId="0" formula="'VOLUMEN REAL ENVIADO A PRODUCCIÓN '-'VOLUMEN ENVIO MULAS'" databaseField="0"/>
    <cacheField name="DIFERENCIA KG REPORTADOS" numFmtId="0" formula="'TOTAL KG TEÑIDOS'-'TOTAL KG TEÑIDOS MS'" databaseField="0"/>
    <cacheField name="VOLUMEN RESIDUAL GENERADO" numFmtId="0" formula="'VOLUMEN REAL ENVIADO A PRODUCCIÓN '-'VOLUMEN PERMEADO RO'" databaseField="0"/>
    <cacheField name="VOLUMEN DIFERENCIA RESIDUAL GENERADO - ENVIO MULAS" numFmtId="0" formula="'VOLUMEN RESIDUAL GENERADO'-'VOLUMEN ENVIO MULAS'" databaseField="0"/>
    <cacheField name="Días (FECHA)" numFmtId="0" databaseField="0">
      <fieldGroup base="0">
        <rangePr groupBy="days" startDate="2025-08-01T00:00:00" endDate="2025-09-02T00:00:00"/>
        <groupItems count="368">
          <s v="&lt;1/08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/09/2025"/>
        </groupItems>
      </fieldGroup>
    </cacheField>
    <cacheField name="Meses (FECHA)" numFmtId="0" databaseField="0">
      <fieldGroup base="0">
        <rangePr groupBy="months" startDate="2025-08-01T00:00:00" endDate="2025-09-02T00:00:00"/>
        <groupItems count="14">
          <s v="&lt;1/08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09/2025"/>
        </groupItems>
      </fieldGroup>
    </cacheField>
  </cacheFields>
  <extLst>
    <ext xmlns:x14="http://schemas.microsoft.com/office/spreadsheetml/2009/9/main" uri="{725AE2AE-9491-48be-B2B4-4EB974FC3084}">
      <x14:pivotCacheDefinition pivotCacheId="7654922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0"/>
    <x v="0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</r>
  <r>
    <x v="0"/>
    <x v="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"/>
    <x v="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"/>
    <x v="1"/>
    <n v="2"/>
    <n v="46"/>
    <n v="2"/>
    <n v="44"/>
    <n v="0"/>
    <n v="0"/>
    <n v="0"/>
    <n v="0"/>
    <n v="0"/>
    <n v="0"/>
    <s v="%"/>
    <n v="2"/>
    <n v="0"/>
    <m/>
    <m/>
    <m/>
    <m/>
    <m/>
    <m/>
    <m/>
    <n v="0"/>
  </r>
  <r>
    <x v="1"/>
    <x v="1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</r>
  <r>
    <x v="2"/>
    <x v="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"/>
    <x v="2"/>
    <n v="2"/>
    <n v="64"/>
    <n v="1"/>
    <n v="63"/>
    <n v="0"/>
    <n v="0"/>
    <n v="0"/>
    <n v="0"/>
    <n v="0"/>
    <n v="0"/>
    <s v="%"/>
    <n v="1"/>
    <n v="0"/>
    <m/>
    <m/>
    <m/>
    <m/>
    <m/>
    <m/>
    <m/>
    <n v="0"/>
  </r>
  <r>
    <x v="2"/>
    <x v="2"/>
    <n v="3"/>
    <n v="35"/>
    <n v="0"/>
    <n v="35"/>
    <n v="0"/>
    <n v="0"/>
    <n v="0"/>
    <n v="0"/>
    <n v="0"/>
    <n v="0"/>
    <s v="%"/>
    <n v="0"/>
    <n v="0"/>
    <m/>
    <m/>
    <m/>
    <m/>
    <m/>
    <m/>
    <m/>
    <n v="0"/>
  </r>
  <r>
    <x v="3"/>
    <x v="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3"/>
    <x v="3"/>
    <n v="2"/>
    <n v="29"/>
    <n v="0"/>
    <n v="29"/>
    <n v="0"/>
    <n v="0"/>
    <n v="0"/>
    <n v="0"/>
    <n v="0"/>
    <n v="0"/>
    <s v="%"/>
    <n v="0"/>
    <n v="0"/>
    <m/>
    <m/>
    <m/>
    <m/>
    <m/>
    <m/>
    <m/>
    <n v="0"/>
  </r>
  <r>
    <x v="3"/>
    <x v="3"/>
    <n v="3"/>
    <n v="24"/>
    <n v="0"/>
    <n v="24"/>
    <n v="0"/>
    <n v="0"/>
    <n v="0"/>
    <n v="0"/>
    <n v="0"/>
    <n v="0"/>
    <s v="%"/>
    <n v="0"/>
    <n v="0"/>
    <m/>
    <m/>
    <m/>
    <m/>
    <m/>
    <m/>
    <m/>
    <n v="0"/>
  </r>
  <r>
    <x v="4"/>
    <x v="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4"/>
    <x v="4"/>
    <n v="2"/>
    <n v="22"/>
    <n v="0"/>
    <n v="22"/>
    <n v="0"/>
    <n v="0"/>
    <n v="0"/>
    <n v="0"/>
    <n v="0"/>
    <n v="0"/>
    <s v="%"/>
    <n v="0"/>
    <n v="0"/>
    <m/>
    <m/>
    <m/>
    <m/>
    <m/>
    <m/>
    <m/>
    <n v="0"/>
  </r>
  <r>
    <x v="4"/>
    <x v="4"/>
    <n v="3"/>
    <n v="28"/>
    <n v="2"/>
    <n v="26"/>
    <n v="0"/>
    <n v="0"/>
    <n v="0"/>
    <n v="0"/>
    <n v="0"/>
    <n v="0"/>
    <s v="%"/>
    <n v="2"/>
    <n v="0"/>
    <m/>
    <m/>
    <m/>
    <m/>
    <m/>
    <m/>
    <m/>
    <n v="0"/>
  </r>
  <r>
    <x v="5"/>
    <x v="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5"/>
    <x v="5"/>
    <n v="2"/>
    <n v="0"/>
    <n v="2"/>
    <n v="-2"/>
    <n v="0"/>
    <n v="0"/>
    <n v="0"/>
    <n v="0"/>
    <n v="0"/>
    <n v="0"/>
    <s v="%"/>
    <n v="2"/>
    <n v="0"/>
    <m/>
    <m/>
    <m/>
    <m/>
    <m/>
    <m/>
    <m/>
    <n v="0"/>
  </r>
  <r>
    <x v="5"/>
    <x v="5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6"/>
    <x v="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6"/>
    <x v="6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</r>
  <r>
    <x v="6"/>
    <x v="6"/>
    <n v="3"/>
    <n v="20"/>
    <n v="0"/>
    <n v="20"/>
    <n v="0"/>
    <n v="0"/>
    <n v="0"/>
    <n v="0"/>
    <n v="0"/>
    <n v="0"/>
    <s v="%"/>
    <n v="0"/>
    <n v="0"/>
    <m/>
    <m/>
    <m/>
    <m/>
    <m/>
    <m/>
    <m/>
    <n v="0"/>
  </r>
  <r>
    <x v="7"/>
    <x v="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7"/>
    <x v="7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7"/>
    <x v="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8"/>
    <x v="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8"/>
    <x v="8"/>
    <n v="2"/>
    <n v="18"/>
    <n v="0"/>
    <n v="18"/>
    <n v="0"/>
    <n v="0"/>
    <n v="0"/>
    <n v="0"/>
    <n v="0"/>
    <n v="0"/>
    <s v="%"/>
    <n v="0"/>
    <n v="0"/>
    <m/>
    <m/>
    <m/>
    <m/>
    <m/>
    <m/>
    <m/>
    <n v="0"/>
  </r>
  <r>
    <x v="8"/>
    <x v="8"/>
    <n v="3"/>
    <n v="23"/>
    <n v="0"/>
    <n v="23"/>
    <n v="0"/>
    <n v="0"/>
    <n v="0"/>
    <n v="0"/>
    <n v="0"/>
    <n v="0"/>
    <s v="%"/>
    <n v="0"/>
    <n v="0"/>
    <m/>
    <m/>
    <m/>
    <m/>
    <m/>
    <m/>
    <m/>
    <n v="0"/>
  </r>
  <r>
    <x v="9"/>
    <x v="9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9"/>
    <x v="9"/>
    <n v="2"/>
    <n v="53"/>
    <n v="1"/>
    <n v="52"/>
    <n v="0"/>
    <n v="0"/>
    <n v="0"/>
    <n v="0"/>
    <n v="0"/>
    <n v="0"/>
    <s v="%"/>
    <n v="1"/>
    <n v="0"/>
    <m/>
    <m/>
    <m/>
    <m/>
    <m/>
    <m/>
    <m/>
    <n v="0"/>
  </r>
  <r>
    <x v="9"/>
    <x v="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0"/>
    <x v="1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0"/>
    <x v="10"/>
    <n v="2"/>
    <n v="24"/>
    <n v="1"/>
    <n v="23"/>
    <n v="0"/>
    <n v="0"/>
    <n v="0"/>
    <n v="0"/>
    <n v="0"/>
    <n v="0"/>
    <s v="%"/>
    <n v="1"/>
    <n v="0"/>
    <m/>
    <m/>
    <m/>
    <m/>
    <m/>
    <m/>
    <m/>
    <n v="0"/>
  </r>
  <r>
    <x v="10"/>
    <x v="10"/>
    <n v="3"/>
    <n v="38"/>
    <n v="0"/>
    <n v="38"/>
    <n v="10"/>
    <n v="0"/>
    <n v="0"/>
    <n v="0"/>
    <n v="0"/>
    <n v="0"/>
    <s v="%"/>
    <n v="0"/>
    <n v="0"/>
    <m/>
    <m/>
    <m/>
    <m/>
    <m/>
    <m/>
    <m/>
    <n v="0"/>
  </r>
  <r>
    <x v="11"/>
    <x v="1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1"/>
    <x v="11"/>
    <n v="2"/>
    <n v="0"/>
    <n v="4"/>
    <n v="-4"/>
    <n v="0"/>
    <n v="0"/>
    <n v="0"/>
    <n v="0"/>
    <n v="0"/>
    <n v="0"/>
    <s v="%"/>
    <n v="4"/>
    <n v="0"/>
    <m/>
    <m/>
    <m/>
    <m/>
    <m/>
    <m/>
    <m/>
    <n v="0"/>
  </r>
  <r>
    <x v="11"/>
    <x v="11"/>
    <n v="3"/>
    <n v="39"/>
    <n v="0"/>
    <n v="39"/>
    <n v="0"/>
    <n v="0"/>
    <n v="0"/>
    <n v="0"/>
    <n v="0"/>
    <n v="0"/>
    <s v="%"/>
    <n v="0"/>
    <n v="0"/>
    <m/>
    <m/>
    <m/>
    <m/>
    <m/>
    <m/>
    <m/>
    <n v="0"/>
  </r>
  <r>
    <x v="12"/>
    <x v="1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2"/>
    <x v="12"/>
    <n v="2"/>
    <n v="30"/>
    <n v="0"/>
    <n v="30"/>
    <n v="0"/>
    <n v="0"/>
    <n v="0"/>
    <n v="0"/>
    <n v="0"/>
    <n v="0"/>
    <s v="%"/>
    <n v="0"/>
    <n v="0"/>
    <m/>
    <m/>
    <m/>
    <m/>
    <m/>
    <m/>
    <m/>
    <n v="0"/>
  </r>
  <r>
    <x v="12"/>
    <x v="12"/>
    <n v="3"/>
    <n v="24"/>
    <n v="1"/>
    <n v="23"/>
    <n v="0"/>
    <n v="0"/>
    <n v="0"/>
    <n v="0"/>
    <n v="0"/>
    <n v="0"/>
    <s v="%"/>
    <n v="1"/>
    <n v="0"/>
    <m/>
    <m/>
    <m/>
    <m/>
    <m/>
    <m/>
    <m/>
    <n v="0"/>
  </r>
  <r>
    <x v="13"/>
    <x v="1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3"/>
    <x v="13"/>
    <n v="2"/>
    <n v="18"/>
    <n v="1"/>
    <n v="0"/>
    <n v="0"/>
    <n v="0"/>
    <n v="0"/>
    <n v="0"/>
    <n v="0"/>
    <n v="0"/>
    <s v="%"/>
    <n v="1"/>
    <n v="0"/>
    <m/>
    <m/>
    <m/>
    <m/>
    <m/>
    <m/>
    <m/>
    <n v="0"/>
  </r>
  <r>
    <x v="13"/>
    <x v="13"/>
    <n v="3"/>
    <n v="24"/>
    <n v="0"/>
    <n v="24"/>
    <n v="0"/>
    <n v="0"/>
    <n v="0"/>
    <n v="0"/>
    <n v="0"/>
    <n v="0"/>
    <s v="%"/>
    <n v="0"/>
    <n v="0"/>
    <m/>
    <m/>
    <m/>
    <m/>
    <m/>
    <m/>
    <m/>
    <n v="0"/>
  </r>
  <r>
    <x v="14"/>
    <x v="1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4"/>
    <x v="14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4"/>
    <x v="14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5"/>
    <x v="1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5"/>
    <x v="15"/>
    <n v="2"/>
    <n v="48"/>
    <n v="2"/>
    <n v="46"/>
    <n v="0"/>
    <n v="0"/>
    <n v="0"/>
    <n v="0"/>
    <n v="0"/>
    <n v="0"/>
    <s v="%"/>
    <n v="2"/>
    <n v="0"/>
    <m/>
    <m/>
    <m/>
    <m/>
    <m/>
    <m/>
    <m/>
    <n v="0"/>
  </r>
  <r>
    <x v="15"/>
    <x v="15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6"/>
    <x v="1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6"/>
    <x v="16"/>
    <n v="2"/>
    <n v="16"/>
    <n v="1"/>
    <n v="15"/>
    <n v="0"/>
    <n v="0"/>
    <n v="0"/>
    <n v="0"/>
    <n v="0"/>
    <n v="0"/>
    <s v="%"/>
    <n v="1"/>
    <n v="0"/>
    <m/>
    <m/>
    <m/>
    <m/>
    <m/>
    <m/>
    <m/>
    <n v="20"/>
  </r>
  <r>
    <x v="16"/>
    <x v="16"/>
    <n v="3"/>
    <n v="52"/>
    <n v="1"/>
    <n v="51"/>
    <n v="0"/>
    <n v="0"/>
    <n v="0"/>
    <n v="0"/>
    <n v="0"/>
    <n v="0"/>
    <s v="%"/>
    <n v="1"/>
    <n v="0"/>
    <m/>
    <m/>
    <m/>
    <m/>
    <m/>
    <m/>
    <m/>
    <n v="0"/>
  </r>
  <r>
    <x v="17"/>
    <x v="1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7"/>
    <x v="17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</r>
  <r>
    <x v="17"/>
    <x v="17"/>
    <n v="3"/>
    <n v="54"/>
    <n v="1"/>
    <n v="53"/>
    <n v="0"/>
    <n v="0"/>
    <n v="0"/>
    <n v="0"/>
    <n v="0"/>
    <n v="0"/>
    <s v="%"/>
    <n v="1"/>
    <n v="0"/>
    <m/>
    <m/>
    <m/>
    <m/>
    <m/>
    <m/>
    <m/>
    <n v="0"/>
  </r>
  <r>
    <x v="18"/>
    <x v="1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18"/>
    <x v="18"/>
    <n v="2"/>
    <n v="0"/>
    <n v="2"/>
    <n v="-2"/>
    <n v="0"/>
    <n v="0"/>
    <n v="0"/>
    <n v="0"/>
    <n v="0"/>
    <n v="0"/>
    <s v="%"/>
    <n v="2"/>
    <n v="0"/>
    <m/>
    <m/>
    <m/>
    <m/>
    <m/>
    <m/>
    <m/>
    <n v="18"/>
  </r>
  <r>
    <x v="18"/>
    <x v="18"/>
    <n v="3"/>
    <n v="94"/>
    <n v="0"/>
    <n v="94"/>
    <n v="0"/>
    <n v="0"/>
    <n v="0"/>
    <n v="0"/>
    <n v="0"/>
    <n v="0"/>
    <s v="%"/>
    <n v="0"/>
    <n v="0"/>
    <m/>
    <m/>
    <m/>
    <m/>
    <m/>
    <m/>
    <m/>
    <n v="0"/>
  </r>
  <r>
    <x v="19"/>
    <x v="19"/>
    <n v="1"/>
    <n v="0"/>
    <n v="0"/>
    <n v="0"/>
    <n v="0"/>
    <n v="0"/>
    <n v="0"/>
    <n v="0"/>
    <n v="0"/>
    <n v="0"/>
    <s v="%"/>
    <n v="0"/>
    <n v="-33560"/>
    <m/>
    <m/>
    <m/>
    <m/>
    <m/>
    <m/>
    <m/>
    <n v="0"/>
  </r>
  <r>
    <x v="19"/>
    <x v="19"/>
    <n v="2"/>
    <n v="43"/>
    <n v="2"/>
    <n v="41"/>
    <n v="0"/>
    <n v="0"/>
    <n v="0"/>
    <n v="0"/>
    <n v="0"/>
    <n v="0"/>
    <s v="%"/>
    <n v="2"/>
    <n v="0"/>
    <m/>
    <m/>
    <m/>
    <m/>
    <m/>
    <m/>
    <m/>
    <n v="36"/>
  </r>
  <r>
    <x v="19"/>
    <x v="19"/>
    <n v="3"/>
    <n v="27"/>
    <n v="1"/>
    <n v="26"/>
    <n v="0"/>
    <n v="0"/>
    <n v="0"/>
    <n v="0"/>
    <n v="0"/>
    <n v="0"/>
    <s v="%"/>
    <n v="1"/>
    <n v="0"/>
    <m/>
    <m/>
    <m/>
    <m/>
    <m/>
    <m/>
    <m/>
    <n v="0"/>
  </r>
  <r>
    <x v="20"/>
    <x v="2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0"/>
    <x v="20"/>
    <n v="2"/>
    <n v="16"/>
    <n v="0"/>
    <n v="16"/>
    <n v="0"/>
    <n v="0"/>
    <n v="0"/>
    <n v="0"/>
    <n v="0"/>
    <n v="0"/>
    <s v="%"/>
    <n v="0"/>
    <n v="0"/>
    <m/>
    <m/>
    <m/>
    <m/>
    <m/>
    <m/>
    <m/>
    <n v="24"/>
  </r>
  <r>
    <x v="20"/>
    <x v="20"/>
    <n v="3"/>
    <n v="4"/>
    <n v="1"/>
    <n v="3"/>
    <n v="10"/>
    <n v="0"/>
    <n v="0"/>
    <n v="0"/>
    <n v="0"/>
    <n v="0"/>
    <s v="%"/>
    <n v="1"/>
    <n v="0"/>
    <m/>
    <m/>
    <m/>
    <m/>
    <m/>
    <m/>
    <m/>
    <n v="0"/>
  </r>
  <r>
    <x v="21"/>
    <x v="2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1"/>
    <x v="21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1"/>
    <x v="21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2"/>
    <x v="2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2"/>
    <x v="22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2"/>
    <x v="22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3"/>
    <x v="2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3"/>
    <x v="23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</r>
  <r>
    <x v="23"/>
    <x v="23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4"/>
    <x v="2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4"/>
    <x v="24"/>
    <n v="2"/>
    <n v="0"/>
    <n v="2"/>
    <n v="-2"/>
    <n v="0"/>
    <n v="0"/>
    <n v="0"/>
    <n v="0"/>
    <n v="0"/>
    <n v="0"/>
    <s v="%"/>
    <n v="2"/>
    <n v="0"/>
    <m/>
    <m/>
    <m/>
    <m/>
    <m/>
    <m/>
    <m/>
    <n v="36"/>
  </r>
  <r>
    <x v="24"/>
    <x v="24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5"/>
    <x v="2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5"/>
    <x v="25"/>
    <n v="2"/>
    <n v="0"/>
    <n v="2"/>
    <n v="-2"/>
    <n v="10"/>
    <n v="0"/>
    <n v="0"/>
    <n v="0"/>
    <n v="0"/>
    <n v="0"/>
    <s v="%"/>
    <n v="2"/>
    <n v="0"/>
    <m/>
    <m/>
    <m/>
    <m/>
    <m/>
    <m/>
    <m/>
    <n v="38"/>
  </r>
  <r>
    <x v="25"/>
    <x v="25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</r>
  <r>
    <x v="26"/>
    <x v="2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6"/>
    <x v="26"/>
    <n v="2"/>
    <n v="0"/>
    <n v="2"/>
    <n v="-2"/>
    <n v="0"/>
    <n v="0"/>
    <n v="0"/>
    <n v="0"/>
    <n v="0"/>
    <n v="0"/>
    <s v="%"/>
    <n v="2"/>
    <n v="0"/>
    <m/>
    <m/>
    <m/>
    <m/>
    <m/>
    <m/>
    <m/>
    <n v="0"/>
  </r>
  <r>
    <x v="26"/>
    <x v="26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7"/>
    <x v="2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7"/>
    <x v="27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7"/>
    <x v="2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8"/>
    <x v="2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8"/>
    <x v="28"/>
    <n v="2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8"/>
    <x v="28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9"/>
    <x v="29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29"/>
    <x v="29"/>
    <n v="2"/>
    <n v="53"/>
    <n v="1"/>
    <n v="52"/>
    <n v="0"/>
    <n v="0"/>
    <n v="0"/>
    <n v="0"/>
    <n v="0"/>
    <n v="0"/>
    <s v="%"/>
    <n v="1"/>
    <n v="0"/>
    <m/>
    <m/>
    <m/>
    <m/>
    <m/>
    <m/>
    <m/>
    <n v="0"/>
  </r>
  <r>
    <x v="29"/>
    <x v="2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30"/>
    <x v="3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</r>
  <r>
    <x v="30"/>
    <x v="30"/>
    <n v="2"/>
    <n v="23"/>
    <n v="3"/>
    <n v="20"/>
    <n v="0"/>
    <n v="0"/>
    <n v="0"/>
    <n v="0"/>
    <n v="0"/>
    <n v="0"/>
    <s v="%"/>
    <n v="3"/>
    <n v="0"/>
    <m/>
    <m/>
    <m/>
    <m/>
    <m/>
    <m/>
    <m/>
    <n v="0"/>
  </r>
  <r>
    <x v="30"/>
    <x v="30"/>
    <n v="3"/>
    <n v="19"/>
    <n v="0"/>
    <n v="19"/>
    <n v="0"/>
    <n v="0"/>
    <n v="0"/>
    <n v="0"/>
    <n v="0"/>
    <n v="0"/>
    <s v="%"/>
    <n v="0"/>
    <n v="0"/>
    <m/>
    <m/>
    <m/>
    <m/>
    <m/>
    <m/>
    <m/>
    <n v="0"/>
  </r>
  <r>
    <x v="31"/>
    <x v="31"/>
    <m/>
    <n v="0"/>
    <n v="0"/>
    <n v="0"/>
    <n v="0"/>
    <n v="0"/>
    <n v="0"/>
    <n v="0"/>
    <n v="0"/>
    <n v="0"/>
    <s v="%"/>
    <n v="0"/>
    <n v="0"/>
    <m/>
    <m/>
    <m/>
    <m/>
    <m/>
    <m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x v="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0"/>
    <x v="0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0"/>
    <x v="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"/>
    <x v="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"/>
    <x v="1"/>
    <n v="2"/>
    <n v="46"/>
    <n v="2"/>
    <n v="44"/>
    <n v="0"/>
    <n v="0"/>
    <n v="0"/>
    <n v="0"/>
    <n v="0"/>
    <n v="0"/>
    <s v="%"/>
    <n v="2"/>
    <n v="0"/>
    <m/>
    <m/>
    <m/>
    <m/>
    <m/>
    <m/>
    <m/>
    <n v="0"/>
    <n v="23"/>
    <n v="0"/>
    <n v="23"/>
  </r>
  <r>
    <x v="1"/>
    <x v="1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"/>
    <x v="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"/>
    <x v="2"/>
    <n v="2"/>
    <n v="64"/>
    <n v="1"/>
    <n v="63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"/>
    <x v="2"/>
    <n v="3"/>
    <n v="35"/>
    <n v="0"/>
    <n v="35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"/>
    <x v="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"/>
    <x v="3"/>
    <n v="2"/>
    <n v="29"/>
    <n v="0"/>
    <n v="29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"/>
    <x v="3"/>
    <n v="3"/>
    <n v="24"/>
    <n v="0"/>
    <n v="24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4"/>
    <x v="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4"/>
    <x v="4"/>
    <n v="2"/>
    <n v="22"/>
    <n v="0"/>
    <n v="22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4"/>
    <x v="4"/>
    <n v="3"/>
    <n v="28"/>
    <n v="2"/>
    <n v="26"/>
    <n v="0"/>
    <n v="0"/>
    <n v="0"/>
    <n v="0"/>
    <n v="0"/>
    <n v="0"/>
    <s v="%"/>
    <n v="2"/>
    <n v="0"/>
    <m/>
    <m/>
    <m/>
    <m/>
    <m/>
    <m/>
    <m/>
    <n v="0"/>
    <n v="23"/>
    <n v="0"/>
    <n v="23"/>
  </r>
  <r>
    <x v="5"/>
    <x v="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5"/>
    <x v="5"/>
    <n v="2"/>
    <n v="0"/>
    <n v="2"/>
    <n v="-2"/>
    <n v="0"/>
    <n v="0"/>
    <n v="0"/>
    <n v="0"/>
    <n v="0"/>
    <n v="0"/>
    <s v="%"/>
    <n v="2"/>
    <n v="0"/>
    <m/>
    <m/>
    <m/>
    <m/>
    <m/>
    <m/>
    <m/>
    <n v="0"/>
    <n v="23"/>
    <n v="0"/>
    <n v="23"/>
  </r>
  <r>
    <x v="5"/>
    <x v="5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6"/>
    <x v="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6"/>
    <x v="6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6"/>
    <x v="6"/>
    <n v="3"/>
    <n v="20"/>
    <n v="0"/>
    <n v="2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7"/>
    <x v="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7"/>
    <x v="7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7"/>
    <x v="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8"/>
    <x v="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8"/>
    <x v="8"/>
    <n v="2"/>
    <n v="18"/>
    <n v="0"/>
    <n v="18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8"/>
    <x v="8"/>
    <n v="3"/>
    <n v="23"/>
    <n v="0"/>
    <n v="23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9"/>
    <x v="9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9"/>
    <x v="9"/>
    <n v="2"/>
    <n v="53"/>
    <n v="1"/>
    <n v="52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9"/>
    <x v="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0"/>
    <x v="1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0"/>
    <x v="10"/>
    <n v="2"/>
    <n v="24"/>
    <n v="1"/>
    <n v="23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10"/>
    <x v="10"/>
    <n v="3"/>
    <n v="38"/>
    <n v="0"/>
    <n v="38"/>
    <n v="10"/>
    <n v="0"/>
    <n v="0"/>
    <n v="0"/>
    <n v="0"/>
    <n v="0"/>
    <s v="%"/>
    <n v="0"/>
    <n v="0"/>
    <m/>
    <m/>
    <m/>
    <m/>
    <m/>
    <m/>
    <m/>
    <n v="0"/>
    <n v="23"/>
    <n v="1"/>
    <n v="23"/>
  </r>
  <r>
    <x v="11"/>
    <x v="1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1"/>
    <x v="11"/>
    <n v="2"/>
    <n v="0"/>
    <n v="4"/>
    <n v="-4"/>
    <n v="0"/>
    <n v="0"/>
    <n v="0"/>
    <n v="0"/>
    <n v="0"/>
    <n v="0"/>
    <s v="%"/>
    <n v="4"/>
    <n v="0"/>
    <m/>
    <m/>
    <m/>
    <m/>
    <m/>
    <m/>
    <m/>
    <n v="0"/>
    <n v="23"/>
    <n v="0"/>
    <n v="23"/>
  </r>
  <r>
    <x v="11"/>
    <x v="11"/>
    <n v="3"/>
    <n v="39"/>
    <n v="0"/>
    <n v="39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2"/>
    <x v="1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2"/>
    <x v="12"/>
    <n v="2"/>
    <n v="30"/>
    <n v="0"/>
    <n v="3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2"/>
    <x v="12"/>
    <n v="3"/>
    <n v="24"/>
    <n v="1"/>
    <n v="23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13"/>
    <x v="1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3"/>
    <x v="13"/>
    <n v="2"/>
    <n v="18"/>
    <n v="1"/>
    <n v="0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13"/>
    <x v="13"/>
    <n v="3"/>
    <n v="24"/>
    <n v="0"/>
    <n v="24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4"/>
    <x v="1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4"/>
    <x v="14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4"/>
    <x v="14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5"/>
    <x v="1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5"/>
    <x v="15"/>
    <n v="2"/>
    <n v="48"/>
    <n v="2"/>
    <n v="46"/>
    <n v="0"/>
    <n v="0"/>
    <n v="0"/>
    <n v="0"/>
    <n v="0"/>
    <n v="0"/>
    <s v="%"/>
    <n v="2"/>
    <n v="0"/>
    <m/>
    <m/>
    <m/>
    <m/>
    <m/>
    <m/>
    <m/>
    <n v="0"/>
    <n v="23"/>
    <n v="0"/>
    <n v="23"/>
  </r>
  <r>
    <x v="15"/>
    <x v="15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6"/>
    <x v="1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6"/>
    <x v="16"/>
    <n v="2"/>
    <n v="16"/>
    <n v="1"/>
    <n v="15"/>
    <n v="0"/>
    <n v="0"/>
    <n v="0"/>
    <n v="0"/>
    <n v="0"/>
    <n v="0"/>
    <s v="%"/>
    <n v="1"/>
    <n v="0"/>
    <m/>
    <m/>
    <m/>
    <m/>
    <m/>
    <m/>
    <m/>
    <n v="20"/>
    <n v="23"/>
    <n v="0"/>
    <n v="23"/>
  </r>
  <r>
    <x v="16"/>
    <x v="16"/>
    <n v="3"/>
    <n v="52"/>
    <n v="1"/>
    <n v="5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17"/>
    <x v="1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7"/>
    <x v="17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17"/>
    <x v="17"/>
    <n v="3"/>
    <n v="54"/>
    <n v="1"/>
    <n v="53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18"/>
    <x v="1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8"/>
    <x v="18"/>
    <n v="2"/>
    <n v="0"/>
    <n v="2"/>
    <n v="-2"/>
    <n v="0"/>
    <n v="0"/>
    <n v="0"/>
    <n v="0"/>
    <n v="0"/>
    <n v="0"/>
    <s v="%"/>
    <n v="2"/>
    <n v="0"/>
    <m/>
    <m/>
    <m/>
    <m/>
    <m/>
    <m/>
    <m/>
    <n v="18"/>
    <n v="23"/>
    <n v="0"/>
    <n v="23"/>
  </r>
  <r>
    <x v="18"/>
    <x v="18"/>
    <n v="3"/>
    <n v="94"/>
    <n v="0"/>
    <n v="94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9"/>
    <x v="19"/>
    <n v="1"/>
    <n v="0"/>
    <n v="0"/>
    <n v="0"/>
    <n v="0"/>
    <n v="0"/>
    <n v="0"/>
    <n v="0"/>
    <n v="0"/>
    <n v="0"/>
    <s v="%"/>
    <n v="0"/>
    <n v="-33560"/>
    <m/>
    <m/>
    <m/>
    <m/>
    <m/>
    <m/>
    <m/>
    <n v="0"/>
    <n v="23"/>
    <n v="0"/>
    <n v="23"/>
  </r>
  <r>
    <x v="19"/>
    <x v="19"/>
    <n v="2"/>
    <n v="43"/>
    <n v="2"/>
    <n v="41"/>
    <n v="0"/>
    <n v="0"/>
    <n v="0"/>
    <n v="0"/>
    <n v="0"/>
    <n v="0"/>
    <s v="%"/>
    <n v="2"/>
    <n v="0"/>
    <m/>
    <m/>
    <m/>
    <m/>
    <m/>
    <m/>
    <m/>
    <n v="36"/>
    <n v="23"/>
    <n v="0"/>
    <n v="23"/>
  </r>
  <r>
    <x v="19"/>
    <x v="19"/>
    <n v="3"/>
    <n v="27"/>
    <n v="1"/>
    <n v="26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0"/>
    <x v="2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0"/>
    <x v="20"/>
    <n v="2"/>
    <n v="16"/>
    <n v="0"/>
    <n v="16"/>
    <n v="0"/>
    <n v="0"/>
    <n v="0"/>
    <n v="0"/>
    <n v="0"/>
    <n v="0"/>
    <s v="%"/>
    <n v="0"/>
    <n v="0"/>
    <m/>
    <m/>
    <m/>
    <m/>
    <m/>
    <m/>
    <m/>
    <n v="24"/>
    <n v="23"/>
    <n v="0"/>
    <n v="23"/>
  </r>
  <r>
    <x v="20"/>
    <x v="20"/>
    <n v="3"/>
    <n v="4"/>
    <n v="1"/>
    <n v="3"/>
    <n v="10"/>
    <n v="0"/>
    <n v="0"/>
    <n v="0"/>
    <n v="0"/>
    <n v="0"/>
    <s v="%"/>
    <n v="1"/>
    <n v="0"/>
    <m/>
    <m/>
    <m/>
    <m/>
    <m/>
    <m/>
    <m/>
    <n v="0"/>
    <n v="23"/>
    <n v="1"/>
    <n v="23"/>
  </r>
  <r>
    <x v="21"/>
    <x v="2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1"/>
    <x v="21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1"/>
    <x v="21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2"/>
    <x v="2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2"/>
    <x v="22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2"/>
    <x v="22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3"/>
    <x v="2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3"/>
    <x v="23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3"/>
    <x v="23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4"/>
    <x v="2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4"/>
    <x v="24"/>
    <n v="2"/>
    <n v="0"/>
    <n v="2"/>
    <n v="-2"/>
    <n v="0"/>
    <n v="0"/>
    <n v="0"/>
    <n v="0"/>
    <n v="0"/>
    <n v="0"/>
    <s v="%"/>
    <n v="2"/>
    <n v="0"/>
    <m/>
    <m/>
    <m/>
    <m/>
    <m/>
    <m/>
    <m/>
    <n v="36"/>
    <n v="23"/>
    <n v="0"/>
    <n v="23"/>
  </r>
  <r>
    <x v="24"/>
    <x v="24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5"/>
    <x v="2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5"/>
    <x v="25"/>
    <n v="2"/>
    <n v="0"/>
    <n v="2"/>
    <n v="-2"/>
    <n v="10"/>
    <n v="0"/>
    <n v="0"/>
    <n v="0"/>
    <n v="0"/>
    <n v="0"/>
    <s v="%"/>
    <n v="2"/>
    <n v="0"/>
    <m/>
    <m/>
    <m/>
    <m/>
    <m/>
    <m/>
    <m/>
    <n v="38"/>
    <n v="23"/>
    <n v="1"/>
    <n v="23"/>
  </r>
  <r>
    <x v="25"/>
    <x v="25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6"/>
    <x v="2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6"/>
    <x v="26"/>
    <n v="2"/>
    <n v="0"/>
    <n v="2"/>
    <n v="-2"/>
    <n v="0"/>
    <n v="0"/>
    <n v="0"/>
    <n v="0"/>
    <n v="0"/>
    <n v="0"/>
    <s v="%"/>
    <n v="2"/>
    <n v="0"/>
    <m/>
    <m/>
    <m/>
    <m/>
    <m/>
    <m/>
    <m/>
    <n v="0"/>
    <n v="23"/>
    <n v="0"/>
    <n v="23"/>
  </r>
  <r>
    <x v="26"/>
    <x v="26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7"/>
    <x v="2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7"/>
    <x v="27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7"/>
    <x v="2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8"/>
    <x v="2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8"/>
    <x v="28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8"/>
    <x v="28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9"/>
    <x v="29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9"/>
    <x v="29"/>
    <n v="2"/>
    <n v="53"/>
    <n v="1"/>
    <n v="52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9"/>
    <x v="2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0"/>
    <x v="3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0"/>
    <x v="30"/>
    <n v="2"/>
    <n v="23"/>
    <n v="3"/>
    <n v="20"/>
    <n v="0"/>
    <n v="0"/>
    <n v="0"/>
    <n v="0"/>
    <n v="0"/>
    <n v="0"/>
    <s v="%"/>
    <n v="3"/>
    <n v="0"/>
    <m/>
    <m/>
    <m/>
    <m/>
    <m/>
    <m/>
    <m/>
    <n v="0"/>
    <n v="23"/>
    <n v="0"/>
    <n v="23"/>
  </r>
  <r>
    <x v="30"/>
    <x v="30"/>
    <n v="3"/>
    <n v="19"/>
    <n v="0"/>
    <n v="19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1"/>
    <x v="31"/>
    <m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2"/>
    <x v="31"/>
    <m/>
    <m/>
    <n v="0"/>
    <m/>
    <n v="0"/>
    <n v="0"/>
    <m/>
    <m/>
    <m/>
    <m/>
    <m/>
    <m/>
    <n v="0"/>
    <m/>
    <m/>
    <m/>
    <m/>
    <m/>
    <m/>
    <m/>
    <n v="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0"/>
    <x v="0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0"/>
    <x v="0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"/>
    <x v="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"/>
    <x v="1"/>
    <n v="2"/>
    <n v="46"/>
    <n v="2"/>
    <n v="44"/>
    <n v="0"/>
    <n v="0"/>
    <n v="0"/>
    <n v="0"/>
    <n v="0"/>
    <n v="0"/>
    <s v="%"/>
    <n v="2"/>
    <n v="0"/>
    <m/>
    <m/>
    <m/>
    <m/>
    <m/>
    <m/>
    <m/>
    <n v="0"/>
    <n v="23"/>
    <n v="0"/>
    <n v="23"/>
  </r>
  <r>
    <x v="1"/>
    <x v="1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"/>
    <x v="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"/>
    <x v="2"/>
    <n v="2"/>
    <n v="64"/>
    <n v="1"/>
    <n v="63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"/>
    <x v="2"/>
    <n v="3"/>
    <n v="35"/>
    <n v="0"/>
    <n v="35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"/>
    <x v="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"/>
    <x v="3"/>
    <n v="2"/>
    <n v="29"/>
    <n v="0"/>
    <n v="29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"/>
    <x v="3"/>
    <n v="3"/>
    <n v="24"/>
    <n v="0"/>
    <n v="24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4"/>
    <x v="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4"/>
    <x v="4"/>
    <n v="2"/>
    <n v="22"/>
    <n v="0"/>
    <n v="22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4"/>
    <x v="4"/>
    <n v="3"/>
    <n v="28"/>
    <n v="2"/>
    <n v="26"/>
    <n v="0"/>
    <n v="0"/>
    <n v="0"/>
    <n v="0"/>
    <n v="0"/>
    <n v="0"/>
    <s v="%"/>
    <n v="2"/>
    <n v="0"/>
    <m/>
    <m/>
    <m/>
    <m/>
    <m/>
    <m/>
    <m/>
    <n v="0"/>
    <n v="23"/>
    <n v="0"/>
    <n v="23"/>
  </r>
  <r>
    <x v="5"/>
    <x v="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5"/>
    <x v="5"/>
    <n v="2"/>
    <n v="0"/>
    <n v="2"/>
    <n v="-2"/>
    <n v="0"/>
    <n v="0"/>
    <n v="0"/>
    <n v="0"/>
    <n v="0"/>
    <n v="0"/>
    <s v="%"/>
    <n v="2"/>
    <n v="0"/>
    <m/>
    <m/>
    <m/>
    <m/>
    <m/>
    <m/>
    <m/>
    <n v="0"/>
    <n v="23"/>
    <n v="0"/>
    <n v="23"/>
  </r>
  <r>
    <x v="5"/>
    <x v="5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6"/>
    <x v="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6"/>
    <x v="6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6"/>
    <x v="6"/>
    <n v="3"/>
    <n v="20"/>
    <n v="0"/>
    <n v="2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7"/>
    <x v="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7"/>
    <x v="7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7"/>
    <x v="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8"/>
    <x v="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8"/>
    <x v="8"/>
    <n v="2"/>
    <n v="18"/>
    <n v="0"/>
    <n v="18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8"/>
    <x v="8"/>
    <n v="3"/>
    <n v="23"/>
    <n v="0"/>
    <n v="23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9"/>
    <x v="9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9"/>
    <x v="9"/>
    <n v="2"/>
    <n v="53"/>
    <n v="1"/>
    <n v="52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9"/>
    <x v="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0"/>
    <x v="1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0"/>
    <x v="10"/>
    <n v="2"/>
    <n v="24"/>
    <n v="1"/>
    <n v="23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10"/>
    <x v="10"/>
    <n v="3"/>
    <n v="38"/>
    <n v="0"/>
    <n v="38"/>
    <n v="10"/>
    <n v="0"/>
    <n v="0"/>
    <n v="0"/>
    <n v="0"/>
    <n v="0"/>
    <s v="%"/>
    <n v="0"/>
    <n v="0"/>
    <m/>
    <m/>
    <m/>
    <m/>
    <m/>
    <m/>
    <m/>
    <n v="0"/>
    <n v="23"/>
    <n v="1"/>
    <n v="23"/>
  </r>
  <r>
    <x v="11"/>
    <x v="1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1"/>
    <x v="11"/>
    <n v="2"/>
    <n v="0"/>
    <n v="4"/>
    <n v="-4"/>
    <n v="0"/>
    <n v="0"/>
    <n v="0"/>
    <n v="0"/>
    <n v="0"/>
    <n v="0"/>
    <s v="%"/>
    <n v="4"/>
    <n v="0"/>
    <m/>
    <m/>
    <m/>
    <m/>
    <m/>
    <m/>
    <m/>
    <n v="0"/>
    <n v="23"/>
    <n v="0"/>
    <n v="23"/>
  </r>
  <r>
    <x v="11"/>
    <x v="11"/>
    <n v="3"/>
    <n v="39"/>
    <n v="0"/>
    <n v="39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2"/>
    <x v="1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2"/>
    <x v="12"/>
    <n v="2"/>
    <n v="30"/>
    <n v="0"/>
    <n v="3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2"/>
    <x v="12"/>
    <n v="3"/>
    <n v="24"/>
    <n v="1"/>
    <n v="23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13"/>
    <x v="1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3"/>
    <x v="13"/>
    <n v="2"/>
    <n v="18"/>
    <n v="1"/>
    <n v="0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13"/>
    <x v="13"/>
    <n v="3"/>
    <n v="24"/>
    <n v="0"/>
    <n v="24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4"/>
    <x v="1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4"/>
    <x v="14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4"/>
    <x v="14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5"/>
    <x v="1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5"/>
    <x v="15"/>
    <n v="2"/>
    <n v="48"/>
    <n v="2"/>
    <n v="46"/>
    <n v="0"/>
    <n v="0"/>
    <n v="0"/>
    <n v="0"/>
    <n v="0"/>
    <n v="0"/>
    <s v="%"/>
    <n v="2"/>
    <n v="0"/>
    <m/>
    <m/>
    <m/>
    <m/>
    <m/>
    <m/>
    <m/>
    <n v="0"/>
    <n v="23"/>
    <n v="0"/>
    <n v="23"/>
  </r>
  <r>
    <x v="15"/>
    <x v="15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6"/>
    <x v="1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6"/>
    <x v="16"/>
    <n v="2"/>
    <n v="16"/>
    <n v="1"/>
    <n v="15"/>
    <n v="0"/>
    <n v="0"/>
    <n v="0"/>
    <n v="0"/>
    <n v="0"/>
    <n v="0"/>
    <s v="%"/>
    <n v="1"/>
    <n v="0"/>
    <m/>
    <m/>
    <m/>
    <m/>
    <m/>
    <m/>
    <m/>
    <n v="20"/>
    <n v="23"/>
    <n v="0"/>
    <n v="23"/>
  </r>
  <r>
    <x v="16"/>
    <x v="16"/>
    <n v="3"/>
    <n v="52"/>
    <n v="1"/>
    <n v="5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17"/>
    <x v="1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7"/>
    <x v="17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17"/>
    <x v="17"/>
    <n v="3"/>
    <n v="54"/>
    <n v="1"/>
    <n v="53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18"/>
    <x v="1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8"/>
    <x v="18"/>
    <n v="2"/>
    <n v="0"/>
    <n v="2"/>
    <n v="-2"/>
    <n v="0"/>
    <n v="0"/>
    <n v="0"/>
    <n v="0"/>
    <n v="0"/>
    <n v="0"/>
    <s v="%"/>
    <n v="2"/>
    <n v="0"/>
    <m/>
    <m/>
    <m/>
    <m/>
    <m/>
    <m/>
    <m/>
    <n v="18"/>
    <n v="23"/>
    <n v="0"/>
    <n v="23"/>
  </r>
  <r>
    <x v="18"/>
    <x v="18"/>
    <n v="3"/>
    <n v="94"/>
    <n v="0"/>
    <n v="94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19"/>
    <x v="19"/>
    <n v="1"/>
    <n v="0"/>
    <n v="0"/>
    <n v="0"/>
    <n v="0"/>
    <n v="0"/>
    <n v="0"/>
    <n v="0"/>
    <n v="0"/>
    <n v="0"/>
    <s v="%"/>
    <n v="0"/>
    <n v="-33560"/>
    <m/>
    <m/>
    <m/>
    <m/>
    <m/>
    <m/>
    <m/>
    <n v="0"/>
    <n v="23"/>
    <n v="0"/>
    <n v="23"/>
  </r>
  <r>
    <x v="19"/>
    <x v="19"/>
    <n v="2"/>
    <n v="43"/>
    <n v="2"/>
    <n v="41"/>
    <n v="0"/>
    <n v="0"/>
    <n v="0"/>
    <n v="0"/>
    <n v="0"/>
    <n v="0"/>
    <s v="%"/>
    <n v="2"/>
    <n v="0"/>
    <m/>
    <m/>
    <m/>
    <m/>
    <m/>
    <m/>
    <m/>
    <n v="36"/>
    <n v="23"/>
    <n v="0"/>
    <n v="23"/>
  </r>
  <r>
    <x v="19"/>
    <x v="19"/>
    <n v="3"/>
    <n v="27"/>
    <n v="1"/>
    <n v="26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0"/>
    <x v="2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0"/>
    <x v="20"/>
    <n v="2"/>
    <n v="16"/>
    <n v="0"/>
    <n v="16"/>
    <n v="0"/>
    <n v="0"/>
    <n v="0"/>
    <n v="0"/>
    <n v="0"/>
    <n v="0"/>
    <s v="%"/>
    <n v="0"/>
    <n v="0"/>
    <m/>
    <m/>
    <m/>
    <m/>
    <m/>
    <m/>
    <m/>
    <n v="24"/>
    <n v="23"/>
    <n v="0"/>
    <n v="23"/>
  </r>
  <r>
    <x v="20"/>
    <x v="20"/>
    <n v="3"/>
    <n v="4"/>
    <n v="1"/>
    <n v="3"/>
    <n v="10"/>
    <n v="0"/>
    <n v="0"/>
    <n v="0"/>
    <n v="0"/>
    <n v="0"/>
    <s v="%"/>
    <n v="1"/>
    <n v="0"/>
    <m/>
    <m/>
    <m/>
    <m/>
    <m/>
    <m/>
    <m/>
    <n v="0"/>
    <n v="23"/>
    <n v="1"/>
    <n v="23"/>
  </r>
  <r>
    <x v="21"/>
    <x v="21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1"/>
    <x v="21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1"/>
    <x v="21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2"/>
    <x v="22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2"/>
    <x v="22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2"/>
    <x v="22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3"/>
    <x v="23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3"/>
    <x v="23"/>
    <n v="2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3"/>
    <x v="23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4"/>
    <x v="24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4"/>
    <x v="24"/>
    <n v="2"/>
    <n v="0"/>
    <n v="2"/>
    <n v="-2"/>
    <n v="0"/>
    <n v="0"/>
    <n v="0"/>
    <n v="0"/>
    <n v="0"/>
    <n v="0"/>
    <s v="%"/>
    <n v="2"/>
    <n v="0"/>
    <m/>
    <m/>
    <m/>
    <m/>
    <m/>
    <m/>
    <m/>
    <n v="36"/>
    <n v="23"/>
    <n v="0"/>
    <n v="23"/>
  </r>
  <r>
    <x v="24"/>
    <x v="24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5"/>
    <x v="25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5"/>
    <x v="25"/>
    <n v="2"/>
    <n v="0"/>
    <n v="2"/>
    <n v="-2"/>
    <n v="10"/>
    <n v="0"/>
    <n v="0"/>
    <n v="0"/>
    <n v="0"/>
    <n v="0"/>
    <s v="%"/>
    <n v="2"/>
    <n v="0"/>
    <m/>
    <m/>
    <m/>
    <m/>
    <m/>
    <m/>
    <m/>
    <n v="38"/>
    <n v="23"/>
    <n v="1"/>
    <n v="23"/>
  </r>
  <r>
    <x v="25"/>
    <x v="25"/>
    <n v="3"/>
    <n v="0"/>
    <n v="1"/>
    <n v="-1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6"/>
    <x v="26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6"/>
    <x v="26"/>
    <n v="2"/>
    <n v="0"/>
    <n v="2"/>
    <n v="-2"/>
    <n v="0"/>
    <n v="0"/>
    <n v="0"/>
    <n v="0"/>
    <n v="0"/>
    <n v="0"/>
    <s v="%"/>
    <n v="2"/>
    <n v="0"/>
    <m/>
    <m/>
    <m/>
    <m/>
    <m/>
    <m/>
    <m/>
    <n v="0"/>
    <n v="23"/>
    <n v="0"/>
    <n v="23"/>
  </r>
  <r>
    <x v="26"/>
    <x v="26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7"/>
    <x v="27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7"/>
    <x v="27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7"/>
    <x v="27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8"/>
    <x v="28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8"/>
    <x v="28"/>
    <n v="2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8"/>
    <x v="28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9"/>
    <x v="29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29"/>
    <x v="29"/>
    <n v="2"/>
    <n v="53"/>
    <n v="1"/>
    <n v="52"/>
    <n v="0"/>
    <n v="0"/>
    <n v="0"/>
    <n v="0"/>
    <n v="0"/>
    <n v="0"/>
    <s v="%"/>
    <n v="1"/>
    <n v="0"/>
    <m/>
    <m/>
    <m/>
    <m/>
    <m/>
    <m/>
    <m/>
    <n v="0"/>
    <n v="23"/>
    <n v="0"/>
    <n v="23"/>
  </r>
  <r>
    <x v="29"/>
    <x v="29"/>
    <n v="3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0"/>
    <x v="30"/>
    <n v="1"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0"/>
    <x v="30"/>
    <n v="2"/>
    <n v="23"/>
    <n v="3"/>
    <n v="20"/>
    <n v="0"/>
    <n v="0"/>
    <n v="0"/>
    <n v="0"/>
    <n v="0"/>
    <n v="0"/>
    <s v="%"/>
    <n v="3"/>
    <n v="0"/>
    <m/>
    <m/>
    <m/>
    <m/>
    <m/>
    <m/>
    <m/>
    <n v="0"/>
    <n v="23"/>
    <n v="0"/>
    <n v="23"/>
  </r>
  <r>
    <x v="30"/>
    <x v="30"/>
    <n v="3"/>
    <n v="19"/>
    <n v="0"/>
    <n v="19"/>
    <n v="0"/>
    <n v="0"/>
    <n v="0"/>
    <n v="0"/>
    <n v="0"/>
    <n v="0"/>
    <s v="%"/>
    <n v="0"/>
    <n v="0"/>
    <m/>
    <m/>
    <m/>
    <m/>
    <m/>
    <m/>
    <m/>
    <n v="0"/>
    <n v="23"/>
    <n v="0"/>
    <n v="23"/>
  </r>
  <r>
    <x v="31"/>
    <x v="31"/>
    <m/>
    <n v="0"/>
    <n v="0"/>
    <n v="0"/>
    <n v="0"/>
    <n v="0"/>
    <n v="0"/>
    <n v="0"/>
    <n v="0"/>
    <n v="0"/>
    <s v="%"/>
    <n v="0"/>
    <n v="0"/>
    <m/>
    <m/>
    <m/>
    <m/>
    <m/>
    <m/>
    <m/>
    <n v="0"/>
    <n v="23"/>
    <n v="0"/>
    <n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316D1-8B69-4707-B826-2B49675AFF7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7" rowHeaderCaption="FECHA">
  <location ref="M5:R37" firstHeaderRow="0" firstDataRow="1" firstDataCol="1" rowPageCount="3" colPageCount="1"/>
  <pivotFields count="25">
    <pivotField axis="axisPage" numFmtId="14" showAll="0">
      <items count="216"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63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69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24" hier="-1"/>
    <pageField fld="23" hier="-1"/>
    <pageField fld="0" hier="-1"/>
  </pageFields>
  <dataFields count="5">
    <dataField name=" VOLUMEN REPORTE CONSUMIDO PRODUCCIÓN" fld="7" baseField="0" baseItem="0"/>
    <dataField name=" VOLUMEN DE PTAP ENVIADO A PLANTA DE PRODUCCIÓN" fld="4" baseField="0" baseItem="0"/>
    <dataField name=" VOLUMEN POTABLE CARROTANQUES" fld="8" baseField="0" baseItem="0"/>
    <dataField name="  VOLUMEN PERMEADO RO" fld="10" baseField="0" baseItem="0"/>
    <dataField name="  VOLUMEN REAL ENVIADO A PRODUCCIÓN " fld="13" baseField="0" baseItem="0"/>
  </dataFields>
  <formats count="20"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field="0" type="button" dataOnly="0" labelOnly="1" outline="0" axis="axisPage" fieldPosition="2"/>
    </format>
    <format dxfId="17">
      <pivotArea field="0" type="button" dataOnly="0" labelOnly="1" outline="0" axis="axisPage" fieldPosition="2"/>
    </format>
    <format dxfId="16">
      <pivotArea field="0" type="button" dataOnly="0" labelOnly="1" outline="0" axis="axisPage" fieldPosition="2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outline="0" collapsedLevelsAreSubtotals="1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field="0" type="button" dataOnly="0" labelOnly="1" outline="0" axis="axisPage" fieldPosition="2"/>
    </format>
    <format dxfId="11">
      <pivotArea dataOnly="0" labelOnly="1" grandRow="1" outline="0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field="1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collapsedLevelsAreSubtotals="1" fieldPosition="0">
        <references count="1">
          <reference field="1" count="0"/>
        </references>
      </pivotArea>
    </format>
    <format dxfId="3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4"/>
          </reference>
        </references>
      </pivotArea>
    </format>
  </formats>
  <chartFormats count="7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3"/>
          </reference>
          <reference field="1" count="1" selected="0">
            <x v="2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3"/>
          </reference>
          <reference field="1" count="1" selected="0">
            <x v="2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2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3"/>
          </reference>
          <reference field="1" count="1" selected="0">
            <x v="2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2"/>
          </reference>
          <reference field="1" count="1" selected="0">
            <x v="2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2"/>
          </reference>
          <reference field="1" count="1" selected="0">
            <x v="20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3"/>
          </reference>
          <reference field="1" count="1" selected="0">
            <x v="19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2"/>
          </reference>
          <reference field="1" count="1" selected="0">
            <x v="19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3"/>
          </reference>
          <reference field="1" count="1" selected="0">
            <x v="17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3"/>
          </reference>
          <reference field="1" count="1" selected="0">
            <x v="0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3"/>
          </reference>
          <reference field="1" count="1" selected="0">
            <x v="1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3"/>
          </reference>
          <reference field="1" count="1" selected="0">
            <x v="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3"/>
          </reference>
          <reference field="1" count="1" selected="0">
            <x v="3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3"/>
          </reference>
          <reference field="1" count="1" selected="0">
            <x v="4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3"/>
          </reference>
          <reference field="1" count="1" selected="0">
            <x v="5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3"/>
          </reference>
          <reference field="1" count="1" selected="0">
            <x v="6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3"/>
          </reference>
          <reference field="1" count="1" selected="0">
            <x v="7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3"/>
          </reference>
          <reference field="1" count="1" selected="0">
            <x v="8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3"/>
          </reference>
          <reference field="1" count="1" selected="0">
            <x v="9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3"/>
          </reference>
          <reference field="1" count="1" selected="0">
            <x v="10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3"/>
          </reference>
          <reference field="1" count="1" selected="0">
            <x v="11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3"/>
          </reference>
          <reference field="1" count="1" selected="0">
            <x v="15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3"/>
          </reference>
          <reference field="1" count="1" selected="0">
            <x v="16"/>
          </reference>
        </references>
      </pivotArea>
    </chartFormat>
    <chartFormat chart="0" format="4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4"/>
          </reference>
          <reference field="1" count="1" selected="0">
            <x v="4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4"/>
          </reference>
          <reference field="1" count="1" selected="0">
            <x v="13"/>
          </reference>
        </references>
      </pivotArea>
    </chartFormat>
    <chartFormat chart="59" format="4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9" format="4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9" format="4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9" format="4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4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0" format="4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0" format="5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0" format="5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0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5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61">
      <pivotArea type="data" outline="0" fieldPosition="0">
        <references count="3">
          <reference field="4294967294" count="1" selected="0">
            <x v="1"/>
          </reference>
          <reference field="1" count="1" selected="0">
            <x v="12"/>
          </reference>
          <reference field="23" count="1" selected="0">
            <x v="153"/>
          </reference>
        </references>
      </pivotArea>
    </chartFormat>
    <chartFormat chart="0" format="63">
      <pivotArea type="data" outline="0" fieldPosition="0">
        <references count="3">
          <reference field="4294967294" count="1" selected="0">
            <x v="3"/>
          </reference>
          <reference field="1" count="1" selected="0">
            <x v="9"/>
          </reference>
          <reference field="23" count="1" selected="0">
            <x v="150"/>
          </reference>
        </references>
      </pivotArea>
    </chartFormat>
    <chartFormat chart="0" format="64">
      <pivotArea type="data" outline="0" fieldPosition="0">
        <references count="3">
          <reference field="4294967294" count="1" selected="0">
            <x v="3"/>
          </reference>
          <reference field="1" count="1" selected="0">
            <x v="10"/>
          </reference>
          <reference field="23" count="1" selected="0">
            <x v="151"/>
          </reference>
        </references>
      </pivotArea>
    </chartFormat>
    <chartFormat chart="0" format="65">
      <pivotArea type="data" outline="0" fieldPosition="0">
        <references count="3">
          <reference field="4294967294" count="1" selected="0">
            <x v="3"/>
          </reference>
          <reference field="1" count="1" selected="0">
            <x v="11"/>
          </reference>
          <reference field="23" count="1" selected="0">
            <x v="152"/>
          </reference>
        </references>
      </pivotArea>
    </chartFormat>
    <chartFormat chart="0" format="67">
      <pivotArea type="data" outline="0" fieldPosition="0">
        <references count="3">
          <reference field="4294967294" count="1" selected="0">
            <x v="4"/>
          </reference>
          <reference field="1" count="1" selected="0">
            <x v="13"/>
          </reference>
          <reference field="23" count="1" selected="0">
            <x v="154"/>
          </reference>
        </references>
      </pivotArea>
    </chartFormat>
    <chartFormat chart="0" format="68">
      <pivotArea type="data" outline="0" fieldPosition="0">
        <references count="3">
          <reference field="4294967294" count="1" selected="0">
            <x v="2"/>
          </reference>
          <reference field="1" count="1" selected="0">
            <x v="19"/>
          </reference>
          <reference field="23" count="1" selected="0">
            <x v="160"/>
          </reference>
        </references>
      </pivotArea>
    </chartFormat>
    <chartFormat chart="0" format="69">
      <pivotArea type="data" outline="0" fieldPosition="0">
        <references count="3">
          <reference field="4294967294" count="1" selected="0">
            <x v="3"/>
          </reference>
          <reference field="1" count="1" selected="0">
            <x v="15"/>
          </reference>
          <reference field="23" count="1" selected="0">
            <x v="156"/>
          </reference>
        </references>
      </pivotArea>
    </chartFormat>
    <chartFormat chart="0" format="70">
      <pivotArea type="data" outline="0" fieldPosition="0">
        <references count="3">
          <reference field="4294967294" count="1" selected="0">
            <x v="3"/>
          </reference>
          <reference field="1" count="1" selected="0">
            <x v="16"/>
          </reference>
          <reference field="23" count="1" selected="0">
            <x v="157"/>
          </reference>
        </references>
      </pivotArea>
    </chartFormat>
    <chartFormat chart="0" format="71">
      <pivotArea type="data" outline="0" fieldPosition="0">
        <references count="3">
          <reference field="4294967294" count="1" selected="0">
            <x v="3"/>
          </reference>
          <reference field="1" count="1" selected="0">
            <x v="17"/>
          </reference>
          <reference field="23" count="1" selected="0">
            <x v="158"/>
          </reference>
        </references>
      </pivotArea>
    </chartFormat>
    <chartFormat chart="0" format="72">
      <pivotArea type="data" outline="0" fieldPosition="0">
        <references count="3">
          <reference field="4294967294" count="1" selected="0">
            <x v="3"/>
          </reference>
          <reference field="1" count="1" selected="0">
            <x v="19"/>
          </reference>
          <reference field="23" count="1" selected="0">
            <x v="160"/>
          </reference>
        </references>
      </pivotArea>
    </chartFormat>
    <chartFormat chart="0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23" count="1" selected="0">
            <x v="156"/>
          </reference>
        </references>
      </pivotArea>
    </chartFormat>
    <chartFormat chart="0" format="74">
      <pivotArea type="data" outline="0" fieldPosition="0">
        <references count="3">
          <reference field="4294967294" count="1" selected="0">
            <x v="2"/>
          </reference>
          <reference field="1" count="1" selected="0">
            <x v="20"/>
          </reference>
          <reference field="23" count="1" selected="0">
            <x v="161"/>
          </reference>
        </references>
      </pivotArea>
    </chartFormat>
    <chartFormat chart="0" format="75">
      <pivotArea type="data" outline="0" fieldPosition="0">
        <references count="3">
          <reference field="4294967294" count="1" selected="0">
            <x v="2"/>
          </reference>
          <reference field="1" count="1" selected="0">
            <x v="21"/>
          </reference>
          <reference field="23" count="1" selected="0">
            <x v="162"/>
          </reference>
        </references>
      </pivotArea>
    </chartFormat>
    <chartFormat chart="0" format="76">
      <pivotArea type="data" outline="0" fieldPosition="0">
        <references count="3">
          <reference field="4294967294" count="1" selected="0">
            <x v="2"/>
          </reference>
          <reference field="1" count="1" selected="0">
            <x v="22"/>
          </reference>
          <reference field="23" count="1" selected="0">
            <x v="163"/>
          </reference>
        </references>
      </pivotArea>
    </chartFormat>
    <chartFormat chart="0" format="77">
      <pivotArea type="data" outline="0" fieldPosition="0">
        <references count="3">
          <reference field="4294967294" count="1" selected="0">
            <x v="2"/>
          </reference>
          <reference field="1" count="1" selected="0">
            <x v="23"/>
          </reference>
          <reference field="23" count="1" selected="0">
            <x v="164"/>
          </reference>
        </references>
      </pivotArea>
    </chartFormat>
    <chartFormat chart="0" format="78">
      <pivotArea type="data" outline="0" fieldPosition="0">
        <references count="3">
          <reference field="4294967294" count="1" selected="0">
            <x v="3"/>
          </reference>
          <reference field="1" count="1" selected="0">
            <x v="21"/>
          </reference>
          <reference field="23" count="1" selected="0">
            <x v="162"/>
          </reference>
        </references>
      </pivotArea>
    </chartFormat>
    <chartFormat chart="0" format="79">
      <pivotArea type="data" outline="0" fieldPosition="0">
        <references count="3">
          <reference field="4294967294" count="1" selected="0">
            <x v="3"/>
          </reference>
          <reference field="1" count="1" selected="0">
            <x v="22"/>
          </reference>
          <reference field="23" count="1" selected="0">
            <x v="163"/>
          </reference>
        </references>
      </pivotArea>
    </chartFormat>
    <chartFormat chart="0" format="80">
      <pivotArea type="data" outline="0" fieldPosition="0">
        <references count="3">
          <reference field="4294967294" count="1" selected="0">
            <x v="3"/>
          </reference>
          <reference field="1" count="1" selected="0">
            <x v="23"/>
          </reference>
          <reference field="23" count="1" selected="0">
            <x v="164"/>
          </reference>
        </references>
      </pivotArea>
    </chartFormat>
    <chartFormat chart="0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23" count="1" selected="0">
            <x v="16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2C273-60B6-4E52-9FD4-302F0C84CDEC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8" rowHeaderCaption="DIA">
  <location ref="AF3:AI35" firstHeaderRow="0" firstDataRow="1" firstDataCol="1"/>
  <pivotFields count="33">
    <pivotField numFmtId="14" showAll="0">
      <items count="126"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63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VOLUMEN ENVIO MULAS RESIDUAL" fld="6" baseField="0" baseItem="0"/>
    <dataField name="VOLUMEN EXTRAIDO PTAP  " fld="3" baseField="0" baseItem="0"/>
    <dataField name="Numero de Viajes " fld="24" baseField="0" baseItem="0"/>
  </dataFields>
  <formats count="2">
    <format dxfId="22">
      <pivotArea outline="0" collapsedLevelsAreSubtotals="1" fieldPosition="0"/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5CE65-54CB-4CB7-8A9E-591A58B0005D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AN3:AQ35" firstHeaderRow="0" firstDataRow="1" firstDataCol="1"/>
  <pivotFields count="33">
    <pivotField numFmtId="14" showAll="0">
      <items count="126"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63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TOTAL KG PROCESADOS" fld="22" baseField="0" baseItem="0"/>
    <dataField name=" TOTAL KG + ERBATECH" fld="18" baseField="0" baseItem="0"/>
    <dataField name="KG ERBATECH" fld="28" baseField="0" baseItem="0"/>
  </dataFields>
  <formats count="1">
    <format dxfId="23">
      <pivotArea collapsedLevelsAreSubtotals="1" fieldPosition="0">
        <references count="1">
          <reference field="1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2"/>
          </reference>
          <reference field="1" count="1" selected="0">
            <x v="2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883A0-A2AF-4672-990B-651A52FF6BC4}" name="TablaDiná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IA">
  <location ref="AY4:BC36" firstHeaderRow="0" firstDataRow="1" firstDataCol="1" rowPageCount="2" colPageCount="1"/>
  <pivotFields count="28">
    <pivotField showAll="0">
      <items count="97"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69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27" hier="-1"/>
    <pageField fld="26" hier="-1"/>
  </pageFields>
  <dataFields count="4">
    <dataField name="VOLUMEN INGRESO A PTAR " fld="14" baseField="0" baseItem="0"/>
    <dataField name="VOLUMEN INGRESO RO " fld="9" baseField="0" baseItem="0"/>
    <dataField name="VOLUMEN PERMEADO RO " fld="10" baseField="0" baseItem="0"/>
    <dataField name="VOLUMEN RECHAZO RO 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BC467-A741-48A0-9A90-33B08CDA22CA}" name="TablaDinámica4" cacheId="2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60" rowHeaderCaption="FECHA">
  <location ref="U3:X35" firstHeaderRow="0" firstDataRow="1" firstDataCol="1"/>
  <pivotFields count="33">
    <pivotField numFmtId="14" showAll="0">
      <items count="126"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63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INDICADOR DIA PRODUCCIÓN" fld="26" baseField="0" baseItem="0" numFmtId="165"/>
    <dataField name="  VOLUMEN REAL ENVIADO A PRODUCCIÓN " fld="13" baseField="0" baseItem="0"/>
    <dataField name="Mín. de PROMEDIO MIN INDICADOR" fld="25" subtotal="min" baseField="0" baseItem="0"/>
  </dataFields>
  <formats count="22">
    <format dxfId="45">
      <pivotArea outline="0" collapsedLevelsAreSubtotals="1" fieldPosition="0"/>
    </format>
    <format dxfId="44">
      <pivotArea dataOnly="0" outline="0" fieldPosition="0">
        <references count="1">
          <reference field="4294967294" count="1">
            <x v="0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" type="button" dataOnly="0" labelOnly="1" outline="0" axis="axisRow" fieldPosition="0"/>
    </format>
    <format dxfId="40">
      <pivotArea dataOnly="0" labelOnly="1" fieldPosition="0">
        <references count="1">
          <reference field="1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Row="1" outline="0" fieldPosition="0"/>
    </format>
    <format dxfId="27">
      <pivotArea field="1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7BE0F-9449-430E-9242-F8ECF6203496}" name="TablaDinámica6" cacheId="2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7" rowHeaderCaption="DIA ">
  <location ref="AS4:AW36" firstHeaderRow="0" firstDataRow="1" firstDataCol="1" rowPageCount="2" colPageCount="1"/>
  <pivotFields count="33">
    <pivotField numFmtId="14" showAll="0">
      <items count="126"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63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showAll="0">
      <items count="369"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32" hier="-1"/>
    <pageField fld="31" hier="-1"/>
  </pageFields>
  <dataFields count="4">
    <dataField name="VOLUMEN INGRESO RO " fld="9" baseField="1" baseItem="8" numFmtId="3"/>
    <dataField name="VOLUMEN PERMEADO RO " fld="10" baseField="1" baseItem="10" numFmtId="3"/>
    <dataField name="VOLUMEN RECHAZO RO " fld="11" baseField="1" baseItem="9" numFmtId="3"/>
    <dataField name="EFICIENCIA RO " fld="12" subtotal="average" baseField="0" baseItem="0" numFmtId="9"/>
  </dataFields>
  <formats count="4">
    <format dxfId="4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8">
      <pivotArea outline="0" fieldPosition="0">
        <references count="1">
          <reference field="4294967294" count="1">
            <x v="1"/>
          </reference>
        </references>
      </pivotArea>
    </format>
    <format dxfId="47">
      <pivotArea outline="0" fieldPosition="0">
        <references count="1">
          <reference field="4294967294" count="1">
            <x v="0"/>
          </reference>
        </references>
      </pivotArea>
    </format>
    <format dxfId="46">
      <pivotArea outline="0" fieldPosition="0">
        <references count="1">
          <reference field="4294967294" count="1">
            <x v="2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F8B07-EEA1-452B-B52E-8628FCE4C659}" name="TablaDinámica5" cacheId="2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52" rowHeaderCaption="FECHA">
  <location ref="AA3:AD35" firstHeaderRow="0" firstDataRow="1" firstDataCol="1"/>
  <pivotFields count="33">
    <pivotField numFmtId="14" showAll="0">
      <items count="126"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63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369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TOTAL KG TEÑIDOS MS" fld="22" baseField="0" baseItem="0" numFmtId="3"/>
    <dataField name="  INDICADOR CONSUMO DIA (L/Kg)" fld="26" baseField="0" baseItem="0" numFmtId="165"/>
    <dataField name="Promedio de PROMEDIO MIN INDICADOR" fld="25" subtotal="average" baseField="0" baseItem="0"/>
  </dataFields>
  <formats count="22">
    <format dxfId="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1" type="button" dataOnly="0" labelOnly="1" outline="0" axis="axisRow" fieldPosition="0"/>
    </format>
    <format dxfId="67">
      <pivotArea dataOnly="0" labelOnly="1" fieldPosition="0">
        <references count="1">
          <reference field="1" count="0"/>
        </references>
      </pivotArea>
    </format>
    <format dxfId="66">
      <pivotArea dataOnly="0" labelOnly="1" grandRow="1" outline="0" fieldPosition="0"/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1" type="button" dataOnly="0" labelOnly="1" outline="0" axis="axisRow" fieldPosition="0"/>
    </format>
    <format dxfId="61">
      <pivotArea dataOnly="0" labelOnly="1" fieldPosition="0">
        <references count="1">
          <reference field="1" count="0"/>
        </references>
      </pivotArea>
    </format>
    <format dxfId="60">
      <pivotArea dataOnly="0" labelOnly="1" grandRow="1" outline="0" fieldPosition="0"/>
    </format>
    <format dxfId="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dataOnly="0" labelOnly="1" fieldPosition="0">
        <references count="1">
          <reference field="1" count="0"/>
        </references>
      </pivotArea>
    </format>
    <format dxfId="55">
      <pivotArea dataOnly="0" labelOnly="1" grandRow="1" outline="0" fieldPosition="0"/>
    </format>
    <format dxfId="54">
      <pivotArea field="1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1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5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5BE2778F-A2C7-497C-8A00-187302C647DB}" sourceName="DIA">
  <pivotTables>
    <pivotTable tabId="9" name="TablaDinámica1"/>
  </pivotTables>
  <data>
    <tabular pivotCacheId="1727772120">
      <items count="3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881A6BEB-9E9D-4DDC-A086-29EE4074755B}" sourceName="FECHA">
  <pivotTables>
    <pivotTable tabId="9" name="TablaDinámica2"/>
    <pivotTable tabId="9" name="TablaDinámica3"/>
    <pivotTable tabId="9" name="TablaDinámica4"/>
    <pivotTable tabId="9" name="TablaDinámica5"/>
    <pivotTable tabId="9" name="TablaDinámica6"/>
  </pivotTables>
  <data>
    <tabular pivotCacheId="765492232">
      <items count="125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123" nd="1"/>
        <i x="124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93" nd="1"/>
        <i x="94" nd="1"/>
        <i x="63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  <i x="62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" xr10:uid="{EECC975B-BC7B-4C57-9792-C6F7296C48F4}" sourceName="DIA">
  <pivotTables>
    <pivotTable tabId="9" name="TablaDinámica7"/>
  </pivotTables>
  <data>
    <tabular pivotCacheId="1841375688">
      <items count="3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E90DB24B-8645-4B29-BAFF-F7125D49FA38}" cache="SegmentaciónDeDatos_DIA" caption="DIA" startItem="24" rowHeight="241300"/>
  <slicer name="FECHA" xr10:uid="{7271DFD4-0A00-4182-BCAE-C4621FDC48C5}" cache="SegmentaciónDeDatos_FECHA" caption="FECHA" startItem="21" style="SlicerStyleLight2" rowHeight="241300"/>
  <slicer name="DIA 1" xr10:uid="{24A292F4-3B47-4E6F-BA52-51B73CB0B3E5}" cache="SegmentaciónDeDatos_DIA1" caption="DIA" startItem="24" style="SlicerStyleLight4" rowHeight="241300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F929-BB9F-433E-9598-C568B19994A8}">
  <sheetPr>
    <tabColor theme="4"/>
  </sheetPr>
  <dimension ref="A1:BC155"/>
  <sheetViews>
    <sheetView tabSelected="1" topLeftCell="A101" zoomScale="70" zoomScaleNormal="70" workbookViewId="0">
      <selection activeCell="D110" sqref="D110"/>
    </sheetView>
  </sheetViews>
  <sheetFormatPr baseColWidth="10" defaultRowHeight="14.4" x14ac:dyDescent="0.3"/>
  <cols>
    <col min="1" max="1" width="11.44140625" style="29"/>
    <col min="2" max="2" width="49" style="29" customWidth="1"/>
    <col min="3" max="3" width="18.21875" style="29" customWidth="1"/>
    <col min="4" max="4" width="22.21875" style="29" customWidth="1"/>
    <col min="5" max="5" width="24.77734375" style="29" customWidth="1"/>
    <col min="6" max="6" width="25.21875" style="29" customWidth="1"/>
    <col min="7" max="10" width="17.77734375" style="29" customWidth="1"/>
    <col min="11" max="11" width="27" style="29" customWidth="1"/>
    <col min="12" max="12" width="20.44140625" style="29" customWidth="1"/>
    <col min="13" max="13" width="13.77734375" style="35" bestFit="1" customWidth="1"/>
    <col min="14" max="14" width="30.77734375" style="33" bestFit="1" customWidth="1"/>
    <col min="15" max="15" width="39.33203125" style="33" bestFit="1" customWidth="1"/>
    <col min="16" max="16" width="19" style="33" bestFit="1" customWidth="1"/>
    <col min="17" max="17" width="21.5546875" style="33" bestFit="1" customWidth="1"/>
    <col min="18" max="18" width="26.44140625" style="33" bestFit="1" customWidth="1"/>
    <col min="19" max="19" width="26.77734375" style="29" bestFit="1" customWidth="1"/>
    <col min="20" max="20" width="18.77734375" style="30" customWidth="1"/>
    <col min="21" max="21" width="13" style="31" bestFit="1" customWidth="1"/>
    <col min="22" max="22" width="14.88671875" style="30" bestFit="1" customWidth="1"/>
    <col min="23" max="23" width="39.44140625" style="30" bestFit="1" customWidth="1"/>
    <col min="24" max="24" width="32.44140625" style="30" bestFit="1" customWidth="1"/>
    <col min="25" max="25" width="18.77734375" style="30" customWidth="1"/>
    <col min="26" max="26" width="11.44140625" style="29"/>
    <col min="27" max="27" width="13" style="31" bestFit="1" customWidth="1"/>
    <col min="28" max="28" width="18.5546875" style="31" bestFit="1" customWidth="1"/>
    <col min="29" max="29" width="25.5546875" style="31" bestFit="1" customWidth="1"/>
    <col min="30" max="30" width="37.44140625" style="31" bestFit="1" customWidth="1"/>
    <col min="31" max="31" width="17.21875" style="31" bestFit="1" customWidth="1"/>
    <col min="32" max="32" width="12.33203125" style="29" bestFit="1" customWidth="1"/>
    <col min="33" max="33" width="23.5546875" bestFit="1" customWidth="1"/>
    <col min="34" max="34" width="25.33203125" style="52" bestFit="1" customWidth="1"/>
    <col min="35" max="35" width="17.109375" style="52" bestFit="1" customWidth="1"/>
    <col min="36" max="36" width="31.21875" bestFit="1" customWidth="1"/>
    <col min="37" max="37" width="48.77734375" bestFit="1" customWidth="1"/>
    <col min="38" max="39" width="24.77734375" customWidth="1"/>
    <col min="40" max="40" width="18" bestFit="1" customWidth="1"/>
    <col min="41" max="41" width="22.6640625" bestFit="1" customWidth="1"/>
    <col min="42" max="42" width="20.77734375" bestFit="1" customWidth="1"/>
    <col min="43" max="43" width="12.6640625" bestFit="1" customWidth="1"/>
    <col min="44" max="44" width="35.21875" customWidth="1"/>
    <col min="45" max="45" width="13.77734375" bestFit="1" customWidth="1"/>
    <col min="46" max="46" width="21.88671875" bestFit="1" customWidth="1"/>
    <col min="47" max="47" width="24.21875" bestFit="1" customWidth="1"/>
    <col min="48" max="48" width="22.33203125" bestFit="1" customWidth="1"/>
    <col min="49" max="49" width="13.77734375" style="61" bestFit="1" customWidth="1"/>
    <col min="51" max="51" width="13.77734375" bestFit="1" customWidth="1"/>
    <col min="52" max="52" width="25.6640625" bestFit="1" customWidth="1"/>
    <col min="53" max="53" width="21.88671875" bestFit="1" customWidth="1"/>
    <col min="54" max="54" width="24.21875" bestFit="1" customWidth="1"/>
    <col min="55" max="55" width="22.33203125" bestFit="1" customWidth="1"/>
    <col min="56" max="56" width="16" bestFit="1" customWidth="1"/>
  </cols>
  <sheetData>
    <row r="1" spans="11:55" x14ac:dyDescent="0.3">
      <c r="M1" s="29" t="s">
        <v>100</v>
      </c>
      <c r="N1" s="29" t="s">
        <v>101</v>
      </c>
      <c r="AS1" s="50" t="s">
        <v>100</v>
      </c>
      <c r="AT1" t="s">
        <v>101</v>
      </c>
      <c r="AY1" s="50" t="s">
        <v>100</v>
      </c>
      <c r="AZ1" t="s">
        <v>101</v>
      </c>
    </row>
    <row r="2" spans="11:55" x14ac:dyDescent="0.3">
      <c r="M2" s="29" t="s">
        <v>102</v>
      </c>
      <c r="N2" s="29" t="s">
        <v>101</v>
      </c>
      <c r="AS2" s="50" t="s">
        <v>102</v>
      </c>
      <c r="AT2" t="s">
        <v>101</v>
      </c>
      <c r="AY2" s="50" t="s">
        <v>102</v>
      </c>
      <c r="AZ2" t="s">
        <v>101</v>
      </c>
    </row>
    <row r="3" spans="11:55" ht="28.8" x14ac:dyDescent="0.3">
      <c r="M3" s="240" t="s">
        <v>1</v>
      </c>
      <c r="N3" s="29" t="s">
        <v>101</v>
      </c>
      <c r="O3"/>
      <c r="P3"/>
      <c r="Q3"/>
      <c r="R3"/>
      <c r="S3"/>
      <c r="T3"/>
      <c r="U3" s="37" t="s">
        <v>1</v>
      </c>
      <c r="V3" s="38" t="s">
        <v>14</v>
      </c>
      <c r="W3" s="31" t="s">
        <v>41</v>
      </c>
      <c r="X3" s="31" t="s">
        <v>136</v>
      </c>
      <c r="Y3"/>
      <c r="AA3" s="37" t="s">
        <v>1</v>
      </c>
      <c r="AB3" s="38" t="s">
        <v>15</v>
      </c>
      <c r="AC3" s="38" t="s">
        <v>19</v>
      </c>
      <c r="AD3" s="31" t="s">
        <v>135</v>
      </c>
      <c r="AE3"/>
      <c r="AF3" s="50" t="s">
        <v>12</v>
      </c>
      <c r="AG3" s="52" t="s">
        <v>21</v>
      </c>
      <c r="AH3" t="s">
        <v>127</v>
      </c>
      <c r="AI3" t="s">
        <v>137</v>
      </c>
      <c r="AN3" s="50" t="s">
        <v>20</v>
      </c>
      <c r="AO3" t="s">
        <v>115</v>
      </c>
      <c r="AP3" t="s">
        <v>116</v>
      </c>
      <c r="AQ3" t="s">
        <v>117</v>
      </c>
      <c r="AW3"/>
    </row>
    <row r="4" spans="11:55" x14ac:dyDescent="0.3">
      <c r="M4"/>
      <c r="N4"/>
      <c r="O4"/>
      <c r="P4"/>
      <c r="Q4"/>
      <c r="R4"/>
      <c r="S4"/>
      <c r="T4"/>
      <c r="U4" s="34">
        <v>1</v>
      </c>
      <c r="V4" s="47">
        <v>0</v>
      </c>
      <c r="W4" s="30">
        <v>1</v>
      </c>
      <c r="X4" s="30">
        <v>23</v>
      </c>
      <c r="Y4"/>
      <c r="AA4" s="34">
        <v>1</v>
      </c>
      <c r="AB4" s="49">
        <v>0</v>
      </c>
      <c r="AC4" s="48">
        <v>0</v>
      </c>
      <c r="AD4" s="31">
        <v>23</v>
      </c>
      <c r="AE4"/>
      <c r="AF4" s="51">
        <v>1</v>
      </c>
      <c r="AG4" s="54">
        <v>0</v>
      </c>
      <c r="AH4" s="54">
        <v>0</v>
      </c>
      <c r="AI4" s="54">
        <v>0</v>
      </c>
      <c r="AM4" s="54"/>
      <c r="AN4" s="51">
        <v>1</v>
      </c>
      <c r="AO4" s="55">
        <v>0</v>
      </c>
      <c r="AP4" s="55"/>
      <c r="AQ4" s="55">
        <v>0</v>
      </c>
      <c r="AR4" s="55"/>
      <c r="AS4" s="50" t="s">
        <v>95</v>
      </c>
      <c r="AT4" t="s">
        <v>96</v>
      </c>
      <c r="AU4" t="s">
        <v>97</v>
      </c>
      <c r="AV4" t="s">
        <v>98</v>
      </c>
      <c r="AW4" t="s">
        <v>99</v>
      </c>
      <c r="AY4" s="50" t="s">
        <v>12</v>
      </c>
      <c r="AZ4" t="s">
        <v>125</v>
      </c>
      <c r="BA4" t="s">
        <v>96</v>
      </c>
      <c r="BB4" t="s">
        <v>97</v>
      </c>
      <c r="BC4" t="s">
        <v>98</v>
      </c>
    </row>
    <row r="5" spans="11:55" ht="28.8" x14ac:dyDescent="0.3">
      <c r="M5" s="241" t="s">
        <v>1</v>
      </c>
      <c r="N5" s="36" t="s">
        <v>39</v>
      </c>
      <c r="O5" s="36" t="s">
        <v>53</v>
      </c>
      <c r="P5" s="56" t="s">
        <v>27</v>
      </c>
      <c r="Q5" s="56" t="s">
        <v>28</v>
      </c>
      <c r="R5" s="36" t="s">
        <v>41</v>
      </c>
      <c r="S5"/>
      <c r="T5"/>
      <c r="U5" s="34">
        <v>2</v>
      </c>
      <c r="V5" s="47">
        <v>0</v>
      </c>
      <c r="W5" s="30">
        <v>3</v>
      </c>
      <c r="X5" s="30">
        <v>23</v>
      </c>
      <c r="Y5"/>
      <c r="AA5" s="34">
        <v>2</v>
      </c>
      <c r="AB5" s="49">
        <v>0</v>
      </c>
      <c r="AC5" s="48">
        <v>0</v>
      </c>
      <c r="AD5" s="31">
        <v>23</v>
      </c>
      <c r="AE5"/>
      <c r="AF5" s="51">
        <v>2</v>
      </c>
      <c r="AG5" s="54">
        <v>0</v>
      </c>
      <c r="AH5" s="54">
        <v>46</v>
      </c>
      <c r="AI5" s="54">
        <v>0</v>
      </c>
      <c r="AM5" s="54"/>
      <c r="AN5" s="51">
        <v>2</v>
      </c>
      <c r="AO5" s="55">
        <v>0</v>
      </c>
      <c r="AP5" s="55"/>
      <c r="AQ5" s="55">
        <v>0</v>
      </c>
      <c r="AR5" s="55"/>
      <c r="AS5" s="51">
        <v>1</v>
      </c>
      <c r="AT5" s="54">
        <v>0</v>
      </c>
      <c r="AU5" s="54">
        <v>0</v>
      </c>
      <c r="AV5" s="54">
        <v>0</v>
      </c>
      <c r="AW5" s="128">
        <v>0</v>
      </c>
      <c r="AY5" s="185">
        <v>1</v>
      </c>
      <c r="AZ5">
        <v>0</v>
      </c>
      <c r="BA5">
        <v>0</v>
      </c>
      <c r="BB5">
        <v>0</v>
      </c>
      <c r="BC5">
        <v>0</v>
      </c>
    </row>
    <row r="6" spans="11:55" x14ac:dyDescent="0.3">
      <c r="M6" s="32">
        <v>1</v>
      </c>
      <c r="N6" s="53">
        <v>0</v>
      </c>
      <c r="O6" s="53">
        <v>1</v>
      </c>
      <c r="P6" s="53">
        <v>0</v>
      </c>
      <c r="Q6" s="53">
        <v>0</v>
      </c>
      <c r="R6" s="53">
        <v>1</v>
      </c>
      <c r="S6"/>
      <c r="T6"/>
      <c r="U6" s="34">
        <v>3</v>
      </c>
      <c r="V6" s="47">
        <v>0</v>
      </c>
      <c r="W6" s="30">
        <v>1</v>
      </c>
      <c r="X6" s="30">
        <v>23</v>
      </c>
      <c r="Y6"/>
      <c r="AA6" s="34">
        <v>3</v>
      </c>
      <c r="AB6" s="49">
        <v>0</v>
      </c>
      <c r="AC6" s="48">
        <v>0</v>
      </c>
      <c r="AD6" s="31">
        <v>23</v>
      </c>
      <c r="AE6"/>
      <c r="AF6" s="51">
        <v>3</v>
      </c>
      <c r="AG6" s="54">
        <v>0</v>
      </c>
      <c r="AH6" s="54">
        <v>99</v>
      </c>
      <c r="AI6" s="54">
        <v>0</v>
      </c>
      <c r="AM6" s="54"/>
      <c r="AN6" s="51">
        <v>3</v>
      </c>
      <c r="AO6" s="55">
        <v>0</v>
      </c>
      <c r="AP6" s="55"/>
      <c r="AQ6" s="55">
        <v>0</v>
      </c>
      <c r="AR6" s="55"/>
      <c r="AS6" s="51">
        <v>2</v>
      </c>
      <c r="AT6" s="54">
        <v>0</v>
      </c>
      <c r="AU6" s="54">
        <v>0</v>
      </c>
      <c r="AV6" s="54">
        <v>0</v>
      </c>
      <c r="AW6" s="128">
        <v>0</v>
      </c>
      <c r="AY6" s="185">
        <v>2</v>
      </c>
      <c r="AZ6">
        <v>0</v>
      </c>
      <c r="BA6">
        <v>0</v>
      </c>
      <c r="BB6">
        <v>0</v>
      </c>
      <c r="BC6">
        <v>0</v>
      </c>
    </row>
    <row r="7" spans="11:55" x14ac:dyDescent="0.3">
      <c r="M7" s="32">
        <v>2</v>
      </c>
      <c r="N7" s="53">
        <v>0</v>
      </c>
      <c r="O7" s="53">
        <v>3</v>
      </c>
      <c r="P7" s="53">
        <v>0</v>
      </c>
      <c r="Q7" s="53">
        <v>0</v>
      </c>
      <c r="R7" s="53">
        <v>3</v>
      </c>
      <c r="S7"/>
      <c r="T7"/>
      <c r="U7" s="34">
        <v>4</v>
      </c>
      <c r="V7" s="47">
        <v>0</v>
      </c>
      <c r="W7" s="30">
        <v>0</v>
      </c>
      <c r="X7" s="30">
        <v>23</v>
      </c>
      <c r="Y7"/>
      <c r="AA7" s="34">
        <v>4</v>
      </c>
      <c r="AB7" s="49">
        <v>0</v>
      </c>
      <c r="AC7" s="48">
        <v>0</v>
      </c>
      <c r="AD7" s="31">
        <v>23</v>
      </c>
      <c r="AE7"/>
      <c r="AF7" s="51">
        <v>4</v>
      </c>
      <c r="AG7" s="54">
        <v>0</v>
      </c>
      <c r="AH7" s="54">
        <v>53</v>
      </c>
      <c r="AI7" s="54">
        <v>0</v>
      </c>
      <c r="AM7" s="54"/>
      <c r="AN7" s="51">
        <v>4</v>
      </c>
      <c r="AO7" s="55">
        <v>0</v>
      </c>
      <c r="AP7" s="55"/>
      <c r="AQ7" s="55">
        <v>0</v>
      </c>
      <c r="AR7" s="55"/>
      <c r="AS7" s="51">
        <v>3</v>
      </c>
      <c r="AT7" s="54">
        <v>0</v>
      </c>
      <c r="AU7" s="54">
        <v>0</v>
      </c>
      <c r="AV7" s="54">
        <v>0</v>
      </c>
      <c r="AW7" s="128">
        <v>0</v>
      </c>
      <c r="AY7" s="185">
        <v>3</v>
      </c>
      <c r="AZ7">
        <v>0</v>
      </c>
      <c r="BA7">
        <v>0</v>
      </c>
      <c r="BB7">
        <v>0</v>
      </c>
      <c r="BC7">
        <v>0</v>
      </c>
    </row>
    <row r="8" spans="11:55" x14ac:dyDescent="0.3">
      <c r="M8" s="32">
        <v>3</v>
      </c>
      <c r="N8" s="53">
        <v>0</v>
      </c>
      <c r="O8" s="53">
        <v>1</v>
      </c>
      <c r="P8" s="53">
        <v>0</v>
      </c>
      <c r="Q8" s="53">
        <v>0</v>
      </c>
      <c r="R8" s="53">
        <v>1</v>
      </c>
      <c r="S8"/>
      <c r="T8"/>
      <c r="U8" s="34">
        <v>5</v>
      </c>
      <c r="V8" s="47">
        <v>0</v>
      </c>
      <c r="W8" s="30">
        <v>2</v>
      </c>
      <c r="X8" s="30">
        <v>23</v>
      </c>
      <c r="Y8"/>
      <c r="AA8" s="34">
        <v>5</v>
      </c>
      <c r="AB8" s="49">
        <v>0</v>
      </c>
      <c r="AC8" s="48">
        <v>0</v>
      </c>
      <c r="AD8" s="31">
        <v>23</v>
      </c>
      <c r="AE8"/>
      <c r="AF8" s="51">
        <v>5</v>
      </c>
      <c r="AG8" s="54">
        <v>0</v>
      </c>
      <c r="AH8" s="54">
        <v>50</v>
      </c>
      <c r="AI8" s="54">
        <v>0</v>
      </c>
      <c r="AM8" s="54"/>
      <c r="AN8" s="51">
        <v>5</v>
      </c>
      <c r="AO8" s="55">
        <v>0</v>
      </c>
      <c r="AP8" s="55"/>
      <c r="AQ8" s="55">
        <v>0</v>
      </c>
      <c r="AR8" s="55"/>
      <c r="AS8" s="51">
        <v>4</v>
      </c>
      <c r="AT8" s="54">
        <v>0</v>
      </c>
      <c r="AU8" s="54">
        <v>0</v>
      </c>
      <c r="AV8" s="54">
        <v>0</v>
      </c>
      <c r="AW8" s="128">
        <v>0</v>
      </c>
      <c r="AY8" s="185">
        <v>4</v>
      </c>
      <c r="AZ8">
        <v>0</v>
      </c>
      <c r="BA8">
        <v>0</v>
      </c>
      <c r="BB8">
        <v>0</v>
      </c>
      <c r="BC8">
        <v>0</v>
      </c>
    </row>
    <row r="9" spans="11:55" x14ac:dyDescent="0.3">
      <c r="M9" s="32">
        <v>4</v>
      </c>
      <c r="N9" s="53">
        <v>0</v>
      </c>
      <c r="O9" s="53">
        <v>0</v>
      </c>
      <c r="P9" s="53">
        <v>0</v>
      </c>
      <c r="Q9" s="53">
        <v>0</v>
      </c>
      <c r="R9" s="53">
        <v>0</v>
      </c>
      <c r="S9"/>
      <c r="T9"/>
      <c r="U9" s="34">
        <v>6</v>
      </c>
      <c r="V9" s="47">
        <v>0</v>
      </c>
      <c r="W9" s="30">
        <v>2</v>
      </c>
      <c r="X9" s="30">
        <v>23</v>
      </c>
      <c r="Y9"/>
      <c r="AA9" s="34">
        <v>6</v>
      </c>
      <c r="AB9" s="49">
        <v>0</v>
      </c>
      <c r="AC9" s="48">
        <v>0</v>
      </c>
      <c r="AD9" s="31">
        <v>23</v>
      </c>
      <c r="AE9"/>
      <c r="AF9" s="51">
        <v>6</v>
      </c>
      <c r="AG9" s="54">
        <v>0</v>
      </c>
      <c r="AH9" s="54">
        <v>0</v>
      </c>
      <c r="AI9" s="54">
        <v>0</v>
      </c>
      <c r="AM9" s="54"/>
      <c r="AN9" s="51">
        <v>6</v>
      </c>
      <c r="AO9" s="55">
        <v>0</v>
      </c>
      <c r="AP9" s="55"/>
      <c r="AQ9" s="55">
        <v>0</v>
      </c>
      <c r="AR9" s="55"/>
      <c r="AS9" s="51">
        <v>5</v>
      </c>
      <c r="AT9" s="54">
        <v>0</v>
      </c>
      <c r="AU9" s="54">
        <v>0</v>
      </c>
      <c r="AV9" s="54">
        <v>0</v>
      </c>
      <c r="AW9" s="128">
        <v>0</v>
      </c>
      <c r="AY9" s="185">
        <v>5</v>
      </c>
      <c r="AZ9">
        <v>0</v>
      </c>
      <c r="BA9">
        <v>0</v>
      </c>
      <c r="BB9">
        <v>0</v>
      </c>
      <c r="BC9">
        <v>0</v>
      </c>
    </row>
    <row r="10" spans="11:55" x14ac:dyDescent="0.3">
      <c r="M10" s="32">
        <v>5</v>
      </c>
      <c r="N10" s="53">
        <v>0</v>
      </c>
      <c r="O10" s="53">
        <v>2</v>
      </c>
      <c r="P10" s="53">
        <v>0</v>
      </c>
      <c r="Q10" s="53">
        <v>0</v>
      </c>
      <c r="R10" s="53">
        <v>2</v>
      </c>
      <c r="S10"/>
      <c r="T10"/>
      <c r="U10" s="34">
        <v>7</v>
      </c>
      <c r="V10" s="47">
        <v>0</v>
      </c>
      <c r="W10" s="30">
        <v>1</v>
      </c>
      <c r="X10" s="30">
        <v>23</v>
      </c>
      <c r="Y10"/>
      <c r="AA10" s="34">
        <v>7</v>
      </c>
      <c r="AB10" s="49">
        <v>0</v>
      </c>
      <c r="AC10" s="48">
        <v>0</v>
      </c>
      <c r="AD10" s="31">
        <v>23</v>
      </c>
      <c r="AE10"/>
      <c r="AF10" s="51">
        <v>7</v>
      </c>
      <c r="AG10" s="54">
        <v>0</v>
      </c>
      <c r="AH10" s="54">
        <v>20</v>
      </c>
      <c r="AI10" s="54">
        <v>0</v>
      </c>
      <c r="AM10" s="54"/>
      <c r="AN10" s="51">
        <v>7</v>
      </c>
      <c r="AO10" s="55">
        <v>0</v>
      </c>
      <c r="AP10" s="55"/>
      <c r="AQ10" s="55">
        <v>0</v>
      </c>
      <c r="AR10" s="55"/>
      <c r="AS10" s="51">
        <v>6</v>
      </c>
      <c r="AT10" s="54">
        <v>0</v>
      </c>
      <c r="AU10" s="54">
        <v>0</v>
      </c>
      <c r="AV10" s="54">
        <v>0</v>
      </c>
      <c r="AW10" s="128">
        <v>0</v>
      </c>
      <c r="AY10" s="185">
        <v>6</v>
      </c>
      <c r="AZ10">
        <v>0</v>
      </c>
      <c r="BA10">
        <v>0</v>
      </c>
      <c r="BB10">
        <v>0</v>
      </c>
      <c r="BC10">
        <v>0</v>
      </c>
    </row>
    <row r="11" spans="11:55" x14ac:dyDescent="0.3">
      <c r="M11" s="32">
        <v>6</v>
      </c>
      <c r="N11" s="53">
        <v>0</v>
      </c>
      <c r="O11" s="53">
        <v>2</v>
      </c>
      <c r="P11" s="53">
        <v>0</v>
      </c>
      <c r="Q11" s="53">
        <v>0</v>
      </c>
      <c r="R11" s="53">
        <v>2</v>
      </c>
      <c r="S11"/>
      <c r="T11"/>
      <c r="U11" s="34">
        <v>8</v>
      </c>
      <c r="V11" s="47">
        <v>0</v>
      </c>
      <c r="W11" s="30">
        <v>0</v>
      </c>
      <c r="X11" s="30">
        <v>23</v>
      </c>
      <c r="Y11"/>
      <c r="AA11" s="34">
        <v>8</v>
      </c>
      <c r="AB11" s="49">
        <v>0</v>
      </c>
      <c r="AC11" s="48">
        <v>0</v>
      </c>
      <c r="AD11" s="31">
        <v>23</v>
      </c>
      <c r="AE11"/>
      <c r="AF11" s="51">
        <v>8</v>
      </c>
      <c r="AG11" s="54">
        <v>0</v>
      </c>
      <c r="AH11" s="54">
        <v>0</v>
      </c>
      <c r="AI11" s="54">
        <v>0</v>
      </c>
      <c r="AM11" s="54"/>
      <c r="AN11" s="51">
        <v>8</v>
      </c>
      <c r="AO11" s="55">
        <v>0</v>
      </c>
      <c r="AP11" s="55"/>
      <c r="AQ11" s="55">
        <v>0</v>
      </c>
      <c r="AR11" s="55"/>
      <c r="AS11" s="51">
        <v>7</v>
      </c>
      <c r="AT11" s="54">
        <v>0</v>
      </c>
      <c r="AU11" s="54">
        <v>0</v>
      </c>
      <c r="AV11" s="54">
        <v>0</v>
      </c>
      <c r="AW11" s="128">
        <v>0</v>
      </c>
      <c r="AY11" s="185">
        <v>7</v>
      </c>
      <c r="AZ11">
        <v>0</v>
      </c>
      <c r="BA11">
        <v>0</v>
      </c>
      <c r="BB11">
        <v>0</v>
      </c>
      <c r="BC11">
        <v>0</v>
      </c>
    </row>
    <row r="12" spans="11:55" x14ac:dyDescent="0.3">
      <c r="K12" s="29" t="s">
        <v>138</v>
      </c>
      <c r="M12" s="32">
        <v>7</v>
      </c>
      <c r="N12" s="53">
        <v>0</v>
      </c>
      <c r="O12" s="53">
        <v>1</v>
      </c>
      <c r="P12" s="53">
        <v>0</v>
      </c>
      <c r="Q12" s="53">
        <v>0</v>
      </c>
      <c r="R12" s="53">
        <v>1</v>
      </c>
      <c r="S12"/>
      <c r="T12"/>
      <c r="U12" s="34">
        <v>9</v>
      </c>
      <c r="V12" s="47">
        <v>0</v>
      </c>
      <c r="W12" s="30">
        <v>0</v>
      </c>
      <c r="X12" s="30">
        <v>23</v>
      </c>
      <c r="Y12"/>
      <c r="AA12" s="34">
        <v>9</v>
      </c>
      <c r="AB12" s="49">
        <v>0</v>
      </c>
      <c r="AC12" s="48">
        <v>0</v>
      </c>
      <c r="AD12" s="31">
        <v>23</v>
      </c>
      <c r="AE12"/>
      <c r="AF12" s="51">
        <v>9</v>
      </c>
      <c r="AG12" s="54">
        <v>0</v>
      </c>
      <c r="AH12" s="54">
        <v>41</v>
      </c>
      <c r="AI12" s="54">
        <v>0</v>
      </c>
      <c r="AM12" s="54"/>
      <c r="AN12" s="51">
        <v>9</v>
      </c>
      <c r="AO12" s="55">
        <v>0</v>
      </c>
      <c r="AP12" s="55"/>
      <c r="AQ12" s="55">
        <v>0</v>
      </c>
      <c r="AR12" s="55"/>
      <c r="AS12" s="51">
        <v>8</v>
      </c>
      <c r="AT12" s="54">
        <v>0</v>
      </c>
      <c r="AU12" s="54">
        <v>0</v>
      </c>
      <c r="AV12" s="54">
        <v>0</v>
      </c>
      <c r="AW12" s="128">
        <v>0</v>
      </c>
      <c r="AY12" s="185">
        <v>8</v>
      </c>
      <c r="AZ12">
        <v>0</v>
      </c>
      <c r="BA12">
        <v>0</v>
      </c>
      <c r="BB12">
        <v>0</v>
      </c>
      <c r="BC12">
        <v>0</v>
      </c>
    </row>
    <row r="13" spans="11:55" x14ac:dyDescent="0.3">
      <c r="M13" s="32">
        <v>8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/>
      <c r="T13"/>
      <c r="U13" s="34">
        <v>10</v>
      </c>
      <c r="V13" s="47">
        <v>0</v>
      </c>
      <c r="W13" s="30">
        <v>1</v>
      </c>
      <c r="X13" s="30">
        <v>23</v>
      </c>
      <c r="Y13"/>
      <c r="AA13" s="34">
        <v>10</v>
      </c>
      <c r="AB13" s="49">
        <v>0</v>
      </c>
      <c r="AC13" s="48">
        <v>0</v>
      </c>
      <c r="AD13" s="31">
        <v>23</v>
      </c>
      <c r="AE13"/>
      <c r="AF13" s="51">
        <v>10</v>
      </c>
      <c r="AG13" s="54">
        <v>0</v>
      </c>
      <c r="AH13" s="54">
        <v>53</v>
      </c>
      <c r="AI13" s="54">
        <v>0</v>
      </c>
      <c r="AM13" s="54"/>
      <c r="AN13" s="51">
        <v>10</v>
      </c>
      <c r="AO13" s="55">
        <v>0</v>
      </c>
      <c r="AP13" s="55"/>
      <c r="AQ13" s="55">
        <v>0</v>
      </c>
      <c r="AR13" s="55"/>
      <c r="AS13" s="51">
        <v>9</v>
      </c>
      <c r="AT13" s="54">
        <v>0</v>
      </c>
      <c r="AU13" s="54">
        <v>0</v>
      </c>
      <c r="AV13" s="54">
        <v>0</v>
      </c>
      <c r="AW13" s="128">
        <v>0</v>
      </c>
      <c r="AY13" s="185">
        <v>9</v>
      </c>
      <c r="AZ13">
        <v>0</v>
      </c>
      <c r="BA13">
        <v>0</v>
      </c>
      <c r="BB13">
        <v>0</v>
      </c>
      <c r="BC13">
        <v>0</v>
      </c>
    </row>
    <row r="14" spans="11:55" x14ac:dyDescent="0.3">
      <c r="M14" s="32">
        <v>9</v>
      </c>
      <c r="N14" s="53">
        <v>0</v>
      </c>
      <c r="O14" s="53">
        <v>0</v>
      </c>
      <c r="P14" s="53">
        <v>0</v>
      </c>
      <c r="Q14" s="53">
        <v>0</v>
      </c>
      <c r="R14" s="53">
        <v>0</v>
      </c>
      <c r="S14"/>
      <c r="T14"/>
      <c r="U14" s="34">
        <v>11</v>
      </c>
      <c r="V14" s="47">
        <v>0</v>
      </c>
      <c r="W14" s="30">
        <v>1</v>
      </c>
      <c r="X14" s="30">
        <v>23</v>
      </c>
      <c r="Y14"/>
      <c r="AA14" s="34">
        <v>11</v>
      </c>
      <c r="AB14" s="49">
        <v>0</v>
      </c>
      <c r="AC14" s="48">
        <v>0</v>
      </c>
      <c r="AD14" s="31">
        <v>23</v>
      </c>
      <c r="AE14"/>
      <c r="AF14" s="51">
        <v>11</v>
      </c>
      <c r="AG14" s="54">
        <v>10</v>
      </c>
      <c r="AH14" s="54">
        <v>62</v>
      </c>
      <c r="AI14" s="54">
        <v>1</v>
      </c>
      <c r="AM14" s="54"/>
      <c r="AN14" s="51">
        <v>11</v>
      </c>
      <c r="AO14" s="55">
        <v>0</v>
      </c>
      <c r="AP14" s="55"/>
      <c r="AQ14" s="55">
        <v>0</v>
      </c>
      <c r="AR14" s="55"/>
      <c r="AS14" s="51">
        <v>10</v>
      </c>
      <c r="AT14" s="54">
        <v>0</v>
      </c>
      <c r="AU14" s="54">
        <v>0</v>
      </c>
      <c r="AV14" s="54">
        <v>0</v>
      </c>
      <c r="AW14" s="128">
        <v>0</v>
      </c>
      <c r="AY14" s="185">
        <v>10</v>
      </c>
      <c r="AZ14">
        <v>0</v>
      </c>
      <c r="BA14">
        <v>0</v>
      </c>
      <c r="BB14">
        <v>0</v>
      </c>
      <c r="BC14">
        <v>0</v>
      </c>
    </row>
    <row r="15" spans="11:55" x14ac:dyDescent="0.3">
      <c r="M15" s="32">
        <v>10</v>
      </c>
      <c r="N15" s="53">
        <v>0</v>
      </c>
      <c r="O15" s="53">
        <v>1</v>
      </c>
      <c r="P15" s="53">
        <v>0</v>
      </c>
      <c r="Q15" s="53">
        <v>0</v>
      </c>
      <c r="R15" s="53">
        <v>1</v>
      </c>
      <c r="S15"/>
      <c r="T15"/>
      <c r="U15" s="34">
        <v>12</v>
      </c>
      <c r="V15" s="47">
        <v>0</v>
      </c>
      <c r="W15" s="30">
        <v>4</v>
      </c>
      <c r="X15" s="30">
        <v>23</v>
      </c>
      <c r="Y15"/>
      <c r="AA15" s="34">
        <v>12</v>
      </c>
      <c r="AB15" s="49">
        <v>0</v>
      </c>
      <c r="AC15" s="48">
        <v>0</v>
      </c>
      <c r="AD15" s="31">
        <v>23</v>
      </c>
      <c r="AE15"/>
      <c r="AF15" s="51">
        <v>12</v>
      </c>
      <c r="AG15" s="54">
        <v>0</v>
      </c>
      <c r="AH15" s="54">
        <v>39</v>
      </c>
      <c r="AI15" s="54">
        <v>0</v>
      </c>
      <c r="AM15" s="54"/>
      <c r="AN15" s="51">
        <v>12</v>
      </c>
      <c r="AO15" s="55">
        <v>0</v>
      </c>
      <c r="AP15" s="55"/>
      <c r="AQ15" s="55">
        <v>0</v>
      </c>
      <c r="AR15" s="55"/>
      <c r="AS15" s="51">
        <v>11</v>
      </c>
      <c r="AT15" s="54">
        <v>0</v>
      </c>
      <c r="AU15" s="54">
        <v>0</v>
      </c>
      <c r="AV15" s="54">
        <v>0</v>
      </c>
      <c r="AW15" s="128">
        <v>0</v>
      </c>
      <c r="AY15" s="185">
        <v>11</v>
      </c>
      <c r="AZ15">
        <v>0</v>
      </c>
      <c r="BA15">
        <v>0</v>
      </c>
      <c r="BB15">
        <v>0</v>
      </c>
      <c r="BC15">
        <v>0</v>
      </c>
    </row>
    <row r="16" spans="11:55" x14ac:dyDescent="0.3">
      <c r="M16" s="32">
        <v>11</v>
      </c>
      <c r="N16" s="53">
        <v>0</v>
      </c>
      <c r="O16" s="53">
        <v>1</v>
      </c>
      <c r="P16" s="53">
        <v>0</v>
      </c>
      <c r="Q16" s="53">
        <v>0</v>
      </c>
      <c r="R16" s="53">
        <v>1</v>
      </c>
      <c r="S16"/>
      <c r="T16"/>
      <c r="U16" s="34">
        <v>13</v>
      </c>
      <c r="V16" s="47">
        <v>0</v>
      </c>
      <c r="W16" s="30">
        <v>1</v>
      </c>
      <c r="X16" s="30">
        <v>23</v>
      </c>
      <c r="Y16"/>
      <c r="AA16" s="34">
        <v>13</v>
      </c>
      <c r="AB16" s="49">
        <v>0</v>
      </c>
      <c r="AC16" s="48">
        <v>0</v>
      </c>
      <c r="AD16" s="31">
        <v>23</v>
      </c>
      <c r="AE16"/>
      <c r="AF16" s="51">
        <v>13</v>
      </c>
      <c r="AG16" s="54">
        <v>0</v>
      </c>
      <c r="AH16" s="54">
        <v>54</v>
      </c>
      <c r="AI16" s="54">
        <v>0</v>
      </c>
      <c r="AM16" s="54"/>
      <c r="AN16" s="51">
        <v>13</v>
      </c>
      <c r="AO16" s="55">
        <v>0</v>
      </c>
      <c r="AP16" s="55"/>
      <c r="AQ16" s="55">
        <v>0</v>
      </c>
      <c r="AS16" s="51">
        <v>12</v>
      </c>
      <c r="AT16" s="54">
        <v>0</v>
      </c>
      <c r="AU16" s="54">
        <v>0</v>
      </c>
      <c r="AV16" s="54">
        <v>0</v>
      </c>
      <c r="AW16" s="128">
        <v>0</v>
      </c>
      <c r="AY16" s="185">
        <v>12</v>
      </c>
      <c r="AZ16">
        <v>0</v>
      </c>
      <c r="BA16">
        <v>0</v>
      </c>
      <c r="BB16">
        <v>0</v>
      </c>
      <c r="BC16">
        <v>0</v>
      </c>
    </row>
    <row r="17" spans="13:55" x14ac:dyDescent="0.3">
      <c r="M17" s="32">
        <v>12</v>
      </c>
      <c r="N17" s="53">
        <v>0</v>
      </c>
      <c r="O17" s="53">
        <v>4</v>
      </c>
      <c r="P17" s="53">
        <v>0</v>
      </c>
      <c r="Q17" s="53">
        <v>0</v>
      </c>
      <c r="R17" s="53">
        <v>4</v>
      </c>
      <c r="S17"/>
      <c r="T17"/>
      <c r="U17" s="34">
        <v>14</v>
      </c>
      <c r="V17" s="47">
        <v>0</v>
      </c>
      <c r="W17" s="30">
        <v>1</v>
      </c>
      <c r="X17" s="30">
        <v>23</v>
      </c>
      <c r="Y17"/>
      <c r="AA17" s="34">
        <v>14</v>
      </c>
      <c r="AB17" s="49">
        <v>0</v>
      </c>
      <c r="AC17" s="48">
        <v>0</v>
      </c>
      <c r="AD17" s="31">
        <v>23</v>
      </c>
      <c r="AE17"/>
      <c r="AF17" s="51">
        <v>14</v>
      </c>
      <c r="AG17" s="54">
        <v>0</v>
      </c>
      <c r="AH17" s="54">
        <v>42</v>
      </c>
      <c r="AI17" s="54">
        <v>0</v>
      </c>
      <c r="AM17" s="54"/>
      <c r="AN17" s="51">
        <v>14</v>
      </c>
      <c r="AO17" s="55">
        <v>0</v>
      </c>
      <c r="AP17" s="55"/>
      <c r="AQ17" s="55">
        <v>0</v>
      </c>
      <c r="AS17" s="51">
        <v>13</v>
      </c>
      <c r="AT17" s="54">
        <v>0</v>
      </c>
      <c r="AU17" s="54">
        <v>0</v>
      </c>
      <c r="AV17" s="54">
        <v>0</v>
      </c>
      <c r="AW17" s="128">
        <v>0</v>
      </c>
      <c r="AY17" s="185">
        <v>13</v>
      </c>
      <c r="AZ17">
        <v>0</v>
      </c>
      <c r="BA17">
        <v>0</v>
      </c>
      <c r="BB17">
        <v>0</v>
      </c>
      <c r="BC17">
        <v>0</v>
      </c>
    </row>
    <row r="18" spans="13:55" x14ac:dyDescent="0.3">
      <c r="M18" s="32">
        <v>13</v>
      </c>
      <c r="N18" s="53">
        <v>0</v>
      </c>
      <c r="O18" s="53">
        <v>1</v>
      </c>
      <c r="P18" s="53">
        <v>0</v>
      </c>
      <c r="Q18" s="53">
        <v>0</v>
      </c>
      <c r="R18" s="53">
        <v>1</v>
      </c>
      <c r="S18"/>
      <c r="T18"/>
      <c r="U18" s="34">
        <v>15</v>
      </c>
      <c r="V18" s="47">
        <v>0</v>
      </c>
      <c r="W18" s="30">
        <v>0</v>
      </c>
      <c r="X18" s="30">
        <v>23</v>
      </c>
      <c r="Y18"/>
      <c r="AA18" s="34">
        <v>15</v>
      </c>
      <c r="AB18" s="49">
        <v>0</v>
      </c>
      <c r="AC18" s="48">
        <v>0</v>
      </c>
      <c r="AD18" s="31">
        <v>23</v>
      </c>
      <c r="AE18"/>
      <c r="AF18" s="51">
        <v>15</v>
      </c>
      <c r="AG18" s="54">
        <v>0</v>
      </c>
      <c r="AH18" s="54">
        <v>0</v>
      </c>
      <c r="AI18" s="54">
        <v>0</v>
      </c>
      <c r="AM18" s="54"/>
      <c r="AN18" s="51">
        <v>15</v>
      </c>
      <c r="AO18" s="55">
        <v>0</v>
      </c>
      <c r="AP18" s="55"/>
      <c r="AQ18" s="55">
        <v>0</v>
      </c>
      <c r="AS18" s="51">
        <v>14</v>
      </c>
      <c r="AT18" s="54">
        <v>0</v>
      </c>
      <c r="AU18" s="54">
        <v>0</v>
      </c>
      <c r="AV18" s="54">
        <v>0</v>
      </c>
      <c r="AW18" s="128">
        <v>0</v>
      </c>
      <c r="AY18" s="185">
        <v>14</v>
      </c>
      <c r="AZ18">
        <v>0</v>
      </c>
      <c r="BA18">
        <v>0</v>
      </c>
      <c r="BB18">
        <v>0</v>
      </c>
      <c r="BC18">
        <v>0</v>
      </c>
    </row>
    <row r="19" spans="13:55" x14ac:dyDescent="0.3">
      <c r="M19" s="32">
        <v>14</v>
      </c>
      <c r="N19" s="53">
        <v>0</v>
      </c>
      <c r="O19" s="53">
        <v>1</v>
      </c>
      <c r="P19" s="53">
        <v>0</v>
      </c>
      <c r="Q19" s="53">
        <v>0</v>
      </c>
      <c r="R19" s="53">
        <v>1</v>
      </c>
      <c r="S19"/>
      <c r="T19"/>
      <c r="U19" s="34">
        <v>16</v>
      </c>
      <c r="V19" s="47">
        <v>0</v>
      </c>
      <c r="W19" s="30">
        <v>2</v>
      </c>
      <c r="X19" s="30">
        <v>23</v>
      </c>
      <c r="Y19"/>
      <c r="AA19" s="34">
        <v>16</v>
      </c>
      <c r="AB19" s="49">
        <v>0</v>
      </c>
      <c r="AC19" s="48">
        <v>0</v>
      </c>
      <c r="AD19" s="31">
        <v>23</v>
      </c>
      <c r="AE19"/>
      <c r="AF19" s="51">
        <v>16</v>
      </c>
      <c r="AG19" s="54">
        <v>0</v>
      </c>
      <c r="AH19" s="54">
        <v>48</v>
      </c>
      <c r="AI19" s="54">
        <v>0</v>
      </c>
      <c r="AM19" s="54"/>
      <c r="AN19" s="51">
        <v>16</v>
      </c>
      <c r="AO19" s="55">
        <v>0</v>
      </c>
      <c r="AP19" s="55"/>
      <c r="AQ19" s="55">
        <v>0</v>
      </c>
      <c r="AS19" s="51">
        <v>15</v>
      </c>
      <c r="AT19" s="54">
        <v>0</v>
      </c>
      <c r="AU19" s="54">
        <v>0</v>
      </c>
      <c r="AV19" s="54">
        <v>0</v>
      </c>
      <c r="AW19" s="128">
        <v>0</v>
      </c>
      <c r="AY19" s="185">
        <v>15</v>
      </c>
      <c r="AZ19">
        <v>0</v>
      </c>
      <c r="BA19">
        <v>0</v>
      </c>
      <c r="BB19">
        <v>0</v>
      </c>
      <c r="BC19">
        <v>0</v>
      </c>
    </row>
    <row r="20" spans="13:55" x14ac:dyDescent="0.3">
      <c r="M20" s="32">
        <v>15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/>
      <c r="T20"/>
      <c r="U20" s="34">
        <v>17</v>
      </c>
      <c r="V20" s="47">
        <v>100</v>
      </c>
      <c r="W20" s="30">
        <v>2</v>
      </c>
      <c r="X20" s="30">
        <v>23</v>
      </c>
      <c r="Y20"/>
      <c r="AA20" s="34">
        <v>17</v>
      </c>
      <c r="AB20" s="49">
        <v>20</v>
      </c>
      <c r="AC20" s="48">
        <v>100</v>
      </c>
      <c r="AD20" s="31">
        <v>23</v>
      </c>
      <c r="AE20"/>
      <c r="AF20" s="51">
        <v>17</v>
      </c>
      <c r="AG20" s="54">
        <v>0</v>
      </c>
      <c r="AH20" s="54">
        <v>68</v>
      </c>
      <c r="AI20" s="54">
        <v>0</v>
      </c>
      <c r="AM20" s="54"/>
      <c r="AN20" s="51">
        <v>17</v>
      </c>
      <c r="AO20" s="55">
        <v>20</v>
      </c>
      <c r="AP20" s="55"/>
      <c r="AQ20" s="55">
        <v>-20</v>
      </c>
      <c r="AS20" s="51">
        <v>16</v>
      </c>
      <c r="AT20" s="54">
        <v>0</v>
      </c>
      <c r="AU20" s="54">
        <v>0</v>
      </c>
      <c r="AV20" s="54">
        <v>0</v>
      </c>
      <c r="AW20" s="128">
        <v>0</v>
      </c>
      <c r="AY20" s="185">
        <v>16</v>
      </c>
      <c r="AZ20">
        <v>0</v>
      </c>
      <c r="BA20">
        <v>0</v>
      </c>
      <c r="BB20">
        <v>0</v>
      </c>
      <c r="BC20">
        <v>0</v>
      </c>
    </row>
    <row r="21" spans="13:55" x14ac:dyDescent="0.3">
      <c r="M21" s="32">
        <v>16</v>
      </c>
      <c r="N21" s="53">
        <v>0</v>
      </c>
      <c r="O21" s="53">
        <v>2</v>
      </c>
      <c r="P21" s="53">
        <v>0</v>
      </c>
      <c r="Q21" s="53">
        <v>0</v>
      </c>
      <c r="R21" s="53">
        <v>2</v>
      </c>
      <c r="S21"/>
      <c r="T21"/>
      <c r="U21" s="34">
        <v>18</v>
      </c>
      <c r="V21" s="47">
        <v>0</v>
      </c>
      <c r="W21" s="30">
        <v>2</v>
      </c>
      <c r="X21" s="30">
        <v>23</v>
      </c>
      <c r="Y21"/>
      <c r="AA21" s="34">
        <v>18</v>
      </c>
      <c r="AB21" s="49">
        <v>0</v>
      </c>
      <c r="AC21" s="48">
        <v>0</v>
      </c>
      <c r="AD21" s="31">
        <v>23</v>
      </c>
      <c r="AE21"/>
      <c r="AF21" s="51">
        <v>18</v>
      </c>
      <c r="AG21" s="54">
        <v>0</v>
      </c>
      <c r="AH21" s="54">
        <v>54</v>
      </c>
      <c r="AI21" s="54">
        <v>0</v>
      </c>
      <c r="AM21" s="54"/>
      <c r="AN21" s="51">
        <v>18</v>
      </c>
      <c r="AO21" s="55">
        <v>0</v>
      </c>
      <c r="AP21" s="55"/>
      <c r="AQ21" s="55">
        <v>0</v>
      </c>
      <c r="AS21" s="51">
        <v>17</v>
      </c>
      <c r="AT21" s="54">
        <v>0</v>
      </c>
      <c r="AU21" s="54">
        <v>0</v>
      </c>
      <c r="AV21" s="54">
        <v>0</v>
      </c>
      <c r="AW21" s="128">
        <v>0</v>
      </c>
      <c r="AY21" s="185">
        <v>17</v>
      </c>
      <c r="AZ21">
        <v>0</v>
      </c>
      <c r="BA21">
        <v>0</v>
      </c>
      <c r="BB21">
        <v>0</v>
      </c>
      <c r="BC21">
        <v>0</v>
      </c>
    </row>
    <row r="22" spans="13:55" x14ac:dyDescent="0.3">
      <c r="M22" s="32">
        <v>17</v>
      </c>
      <c r="N22" s="53">
        <v>0</v>
      </c>
      <c r="O22" s="53">
        <v>2</v>
      </c>
      <c r="P22" s="53">
        <v>0</v>
      </c>
      <c r="Q22" s="53">
        <v>0</v>
      </c>
      <c r="R22" s="53">
        <v>2</v>
      </c>
      <c r="S22"/>
      <c r="T22"/>
      <c r="U22" s="34">
        <v>19</v>
      </c>
      <c r="V22" s="47">
        <v>111.11111111111111</v>
      </c>
      <c r="W22" s="30">
        <v>2</v>
      </c>
      <c r="X22" s="30">
        <v>23</v>
      </c>
      <c r="Y22"/>
      <c r="AA22" s="34">
        <v>19</v>
      </c>
      <c r="AB22" s="49">
        <v>18</v>
      </c>
      <c r="AC22" s="48">
        <v>111.11111111111111</v>
      </c>
      <c r="AD22" s="31">
        <v>23</v>
      </c>
      <c r="AE22"/>
      <c r="AF22" s="51">
        <v>19</v>
      </c>
      <c r="AG22" s="54">
        <v>0</v>
      </c>
      <c r="AH22" s="54">
        <v>94</v>
      </c>
      <c r="AI22" s="54">
        <v>0</v>
      </c>
      <c r="AM22" s="54"/>
      <c r="AN22" s="51">
        <v>19</v>
      </c>
      <c r="AO22" s="55">
        <v>18</v>
      </c>
      <c r="AP22" s="55"/>
      <c r="AQ22" s="55">
        <v>-18</v>
      </c>
      <c r="AS22" s="51">
        <v>18</v>
      </c>
      <c r="AT22" s="54">
        <v>0</v>
      </c>
      <c r="AU22" s="54">
        <v>0</v>
      </c>
      <c r="AV22" s="54">
        <v>0</v>
      </c>
      <c r="AW22" s="128">
        <v>0</v>
      </c>
      <c r="AY22" s="185">
        <v>18</v>
      </c>
      <c r="AZ22">
        <v>0</v>
      </c>
      <c r="BA22">
        <v>0</v>
      </c>
      <c r="BB22">
        <v>0</v>
      </c>
      <c r="BC22">
        <v>0</v>
      </c>
    </row>
    <row r="23" spans="13:55" x14ac:dyDescent="0.3">
      <c r="M23" s="32">
        <v>18</v>
      </c>
      <c r="N23" s="53">
        <v>0</v>
      </c>
      <c r="O23" s="53">
        <v>2</v>
      </c>
      <c r="P23" s="53">
        <v>0</v>
      </c>
      <c r="Q23" s="53">
        <v>0</v>
      </c>
      <c r="R23" s="53">
        <v>2</v>
      </c>
      <c r="S23"/>
      <c r="T23"/>
      <c r="U23" s="34">
        <v>20</v>
      </c>
      <c r="V23" s="47">
        <v>83.333333333333329</v>
      </c>
      <c r="W23" s="30">
        <v>3</v>
      </c>
      <c r="X23" s="30">
        <v>23</v>
      </c>
      <c r="Y23"/>
      <c r="AA23" s="34">
        <v>20</v>
      </c>
      <c r="AB23" s="49">
        <v>36</v>
      </c>
      <c r="AC23" s="48">
        <v>83.333333333333329</v>
      </c>
      <c r="AD23" s="31">
        <v>23</v>
      </c>
      <c r="AE23"/>
      <c r="AF23" s="51">
        <v>20</v>
      </c>
      <c r="AG23" s="54">
        <v>0</v>
      </c>
      <c r="AH23" s="54">
        <v>70</v>
      </c>
      <c r="AI23" s="54">
        <v>0</v>
      </c>
      <c r="AM23" s="54"/>
      <c r="AN23" s="51">
        <v>20</v>
      </c>
      <c r="AO23" s="55">
        <v>36</v>
      </c>
      <c r="AP23" s="55"/>
      <c r="AQ23" s="55">
        <v>-36</v>
      </c>
      <c r="AS23" s="51">
        <v>19</v>
      </c>
      <c r="AT23" s="54">
        <v>0</v>
      </c>
      <c r="AU23" s="54">
        <v>0</v>
      </c>
      <c r="AV23" s="54">
        <v>0</v>
      </c>
      <c r="AW23" s="128">
        <v>0</v>
      </c>
      <c r="AY23" s="185">
        <v>19</v>
      </c>
      <c r="AZ23">
        <v>0</v>
      </c>
      <c r="BA23">
        <v>0</v>
      </c>
      <c r="BB23">
        <v>0</v>
      </c>
      <c r="BC23">
        <v>0</v>
      </c>
    </row>
    <row r="24" spans="13:55" x14ac:dyDescent="0.3">
      <c r="M24" s="32">
        <v>19</v>
      </c>
      <c r="N24" s="53">
        <v>0</v>
      </c>
      <c r="O24" s="53">
        <v>2</v>
      </c>
      <c r="P24" s="53">
        <v>0</v>
      </c>
      <c r="Q24" s="53">
        <v>0</v>
      </c>
      <c r="R24" s="53">
        <v>2</v>
      </c>
      <c r="S24"/>
      <c r="T24"/>
      <c r="U24" s="34">
        <v>21</v>
      </c>
      <c r="V24" s="47">
        <v>41.666666666666664</v>
      </c>
      <c r="W24" s="30">
        <v>1</v>
      </c>
      <c r="X24" s="30">
        <v>23</v>
      </c>
      <c r="Y24"/>
      <c r="AA24" s="34">
        <v>21</v>
      </c>
      <c r="AB24" s="49">
        <v>24</v>
      </c>
      <c r="AC24" s="48">
        <v>41.666666666666664</v>
      </c>
      <c r="AD24" s="31">
        <v>23</v>
      </c>
      <c r="AE24"/>
      <c r="AF24" s="51">
        <v>21</v>
      </c>
      <c r="AG24" s="54">
        <v>10</v>
      </c>
      <c r="AH24" s="54">
        <v>20</v>
      </c>
      <c r="AI24" s="54">
        <v>1</v>
      </c>
      <c r="AM24" s="54"/>
      <c r="AN24" s="51">
        <v>21</v>
      </c>
      <c r="AO24" s="55">
        <v>24</v>
      </c>
      <c r="AP24" s="55"/>
      <c r="AQ24" s="55">
        <v>-24</v>
      </c>
      <c r="AS24" s="51">
        <v>20</v>
      </c>
      <c r="AT24" s="54">
        <v>0</v>
      </c>
      <c r="AU24" s="54">
        <v>0</v>
      </c>
      <c r="AV24" s="54">
        <v>0</v>
      </c>
      <c r="AW24" s="128">
        <v>0</v>
      </c>
      <c r="AY24" s="185">
        <v>20</v>
      </c>
      <c r="AZ24">
        <v>-33560</v>
      </c>
      <c r="BA24">
        <v>0</v>
      </c>
      <c r="BB24">
        <v>0</v>
      </c>
      <c r="BC24">
        <v>0</v>
      </c>
    </row>
    <row r="25" spans="13:55" x14ac:dyDescent="0.3">
      <c r="M25" s="32">
        <v>20</v>
      </c>
      <c r="N25" s="53">
        <v>0</v>
      </c>
      <c r="O25" s="53">
        <v>3</v>
      </c>
      <c r="P25" s="53">
        <v>0</v>
      </c>
      <c r="Q25" s="53">
        <v>0</v>
      </c>
      <c r="R25" s="53">
        <v>3</v>
      </c>
      <c r="S25"/>
      <c r="T25"/>
      <c r="U25" s="34">
        <v>22</v>
      </c>
      <c r="V25" s="47">
        <v>0</v>
      </c>
      <c r="W25" s="30">
        <v>0</v>
      </c>
      <c r="X25" s="30">
        <v>23</v>
      </c>
      <c r="Y25"/>
      <c r="AA25" s="34">
        <v>22</v>
      </c>
      <c r="AB25" s="49">
        <v>0</v>
      </c>
      <c r="AC25" s="48">
        <v>0</v>
      </c>
      <c r="AD25" s="31">
        <v>23</v>
      </c>
      <c r="AE25"/>
      <c r="AF25" s="51">
        <v>22</v>
      </c>
      <c r="AG25" s="54">
        <v>0</v>
      </c>
      <c r="AH25" s="54">
        <v>0</v>
      </c>
      <c r="AI25" s="54">
        <v>0</v>
      </c>
      <c r="AM25" s="54"/>
      <c r="AN25" s="51">
        <v>22</v>
      </c>
      <c r="AO25" s="55">
        <v>0</v>
      </c>
      <c r="AP25" s="55"/>
      <c r="AQ25" s="55">
        <v>0</v>
      </c>
      <c r="AS25" s="51">
        <v>21</v>
      </c>
      <c r="AT25" s="54">
        <v>0</v>
      </c>
      <c r="AU25" s="54">
        <v>0</v>
      </c>
      <c r="AV25" s="54">
        <v>0</v>
      </c>
      <c r="AW25" s="128">
        <v>0</v>
      </c>
      <c r="AY25" s="185">
        <v>21</v>
      </c>
      <c r="AZ25">
        <v>0</v>
      </c>
      <c r="BA25">
        <v>0</v>
      </c>
      <c r="BB25">
        <v>0</v>
      </c>
      <c r="BC25">
        <v>0</v>
      </c>
    </row>
    <row r="26" spans="13:55" x14ac:dyDescent="0.3">
      <c r="M26" s="32">
        <v>21</v>
      </c>
      <c r="N26" s="53">
        <v>0</v>
      </c>
      <c r="O26" s="53">
        <v>1</v>
      </c>
      <c r="P26" s="53">
        <v>0</v>
      </c>
      <c r="Q26" s="53">
        <v>0</v>
      </c>
      <c r="R26" s="53">
        <v>1</v>
      </c>
      <c r="S26"/>
      <c r="T26"/>
      <c r="U26" s="34">
        <v>23</v>
      </c>
      <c r="V26" s="47">
        <v>0</v>
      </c>
      <c r="W26" s="30">
        <v>0</v>
      </c>
      <c r="X26" s="30">
        <v>23</v>
      </c>
      <c r="Y26"/>
      <c r="AA26" s="34">
        <v>23</v>
      </c>
      <c r="AB26" s="49">
        <v>0</v>
      </c>
      <c r="AC26" s="48">
        <v>0</v>
      </c>
      <c r="AD26" s="31">
        <v>23</v>
      </c>
      <c r="AE26"/>
      <c r="AF26" s="51">
        <v>23</v>
      </c>
      <c r="AG26" s="54">
        <v>0</v>
      </c>
      <c r="AH26" s="54">
        <v>0</v>
      </c>
      <c r="AI26" s="54">
        <v>0</v>
      </c>
      <c r="AM26" s="54"/>
      <c r="AN26" s="51">
        <v>23</v>
      </c>
      <c r="AO26" s="55">
        <v>0</v>
      </c>
      <c r="AP26" s="55"/>
      <c r="AQ26" s="55">
        <v>0</v>
      </c>
      <c r="AS26" s="51">
        <v>22</v>
      </c>
      <c r="AT26" s="54">
        <v>0</v>
      </c>
      <c r="AU26" s="54">
        <v>0</v>
      </c>
      <c r="AV26" s="54">
        <v>0</v>
      </c>
      <c r="AW26" s="128">
        <v>0</v>
      </c>
      <c r="AY26" s="185">
        <v>22</v>
      </c>
      <c r="AZ26">
        <v>0</v>
      </c>
      <c r="BA26">
        <v>0</v>
      </c>
      <c r="BB26">
        <v>0</v>
      </c>
      <c r="BC26">
        <v>0</v>
      </c>
    </row>
    <row r="27" spans="13:55" x14ac:dyDescent="0.3">
      <c r="M27" s="32">
        <v>22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/>
      <c r="T27"/>
      <c r="U27" s="34">
        <v>24</v>
      </c>
      <c r="V27" s="47">
        <v>0</v>
      </c>
      <c r="W27" s="30">
        <v>1</v>
      </c>
      <c r="X27" s="30">
        <v>23</v>
      </c>
      <c r="Y27"/>
      <c r="AA27" s="34">
        <v>24</v>
      </c>
      <c r="AB27" s="49">
        <v>0</v>
      </c>
      <c r="AC27" s="48">
        <v>0</v>
      </c>
      <c r="AD27" s="31">
        <v>23</v>
      </c>
      <c r="AE27"/>
      <c r="AF27" s="51">
        <v>24</v>
      </c>
      <c r="AG27" s="54">
        <v>0</v>
      </c>
      <c r="AH27" s="54">
        <v>0</v>
      </c>
      <c r="AI27" s="54">
        <v>0</v>
      </c>
      <c r="AM27" s="54"/>
      <c r="AN27" s="51">
        <v>24</v>
      </c>
      <c r="AO27" s="55">
        <v>0</v>
      </c>
      <c r="AP27" s="55"/>
      <c r="AQ27" s="55">
        <v>0</v>
      </c>
      <c r="AS27" s="51">
        <v>23</v>
      </c>
      <c r="AT27" s="54">
        <v>0</v>
      </c>
      <c r="AU27" s="54">
        <v>0</v>
      </c>
      <c r="AV27" s="54">
        <v>0</v>
      </c>
      <c r="AW27" s="128">
        <v>0</v>
      </c>
      <c r="AY27" s="185">
        <v>23</v>
      </c>
      <c r="AZ27">
        <v>0</v>
      </c>
      <c r="BA27">
        <v>0</v>
      </c>
      <c r="BB27">
        <v>0</v>
      </c>
      <c r="BC27">
        <v>0</v>
      </c>
    </row>
    <row r="28" spans="13:55" x14ac:dyDescent="0.3">
      <c r="M28" s="32">
        <v>23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/>
      <c r="T28"/>
      <c r="U28" s="34">
        <v>25</v>
      </c>
      <c r="V28" s="47">
        <v>55.555555555555557</v>
      </c>
      <c r="W28" s="30">
        <v>2</v>
      </c>
      <c r="X28" s="30">
        <v>23</v>
      </c>
      <c r="Y28"/>
      <c r="AA28" s="34">
        <v>25</v>
      </c>
      <c r="AB28" s="49">
        <v>36</v>
      </c>
      <c r="AC28" s="48">
        <v>55.555555555555557</v>
      </c>
      <c r="AD28" s="31">
        <v>23</v>
      </c>
      <c r="AE28"/>
      <c r="AF28" s="51">
        <v>25</v>
      </c>
      <c r="AG28" s="54">
        <v>0</v>
      </c>
      <c r="AH28" s="54">
        <v>0</v>
      </c>
      <c r="AI28" s="54">
        <v>0</v>
      </c>
      <c r="AM28" s="54"/>
      <c r="AN28" s="51">
        <v>25</v>
      </c>
      <c r="AO28" s="55">
        <v>36</v>
      </c>
      <c r="AP28" s="55"/>
      <c r="AQ28" s="55">
        <v>-36</v>
      </c>
      <c r="AS28" s="51">
        <v>24</v>
      </c>
      <c r="AT28" s="54">
        <v>0</v>
      </c>
      <c r="AU28" s="54">
        <v>0</v>
      </c>
      <c r="AV28" s="54">
        <v>0</v>
      </c>
      <c r="AW28" s="128">
        <v>0</v>
      </c>
      <c r="AY28" s="185">
        <v>24</v>
      </c>
      <c r="AZ28">
        <v>0</v>
      </c>
      <c r="BA28">
        <v>0</v>
      </c>
      <c r="BB28">
        <v>0</v>
      </c>
      <c r="BC28">
        <v>0</v>
      </c>
    </row>
    <row r="29" spans="13:55" x14ac:dyDescent="0.3">
      <c r="M29" s="32">
        <v>24</v>
      </c>
      <c r="N29" s="53">
        <v>0</v>
      </c>
      <c r="O29" s="53">
        <v>1</v>
      </c>
      <c r="P29" s="53">
        <v>0</v>
      </c>
      <c r="Q29" s="53">
        <v>0</v>
      </c>
      <c r="R29" s="53">
        <v>1</v>
      </c>
      <c r="S29"/>
      <c r="T29"/>
      <c r="U29" s="34">
        <v>26</v>
      </c>
      <c r="V29" s="47">
        <v>78.94736842105263</v>
      </c>
      <c r="W29" s="30">
        <v>3</v>
      </c>
      <c r="X29" s="30">
        <v>23</v>
      </c>
      <c r="Y29"/>
      <c r="AA29" s="34">
        <v>26</v>
      </c>
      <c r="AB29" s="49">
        <v>38</v>
      </c>
      <c r="AC29" s="48">
        <v>78.94736842105263</v>
      </c>
      <c r="AD29" s="31">
        <v>23</v>
      </c>
      <c r="AE29"/>
      <c r="AF29" s="51">
        <v>26</v>
      </c>
      <c r="AG29" s="54">
        <v>10</v>
      </c>
      <c r="AH29" s="54">
        <v>0</v>
      </c>
      <c r="AI29" s="54">
        <v>1</v>
      </c>
      <c r="AM29" s="54"/>
      <c r="AN29" s="51">
        <v>26</v>
      </c>
      <c r="AO29" s="55">
        <v>38</v>
      </c>
      <c r="AP29" s="55"/>
      <c r="AQ29" s="55">
        <v>-38</v>
      </c>
      <c r="AS29" s="51">
        <v>25</v>
      </c>
      <c r="AT29" s="54">
        <v>0</v>
      </c>
      <c r="AU29" s="54">
        <v>0</v>
      </c>
      <c r="AV29" s="54">
        <v>0</v>
      </c>
      <c r="AW29" s="128">
        <v>0</v>
      </c>
      <c r="AY29" s="185">
        <v>25</v>
      </c>
      <c r="AZ29">
        <v>0</v>
      </c>
      <c r="BA29">
        <v>0</v>
      </c>
      <c r="BB29">
        <v>0</v>
      </c>
      <c r="BC29">
        <v>0</v>
      </c>
    </row>
    <row r="30" spans="13:55" x14ac:dyDescent="0.3">
      <c r="M30" s="32">
        <v>25</v>
      </c>
      <c r="N30" s="53">
        <v>0</v>
      </c>
      <c r="O30" s="53">
        <v>2</v>
      </c>
      <c r="P30" s="53">
        <v>0</v>
      </c>
      <c r="Q30" s="53">
        <v>0</v>
      </c>
      <c r="R30" s="53">
        <v>2</v>
      </c>
      <c r="S30"/>
      <c r="T30"/>
      <c r="U30" s="34">
        <v>27</v>
      </c>
      <c r="V30" s="47">
        <v>0</v>
      </c>
      <c r="W30" s="30">
        <v>2</v>
      </c>
      <c r="X30" s="30">
        <v>23</v>
      </c>
      <c r="Y30"/>
      <c r="AA30" s="34">
        <v>27</v>
      </c>
      <c r="AB30" s="49">
        <v>0</v>
      </c>
      <c r="AC30" s="48">
        <v>0</v>
      </c>
      <c r="AD30" s="31">
        <v>23</v>
      </c>
      <c r="AE30"/>
      <c r="AF30" s="51">
        <v>27</v>
      </c>
      <c r="AG30" s="54">
        <v>0</v>
      </c>
      <c r="AH30" s="54">
        <v>0</v>
      </c>
      <c r="AI30" s="54">
        <v>0</v>
      </c>
      <c r="AM30" s="54"/>
      <c r="AN30" s="51">
        <v>27</v>
      </c>
      <c r="AO30" s="55">
        <v>0</v>
      </c>
      <c r="AP30" s="55"/>
      <c r="AQ30" s="55">
        <v>0</v>
      </c>
      <c r="AS30" s="51">
        <v>26</v>
      </c>
      <c r="AT30" s="54">
        <v>0</v>
      </c>
      <c r="AU30" s="54">
        <v>0</v>
      </c>
      <c r="AV30" s="54">
        <v>0</v>
      </c>
      <c r="AW30" s="128">
        <v>0</v>
      </c>
      <c r="AY30" s="185">
        <v>26</v>
      </c>
      <c r="AZ30">
        <v>0</v>
      </c>
      <c r="BA30">
        <v>0</v>
      </c>
      <c r="BB30">
        <v>0</v>
      </c>
      <c r="BC30">
        <v>0</v>
      </c>
    </row>
    <row r="31" spans="13:55" x14ac:dyDescent="0.3">
      <c r="M31" s="32">
        <v>26</v>
      </c>
      <c r="N31" s="53">
        <v>0</v>
      </c>
      <c r="O31" s="53">
        <v>3</v>
      </c>
      <c r="P31" s="53">
        <v>0</v>
      </c>
      <c r="Q31" s="53">
        <v>0</v>
      </c>
      <c r="R31" s="53">
        <v>3</v>
      </c>
      <c r="S31"/>
      <c r="T31"/>
      <c r="U31" s="34">
        <v>28</v>
      </c>
      <c r="V31" s="47">
        <v>0</v>
      </c>
      <c r="W31" s="30">
        <v>0</v>
      </c>
      <c r="X31" s="30">
        <v>23</v>
      </c>
      <c r="Y31"/>
      <c r="AA31" s="34">
        <v>28</v>
      </c>
      <c r="AB31" s="49">
        <v>0</v>
      </c>
      <c r="AC31" s="48">
        <v>0</v>
      </c>
      <c r="AD31" s="31">
        <v>23</v>
      </c>
      <c r="AE31"/>
      <c r="AF31" s="51">
        <v>28</v>
      </c>
      <c r="AG31" s="54">
        <v>0</v>
      </c>
      <c r="AH31" s="54">
        <v>0</v>
      </c>
      <c r="AI31" s="54">
        <v>0</v>
      </c>
      <c r="AM31" s="54"/>
      <c r="AN31" s="51">
        <v>28</v>
      </c>
      <c r="AO31" s="55">
        <v>0</v>
      </c>
      <c r="AP31" s="55"/>
      <c r="AQ31" s="55">
        <v>0</v>
      </c>
      <c r="AS31" s="51">
        <v>27</v>
      </c>
      <c r="AT31" s="54">
        <v>0</v>
      </c>
      <c r="AU31" s="54">
        <v>0</v>
      </c>
      <c r="AV31" s="54">
        <v>0</v>
      </c>
      <c r="AW31" s="128">
        <v>0</v>
      </c>
      <c r="AY31" s="185">
        <v>27</v>
      </c>
      <c r="AZ31">
        <v>0</v>
      </c>
      <c r="BA31">
        <v>0</v>
      </c>
      <c r="BB31">
        <v>0</v>
      </c>
      <c r="BC31">
        <v>0</v>
      </c>
    </row>
    <row r="32" spans="13:55" x14ac:dyDescent="0.3">
      <c r="M32" s="32">
        <v>27</v>
      </c>
      <c r="N32" s="53">
        <v>0</v>
      </c>
      <c r="O32" s="53">
        <v>2</v>
      </c>
      <c r="P32" s="53">
        <v>0</v>
      </c>
      <c r="Q32" s="53">
        <v>0</v>
      </c>
      <c r="R32" s="53">
        <v>2</v>
      </c>
      <c r="S32"/>
      <c r="T32"/>
      <c r="U32" s="34">
        <v>29</v>
      </c>
      <c r="V32" s="47">
        <v>0</v>
      </c>
      <c r="W32" s="30">
        <v>0</v>
      </c>
      <c r="X32" s="30">
        <v>23</v>
      </c>
      <c r="Y32"/>
      <c r="AA32" s="34">
        <v>29</v>
      </c>
      <c r="AB32" s="49">
        <v>0</v>
      </c>
      <c r="AC32" s="48">
        <v>0</v>
      </c>
      <c r="AD32" s="31">
        <v>23</v>
      </c>
      <c r="AE32"/>
      <c r="AF32" s="51">
        <v>29</v>
      </c>
      <c r="AG32" s="54">
        <v>0</v>
      </c>
      <c r="AH32" s="54">
        <v>0</v>
      </c>
      <c r="AI32" s="54">
        <v>0</v>
      </c>
      <c r="AM32" s="54"/>
      <c r="AN32" s="51">
        <v>29</v>
      </c>
      <c r="AO32" s="55">
        <v>0</v>
      </c>
      <c r="AP32" s="55"/>
      <c r="AQ32" s="55">
        <v>0</v>
      </c>
      <c r="AS32" s="51">
        <v>28</v>
      </c>
      <c r="AT32" s="54">
        <v>0</v>
      </c>
      <c r="AU32" s="54">
        <v>0</v>
      </c>
      <c r="AV32" s="54">
        <v>0</v>
      </c>
      <c r="AW32" s="128">
        <v>0</v>
      </c>
      <c r="AY32" s="185">
        <v>28</v>
      </c>
      <c r="AZ32">
        <v>0</v>
      </c>
      <c r="BA32">
        <v>0</v>
      </c>
      <c r="BB32">
        <v>0</v>
      </c>
      <c r="BC32">
        <v>0</v>
      </c>
    </row>
    <row r="33" spans="13:55" x14ac:dyDescent="0.3">
      <c r="M33" s="32">
        <v>28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/>
      <c r="T33"/>
      <c r="U33" s="34">
        <v>30</v>
      </c>
      <c r="V33" s="47">
        <v>0</v>
      </c>
      <c r="W33" s="30">
        <v>1</v>
      </c>
      <c r="X33" s="30">
        <v>23</v>
      </c>
      <c r="Y33"/>
      <c r="AA33" s="34">
        <v>30</v>
      </c>
      <c r="AB33" s="49">
        <v>0</v>
      </c>
      <c r="AC33" s="48">
        <v>0</v>
      </c>
      <c r="AD33" s="31">
        <v>23</v>
      </c>
      <c r="AE33"/>
      <c r="AF33" s="51">
        <v>30</v>
      </c>
      <c r="AG33" s="54">
        <v>0</v>
      </c>
      <c r="AH33" s="54">
        <v>53</v>
      </c>
      <c r="AI33" s="54">
        <v>0</v>
      </c>
      <c r="AM33" s="54"/>
      <c r="AN33" s="51">
        <v>30</v>
      </c>
      <c r="AO33" s="55">
        <v>0</v>
      </c>
      <c r="AP33" s="55"/>
      <c r="AQ33" s="55">
        <v>0</v>
      </c>
      <c r="AS33" s="51">
        <v>29</v>
      </c>
      <c r="AT33" s="54">
        <v>0</v>
      </c>
      <c r="AU33" s="54">
        <v>0</v>
      </c>
      <c r="AV33" s="54">
        <v>0</v>
      </c>
      <c r="AW33" s="128">
        <v>0</v>
      </c>
      <c r="AY33" s="185">
        <v>29</v>
      </c>
      <c r="AZ33">
        <v>0</v>
      </c>
      <c r="BA33">
        <v>0</v>
      </c>
      <c r="BB33">
        <v>0</v>
      </c>
      <c r="BC33">
        <v>0</v>
      </c>
    </row>
    <row r="34" spans="13:55" x14ac:dyDescent="0.3">
      <c r="M34" s="32">
        <v>29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T34"/>
      <c r="U34" s="34">
        <v>31</v>
      </c>
      <c r="V34" s="47">
        <v>0</v>
      </c>
      <c r="W34" s="30">
        <v>3</v>
      </c>
      <c r="X34" s="30">
        <v>23</v>
      </c>
      <c r="Y34"/>
      <c r="AA34" s="34">
        <v>31</v>
      </c>
      <c r="AB34" s="49">
        <v>0</v>
      </c>
      <c r="AC34" s="48">
        <v>0</v>
      </c>
      <c r="AD34" s="31">
        <v>23</v>
      </c>
      <c r="AE34"/>
      <c r="AF34" s="51">
        <v>31</v>
      </c>
      <c r="AG34" s="54">
        <v>0</v>
      </c>
      <c r="AH34" s="54">
        <v>42</v>
      </c>
      <c r="AI34" s="54">
        <v>0</v>
      </c>
      <c r="AM34" s="54"/>
      <c r="AN34" s="51">
        <v>31</v>
      </c>
      <c r="AO34" s="55">
        <v>0</v>
      </c>
      <c r="AP34" s="55"/>
      <c r="AQ34" s="55">
        <v>0</v>
      </c>
      <c r="AS34" s="51">
        <v>30</v>
      </c>
      <c r="AT34" s="54">
        <v>0</v>
      </c>
      <c r="AU34" s="54">
        <v>0</v>
      </c>
      <c r="AV34" s="54">
        <v>0</v>
      </c>
      <c r="AW34" s="128">
        <v>0</v>
      </c>
      <c r="AY34" s="185">
        <v>30</v>
      </c>
      <c r="AZ34">
        <v>0</v>
      </c>
      <c r="BA34">
        <v>0</v>
      </c>
      <c r="BB34">
        <v>0</v>
      </c>
      <c r="BC34">
        <v>0</v>
      </c>
    </row>
    <row r="35" spans="13:55" x14ac:dyDescent="0.3">
      <c r="M35" s="32">
        <v>30</v>
      </c>
      <c r="N35" s="53">
        <v>0</v>
      </c>
      <c r="O35" s="53">
        <v>1</v>
      </c>
      <c r="P35" s="53">
        <v>0</v>
      </c>
      <c r="Q35" s="53">
        <v>0</v>
      </c>
      <c r="R35" s="53">
        <v>1</v>
      </c>
      <c r="T35"/>
      <c r="U35" s="34" t="s">
        <v>9</v>
      </c>
      <c r="V35" s="47">
        <v>244.18604651162789</v>
      </c>
      <c r="W35" s="30">
        <v>42</v>
      </c>
      <c r="X35" s="30">
        <v>23</v>
      </c>
      <c r="Y35"/>
      <c r="AA35" s="34" t="s">
        <v>9</v>
      </c>
      <c r="AB35" s="49">
        <v>172</v>
      </c>
      <c r="AC35" s="48">
        <v>244.18604651162789</v>
      </c>
      <c r="AD35" s="31">
        <v>23</v>
      </c>
      <c r="AE35"/>
      <c r="AF35" s="51" t="s">
        <v>9</v>
      </c>
      <c r="AG35" s="54">
        <v>30</v>
      </c>
      <c r="AH35" s="54">
        <v>1008</v>
      </c>
      <c r="AI35" s="54">
        <v>3</v>
      </c>
      <c r="AM35" s="54"/>
      <c r="AN35" s="51" t="s">
        <v>9</v>
      </c>
      <c r="AO35">
        <v>172</v>
      </c>
      <c r="AQ35">
        <v>-172</v>
      </c>
      <c r="AS35" s="51">
        <v>31</v>
      </c>
      <c r="AT35" s="54">
        <v>0</v>
      </c>
      <c r="AU35" s="54">
        <v>0</v>
      </c>
      <c r="AV35" s="54">
        <v>0</v>
      </c>
      <c r="AW35" s="128">
        <v>0</v>
      </c>
      <c r="AY35" s="185">
        <v>31</v>
      </c>
      <c r="AZ35">
        <v>0</v>
      </c>
      <c r="BA35">
        <v>0</v>
      </c>
      <c r="BB35">
        <v>0</v>
      </c>
      <c r="BC35">
        <v>0</v>
      </c>
    </row>
    <row r="36" spans="13:55" x14ac:dyDescent="0.3">
      <c r="M36" s="32">
        <v>31</v>
      </c>
      <c r="N36" s="53">
        <v>0</v>
      </c>
      <c r="O36" s="53">
        <v>3</v>
      </c>
      <c r="P36" s="53">
        <v>0</v>
      </c>
      <c r="Q36" s="53">
        <v>0</v>
      </c>
      <c r="R36" s="53">
        <v>3</v>
      </c>
      <c r="U36"/>
      <c r="V36"/>
      <c r="W36"/>
      <c r="X36"/>
      <c r="AA36"/>
      <c r="AB36"/>
      <c r="AC36"/>
      <c r="AD36"/>
      <c r="AF36"/>
      <c r="AH36"/>
      <c r="AI36"/>
      <c r="AM36" s="54"/>
      <c r="AS36" s="51" t="s">
        <v>9</v>
      </c>
      <c r="AT36" s="54">
        <v>0</v>
      </c>
      <c r="AU36" s="54">
        <v>0</v>
      </c>
      <c r="AV36" s="54">
        <v>0</v>
      </c>
      <c r="AW36" s="128">
        <v>0</v>
      </c>
      <c r="AY36" s="185" t="s">
        <v>9</v>
      </c>
      <c r="AZ36">
        <v>-33560</v>
      </c>
      <c r="BA36">
        <v>0</v>
      </c>
      <c r="BB36">
        <v>0</v>
      </c>
      <c r="BC36">
        <v>0</v>
      </c>
    </row>
    <row r="37" spans="13:55" x14ac:dyDescent="0.3">
      <c r="M37" s="226" t="s">
        <v>9</v>
      </c>
      <c r="N37" s="33">
        <v>0</v>
      </c>
      <c r="O37" s="33">
        <v>42</v>
      </c>
      <c r="P37" s="33">
        <v>0</v>
      </c>
      <c r="Q37" s="33">
        <v>0</v>
      </c>
      <c r="R37" s="33">
        <v>42</v>
      </c>
      <c r="U37"/>
      <c r="V37"/>
      <c r="W37"/>
      <c r="AA37"/>
      <c r="AB37"/>
      <c r="AC37"/>
      <c r="AD37"/>
      <c r="AF37"/>
      <c r="AH37"/>
      <c r="AI37"/>
      <c r="AW37"/>
    </row>
    <row r="38" spans="13:55" x14ac:dyDescent="0.3">
      <c r="M38"/>
      <c r="N38"/>
      <c r="O38"/>
      <c r="P38"/>
      <c r="Q38"/>
      <c r="R38"/>
      <c r="U38"/>
      <c r="V38"/>
      <c r="W38"/>
      <c r="AA38"/>
      <c r="AB38"/>
      <c r="AC38"/>
      <c r="AD38"/>
      <c r="AF38"/>
      <c r="AH38"/>
      <c r="AI38"/>
    </row>
    <row r="39" spans="13:55" x14ac:dyDescent="0.3">
      <c r="M39"/>
      <c r="N39"/>
      <c r="O39"/>
      <c r="P39"/>
      <c r="Q39"/>
      <c r="R39"/>
      <c r="U39"/>
      <c r="V39"/>
      <c r="W39"/>
      <c r="AA39"/>
      <c r="AB39"/>
      <c r="AC39"/>
      <c r="AD39"/>
      <c r="AF39"/>
      <c r="AH39"/>
      <c r="AI39"/>
    </row>
    <row r="40" spans="13:55" x14ac:dyDescent="0.3">
      <c r="M40"/>
      <c r="N40"/>
      <c r="O40"/>
      <c r="P40"/>
      <c r="Q40"/>
      <c r="R40"/>
      <c r="AA40"/>
      <c r="AB40"/>
      <c r="AC40"/>
      <c r="AD40"/>
      <c r="AF40"/>
      <c r="AH40"/>
      <c r="AI40"/>
    </row>
    <row r="41" spans="13:55" x14ac:dyDescent="0.3">
      <c r="M41"/>
      <c r="N41"/>
      <c r="O41"/>
      <c r="P41"/>
      <c r="Q41"/>
      <c r="R41"/>
      <c r="AA41"/>
      <c r="AB41"/>
      <c r="AC41"/>
      <c r="AD41"/>
      <c r="AF41"/>
      <c r="AH41"/>
      <c r="AI41"/>
    </row>
    <row r="42" spans="13:55" x14ac:dyDescent="0.3">
      <c r="M42"/>
      <c r="N42"/>
      <c r="O42"/>
      <c r="P42"/>
      <c r="Q42"/>
      <c r="R42"/>
      <c r="AA42"/>
      <c r="AB42"/>
      <c r="AC42"/>
      <c r="AD42"/>
      <c r="AF42"/>
      <c r="AH42"/>
      <c r="AI42"/>
    </row>
    <row r="43" spans="13:55" x14ac:dyDescent="0.3">
      <c r="M43"/>
      <c r="N43"/>
      <c r="O43"/>
      <c r="P43"/>
      <c r="Q43"/>
      <c r="R43"/>
      <c r="AA43"/>
      <c r="AB43"/>
      <c r="AC43"/>
      <c r="AD43"/>
      <c r="AF43"/>
      <c r="AH43"/>
      <c r="AI43"/>
    </row>
    <row r="44" spans="13:55" x14ac:dyDescent="0.3">
      <c r="M44"/>
      <c r="N44"/>
      <c r="O44"/>
      <c r="P44"/>
      <c r="Q44"/>
      <c r="R44"/>
      <c r="AA44"/>
      <c r="AB44"/>
      <c r="AC44"/>
      <c r="AD44"/>
      <c r="AF44"/>
      <c r="AH44"/>
      <c r="AI44"/>
    </row>
    <row r="45" spans="13:55" x14ac:dyDescent="0.3">
      <c r="M45"/>
      <c r="N45"/>
      <c r="O45"/>
      <c r="P45"/>
      <c r="Q45"/>
      <c r="R45"/>
      <c r="AA45"/>
      <c r="AB45"/>
      <c r="AC45"/>
      <c r="AD45"/>
      <c r="AF45"/>
      <c r="AH45"/>
      <c r="AI45"/>
    </row>
    <row r="46" spans="13:55" x14ac:dyDescent="0.3">
      <c r="M46"/>
      <c r="N46"/>
      <c r="O46"/>
      <c r="P46"/>
      <c r="Q46"/>
      <c r="R46"/>
      <c r="AA46"/>
      <c r="AB46"/>
      <c r="AC46"/>
      <c r="AD46"/>
      <c r="AF46"/>
      <c r="AH46"/>
      <c r="AI46"/>
    </row>
    <row r="47" spans="13:55" x14ac:dyDescent="0.3">
      <c r="M47"/>
      <c r="N47"/>
      <c r="O47"/>
      <c r="P47"/>
      <c r="Q47"/>
      <c r="R47"/>
      <c r="AA47"/>
      <c r="AB47"/>
      <c r="AC47"/>
      <c r="AD47"/>
      <c r="AF47"/>
      <c r="AH47"/>
      <c r="AI47"/>
    </row>
    <row r="48" spans="13:55" x14ac:dyDescent="0.3">
      <c r="M48"/>
      <c r="N48"/>
      <c r="O48"/>
      <c r="P48"/>
      <c r="Q48"/>
      <c r="R48"/>
      <c r="AA48"/>
      <c r="AB48"/>
      <c r="AC48"/>
      <c r="AD48"/>
      <c r="AF48"/>
      <c r="AH48"/>
      <c r="AI48"/>
    </row>
    <row r="49" spans="1:55" x14ac:dyDescent="0.3">
      <c r="M49"/>
      <c r="N49"/>
      <c r="O49"/>
      <c r="P49"/>
      <c r="Q49"/>
      <c r="R49"/>
      <c r="AA49"/>
      <c r="AB49"/>
      <c r="AC49"/>
      <c r="AD49"/>
      <c r="AF49"/>
      <c r="AH49"/>
      <c r="AI49"/>
    </row>
    <row r="50" spans="1:55" x14ac:dyDescent="0.3">
      <c r="M50"/>
      <c r="N50"/>
      <c r="O50"/>
      <c r="P50"/>
      <c r="Q50"/>
      <c r="R50"/>
      <c r="AA50"/>
      <c r="AB50"/>
      <c r="AC50"/>
      <c r="AD50"/>
      <c r="AF50"/>
      <c r="AH50"/>
      <c r="AI50"/>
    </row>
    <row r="51" spans="1:55" x14ac:dyDescent="0.3">
      <c r="M51"/>
      <c r="N51"/>
      <c r="O51"/>
      <c r="P51"/>
      <c r="Q51"/>
      <c r="R51"/>
      <c r="U51"/>
      <c r="V51"/>
      <c r="W51"/>
      <c r="AA51"/>
      <c r="AB51"/>
      <c r="AC51"/>
      <c r="AD51"/>
      <c r="AF51"/>
      <c r="AH51"/>
      <c r="AI51"/>
    </row>
    <row r="52" spans="1:55" x14ac:dyDescent="0.3">
      <c r="M52"/>
      <c r="N52"/>
      <c r="O52"/>
      <c r="P52"/>
      <c r="Q52"/>
      <c r="R52"/>
      <c r="U52"/>
      <c r="V52"/>
      <c r="W52"/>
      <c r="AA52"/>
      <c r="AB52"/>
      <c r="AC52"/>
      <c r="AD52"/>
      <c r="AF52"/>
      <c r="AH52"/>
      <c r="AI52"/>
    </row>
    <row r="53" spans="1:55" x14ac:dyDescent="0.3">
      <c r="M53"/>
      <c r="N53"/>
      <c r="O53"/>
      <c r="P53"/>
      <c r="Q53"/>
      <c r="R53"/>
      <c r="U53"/>
      <c r="V53"/>
      <c r="W53"/>
      <c r="AA53"/>
      <c r="AB53"/>
      <c r="AC53"/>
      <c r="AD53"/>
      <c r="AF53"/>
      <c r="AH53"/>
      <c r="AI53"/>
    </row>
    <row r="54" spans="1:55" s="52" customFormat="1" x14ac:dyDescent="0.3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249" t="s">
        <v>44</v>
      </c>
      <c r="L54" s="249"/>
      <c r="M54"/>
      <c r="N54"/>
      <c r="O54"/>
      <c r="P54"/>
      <c r="Q54"/>
      <c r="R54"/>
      <c r="S54" s="33"/>
      <c r="T54" s="30"/>
      <c r="X54" s="30"/>
      <c r="Y54" s="30"/>
      <c r="Z54" s="33"/>
      <c r="AE54" s="30"/>
      <c r="AF54"/>
      <c r="AG54"/>
      <c r="AH54"/>
      <c r="AI54"/>
      <c r="AW54" s="67"/>
      <c r="AY54"/>
      <c r="AZ54"/>
      <c r="BA54"/>
      <c r="BB54"/>
      <c r="BC54"/>
    </row>
    <row r="55" spans="1:55" x14ac:dyDescent="0.3">
      <c r="K55" s="57" t="s">
        <v>16</v>
      </c>
      <c r="L55" s="60">
        <f>+GETPIVOTDATA("  VOLUMEN REAL ENVIADO A PRODUCCIÓN ",$U$3)</f>
        <v>42</v>
      </c>
      <c r="M55"/>
      <c r="N55"/>
      <c r="O55"/>
      <c r="P55"/>
      <c r="Q55"/>
      <c r="R55"/>
      <c r="U55"/>
      <c r="V55"/>
      <c r="W55"/>
      <c r="AA55"/>
      <c r="AB55"/>
      <c r="AC55"/>
      <c r="AD55"/>
    </row>
    <row r="56" spans="1:55" x14ac:dyDescent="0.3">
      <c r="K56" s="57" t="s">
        <v>17</v>
      </c>
      <c r="L56" s="60">
        <f>+GETPIVOTDATA("  TOTAL KG TEÑIDOS MS",$AA$3)</f>
        <v>172</v>
      </c>
      <c r="M56"/>
      <c r="N56"/>
      <c r="O56"/>
      <c r="P56"/>
      <c r="Q56"/>
      <c r="R56"/>
      <c r="U56"/>
      <c r="V56"/>
      <c r="W56"/>
      <c r="AA56"/>
      <c r="AB56"/>
      <c r="AC56"/>
      <c r="AD56"/>
    </row>
    <row r="57" spans="1:55" x14ac:dyDescent="0.3">
      <c r="K57" s="64" t="s">
        <v>18</v>
      </c>
      <c r="L57" s="66">
        <f>(L55*1000)/L56</f>
        <v>244.18604651162789</v>
      </c>
      <c r="M57"/>
      <c r="N57"/>
      <c r="O57"/>
      <c r="P57"/>
      <c r="Q57"/>
      <c r="R57"/>
      <c r="U57"/>
      <c r="V57"/>
      <c r="W57"/>
      <c r="AA57"/>
      <c r="AB57"/>
      <c r="AC57"/>
      <c r="AD57"/>
    </row>
    <row r="58" spans="1:55" x14ac:dyDescent="0.3">
      <c r="K58" s="64" t="s">
        <v>43</v>
      </c>
      <c r="L58" s="59">
        <v>13</v>
      </c>
      <c r="M58"/>
      <c r="N58"/>
      <c r="O58"/>
      <c r="P58"/>
      <c r="Q58"/>
      <c r="R58"/>
      <c r="U58"/>
      <c r="V58"/>
      <c r="W58"/>
      <c r="AA58"/>
      <c r="AB58"/>
      <c r="AC58"/>
      <c r="AD58"/>
    </row>
    <row r="59" spans="1:55" x14ac:dyDescent="0.3">
      <c r="K59" s="64" t="s">
        <v>45</v>
      </c>
      <c r="L59" s="60">
        <f>L56/L58</f>
        <v>13.23076923076923</v>
      </c>
      <c r="M59"/>
      <c r="N59"/>
      <c r="O59"/>
      <c r="P59"/>
      <c r="Q59"/>
      <c r="R59"/>
      <c r="U59"/>
      <c r="V59"/>
      <c r="W59"/>
      <c r="AA59"/>
      <c r="AB59"/>
      <c r="AC59"/>
      <c r="AD59"/>
    </row>
    <row r="60" spans="1:55" x14ac:dyDescent="0.3">
      <c r="K60" s="64" t="s">
        <v>62</v>
      </c>
      <c r="L60" s="60">
        <f>+L55/L58</f>
        <v>3.2307692307692308</v>
      </c>
      <c r="M60"/>
      <c r="N60"/>
      <c r="O60"/>
      <c r="P60"/>
      <c r="Q60"/>
      <c r="R60"/>
      <c r="U60"/>
      <c r="V60"/>
      <c r="W60"/>
      <c r="AA60"/>
      <c r="AB60"/>
      <c r="AC60"/>
      <c r="AD60"/>
    </row>
    <row r="61" spans="1:55" x14ac:dyDescent="0.3">
      <c r="M61"/>
      <c r="N61"/>
      <c r="O61"/>
      <c r="P61"/>
      <c r="Q61"/>
      <c r="R61"/>
    </row>
    <row r="62" spans="1:55" x14ac:dyDescent="0.3">
      <c r="M62"/>
      <c r="N62"/>
      <c r="O62"/>
      <c r="P62"/>
      <c r="Q62"/>
      <c r="R62"/>
    </row>
    <row r="63" spans="1:55" x14ac:dyDescent="0.3">
      <c r="M63"/>
      <c r="N63"/>
      <c r="O63"/>
      <c r="P63"/>
      <c r="Q63"/>
      <c r="R63"/>
    </row>
    <row r="64" spans="1:55" x14ac:dyDescent="0.3">
      <c r="K64" s="65" t="s">
        <v>67</v>
      </c>
      <c r="L64" s="65" t="s">
        <v>18</v>
      </c>
      <c r="M64"/>
      <c r="N64"/>
      <c r="O64"/>
      <c r="P64"/>
      <c r="Q64"/>
      <c r="R64"/>
    </row>
    <row r="65" spans="11:18" x14ac:dyDescent="0.3">
      <c r="K65" s="64" t="s">
        <v>63</v>
      </c>
      <c r="L65" s="66">
        <v>41.2</v>
      </c>
      <c r="M65"/>
      <c r="N65"/>
      <c r="O65"/>
      <c r="P65"/>
      <c r="Q65"/>
      <c r="R65"/>
    </row>
    <row r="66" spans="11:18" x14ac:dyDescent="0.3">
      <c r="K66" s="64" t="s">
        <v>64</v>
      </c>
      <c r="L66" s="66">
        <v>39.1</v>
      </c>
      <c r="M66"/>
      <c r="N66"/>
      <c r="O66"/>
      <c r="P66"/>
      <c r="Q66"/>
      <c r="R66"/>
    </row>
    <row r="67" spans="11:18" x14ac:dyDescent="0.3">
      <c r="K67" s="64" t="s">
        <v>65</v>
      </c>
      <c r="L67" s="66">
        <v>48</v>
      </c>
      <c r="M67"/>
      <c r="N67"/>
      <c r="O67"/>
      <c r="P67"/>
      <c r="Q67"/>
      <c r="R67"/>
    </row>
    <row r="68" spans="11:18" x14ac:dyDescent="0.3">
      <c r="K68" s="64" t="s">
        <v>66</v>
      </c>
      <c r="L68" s="66">
        <f>AVERAGE(L65:L67)</f>
        <v>42.766666666666673</v>
      </c>
      <c r="M68" s="102">
        <v>7416</v>
      </c>
      <c r="N68" s="102">
        <f>(M68*L68)/1000</f>
        <v>317.15760000000006</v>
      </c>
    </row>
    <row r="71" spans="11:18" x14ac:dyDescent="0.3">
      <c r="K71" s="245" t="s">
        <v>18</v>
      </c>
      <c r="L71" s="245"/>
      <c r="M71" s="245"/>
      <c r="N71" s="245"/>
    </row>
    <row r="72" spans="11:18" ht="28.8" x14ac:dyDescent="0.3">
      <c r="K72" s="219" t="s">
        <v>129</v>
      </c>
      <c r="L72" s="219" t="s">
        <v>130</v>
      </c>
      <c r="M72" s="220" t="s">
        <v>131</v>
      </c>
      <c r="N72" s="219" t="s">
        <v>132</v>
      </c>
    </row>
    <row r="73" spans="11:18" x14ac:dyDescent="0.3">
      <c r="K73" s="221">
        <v>21.46</v>
      </c>
      <c r="L73" s="221">
        <v>26.16</v>
      </c>
      <c r="M73" s="221">
        <v>21.69</v>
      </c>
      <c r="N73" s="222">
        <f>L57</f>
        <v>244.18604651162789</v>
      </c>
    </row>
    <row r="88" spans="11:14" ht="15" customHeight="1" x14ac:dyDescent="0.3">
      <c r="K88" s="244" t="s">
        <v>46</v>
      </c>
      <c r="L88" s="244"/>
      <c r="M88" s="244"/>
      <c r="N88" s="244"/>
    </row>
    <row r="89" spans="11:14" ht="28.8" x14ac:dyDescent="0.3">
      <c r="K89" s="147" t="s">
        <v>113</v>
      </c>
      <c r="L89" s="147" t="s">
        <v>112</v>
      </c>
      <c r="M89" s="147" t="s">
        <v>114</v>
      </c>
      <c r="N89" s="147" t="s">
        <v>61</v>
      </c>
    </row>
    <row r="90" spans="11:14" x14ac:dyDescent="0.3">
      <c r="K90" s="66">
        <f>GETPIVOTDATA(" TOTAL KG + ERBATECH",$AN$3)</f>
        <v>0</v>
      </c>
      <c r="L90" s="60">
        <f>GETPIVOTDATA("  TOTAL KG PROCESADOS",$AN$3)</f>
        <v>172</v>
      </c>
      <c r="M90" s="66">
        <f>+K90-L90</f>
        <v>-172</v>
      </c>
      <c r="N90" s="148">
        <f>+M90/L90</f>
        <v>-1</v>
      </c>
    </row>
    <row r="91" spans="11:14" x14ac:dyDescent="0.3">
      <c r="K91" s="131"/>
      <c r="L91" s="132"/>
      <c r="M91" s="133"/>
      <c r="N91" s="134"/>
    </row>
    <row r="103" spans="2:21" ht="15" thickBot="1" x14ac:dyDescent="0.35"/>
    <row r="104" spans="2:21" ht="16.2" thickBot="1" x14ac:dyDescent="0.35">
      <c r="B104" s="250" t="s">
        <v>47</v>
      </c>
      <c r="C104" s="251"/>
      <c r="D104" s="251"/>
      <c r="E104" s="251"/>
      <c r="F104" s="251"/>
      <c r="G104" s="252"/>
      <c r="H104" s="253" t="s">
        <v>48</v>
      </c>
      <c r="I104" s="254"/>
      <c r="J104" s="254"/>
      <c r="K104" s="254"/>
      <c r="L104" s="254"/>
      <c r="M104" s="254"/>
      <c r="N104" s="255"/>
      <c r="O104" s="256" t="s">
        <v>49</v>
      </c>
      <c r="P104" s="257"/>
      <c r="Q104" s="258"/>
      <c r="R104" s="259" t="s">
        <v>50</v>
      </c>
      <c r="S104" s="260"/>
      <c r="T104" s="260"/>
      <c r="U104" s="261"/>
    </row>
    <row r="105" spans="2:21" ht="72" x14ac:dyDescent="0.3">
      <c r="B105" s="103" t="s">
        <v>33</v>
      </c>
      <c r="C105" s="104" t="s">
        <v>10</v>
      </c>
      <c r="D105" s="104" t="s">
        <v>68</v>
      </c>
      <c r="E105" s="104" t="s">
        <v>11</v>
      </c>
      <c r="F105" s="105" t="s">
        <v>143</v>
      </c>
      <c r="G105" s="106" t="s">
        <v>144</v>
      </c>
      <c r="H105" s="107" t="s">
        <v>33</v>
      </c>
      <c r="I105" s="108" t="s">
        <v>35</v>
      </c>
      <c r="J105" s="108" t="s">
        <v>51</v>
      </c>
      <c r="K105" s="108" t="s">
        <v>36</v>
      </c>
      <c r="L105" s="108" t="s">
        <v>37</v>
      </c>
      <c r="M105" s="108" t="s">
        <v>70</v>
      </c>
      <c r="N105" s="109" t="s">
        <v>38</v>
      </c>
      <c r="O105" s="110" t="s">
        <v>69</v>
      </c>
      <c r="P105" s="111" t="s">
        <v>32</v>
      </c>
      <c r="Q105" s="112" t="s">
        <v>34</v>
      </c>
      <c r="R105" s="113" t="s">
        <v>30</v>
      </c>
      <c r="S105" s="114" t="s">
        <v>28</v>
      </c>
      <c r="T105" s="114" t="s">
        <v>31</v>
      </c>
      <c r="U105" s="115" t="s">
        <v>122</v>
      </c>
    </row>
    <row r="106" spans="2:21" x14ac:dyDescent="0.3">
      <c r="B106" s="68" t="s">
        <v>0</v>
      </c>
      <c r="C106" s="57" t="s">
        <v>0</v>
      </c>
      <c r="D106" s="57" t="s">
        <v>0</v>
      </c>
      <c r="E106" s="57" t="s">
        <v>0</v>
      </c>
      <c r="F106" s="58" t="s">
        <v>0</v>
      </c>
      <c r="G106" s="69" t="s">
        <v>0</v>
      </c>
      <c r="H106" s="68" t="s">
        <v>0</v>
      </c>
      <c r="I106" s="57" t="s">
        <v>29</v>
      </c>
      <c r="J106" s="57" t="s">
        <v>0</v>
      </c>
      <c r="K106" s="57" t="s">
        <v>0</v>
      </c>
      <c r="L106" s="57" t="s">
        <v>0</v>
      </c>
      <c r="M106" s="57" t="s">
        <v>0</v>
      </c>
      <c r="N106" s="70" t="s">
        <v>0</v>
      </c>
      <c r="O106" s="68" t="s">
        <v>0</v>
      </c>
      <c r="P106" s="58" t="s">
        <v>0</v>
      </c>
      <c r="Q106" s="70" t="s">
        <v>0</v>
      </c>
      <c r="R106" s="71" t="s">
        <v>0</v>
      </c>
      <c r="S106" s="58" t="s">
        <v>0</v>
      </c>
      <c r="T106" s="58" t="s">
        <v>0</v>
      </c>
      <c r="U106" s="69" t="s">
        <v>29</v>
      </c>
    </row>
    <row r="107" spans="2:21" ht="15" thickBot="1" x14ac:dyDescent="0.35">
      <c r="B107" s="72">
        <f>+C117</f>
        <v>42</v>
      </c>
      <c r="C107" s="73">
        <f>C142</f>
        <v>1008</v>
      </c>
      <c r="D107" s="73">
        <f>+C107-F107-G107</f>
        <v>25</v>
      </c>
      <c r="E107" s="73">
        <f>+C114</f>
        <v>42</v>
      </c>
      <c r="F107" s="73">
        <v>835</v>
      </c>
      <c r="G107" s="74">
        <v>148</v>
      </c>
      <c r="H107" s="72">
        <f>+B107</f>
        <v>42</v>
      </c>
      <c r="I107" s="75">
        <v>0.01</v>
      </c>
      <c r="J107" s="76">
        <f>+H107*I107</f>
        <v>0.42</v>
      </c>
      <c r="K107" s="73">
        <f>+H107-J107</f>
        <v>41.58</v>
      </c>
      <c r="L107" s="73">
        <v>130</v>
      </c>
      <c r="M107" s="73">
        <f>+G107</f>
        <v>148</v>
      </c>
      <c r="N107" s="77">
        <f>+M107/K107</f>
        <v>3.5594035594035596</v>
      </c>
      <c r="O107" s="72">
        <f>+K107-M107-L107</f>
        <v>-236.42000000000002</v>
      </c>
      <c r="P107" s="73">
        <f>+C139</f>
        <v>30</v>
      </c>
      <c r="Q107" s="74">
        <f>O107-P107</f>
        <v>-266.42</v>
      </c>
      <c r="R107" s="72">
        <f>GETPIVOTDATA("VOLUMEN INGRESO RO ",$AS$4)</f>
        <v>0</v>
      </c>
      <c r="S107" s="73">
        <f>+G107</f>
        <v>148</v>
      </c>
      <c r="T107" s="73">
        <f>+R107-S107</f>
        <v>-148</v>
      </c>
      <c r="U107" s="77" t="e">
        <f>+S107/R107</f>
        <v>#DIV/0!</v>
      </c>
    </row>
    <row r="108" spans="2:21" x14ac:dyDescent="0.3">
      <c r="D108" s="100">
        <f>+D107/C107</f>
        <v>2.48015873015873E-2</v>
      </c>
      <c r="G108" s="62"/>
      <c r="P108" s="53"/>
    </row>
    <row r="109" spans="2:21" x14ac:dyDescent="0.3">
      <c r="R109" s="29">
        <f>+R107/11</f>
        <v>0</v>
      </c>
      <c r="S109" s="29">
        <f>+S107/11</f>
        <v>13.454545454545455</v>
      </c>
    </row>
    <row r="110" spans="2:21" x14ac:dyDescent="0.3">
      <c r="R110" s="33">
        <f>+R109/24</f>
        <v>0</v>
      </c>
    </row>
    <row r="113" spans="2:4" ht="15.6" x14ac:dyDescent="0.3">
      <c r="B113" s="78" t="s">
        <v>42</v>
      </c>
      <c r="C113" s="78" t="s">
        <v>0</v>
      </c>
      <c r="D113" s="78" t="s">
        <v>29</v>
      </c>
    </row>
    <row r="114" spans="2:4" ht="25.5" customHeight="1" x14ac:dyDescent="0.3">
      <c r="B114" s="79" t="s">
        <v>104</v>
      </c>
      <c r="C114" s="96">
        <f>+GETPIVOTDATA(" VOLUMEN DE PTAP ENVIADO A PLANTA DE PRODUCCIÓN",$M$3)</f>
        <v>42</v>
      </c>
      <c r="D114" s="97">
        <f>+C114/$C$117</f>
        <v>1</v>
      </c>
    </row>
    <row r="115" spans="2:4" x14ac:dyDescent="0.3">
      <c r="B115" s="79" t="s">
        <v>27</v>
      </c>
      <c r="C115" s="96">
        <f>+GETPIVOTDATA(" VOLUMEN POTABLE CARROTANQUES",$M$3)</f>
        <v>0</v>
      </c>
      <c r="D115" s="97">
        <f>+C115/$C$117</f>
        <v>0</v>
      </c>
    </row>
    <row r="116" spans="2:4" x14ac:dyDescent="0.3">
      <c r="B116" s="79" t="s">
        <v>28</v>
      </c>
      <c r="C116" s="96">
        <f>+GETPIVOTDATA("  VOLUMEN PERMEADO RO",$M$3)</f>
        <v>0</v>
      </c>
      <c r="D116" s="97">
        <f>+C116/$C$117</f>
        <v>0</v>
      </c>
    </row>
    <row r="117" spans="2:4" x14ac:dyDescent="0.3">
      <c r="B117" s="79" t="s">
        <v>41</v>
      </c>
      <c r="C117" s="96">
        <f>+GETPIVOTDATA("  VOLUMEN REAL ENVIADO A PRODUCCIÓN ",$M$3)</f>
        <v>42</v>
      </c>
      <c r="D117" s="80">
        <f>+C117/$C$117</f>
        <v>1</v>
      </c>
    </row>
    <row r="118" spans="2:4" x14ac:dyDescent="0.3">
      <c r="C118" s="99"/>
    </row>
    <row r="119" spans="2:4" ht="35.25" customHeight="1" x14ac:dyDescent="0.3">
      <c r="B119" s="78" t="s">
        <v>42</v>
      </c>
      <c r="C119" s="78" t="s">
        <v>0</v>
      </c>
      <c r="D119" s="101" t="s">
        <v>59</v>
      </c>
    </row>
    <row r="120" spans="2:4" x14ac:dyDescent="0.3">
      <c r="B120" s="79" t="s">
        <v>39</v>
      </c>
      <c r="C120" s="96">
        <f>+GETPIVOTDATA(" VOLUMEN REPORTE CONSUMIDO PRODUCCIÓN",$M$3)</f>
        <v>0</v>
      </c>
      <c r="D120" s="243" t="e">
        <f>ABS(1-(C121/C120))</f>
        <v>#DIV/0!</v>
      </c>
    </row>
    <row r="121" spans="2:4" x14ac:dyDescent="0.3">
      <c r="B121" s="79" t="s">
        <v>41</v>
      </c>
      <c r="C121" s="96">
        <f>+C117</f>
        <v>42</v>
      </c>
      <c r="D121" s="243"/>
    </row>
    <row r="122" spans="2:4" ht="27" customHeight="1" x14ac:dyDescent="0.3">
      <c r="B122" s="79" t="s">
        <v>58</v>
      </c>
      <c r="C122" s="96">
        <f>+C121-C120</f>
        <v>42</v>
      </c>
      <c r="D122" s="243"/>
    </row>
    <row r="123" spans="2:4" x14ac:dyDescent="0.3">
      <c r="C123" s="100"/>
      <c r="D123" s="63" t="e">
        <f>+C121/C120</f>
        <v>#DIV/0!</v>
      </c>
    </row>
    <row r="124" spans="2:4" x14ac:dyDescent="0.3">
      <c r="C124" s="100"/>
    </row>
    <row r="135" spans="2:4" ht="15.6" x14ac:dyDescent="0.3">
      <c r="B135" s="126" t="s">
        <v>57</v>
      </c>
      <c r="C135" s="126" t="s">
        <v>0</v>
      </c>
      <c r="D135" s="126" t="s">
        <v>29</v>
      </c>
    </row>
    <row r="136" spans="2:4" x14ac:dyDescent="0.3">
      <c r="B136" s="79" t="s">
        <v>41</v>
      </c>
      <c r="C136" s="96">
        <f>+C121</f>
        <v>42</v>
      </c>
      <c r="D136" s="97">
        <f>+C136/$C$136</f>
        <v>1</v>
      </c>
    </row>
    <row r="137" spans="2:4" x14ac:dyDescent="0.3">
      <c r="B137" s="79" t="s">
        <v>54</v>
      </c>
      <c r="C137" s="96">
        <f>C116</f>
        <v>0</v>
      </c>
      <c r="D137" s="97">
        <f>+C137/$C$136</f>
        <v>0</v>
      </c>
    </row>
    <row r="138" spans="2:4" x14ac:dyDescent="0.3">
      <c r="B138" s="79" t="s">
        <v>55</v>
      </c>
      <c r="C138" s="96">
        <f>+C136-C137</f>
        <v>42</v>
      </c>
      <c r="D138" s="97">
        <f>+C138/$C$136</f>
        <v>1</v>
      </c>
    </row>
    <row r="139" spans="2:4" x14ac:dyDescent="0.3">
      <c r="B139" s="79" t="s">
        <v>21</v>
      </c>
      <c r="C139" s="96">
        <f>+GETPIVOTDATA(" VOLUMEN ENVIO MULAS RESIDUAL",$AF$3)</f>
        <v>30</v>
      </c>
      <c r="D139" s="97">
        <f>+C139/$C$136</f>
        <v>0.7142857142857143</v>
      </c>
    </row>
    <row r="141" spans="2:4" ht="40.5" customHeight="1" x14ac:dyDescent="0.3">
      <c r="B141" s="126" t="s">
        <v>57</v>
      </c>
      <c r="C141" s="126" t="s">
        <v>0</v>
      </c>
      <c r="D141" s="127" t="s">
        <v>60</v>
      </c>
    </row>
    <row r="142" spans="2:4" x14ac:dyDescent="0.3">
      <c r="B142" s="79" t="s">
        <v>128</v>
      </c>
      <c r="C142" s="96">
        <f>GETPIVOTDATA("VOLUMEN EXTRAIDO PTAP  ",$AF$3)</f>
        <v>1008</v>
      </c>
      <c r="D142" s="246">
        <f>+C139/C136</f>
        <v>0.7142857142857143</v>
      </c>
    </row>
    <row r="143" spans="2:4" x14ac:dyDescent="0.3">
      <c r="B143" s="79" t="s">
        <v>21</v>
      </c>
      <c r="C143" s="96">
        <f>+C139</f>
        <v>30</v>
      </c>
      <c r="D143" s="247"/>
    </row>
    <row r="144" spans="2:4" ht="27" customHeight="1" x14ac:dyDescent="0.3">
      <c r="B144" s="79" t="s">
        <v>143</v>
      </c>
      <c r="C144" s="96">
        <v>835</v>
      </c>
      <c r="D144" s="247"/>
    </row>
    <row r="145" spans="2:5" ht="27.6" x14ac:dyDescent="0.3">
      <c r="B145" s="79" t="s">
        <v>56</v>
      </c>
      <c r="C145" s="96">
        <f>+C142-C144-C136</f>
        <v>131</v>
      </c>
      <c r="D145" s="247"/>
    </row>
    <row r="146" spans="2:5" x14ac:dyDescent="0.3">
      <c r="B146" s="79" t="s">
        <v>94</v>
      </c>
      <c r="C146" s="96">
        <f>GETPIVOTDATA("Numero de Viajes ",$AF$3)</f>
        <v>3</v>
      </c>
      <c r="D146" s="248"/>
    </row>
    <row r="147" spans="2:5" x14ac:dyDescent="0.3">
      <c r="B147" s="79" t="s">
        <v>123</v>
      </c>
      <c r="C147" s="96">
        <v>19</v>
      </c>
      <c r="D147" s="242"/>
    </row>
    <row r="150" spans="2:5" ht="15" thickBot="1" x14ac:dyDescent="0.35"/>
    <row r="151" spans="2:5" ht="21.6" thickBot="1" x14ac:dyDescent="0.45">
      <c r="B151" s="186"/>
      <c r="C151" s="187" t="s">
        <v>0</v>
      </c>
      <c r="D151" s="188" t="s">
        <v>29</v>
      </c>
    </row>
    <row r="152" spans="2:5" x14ac:dyDescent="0.3">
      <c r="B152" s="189" t="s">
        <v>124</v>
      </c>
      <c r="C152" s="190">
        <f>GETPIVOTDATA("VOLUMEN INGRESO A PTAR ",$AY$4)</f>
        <v>-33560</v>
      </c>
      <c r="D152" s="191">
        <v>1</v>
      </c>
    </row>
    <row r="153" spans="2:5" x14ac:dyDescent="0.3">
      <c r="B153" s="189" t="s">
        <v>22</v>
      </c>
      <c r="C153" s="190">
        <f>R107</f>
        <v>0</v>
      </c>
      <c r="D153" s="192">
        <f>C153/C152</f>
        <v>0</v>
      </c>
      <c r="E153" s="193">
        <v>1</v>
      </c>
    </row>
    <row r="154" spans="2:5" ht="23.55" customHeight="1" x14ac:dyDescent="0.3">
      <c r="B154" s="189" t="s">
        <v>24</v>
      </c>
      <c r="C154" s="190">
        <f>S107</f>
        <v>148</v>
      </c>
      <c r="D154" s="192">
        <f>C154/C152</f>
        <v>-4.4100119189511323E-3</v>
      </c>
      <c r="E154" s="194" t="e">
        <f>C154/C153</f>
        <v>#DIV/0!</v>
      </c>
    </row>
    <row r="155" spans="2:5" ht="15" thickBot="1" x14ac:dyDescent="0.35">
      <c r="B155" s="195" t="s">
        <v>23</v>
      </c>
      <c r="C155" s="190">
        <f>T107</f>
        <v>-148</v>
      </c>
      <c r="D155" s="196">
        <f>C155/C152</f>
        <v>4.4100119189511323E-3</v>
      </c>
      <c r="E155" s="194" t="e">
        <f>C155/C153</f>
        <v>#DIV/0!</v>
      </c>
    </row>
  </sheetData>
  <mergeCells count="9">
    <mergeCell ref="O104:Q104"/>
    <mergeCell ref="R104:U104"/>
    <mergeCell ref="D120:D122"/>
    <mergeCell ref="K88:N88"/>
    <mergeCell ref="K71:N71"/>
    <mergeCell ref="D142:D146"/>
    <mergeCell ref="K54:L54"/>
    <mergeCell ref="B104:G104"/>
    <mergeCell ref="H104:N104"/>
  </mergeCells>
  <phoneticPr fontId="9" type="noConversion"/>
  <pageMargins left="0.7" right="0.7" top="0.75" bottom="0.75" header="0.3" footer="0.3"/>
  <pageSetup paperSize="9" orientation="portrait" r:id="rId8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41D2-0F16-4C4F-AD3C-28EA3DD47E42}">
  <sheetPr>
    <tabColor theme="4"/>
  </sheetPr>
  <dimension ref="A1:Z99"/>
  <sheetViews>
    <sheetView topLeftCell="I1" zoomScale="60" zoomScaleNormal="60" workbookViewId="0">
      <pane ySplit="1" topLeftCell="A2" activePane="bottomLeft" state="frozen"/>
      <selection pane="bottomLeft" activeCell="Y2" sqref="Y2:Y95"/>
    </sheetView>
  </sheetViews>
  <sheetFormatPr baseColWidth="10" defaultRowHeight="14.4" x14ac:dyDescent="0.3"/>
  <cols>
    <col min="1" max="1" width="14.77734375" customWidth="1"/>
    <col min="2" max="2" width="8.77734375" style="26" customWidth="1"/>
    <col min="3" max="3" width="10.77734375" customWidth="1"/>
    <col min="4" max="7" width="22.21875" customWidth="1"/>
    <col min="8" max="9" width="27" customWidth="1"/>
    <col min="10" max="13" width="14.44140625" customWidth="1"/>
    <col min="14" max="14" width="27" customWidth="1"/>
    <col min="15" max="15" width="19.77734375" customWidth="1"/>
    <col min="16" max="16" width="14.44140625" customWidth="1"/>
    <col min="17" max="17" width="14.5546875" customWidth="1"/>
    <col min="18" max="18" width="14.21875" customWidth="1"/>
    <col min="19" max="20" width="14.77734375" style="24" customWidth="1"/>
    <col min="21" max="21" width="12.21875" style="24" customWidth="1"/>
    <col min="22" max="23" width="11.44140625" style="24"/>
    <col min="24" max="24" width="24.44140625" bestFit="1" customWidth="1"/>
  </cols>
  <sheetData>
    <row r="1" spans="1:26" ht="43.8" thickBot="1" x14ac:dyDescent="0.35">
      <c r="A1" s="81" t="s">
        <v>1</v>
      </c>
      <c r="B1" s="25" t="s">
        <v>12</v>
      </c>
      <c r="C1" s="17" t="s">
        <v>7</v>
      </c>
      <c r="D1" s="119" t="s">
        <v>5</v>
      </c>
      <c r="E1" s="119" t="s">
        <v>2</v>
      </c>
      <c r="F1" s="119" t="s">
        <v>52</v>
      </c>
      <c r="G1" s="223" t="s">
        <v>3</v>
      </c>
      <c r="H1" s="136" t="s">
        <v>4</v>
      </c>
      <c r="I1" s="224" t="s">
        <v>26</v>
      </c>
      <c r="J1" s="138" t="s">
        <v>22</v>
      </c>
      <c r="K1" s="138" t="s">
        <v>24</v>
      </c>
      <c r="L1" s="138" t="s">
        <v>23</v>
      </c>
      <c r="M1" s="138" t="s">
        <v>25</v>
      </c>
      <c r="N1" s="225" t="s">
        <v>40</v>
      </c>
      <c r="O1" s="135" t="s">
        <v>111</v>
      </c>
      <c r="P1" s="136" t="s">
        <v>105</v>
      </c>
      <c r="Q1" s="136" t="s">
        <v>106</v>
      </c>
      <c r="R1" s="137" t="s">
        <v>107</v>
      </c>
      <c r="S1" s="146" t="s">
        <v>6</v>
      </c>
      <c r="T1" s="139" t="s">
        <v>108</v>
      </c>
      <c r="U1" s="140" t="s">
        <v>109</v>
      </c>
      <c r="V1" s="145" t="s">
        <v>110</v>
      </c>
      <c r="W1" s="141" t="s">
        <v>8</v>
      </c>
      <c r="X1" s="28" t="s">
        <v>13</v>
      </c>
      <c r="Y1" s="28" t="s">
        <v>133</v>
      </c>
      <c r="Z1" s="28" t="s">
        <v>134</v>
      </c>
    </row>
    <row r="2" spans="1:26" ht="15" thickBot="1" x14ac:dyDescent="0.35">
      <c r="A2" s="10">
        <v>45870</v>
      </c>
      <c r="B2" s="27">
        <f t="shared" ref="B2:B33" si="0">DAY(A2)</f>
        <v>1</v>
      </c>
      <c r="C2" s="13">
        <v>1</v>
      </c>
      <c r="D2" s="13">
        <f>'REGISTRO DE DATOS'!T3</f>
        <v>0</v>
      </c>
      <c r="E2" s="13">
        <f t="shared" ref="E2:E33" si="1">+N2-K2-I2</f>
        <v>0</v>
      </c>
      <c r="F2" s="13">
        <f t="shared" ref="F2:F41" si="2">+D2-E2</f>
        <v>0</v>
      </c>
      <c r="G2" s="13">
        <f>'REGISTRO DE DATOS'!R3</f>
        <v>0</v>
      </c>
      <c r="H2" s="2">
        <f t="shared" ref="H2:H33" si="3">P2+Q2+R2</f>
        <v>0</v>
      </c>
      <c r="I2" s="2">
        <f>'REGISTRO DE DATOS'!O3</f>
        <v>0</v>
      </c>
      <c r="J2" s="2">
        <f>'REGISTRO DE DATOS'!G3</f>
        <v>0</v>
      </c>
      <c r="K2" s="2">
        <f>'REGISTRO DE DATOS'!I3</f>
        <v>0</v>
      </c>
      <c r="L2" s="2">
        <f t="shared" ref="L2:L33" si="4">+J2-K2</f>
        <v>0</v>
      </c>
      <c r="M2" s="94" t="str">
        <f t="shared" ref="M2:M33" si="5">IF(ISERROR(K2/J2),"%",(K2/J2))</f>
        <v>%</v>
      </c>
      <c r="N2" s="2">
        <f>'REGISTRO DE DATOS'!D3</f>
        <v>0</v>
      </c>
      <c r="O2" s="130">
        <f>'REGISTRO DE DATOS'!X3</f>
        <v>0</v>
      </c>
      <c r="P2" s="2"/>
      <c r="Q2" s="3"/>
      <c r="R2" s="4"/>
      <c r="S2" s="18"/>
      <c r="T2" s="18"/>
      <c r="U2" s="19"/>
      <c r="V2" s="19"/>
      <c r="W2" s="142">
        <f t="shared" ref="W2:W33" si="6">+T2+U2</f>
        <v>0</v>
      </c>
      <c r="X2" s="24">
        <v>23</v>
      </c>
      <c r="Y2" s="24">
        <f>'REGISTRO DE DATOS'!P3</f>
        <v>0</v>
      </c>
      <c r="Z2" s="24">
        <v>23</v>
      </c>
    </row>
    <row r="3" spans="1:26" ht="15" thickBot="1" x14ac:dyDescent="0.35">
      <c r="A3" s="11">
        <v>45870</v>
      </c>
      <c r="B3" s="27">
        <f t="shared" si="0"/>
        <v>1</v>
      </c>
      <c r="C3" s="14">
        <v>2</v>
      </c>
      <c r="D3" s="14">
        <f>'REGISTRO DE DATOS'!T4</f>
        <v>0</v>
      </c>
      <c r="E3" s="14">
        <f t="shared" si="1"/>
        <v>1</v>
      </c>
      <c r="F3" s="14">
        <f t="shared" si="2"/>
        <v>-1</v>
      </c>
      <c r="G3" s="14">
        <f>'REGISTRO DE DATOS'!R4</f>
        <v>0</v>
      </c>
      <c r="H3" s="5">
        <f t="shared" si="3"/>
        <v>0</v>
      </c>
      <c r="I3" s="5">
        <f>'REGISTRO DE DATOS'!O4</f>
        <v>0</v>
      </c>
      <c r="J3" s="5">
        <f>'REGISTRO DE DATOS'!G4</f>
        <v>0</v>
      </c>
      <c r="K3" s="5">
        <f>'REGISTRO DE DATOS'!I4</f>
        <v>0</v>
      </c>
      <c r="L3" s="5">
        <f t="shared" si="4"/>
        <v>0</v>
      </c>
      <c r="M3" s="94" t="str">
        <f t="shared" si="5"/>
        <v>%</v>
      </c>
      <c r="N3" s="5">
        <f>'REGISTRO DE DATOS'!D4</f>
        <v>1</v>
      </c>
      <c r="O3" s="5">
        <f>'[1]REGISTRO DE DATOS'!W4</f>
        <v>0</v>
      </c>
      <c r="P3" s="5"/>
      <c r="Q3" s="1"/>
      <c r="R3" s="6"/>
      <c r="S3" s="18"/>
      <c r="T3" s="20"/>
      <c r="U3" s="21"/>
      <c r="V3" s="21"/>
      <c r="W3" s="143">
        <f t="shared" si="6"/>
        <v>0</v>
      </c>
      <c r="X3" s="24">
        <v>23</v>
      </c>
      <c r="Y3" s="24">
        <f>'REGISTRO DE DATOS'!P4</f>
        <v>0</v>
      </c>
      <c r="Z3" s="24">
        <v>23</v>
      </c>
    </row>
    <row r="4" spans="1:26" ht="15" thickBot="1" x14ac:dyDescent="0.35">
      <c r="A4" s="12">
        <v>45870</v>
      </c>
      <c r="B4" s="27">
        <f t="shared" si="0"/>
        <v>1</v>
      </c>
      <c r="C4" s="15">
        <v>3</v>
      </c>
      <c r="D4" s="15">
        <f>'REGISTRO DE DATOS'!T5</f>
        <v>0</v>
      </c>
      <c r="E4" s="15">
        <f t="shared" si="1"/>
        <v>0</v>
      </c>
      <c r="F4" s="15">
        <f t="shared" si="2"/>
        <v>0</v>
      </c>
      <c r="G4" s="15">
        <f>'REGISTRO DE DATOS'!R5</f>
        <v>0</v>
      </c>
      <c r="H4" s="7">
        <f t="shared" si="3"/>
        <v>0</v>
      </c>
      <c r="I4" s="7">
        <f>'REGISTRO DE DATOS'!O5</f>
        <v>0</v>
      </c>
      <c r="J4" s="7">
        <f>'REGISTRO DE DATOS'!G5</f>
        <v>0</v>
      </c>
      <c r="K4" s="7">
        <f>'REGISTRO DE DATOS'!I5</f>
        <v>0</v>
      </c>
      <c r="L4" s="7">
        <f t="shared" si="4"/>
        <v>0</v>
      </c>
      <c r="M4" s="94" t="str">
        <f t="shared" si="5"/>
        <v>%</v>
      </c>
      <c r="N4" s="7">
        <f>'REGISTRO DE DATOS'!D5</f>
        <v>0</v>
      </c>
      <c r="O4" s="7">
        <f>'[1]REGISTRO DE DATOS'!W5</f>
        <v>0</v>
      </c>
      <c r="P4" s="7"/>
      <c r="Q4" s="8"/>
      <c r="R4" s="9"/>
      <c r="S4" s="18"/>
      <c r="T4" s="22"/>
      <c r="U4" s="23"/>
      <c r="V4" s="23"/>
      <c r="W4" s="144">
        <f t="shared" si="6"/>
        <v>0</v>
      </c>
      <c r="X4" s="24">
        <v>23</v>
      </c>
      <c r="Y4" s="24">
        <f>'REGISTRO DE DATOS'!P5</f>
        <v>0</v>
      </c>
      <c r="Z4" s="24">
        <v>23</v>
      </c>
    </row>
    <row r="5" spans="1:26" ht="15" thickBot="1" x14ac:dyDescent="0.35">
      <c r="A5" s="10">
        <v>45871</v>
      </c>
      <c r="B5" s="27">
        <f t="shared" si="0"/>
        <v>2</v>
      </c>
      <c r="C5" s="13">
        <v>1</v>
      </c>
      <c r="D5" s="13">
        <f>'REGISTRO DE DATOS'!T6</f>
        <v>0</v>
      </c>
      <c r="E5" s="13">
        <f t="shared" si="1"/>
        <v>0</v>
      </c>
      <c r="F5" s="13">
        <f t="shared" si="2"/>
        <v>0</v>
      </c>
      <c r="G5" s="13">
        <f>'REGISTRO DE DATOS'!R6</f>
        <v>0</v>
      </c>
      <c r="H5" s="2">
        <f t="shared" si="3"/>
        <v>0</v>
      </c>
      <c r="I5" s="2">
        <f>'REGISTRO DE DATOS'!O6</f>
        <v>0</v>
      </c>
      <c r="J5" s="2">
        <f>'REGISTRO DE DATOS'!G6</f>
        <v>0</v>
      </c>
      <c r="K5" s="2">
        <f>'REGISTRO DE DATOS'!I6</f>
        <v>0</v>
      </c>
      <c r="L5" s="2">
        <f t="shared" si="4"/>
        <v>0</v>
      </c>
      <c r="M5" s="94" t="str">
        <f t="shared" si="5"/>
        <v>%</v>
      </c>
      <c r="N5" s="2">
        <f>'REGISTRO DE DATOS'!D6</f>
        <v>0</v>
      </c>
      <c r="O5" s="2">
        <f>'[1]REGISTRO DE DATOS'!W6</f>
        <v>0</v>
      </c>
      <c r="P5" s="2"/>
      <c r="Q5" s="3"/>
      <c r="R5" s="4"/>
      <c r="S5" s="18"/>
      <c r="T5" s="18"/>
      <c r="U5" s="19"/>
      <c r="V5" s="19"/>
      <c r="W5" s="142">
        <f t="shared" si="6"/>
        <v>0</v>
      </c>
      <c r="X5" s="24">
        <v>23</v>
      </c>
      <c r="Y5" s="24">
        <f>'REGISTRO DE DATOS'!P6</f>
        <v>0</v>
      </c>
      <c r="Z5" s="24">
        <v>23</v>
      </c>
    </row>
    <row r="6" spans="1:26" ht="15" thickBot="1" x14ac:dyDescent="0.35">
      <c r="A6" s="11">
        <v>45871</v>
      </c>
      <c r="B6" s="27">
        <f t="shared" si="0"/>
        <v>2</v>
      </c>
      <c r="C6" s="14">
        <v>2</v>
      </c>
      <c r="D6" s="14">
        <f>'REGISTRO DE DATOS'!T7</f>
        <v>46</v>
      </c>
      <c r="E6" s="14">
        <f t="shared" si="1"/>
        <v>2</v>
      </c>
      <c r="F6" s="14">
        <f t="shared" si="2"/>
        <v>44</v>
      </c>
      <c r="G6" s="14">
        <f>'REGISTRO DE DATOS'!R7</f>
        <v>0</v>
      </c>
      <c r="H6" s="5">
        <f t="shared" si="3"/>
        <v>0</v>
      </c>
      <c r="I6" s="5">
        <f>'REGISTRO DE DATOS'!O7</f>
        <v>0</v>
      </c>
      <c r="J6" s="5">
        <f>'REGISTRO DE DATOS'!G7</f>
        <v>0</v>
      </c>
      <c r="K6" s="5">
        <f>'REGISTRO DE DATOS'!I7</f>
        <v>0</v>
      </c>
      <c r="L6" s="5">
        <f t="shared" si="4"/>
        <v>0</v>
      </c>
      <c r="M6" s="94" t="str">
        <f t="shared" si="5"/>
        <v>%</v>
      </c>
      <c r="N6" s="5">
        <f>'REGISTRO DE DATOS'!D7</f>
        <v>2</v>
      </c>
      <c r="O6" s="5">
        <f>'[1]REGISTRO DE DATOS'!W7</f>
        <v>0</v>
      </c>
      <c r="P6" s="5"/>
      <c r="Q6" s="1"/>
      <c r="R6" s="6"/>
      <c r="S6" s="18"/>
      <c r="T6" s="20"/>
      <c r="U6" s="21"/>
      <c r="V6" s="21"/>
      <c r="W6" s="143">
        <f t="shared" si="6"/>
        <v>0</v>
      </c>
      <c r="X6" s="24">
        <v>23</v>
      </c>
      <c r="Y6" s="24">
        <f>'REGISTRO DE DATOS'!P7</f>
        <v>0</v>
      </c>
      <c r="Z6" s="24">
        <v>23</v>
      </c>
    </row>
    <row r="7" spans="1:26" ht="15" thickBot="1" x14ac:dyDescent="0.35">
      <c r="A7" s="12">
        <v>45871</v>
      </c>
      <c r="B7" s="27">
        <f t="shared" si="0"/>
        <v>2</v>
      </c>
      <c r="C7" s="15">
        <v>3</v>
      </c>
      <c r="D7" s="15">
        <f>'REGISTRO DE DATOS'!T8</f>
        <v>0</v>
      </c>
      <c r="E7" s="15">
        <f t="shared" si="1"/>
        <v>1</v>
      </c>
      <c r="F7" s="15">
        <f t="shared" si="2"/>
        <v>-1</v>
      </c>
      <c r="G7" s="15">
        <f>'REGISTRO DE DATOS'!R8</f>
        <v>0</v>
      </c>
      <c r="H7" s="7">
        <f t="shared" si="3"/>
        <v>0</v>
      </c>
      <c r="I7" s="7">
        <f>'REGISTRO DE DATOS'!O8</f>
        <v>0</v>
      </c>
      <c r="J7" s="7">
        <f>'REGISTRO DE DATOS'!G8</f>
        <v>0</v>
      </c>
      <c r="K7" s="7">
        <f>'REGISTRO DE DATOS'!I8</f>
        <v>0</v>
      </c>
      <c r="L7" s="7">
        <f t="shared" si="4"/>
        <v>0</v>
      </c>
      <c r="M7" s="94" t="str">
        <f t="shared" si="5"/>
        <v>%</v>
      </c>
      <c r="N7" s="7">
        <f>'REGISTRO DE DATOS'!D8</f>
        <v>1</v>
      </c>
      <c r="O7" s="7">
        <f>'[1]REGISTRO DE DATOS'!W8</f>
        <v>0</v>
      </c>
      <c r="P7" s="7"/>
      <c r="Q7" s="8"/>
      <c r="R7" s="9"/>
      <c r="S7" s="18"/>
      <c r="T7" s="22"/>
      <c r="U7" s="23"/>
      <c r="V7" s="23"/>
      <c r="W7" s="144">
        <f t="shared" si="6"/>
        <v>0</v>
      </c>
      <c r="X7" s="24">
        <v>23</v>
      </c>
      <c r="Y7" s="24">
        <f>'REGISTRO DE DATOS'!P8</f>
        <v>0</v>
      </c>
      <c r="Z7" s="24">
        <v>23</v>
      </c>
    </row>
    <row r="8" spans="1:26" ht="15" thickBot="1" x14ac:dyDescent="0.35">
      <c r="A8" s="10">
        <v>45872</v>
      </c>
      <c r="B8" s="27">
        <f t="shared" si="0"/>
        <v>3</v>
      </c>
      <c r="C8" s="13">
        <v>1</v>
      </c>
      <c r="D8" s="13">
        <f>'REGISTRO DE DATOS'!T9</f>
        <v>0</v>
      </c>
      <c r="E8" s="13">
        <f t="shared" si="1"/>
        <v>0</v>
      </c>
      <c r="F8" s="13">
        <f t="shared" si="2"/>
        <v>0</v>
      </c>
      <c r="G8" s="13">
        <f>'REGISTRO DE DATOS'!R9</f>
        <v>0</v>
      </c>
      <c r="H8" s="2">
        <f t="shared" si="3"/>
        <v>0</v>
      </c>
      <c r="I8" s="2">
        <f>'REGISTRO DE DATOS'!O9</f>
        <v>0</v>
      </c>
      <c r="J8" s="2">
        <f>'REGISTRO DE DATOS'!G9</f>
        <v>0</v>
      </c>
      <c r="K8" s="2">
        <f>'REGISTRO DE DATOS'!I9</f>
        <v>0</v>
      </c>
      <c r="L8" s="2">
        <f t="shared" si="4"/>
        <v>0</v>
      </c>
      <c r="M8" s="94" t="str">
        <f t="shared" si="5"/>
        <v>%</v>
      </c>
      <c r="N8" s="2">
        <f>'REGISTRO DE DATOS'!D9</f>
        <v>0</v>
      </c>
      <c r="O8" s="2">
        <f>'[1]REGISTRO DE DATOS'!W9</f>
        <v>0</v>
      </c>
      <c r="P8" s="2"/>
      <c r="Q8" s="3"/>
      <c r="R8" s="4"/>
      <c r="S8" s="18"/>
      <c r="T8" s="18"/>
      <c r="U8" s="19"/>
      <c r="V8" s="19"/>
      <c r="W8" s="142">
        <f t="shared" si="6"/>
        <v>0</v>
      </c>
      <c r="X8" s="24">
        <v>23</v>
      </c>
      <c r="Y8" s="24">
        <f>'REGISTRO DE DATOS'!P9</f>
        <v>0</v>
      </c>
      <c r="Z8" s="24">
        <v>23</v>
      </c>
    </row>
    <row r="9" spans="1:26" ht="15" thickBot="1" x14ac:dyDescent="0.35">
      <c r="A9" s="11">
        <v>45872</v>
      </c>
      <c r="B9" s="27">
        <f t="shared" si="0"/>
        <v>3</v>
      </c>
      <c r="C9" s="14">
        <v>2</v>
      </c>
      <c r="D9" s="14">
        <f>'REGISTRO DE DATOS'!T10</f>
        <v>64</v>
      </c>
      <c r="E9" s="14">
        <f t="shared" si="1"/>
        <v>1</v>
      </c>
      <c r="F9" s="14">
        <f t="shared" si="2"/>
        <v>63</v>
      </c>
      <c r="G9" s="14">
        <f>'REGISTRO DE DATOS'!R10</f>
        <v>0</v>
      </c>
      <c r="H9" s="5">
        <f t="shared" si="3"/>
        <v>0</v>
      </c>
      <c r="I9" s="5">
        <f>'REGISTRO DE DATOS'!O10</f>
        <v>0</v>
      </c>
      <c r="J9" s="5">
        <f>'REGISTRO DE DATOS'!G10</f>
        <v>0</v>
      </c>
      <c r="K9" s="5">
        <f>'REGISTRO DE DATOS'!I10</f>
        <v>0</v>
      </c>
      <c r="L9" s="5">
        <f t="shared" si="4"/>
        <v>0</v>
      </c>
      <c r="M9" s="94" t="str">
        <f t="shared" si="5"/>
        <v>%</v>
      </c>
      <c r="N9" s="5">
        <f>'REGISTRO DE DATOS'!D10</f>
        <v>1</v>
      </c>
      <c r="O9" s="5">
        <f>'[1]REGISTRO DE DATOS'!W10</f>
        <v>0</v>
      </c>
      <c r="P9" s="5"/>
      <c r="Q9" s="1"/>
      <c r="R9" s="6"/>
      <c r="S9" s="18"/>
      <c r="T9" s="20"/>
      <c r="U9" s="21"/>
      <c r="V9" s="21"/>
      <c r="W9" s="143">
        <f t="shared" si="6"/>
        <v>0</v>
      </c>
      <c r="X9" s="24">
        <v>23</v>
      </c>
      <c r="Y9" s="24">
        <f>'REGISTRO DE DATOS'!P10</f>
        <v>0</v>
      </c>
      <c r="Z9" s="24">
        <v>23</v>
      </c>
    </row>
    <row r="10" spans="1:26" ht="15" thickBot="1" x14ac:dyDescent="0.35">
      <c r="A10" s="12">
        <v>45872</v>
      </c>
      <c r="B10" s="27">
        <f t="shared" si="0"/>
        <v>3</v>
      </c>
      <c r="C10" s="15">
        <v>3</v>
      </c>
      <c r="D10" s="15">
        <f>'REGISTRO DE DATOS'!T11</f>
        <v>35</v>
      </c>
      <c r="E10" s="15">
        <f t="shared" si="1"/>
        <v>0</v>
      </c>
      <c r="F10" s="15">
        <f t="shared" si="2"/>
        <v>35</v>
      </c>
      <c r="G10" s="15">
        <f>'REGISTRO DE DATOS'!R11</f>
        <v>0</v>
      </c>
      <c r="H10" s="7">
        <f t="shared" si="3"/>
        <v>0</v>
      </c>
      <c r="I10" s="7">
        <f>'REGISTRO DE DATOS'!O11</f>
        <v>0</v>
      </c>
      <c r="J10" s="7">
        <f>'REGISTRO DE DATOS'!G11</f>
        <v>0</v>
      </c>
      <c r="K10" s="7">
        <f>'REGISTRO DE DATOS'!I11</f>
        <v>0</v>
      </c>
      <c r="L10" s="7">
        <f t="shared" si="4"/>
        <v>0</v>
      </c>
      <c r="M10" s="94" t="str">
        <f t="shared" si="5"/>
        <v>%</v>
      </c>
      <c r="N10" s="7">
        <f>'REGISTRO DE DATOS'!D11</f>
        <v>0</v>
      </c>
      <c r="O10" s="7">
        <f>'[1]REGISTRO DE DATOS'!W11</f>
        <v>0</v>
      </c>
      <c r="P10" s="7"/>
      <c r="Q10" s="8"/>
      <c r="R10" s="9"/>
      <c r="S10" s="18"/>
      <c r="T10" s="22"/>
      <c r="U10" s="23"/>
      <c r="V10" s="23"/>
      <c r="W10" s="144">
        <f t="shared" si="6"/>
        <v>0</v>
      </c>
      <c r="X10" s="24">
        <v>23</v>
      </c>
      <c r="Y10" s="24">
        <f>'REGISTRO DE DATOS'!P11</f>
        <v>0</v>
      </c>
      <c r="Z10" s="24">
        <v>23</v>
      </c>
    </row>
    <row r="11" spans="1:26" ht="15" thickBot="1" x14ac:dyDescent="0.35">
      <c r="A11" s="10">
        <v>45873</v>
      </c>
      <c r="B11" s="27">
        <f t="shared" si="0"/>
        <v>4</v>
      </c>
      <c r="C11" s="13">
        <v>1</v>
      </c>
      <c r="D11" s="13">
        <f>'REGISTRO DE DATOS'!T12</f>
        <v>0</v>
      </c>
      <c r="E11" s="13">
        <f t="shared" si="1"/>
        <v>0</v>
      </c>
      <c r="F11" s="13">
        <f t="shared" si="2"/>
        <v>0</v>
      </c>
      <c r="G11" s="13">
        <f>'REGISTRO DE DATOS'!R12</f>
        <v>0</v>
      </c>
      <c r="H11" s="2">
        <f t="shared" si="3"/>
        <v>0</v>
      </c>
      <c r="I11" s="2">
        <f>'REGISTRO DE DATOS'!O12</f>
        <v>0</v>
      </c>
      <c r="J11" s="2">
        <f>'REGISTRO DE DATOS'!G12</f>
        <v>0</v>
      </c>
      <c r="K11" s="2">
        <f>'REGISTRO DE DATOS'!I12</f>
        <v>0</v>
      </c>
      <c r="L11" s="2">
        <f t="shared" si="4"/>
        <v>0</v>
      </c>
      <c r="M11" s="94" t="str">
        <f t="shared" si="5"/>
        <v>%</v>
      </c>
      <c r="N11" s="2">
        <f>'REGISTRO DE DATOS'!D12</f>
        <v>0</v>
      </c>
      <c r="O11" s="2">
        <f>'[1]REGISTRO DE DATOS'!W12</f>
        <v>0</v>
      </c>
      <c r="P11" s="2"/>
      <c r="Q11" s="3"/>
      <c r="R11" s="4"/>
      <c r="S11" s="18"/>
      <c r="T11" s="18"/>
      <c r="U11" s="19"/>
      <c r="V11" s="19"/>
      <c r="W11" s="142">
        <f t="shared" si="6"/>
        <v>0</v>
      </c>
      <c r="X11" s="24">
        <v>23</v>
      </c>
      <c r="Y11" s="24">
        <f>'REGISTRO DE DATOS'!P12</f>
        <v>0</v>
      </c>
      <c r="Z11" s="24">
        <v>23</v>
      </c>
    </row>
    <row r="12" spans="1:26" ht="15" thickBot="1" x14ac:dyDescent="0.35">
      <c r="A12" s="11">
        <v>45873</v>
      </c>
      <c r="B12" s="27">
        <f t="shared" si="0"/>
        <v>4</v>
      </c>
      <c r="C12" s="14">
        <v>2</v>
      </c>
      <c r="D12" s="14">
        <f>'REGISTRO DE DATOS'!T13</f>
        <v>29</v>
      </c>
      <c r="E12" s="14">
        <f t="shared" si="1"/>
        <v>0</v>
      </c>
      <c r="F12" s="14">
        <f t="shared" si="2"/>
        <v>29</v>
      </c>
      <c r="G12" s="14">
        <f>'REGISTRO DE DATOS'!R13</f>
        <v>0</v>
      </c>
      <c r="H12" s="5">
        <f t="shared" si="3"/>
        <v>0</v>
      </c>
      <c r="I12" s="5">
        <f>'REGISTRO DE DATOS'!O13</f>
        <v>0</v>
      </c>
      <c r="J12" s="5">
        <f>'REGISTRO DE DATOS'!G13</f>
        <v>0</v>
      </c>
      <c r="K12" s="5">
        <f>'REGISTRO DE DATOS'!I13</f>
        <v>0</v>
      </c>
      <c r="L12" s="5">
        <f t="shared" si="4"/>
        <v>0</v>
      </c>
      <c r="M12" s="94" t="str">
        <f t="shared" si="5"/>
        <v>%</v>
      </c>
      <c r="N12" s="5">
        <f>'REGISTRO DE DATOS'!D13</f>
        <v>0</v>
      </c>
      <c r="O12" s="5">
        <f>'[1]REGISTRO DE DATOS'!W13</f>
        <v>0</v>
      </c>
      <c r="P12" s="5"/>
      <c r="Q12" s="1"/>
      <c r="R12" s="6"/>
      <c r="S12" s="18"/>
      <c r="T12" s="20"/>
      <c r="U12" s="21"/>
      <c r="V12" s="21"/>
      <c r="W12" s="143">
        <f t="shared" si="6"/>
        <v>0</v>
      </c>
      <c r="X12" s="24">
        <v>23</v>
      </c>
      <c r="Y12" s="24">
        <f>'REGISTRO DE DATOS'!P13</f>
        <v>0</v>
      </c>
      <c r="Z12" s="24">
        <v>23</v>
      </c>
    </row>
    <row r="13" spans="1:26" ht="15" thickBot="1" x14ac:dyDescent="0.35">
      <c r="A13" s="12">
        <v>45873</v>
      </c>
      <c r="B13" s="27">
        <f t="shared" si="0"/>
        <v>4</v>
      </c>
      <c r="C13" s="15">
        <v>3</v>
      </c>
      <c r="D13" s="15">
        <f>'REGISTRO DE DATOS'!T14</f>
        <v>24</v>
      </c>
      <c r="E13" s="15">
        <f t="shared" si="1"/>
        <v>0</v>
      </c>
      <c r="F13" s="15">
        <f t="shared" si="2"/>
        <v>24</v>
      </c>
      <c r="G13" s="15">
        <f>'REGISTRO DE DATOS'!R14</f>
        <v>0</v>
      </c>
      <c r="H13" s="7">
        <f t="shared" si="3"/>
        <v>0</v>
      </c>
      <c r="I13" s="7">
        <f>'REGISTRO DE DATOS'!O14</f>
        <v>0</v>
      </c>
      <c r="J13" s="7">
        <f>'REGISTRO DE DATOS'!G14</f>
        <v>0</v>
      </c>
      <c r="K13" s="7">
        <f>'REGISTRO DE DATOS'!I14</f>
        <v>0</v>
      </c>
      <c r="L13" s="7">
        <f t="shared" si="4"/>
        <v>0</v>
      </c>
      <c r="M13" s="94" t="str">
        <f t="shared" si="5"/>
        <v>%</v>
      </c>
      <c r="N13" s="7">
        <f>'REGISTRO DE DATOS'!D14</f>
        <v>0</v>
      </c>
      <c r="O13" s="7">
        <f>'[1]REGISTRO DE DATOS'!W14</f>
        <v>0</v>
      </c>
      <c r="P13" s="7"/>
      <c r="Q13" s="8"/>
      <c r="R13" s="9"/>
      <c r="S13" s="18"/>
      <c r="T13" s="22"/>
      <c r="U13" s="23"/>
      <c r="V13" s="23"/>
      <c r="W13" s="144">
        <f t="shared" si="6"/>
        <v>0</v>
      </c>
      <c r="X13" s="24">
        <v>23</v>
      </c>
      <c r="Y13" s="24">
        <f>'REGISTRO DE DATOS'!P14</f>
        <v>0</v>
      </c>
      <c r="Z13" s="24">
        <v>23</v>
      </c>
    </row>
    <row r="14" spans="1:26" ht="15" thickBot="1" x14ac:dyDescent="0.35">
      <c r="A14" s="10">
        <v>45874</v>
      </c>
      <c r="B14" s="27">
        <f t="shared" si="0"/>
        <v>5</v>
      </c>
      <c r="C14" s="13">
        <v>1</v>
      </c>
      <c r="D14" s="13">
        <f>'REGISTRO DE DATOS'!T15</f>
        <v>0</v>
      </c>
      <c r="E14" s="13">
        <f t="shared" si="1"/>
        <v>0</v>
      </c>
      <c r="F14" s="13">
        <f t="shared" si="2"/>
        <v>0</v>
      </c>
      <c r="G14" s="13">
        <f>'REGISTRO DE DATOS'!R15</f>
        <v>0</v>
      </c>
      <c r="H14" s="2">
        <f t="shared" si="3"/>
        <v>0</v>
      </c>
      <c r="I14" s="2">
        <f>'REGISTRO DE DATOS'!O15</f>
        <v>0</v>
      </c>
      <c r="J14" s="2">
        <f>'REGISTRO DE DATOS'!G15</f>
        <v>0</v>
      </c>
      <c r="K14" s="2">
        <f>'REGISTRO DE DATOS'!I15</f>
        <v>0</v>
      </c>
      <c r="L14" s="2">
        <f t="shared" si="4"/>
        <v>0</v>
      </c>
      <c r="M14" s="94" t="str">
        <f t="shared" si="5"/>
        <v>%</v>
      </c>
      <c r="N14" s="2">
        <f>'REGISTRO DE DATOS'!D15</f>
        <v>0</v>
      </c>
      <c r="O14" s="2">
        <f>'[1]REGISTRO DE DATOS'!W15</f>
        <v>0</v>
      </c>
      <c r="P14" s="2"/>
      <c r="Q14" s="3"/>
      <c r="R14" s="4"/>
      <c r="S14" s="18"/>
      <c r="T14" s="18"/>
      <c r="U14" s="19"/>
      <c r="V14" s="19"/>
      <c r="W14" s="142">
        <f t="shared" si="6"/>
        <v>0</v>
      </c>
      <c r="X14" s="24">
        <v>23</v>
      </c>
      <c r="Y14" s="24">
        <f>'REGISTRO DE DATOS'!P15</f>
        <v>0</v>
      </c>
      <c r="Z14" s="24">
        <v>23</v>
      </c>
    </row>
    <row r="15" spans="1:26" ht="15" thickBot="1" x14ac:dyDescent="0.35">
      <c r="A15" s="11">
        <v>45874</v>
      </c>
      <c r="B15" s="27">
        <f t="shared" si="0"/>
        <v>5</v>
      </c>
      <c r="C15" s="14">
        <v>2</v>
      </c>
      <c r="D15" s="14">
        <f>'REGISTRO DE DATOS'!T16</f>
        <v>22</v>
      </c>
      <c r="E15" s="14">
        <f t="shared" si="1"/>
        <v>0</v>
      </c>
      <c r="F15" s="14">
        <f t="shared" si="2"/>
        <v>22</v>
      </c>
      <c r="G15" s="14">
        <f>'REGISTRO DE DATOS'!R16</f>
        <v>0</v>
      </c>
      <c r="H15" s="5">
        <f t="shared" si="3"/>
        <v>0</v>
      </c>
      <c r="I15" s="5">
        <f>'REGISTRO DE DATOS'!O16</f>
        <v>0</v>
      </c>
      <c r="J15" s="5">
        <f>'REGISTRO DE DATOS'!G16</f>
        <v>0</v>
      </c>
      <c r="K15" s="5">
        <f>'REGISTRO DE DATOS'!I16</f>
        <v>0</v>
      </c>
      <c r="L15" s="5">
        <f t="shared" si="4"/>
        <v>0</v>
      </c>
      <c r="M15" s="94" t="str">
        <f t="shared" si="5"/>
        <v>%</v>
      </c>
      <c r="N15" s="5">
        <f>'REGISTRO DE DATOS'!D16</f>
        <v>0</v>
      </c>
      <c r="O15" s="5">
        <f>'[1]REGISTRO DE DATOS'!W16</f>
        <v>0</v>
      </c>
      <c r="P15" s="5"/>
      <c r="Q15" s="1"/>
      <c r="R15" s="6"/>
      <c r="S15" s="18"/>
      <c r="T15" s="20"/>
      <c r="U15" s="21"/>
      <c r="V15" s="21"/>
      <c r="W15" s="143">
        <f t="shared" si="6"/>
        <v>0</v>
      </c>
      <c r="X15" s="24">
        <v>23</v>
      </c>
      <c r="Y15" s="24">
        <f>'REGISTRO DE DATOS'!P16</f>
        <v>0</v>
      </c>
      <c r="Z15" s="24">
        <v>23</v>
      </c>
    </row>
    <row r="16" spans="1:26" ht="15" thickBot="1" x14ac:dyDescent="0.35">
      <c r="A16" s="12">
        <v>45874</v>
      </c>
      <c r="B16" s="27">
        <f t="shared" si="0"/>
        <v>5</v>
      </c>
      <c r="C16" s="15">
        <v>3</v>
      </c>
      <c r="D16" s="15">
        <f>'REGISTRO DE DATOS'!T17</f>
        <v>28</v>
      </c>
      <c r="E16" s="15">
        <f t="shared" si="1"/>
        <v>2</v>
      </c>
      <c r="F16" s="15">
        <f t="shared" si="2"/>
        <v>26</v>
      </c>
      <c r="G16" s="15">
        <f>'REGISTRO DE DATOS'!R17</f>
        <v>0</v>
      </c>
      <c r="H16" s="7">
        <f t="shared" si="3"/>
        <v>0</v>
      </c>
      <c r="I16" s="7">
        <f>'REGISTRO DE DATOS'!O17</f>
        <v>0</v>
      </c>
      <c r="J16" s="7">
        <f>'REGISTRO DE DATOS'!G17</f>
        <v>0</v>
      </c>
      <c r="K16" s="7">
        <f>'REGISTRO DE DATOS'!I17</f>
        <v>0</v>
      </c>
      <c r="L16" s="7">
        <f t="shared" si="4"/>
        <v>0</v>
      </c>
      <c r="M16" s="94" t="str">
        <f t="shared" si="5"/>
        <v>%</v>
      </c>
      <c r="N16" s="7">
        <f>'REGISTRO DE DATOS'!D17</f>
        <v>2</v>
      </c>
      <c r="O16" s="7">
        <f>'[1]REGISTRO DE DATOS'!W17</f>
        <v>0</v>
      </c>
      <c r="P16" s="7"/>
      <c r="Q16" s="8"/>
      <c r="R16" s="9"/>
      <c r="S16" s="18"/>
      <c r="T16" s="22"/>
      <c r="U16" s="23"/>
      <c r="V16" s="23"/>
      <c r="W16" s="144">
        <f t="shared" si="6"/>
        <v>0</v>
      </c>
      <c r="X16" s="24">
        <v>23</v>
      </c>
      <c r="Y16" s="24">
        <f>'REGISTRO DE DATOS'!P17</f>
        <v>0</v>
      </c>
      <c r="Z16" s="24">
        <v>23</v>
      </c>
    </row>
    <row r="17" spans="1:26" ht="15" thickBot="1" x14ac:dyDescent="0.35">
      <c r="A17" s="10">
        <v>45875</v>
      </c>
      <c r="B17" s="27">
        <f t="shared" si="0"/>
        <v>6</v>
      </c>
      <c r="C17" s="13">
        <v>1</v>
      </c>
      <c r="D17" s="13">
        <f>'REGISTRO DE DATOS'!T18</f>
        <v>0</v>
      </c>
      <c r="E17" s="13">
        <f t="shared" si="1"/>
        <v>0</v>
      </c>
      <c r="F17" s="13">
        <f t="shared" si="2"/>
        <v>0</v>
      </c>
      <c r="G17" s="13">
        <f>'REGISTRO DE DATOS'!R18</f>
        <v>0</v>
      </c>
      <c r="H17" s="2">
        <f t="shared" si="3"/>
        <v>0</v>
      </c>
      <c r="I17" s="2">
        <f>'REGISTRO DE DATOS'!O18</f>
        <v>0</v>
      </c>
      <c r="J17" s="2">
        <f>'REGISTRO DE DATOS'!G18</f>
        <v>0</v>
      </c>
      <c r="K17" s="2">
        <f>'REGISTRO DE DATOS'!I18</f>
        <v>0</v>
      </c>
      <c r="L17" s="2">
        <f t="shared" si="4"/>
        <v>0</v>
      </c>
      <c r="M17" s="94" t="str">
        <f t="shared" si="5"/>
        <v>%</v>
      </c>
      <c r="N17" s="2">
        <f>'REGISTRO DE DATOS'!D18</f>
        <v>0</v>
      </c>
      <c r="O17" s="2">
        <f>'[1]REGISTRO DE DATOS'!W18</f>
        <v>0</v>
      </c>
      <c r="P17" s="2"/>
      <c r="Q17" s="3"/>
      <c r="R17" s="4"/>
      <c r="S17" s="18"/>
      <c r="T17" s="18"/>
      <c r="U17" s="19"/>
      <c r="V17" s="19"/>
      <c r="W17" s="142">
        <f t="shared" si="6"/>
        <v>0</v>
      </c>
      <c r="X17" s="24">
        <v>23</v>
      </c>
      <c r="Y17" s="24">
        <f>'REGISTRO DE DATOS'!P18</f>
        <v>0</v>
      </c>
      <c r="Z17" s="24">
        <v>23</v>
      </c>
    </row>
    <row r="18" spans="1:26" ht="15" thickBot="1" x14ac:dyDescent="0.35">
      <c r="A18" s="11">
        <v>45875</v>
      </c>
      <c r="B18" s="27">
        <f t="shared" si="0"/>
        <v>6</v>
      </c>
      <c r="C18" s="14">
        <v>2</v>
      </c>
      <c r="D18" s="14">
        <f>'REGISTRO DE DATOS'!T19</f>
        <v>0</v>
      </c>
      <c r="E18" s="14">
        <f t="shared" si="1"/>
        <v>2</v>
      </c>
      <c r="F18" s="14">
        <f t="shared" si="2"/>
        <v>-2</v>
      </c>
      <c r="G18" s="14">
        <f>'REGISTRO DE DATOS'!R19</f>
        <v>0</v>
      </c>
      <c r="H18" s="5">
        <f t="shared" si="3"/>
        <v>0</v>
      </c>
      <c r="I18" s="5">
        <f>'REGISTRO DE DATOS'!O19</f>
        <v>0</v>
      </c>
      <c r="J18" s="5">
        <f>'REGISTRO DE DATOS'!G19</f>
        <v>0</v>
      </c>
      <c r="K18" s="5">
        <f>'REGISTRO DE DATOS'!I19</f>
        <v>0</v>
      </c>
      <c r="L18" s="5">
        <f t="shared" si="4"/>
        <v>0</v>
      </c>
      <c r="M18" s="94" t="str">
        <f t="shared" si="5"/>
        <v>%</v>
      </c>
      <c r="N18" s="5">
        <f>'REGISTRO DE DATOS'!D19</f>
        <v>2</v>
      </c>
      <c r="O18" s="5">
        <f>'[1]REGISTRO DE DATOS'!W19</f>
        <v>0</v>
      </c>
      <c r="P18" s="5"/>
      <c r="Q18" s="1"/>
      <c r="R18" s="6"/>
      <c r="S18" s="18"/>
      <c r="T18" s="20"/>
      <c r="U18" s="21"/>
      <c r="V18" s="21"/>
      <c r="W18" s="143">
        <f t="shared" si="6"/>
        <v>0</v>
      </c>
      <c r="X18" s="24">
        <v>23</v>
      </c>
      <c r="Y18" s="24">
        <f>'REGISTRO DE DATOS'!P19</f>
        <v>0</v>
      </c>
      <c r="Z18" s="24">
        <v>23</v>
      </c>
    </row>
    <row r="19" spans="1:26" ht="15" thickBot="1" x14ac:dyDescent="0.35">
      <c r="A19" s="12">
        <v>45875</v>
      </c>
      <c r="B19" s="27">
        <f t="shared" si="0"/>
        <v>6</v>
      </c>
      <c r="C19" s="15">
        <v>3</v>
      </c>
      <c r="D19" s="15">
        <f>'REGISTRO DE DATOS'!T20</f>
        <v>0</v>
      </c>
      <c r="E19" s="15">
        <f t="shared" si="1"/>
        <v>0</v>
      </c>
      <c r="F19" s="15">
        <f t="shared" si="2"/>
        <v>0</v>
      </c>
      <c r="G19" s="15">
        <f>'REGISTRO DE DATOS'!R20</f>
        <v>0</v>
      </c>
      <c r="H19" s="7">
        <f t="shared" si="3"/>
        <v>0</v>
      </c>
      <c r="I19" s="7">
        <f>'REGISTRO DE DATOS'!O20</f>
        <v>0</v>
      </c>
      <c r="J19" s="7">
        <f>'REGISTRO DE DATOS'!G20</f>
        <v>0</v>
      </c>
      <c r="K19" s="7">
        <f>'REGISTRO DE DATOS'!I20</f>
        <v>0</v>
      </c>
      <c r="L19" s="7">
        <f t="shared" si="4"/>
        <v>0</v>
      </c>
      <c r="M19" s="94" t="str">
        <f t="shared" si="5"/>
        <v>%</v>
      </c>
      <c r="N19" s="7">
        <f>'REGISTRO DE DATOS'!D20</f>
        <v>0</v>
      </c>
      <c r="O19" s="7">
        <f>'[1]REGISTRO DE DATOS'!W20</f>
        <v>0</v>
      </c>
      <c r="P19" s="7"/>
      <c r="Q19" s="8"/>
      <c r="R19" s="9"/>
      <c r="S19" s="18"/>
      <c r="T19" s="22"/>
      <c r="U19" s="23"/>
      <c r="V19" s="23"/>
      <c r="W19" s="144">
        <f t="shared" si="6"/>
        <v>0</v>
      </c>
      <c r="X19" s="24">
        <v>23</v>
      </c>
      <c r="Y19" s="24">
        <f>'REGISTRO DE DATOS'!P20</f>
        <v>0</v>
      </c>
      <c r="Z19" s="24">
        <v>23</v>
      </c>
    </row>
    <row r="20" spans="1:26" ht="15" thickBot="1" x14ac:dyDescent="0.35">
      <c r="A20" s="10">
        <v>45876</v>
      </c>
      <c r="B20" s="27">
        <f t="shared" si="0"/>
        <v>7</v>
      </c>
      <c r="C20" s="13">
        <v>1</v>
      </c>
      <c r="D20" s="13">
        <f>'REGISTRO DE DATOS'!T21</f>
        <v>0</v>
      </c>
      <c r="E20" s="13">
        <f t="shared" si="1"/>
        <v>0</v>
      </c>
      <c r="F20" s="13">
        <f t="shared" si="2"/>
        <v>0</v>
      </c>
      <c r="G20" s="13">
        <f>'REGISTRO DE DATOS'!R21</f>
        <v>0</v>
      </c>
      <c r="H20" s="2">
        <f t="shared" si="3"/>
        <v>0</v>
      </c>
      <c r="I20" s="2">
        <f>'REGISTRO DE DATOS'!O21</f>
        <v>0</v>
      </c>
      <c r="J20" s="2">
        <f>'REGISTRO DE DATOS'!G21</f>
        <v>0</v>
      </c>
      <c r="K20" s="2">
        <f>'REGISTRO DE DATOS'!I21</f>
        <v>0</v>
      </c>
      <c r="L20" s="2">
        <f t="shared" si="4"/>
        <v>0</v>
      </c>
      <c r="M20" s="94" t="str">
        <f t="shared" si="5"/>
        <v>%</v>
      </c>
      <c r="N20" s="2">
        <f>'REGISTRO DE DATOS'!D21</f>
        <v>0</v>
      </c>
      <c r="O20" s="2">
        <f>'[1]REGISTRO DE DATOS'!W21</f>
        <v>0</v>
      </c>
      <c r="P20" s="2"/>
      <c r="Q20" s="3"/>
      <c r="R20" s="4"/>
      <c r="S20" s="18"/>
      <c r="T20" s="18"/>
      <c r="U20" s="19"/>
      <c r="V20" s="19"/>
      <c r="W20" s="142">
        <f t="shared" si="6"/>
        <v>0</v>
      </c>
      <c r="X20" s="24">
        <v>23</v>
      </c>
      <c r="Y20" s="24">
        <f>'REGISTRO DE DATOS'!P21</f>
        <v>0</v>
      </c>
      <c r="Z20" s="24">
        <v>23</v>
      </c>
    </row>
    <row r="21" spans="1:26" ht="15" thickBot="1" x14ac:dyDescent="0.35">
      <c r="A21" s="11">
        <v>45876</v>
      </c>
      <c r="B21" s="27">
        <f t="shared" si="0"/>
        <v>7</v>
      </c>
      <c r="C21" s="14">
        <v>2</v>
      </c>
      <c r="D21" s="14">
        <f>'REGISTRO DE DATOS'!T22</f>
        <v>0</v>
      </c>
      <c r="E21" s="14">
        <f t="shared" si="1"/>
        <v>1</v>
      </c>
      <c r="F21" s="14">
        <f t="shared" si="2"/>
        <v>-1</v>
      </c>
      <c r="G21" s="14">
        <f>'REGISTRO DE DATOS'!R22</f>
        <v>0</v>
      </c>
      <c r="H21" s="5">
        <f t="shared" si="3"/>
        <v>0</v>
      </c>
      <c r="I21" s="5">
        <f>'REGISTRO DE DATOS'!O22</f>
        <v>0</v>
      </c>
      <c r="J21" s="5">
        <f>'REGISTRO DE DATOS'!G22</f>
        <v>0</v>
      </c>
      <c r="K21" s="5">
        <f>'REGISTRO DE DATOS'!I22</f>
        <v>0</v>
      </c>
      <c r="L21" s="5">
        <f t="shared" si="4"/>
        <v>0</v>
      </c>
      <c r="M21" s="94" t="str">
        <f t="shared" si="5"/>
        <v>%</v>
      </c>
      <c r="N21" s="5">
        <f>'REGISTRO DE DATOS'!D22</f>
        <v>1</v>
      </c>
      <c r="O21" s="5">
        <f>'[1]REGISTRO DE DATOS'!W22</f>
        <v>0</v>
      </c>
      <c r="P21" s="5"/>
      <c r="Q21" s="1"/>
      <c r="R21" s="6"/>
      <c r="S21" s="18"/>
      <c r="T21" s="20"/>
      <c r="U21" s="21"/>
      <c r="V21" s="21"/>
      <c r="W21" s="143">
        <f t="shared" si="6"/>
        <v>0</v>
      </c>
      <c r="X21" s="24">
        <v>23</v>
      </c>
      <c r="Y21" s="24">
        <f>'REGISTRO DE DATOS'!P22</f>
        <v>0</v>
      </c>
      <c r="Z21" s="24">
        <v>23</v>
      </c>
    </row>
    <row r="22" spans="1:26" ht="15" thickBot="1" x14ac:dyDescent="0.35">
      <c r="A22" s="12">
        <v>45876</v>
      </c>
      <c r="B22" s="27">
        <f t="shared" si="0"/>
        <v>7</v>
      </c>
      <c r="C22" s="15">
        <v>3</v>
      </c>
      <c r="D22" s="15">
        <f>'REGISTRO DE DATOS'!T23</f>
        <v>20</v>
      </c>
      <c r="E22" s="15">
        <f t="shared" si="1"/>
        <v>0</v>
      </c>
      <c r="F22" s="15">
        <f t="shared" si="2"/>
        <v>20</v>
      </c>
      <c r="G22" s="15">
        <f>'REGISTRO DE DATOS'!R23</f>
        <v>0</v>
      </c>
      <c r="H22" s="7">
        <f t="shared" si="3"/>
        <v>0</v>
      </c>
      <c r="I22" s="7">
        <f>'REGISTRO DE DATOS'!O23</f>
        <v>0</v>
      </c>
      <c r="J22" s="7">
        <f>'REGISTRO DE DATOS'!G23</f>
        <v>0</v>
      </c>
      <c r="K22" s="7">
        <f>'REGISTRO DE DATOS'!I23</f>
        <v>0</v>
      </c>
      <c r="L22" s="7">
        <f t="shared" si="4"/>
        <v>0</v>
      </c>
      <c r="M22" s="94" t="str">
        <f t="shared" si="5"/>
        <v>%</v>
      </c>
      <c r="N22" s="7">
        <f>'REGISTRO DE DATOS'!D23</f>
        <v>0</v>
      </c>
      <c r="O22" s="7">
        <f>'[1]REGISTRO DE DATOS'!W23</f>
        <v>0</v>
      </c>
      <c r="P22" s="7"/>
      <c r="Q22" s="8"/>
      <c r="R22" s="9"/>
      <c r="S22" s="18"/>
      <c r="T22" s="22"/>
      <c r="U22" s="23"/>
      <c r="V22" s="23"/>
      <c r="W22" s="144">
        <f t="shared" si="6"/>
        <v>0</v>
      </c>
      <c r="X22" s="24">
        <v>23</v>
      </c>
      <c r="Y22" s="24">
        <f>'REGISTRO DE DATOS'!P23</f>
        <v>0</v>
      </c>
      <c r="Z22" s="24">
        <v>23</v>
      </c>
    </row>
    <row r="23" spans="1:26" ht="15" thickBot="1" x14ac:dyDescent="0.35">
      <c r="A23" s="10">
        <v>45877</v>
      </c>
      <c r="B23" s="27">
        <f t="shared" si="0"/>
        <v>8</v>
      </c>
      <c r="C23" s="13">
        <v>1</v>
      </c>
      <c r="D23" s="13">
        <f>'REGISTRO DE DATOS'!T24</f>
        <v>0</v>
      </c>
      <c r="E23" s="13">
        <f t="shared" si="1"/>
        <v>0</v>
      </c>
      <c r="F23" s="13">
        <f t="shared" si="2"/>
        <v>0</v>
      </c>
      <c r="G23" s="13">
        <f>'REGISTRO DE DATOS'!R24</f>
        <v>0</v>
      </c>
      <c r="H23" s="2">
        <f t="shared" si="3"/>
        <v>0</v>
      </c>
      <c r="I23" s="2">
        <f>'REGISTRO DE DATOS'!O24</f>
        <v>0</v>
      </c>
      <c r="J23" s="2">
        <f>'REGISTRO DE DATOS'!G24</f>
        <v>0</v>
      </c>
      <c r="K23" s="2">
        <f>'REGISTRO DE DATOS'!I24</f>
        <v>0</v>
      </c>
      <c r="L23" s="2">
        <f t="shared" si="4"/>
        <v>0</v>
      </c>
      <c r="M23" s="94" t="str">
        <f t="shared" si="5"/>
        <v>%</v>
      </c>
      <c r="N23" s="2">
        <f>'REGISTRO DE DATOS'!D24</f>
        <v>0</v>
      </c>
      <c r="O23" s="2">
        <f>'[1]REGISTRO DE DATOS'!W24</f>
        <v>0</v>
      </c>
      <c r="P23" s="2"/>
      <c r="Q23" s="3"/>
      <c r="R23" s="4"/>
      <c r="S23" s="18"/>
      <c r="T23" s="18"/>
      <c r="U23" s="19"/>
      <c r="V23" s="19"/>
      <c r="W23" s="142">
        <f t="shared" si="6"/>
        <v>0</v>
      </c>
      <c r="X23" s="24">
        <v>23</v>
      </c>
      <c r="Y23" s="24">
        <f>'REGISTRO DE DATOS'!P24</f>
        <v>0</v>
      </c>
      <c r="Z23" s="24">
        <v>23</v>
      </c>
    </row>
    <row r="24" spans="1:26" ht="15" thickBot="1" x14ac:dyDescent="0.35">
      <c r="A24" s="11">
        <v>45877</v>
      </c>
      <c r="B24" s="27">
        <f t="shared" si="0"/>
        <v>8</v>
      </c>
      <c r="C24" s="14">
        <v>2</v>
      </c>
      <c r="D24" s="14">
        <f>'REGISTRO DE DATOS'!T25</f>
        <v>0</v>
      </c>
      <c r="E24" s="14">
        <f t="shared" si="1"/>
        <v>0</v>
      </c>
      <c r="F24" s="14">
        <f t="shared" si="2"/>
        <v>0</v>
      </c>
      <c r="G24" s="14">
        <f>'REGISTRO DE DATOS'!R25</f>
        <v>0</v>
      </c>
      <c r="H24" s="45">
        <f t="shared" si="3"/>
        <v>0</v>
      </c>
      <c r="I24" s="45">
        <f>'REGISTRO DE DATOS'!O25</f>
        <v>0</v>
      </c>
      <c r="J24" s="5">
        <f>'REGISTRO DE DATOS'!G25</f>
        <v>0</v>
      </c>
      <c r="K24" s="5">
        <f>'REGISTRO DE DATOS'!I25</f>
        <v>0</v>
      </c>
      <c r="L24" s="5">
        <f t="shared" si="4"/>
        <v>0</v>
      </c>
      <c r="M24" s="94" t="str">
        <f t="shared" si="5"/>
        <v>%</v>
      </c>
      <c r="N24" s="5">
        <f>'REGISTRO DE DATOS'!D25</f>
        <v>0</v>
      </c>
      <c r="O24" s="5">
        <f>'[1]REGISTRO DE DATOS'!W25</f>
        <v>0</v>
      </c>
      <c r="P24" s="45"/>
      <c r="Q24" s="43"/>
      <c r="R24" s="46"/>
      <c r="S24" s="18"/>
      <c r="T24" s="20"/>
      <c r="U24" s="21"/>
      <c r="V24" s="21"/>
      <c r="W24" s="143">
        <f t="shared" si="6"/>
        <v>0</v>
      </c>
      <c r="X24" s="24">
        <v>23</v>
      </c>
      <c r="Y24" s="24">
        <f>'REGISTRO DE DATOS'!P25</f>
        <v>0</v>
      </c>
      <c r="Z24" s="24">
        <v>23</v>
      </c>
    </row>
    <row r="25" spans="1:26" ht="15" thickBot="1" x14ac:dyDescent="0.35">
      <c r="A25" s="12">
        <v>45877</v>
      </c>
      <c r="B25" s="27">
        <f t="shared" si="0"/>
        <v>8</v>
      </c>
      <c r="C25" s="15">
        <v>3</v>
      </c>
      <c r="D25" s="15">
        <f>'REGISTRO DE DATOS'!T26</f>
        <v>0</v>
      </c>
      <c r="E25" s="15">
        <f t="shared" si="1"/>
        <v>0</v>
      </c>
      <c r="F25" s="15">
        <f t="shared" si="2"/>
        <v>0</v>
      </c>
      <c r="G25" s="15">
        <f>'REGISTRO DE DATOS'!R26</f>
        <v>0</v>
      </c>
      <c r="H25" s="87">
        <f t="shared" si="3"/>
        <v>0</v>
      </c>
      <c r="I25" s="87">
        <f>'REGISTRO DE DATOS'!O26</f>
        <v>0</v>
      </c>
      <c r="J25" s="7">
        <f>'REGISTRO DE DATOS'!G26</f>
        <v>0</v>
      </c>
      <c r="K25" s="7">
        <f>'REGISTRO DE DATOS'!I26</f>
        <v>0</v>
      </c>
      <c r="L25" s="7">
        <f t="shared" si="4"/>
        <v>0</v>
      </c>
      <c r="M25" s="94" t="str">
        <f t="shared" si="5"/>
        <v>%</v>
      </c>
      <c r="N25" s="7">
        <f>'REGISTRO DE DATOS'!D26</f>
        <v>0</v>
      </c>
      <c r="O25" s="7">
        <f>'[1]REGISTRO DE DATOS'!W26</f>
        <v>0</v>
      </c>
      <c r="P25" s="87"/>
      <c r="Q25" s="88"/>
      <c r="R25" s="89"/>
      <c r="S25" s="18"/>
      <c r="T25" s="22"/>
      <c r="U25" s="23"/>
      <c r="V25" s="23"/>
      <c r="W25" s="144">
        <f t="shared" si="6"/>
        <v>0</v>
      </c>
      <c r="X25" s="24">
        <v>23</v>
      </c>
      <c r="Y25" s="24">
        <f>'REGISTRO DE DATOS'!P26</f>
        <v>0</v>
      </c>
      <c r="Z25" s="24">
        <v>23</v>
      </c>
    </row>
    <row r="26" spans="1:26" ht="15" thickBot="1" x14ac:dyDescent="0.35">
      <c r="A26" s="10">
        <v>45878</v>
      </c>
      <c r="B26" s="27">
        <f t="shared" si="0"/>
        <v>9</v>
      </c>
      <c r="C26" s="13">
        <v>1</v>
      </c>
      <c r="D26" s="13">
        <f>'REGISTRO DE DATOS'!T27</f>
        <v>0</v>
      </c>
      <c r="E26" s="13">
        <f t="shared" si="1"/>
        <v>0</v>
      </c>
      <c r="F26" s="13">
        <f t="shared" si="2"/>
        <v>0</v>
      </c>
      <c r="G26" s="13">
        <f>'REGISTRO DE DATOS'!R27</f>
        <v>0</v>
      </c>
      <c r="H26" s="2">
        <f t="shared" si="3"/>
        <v>0</v>
      </c>
      <c r="I26" s="2">
        <f>'REGISTRO DE DATOS'!O27</f>
        <v>0</v>
      </c>
      <c r="J26" s="2">
        <f>'REGISTRO DE DATOS'!G27</f>
        <v>0</v>
      </c>
      <c r="K26" s="2">
        <f>'REGISTRO DE DATOS'!I27</f>
        <v>0</v>
      </c>
      <c r="L26" s="2">
        <f t="shared" si="4"/>
        <v>0</v>
      </c>
      <c r="M26" s="94" t="str">
        <f t="shared" si="5"/>
        <v>%</v>
      </c>
      <c r="N26" s="2">
        <f>'REGISTRO DE DATOS'!D27</f>
        <v>0</v>
      </c>
      <c r="O26" s="2">
        <f>'[1]REGISTRO DE DATOS'!W27</f>
        <v>0</v>
      </c>
      <c r="P26" s="2"/>
      <c r="Q26" s="3"/>
      <c r="R26" s="4"/>
      <c r="S26" s="18"/>
      <c r="T26" s="18"/>
      <c r="U26" s="19"/>
      <c r="V26" s="19"/>
      <c r="W26" s="142">
        <f t="shared" si="6"/>
        <v>0</v>
      </c>
      <c r="X26" s="24">
        <v>23</v>
      </c>
      <c r="Y26" s="24">
        <f>'REGISTRO DE DATOS'!P27</f>
        <v>0</v>
      </c>
      <c r="Z26" s="24">
        <v>23</v>
      </c>
    </row>
    <row r="27" spans="1:26" ht="15" thickBot="1" x14ac:dyDescent="0.35">
      <c r="A27" s="11">
        <v>45878</v>
      </c>
      <c r="B27" s="27">
        <f t="shared" si="0"/>
        <v>9</v>
      </c>
      <c r="C27" s="14">
        <v>2</v>
      </c>
      <c r="D27" s="14">
        <f>'REGISTRO DE DATOS'!T28</f>
        <v>18</v>
      </c>
      <c r="E27" s="14">
        <f t="shared" si="1"/>
        <v>0</v>
      </c>
      <c r="F27" s="14">
        <f t="shared" si="2"/>
        <v>18</v>
      </c>
      <c r="G27" s="14">
        <f>'REGISTRO DE DATOS'!R28</f>
        <v>0</v>
      </c>
      <c r="H27" s="98">
        <f t="shared" si="3"/>
        <v>0</v>
      </c>
      <c r="I27" s="98">
        <f>'REGISTRO DE DATOS'!O28</f>
        <v>0</v>
      </c>
      <c r="J27" s="5">
        <f>'REGISTRO DE DATOS'!G28</f>
        <v>0</v>
      </c>
      <c r="K27" s="5">
        <f>'REGISTRO DE DATOS'!I28</f>
        <v>0</v>
      </c>
      <c r="L27" s="5">
        <f t="shared" si="4"/>
        <v>0</v>
      </c>
      <c r="M27" s="94" t="str">
        <f t="shared" si="5"/>
        <v>%</v>
      </c>
      <c r="N27" s="5">
        <f>'REGISTRO DE DATOS'!D28</f>
        <v>0</v>
      </c>
      <c r="O27" s="5">
        <f>'[1]REGISTRO DE DATOS'!W28</f>
        <v>0</v>
      </c>
      <c r="P27" s="98"/>
      <c r="Q27" s="1"/>
      <c r="R27" s="6"/>
      <c r="S27" s="18"/>
      <c r="T27" s="20"/>
      <c r="U27" s="21"/>
      <c r="V27" s="21"/>
      <c r="W27" s="143">
        <f t="shared" si="6"/>
        <v>0</v>
      </c>
      <c r="X27" s="24">
        <v>23</v>
      </c>
      <c r="Y27" s="24">
        <f>'REGISTRO DE DATOS'!P28</f>
        <v>0</v>
      </c>
      <c r="Z27" s="24">
        <v>23</v>
      </c>
    </row>
    <row r="28" spans="1:26" ht="15" thickBot="1" x14ac:dyDescent="0.35">
      <c r="A28" s="12">
        <v>45878</v>
      </c>
      <c r="B28" s="27">
        <f t="shared" si="0"/>
        <v>9</v>
      </c>
      <c r="C28" s="15">
        <v>3</v>
      </c>
      <c r="D28" s="15">
        <f>'REGISTRO DE DATOS'!T29</f>
        <v>23</v>
      </c>
      <c r="E28" s="15">
        <f t="shared" si="1"/>
        <v>0</v>
      </c>
      <c r="F28" s="15">
        <f t="shared" si="2"/>
        <v>23</v>
      </c>
      <c r="G28" s="15">
        <f>'REGISTRO DE DATOS'!R29</f>
        <v>0</v>
      </c>
      <c r="H28" s="7">
        <f t="shared" si="3"/>
        <v>0</v>
      </c>
      <c r="I28" s="7">
        <f>'REGISTRO DE DATOS'!O29</f>
        <v>0</v>
      </c>
      <c r="J28" s="7">
        <f>'REGISTRO DE DATOS'!G29</f>
        <v>0</v>
      </c>
      <c r="K28" s="7">
        <f>'REGISTRO DE DATOS'!I29</f>
        <v>0</v>
      </c>
      <c r="L28" s="7">
        <f t="shared" si="4"/>
        <v>0</v>
      </c>
      <c r="M28" s="94" t="str">
        <f t="shared" si="5"/>
        <v>%</v>
      </c>
      <c r="N28" s="7">
        <f>'REGISTRO DE DATOS'!D29</f>
        <v>0</v>
      </c>
      <c r="O28" s="7">
        <f>'[1]REGISTRO DE DATOS'!W29</f>
        <v>0</v>
      </c>
      <c r="P28" s="7"/>
      <c r="Q28" s="8"/>
      <c r="R28" s="9"/>
      <c r="S28" s="18"/>
      <c r="T28" s="22"/>
      <c r="U28" s="23"/>
      <c r="V28" s="23"/>
      <c r="W28" s="144">
        <f t="shared" si="6"/>
        <v>0</v>
      </c>
      <c r="X28" s="24">
        <v>23</v>
      </c>
      <c r="Y28" s="24">
        <f>'REGISTRO DE DATOS'!P29</f>
        <v>0</v>
      </c>
      <c r="Z28" s="24">
        <v>23</v>
      </c>
    </row>
    <row r="29" spans="1:26" ht="15" thickBot="1" x14ac:dyDescent="0.35">
      <c r="A29" s="10">
        <v>45879</v>
      </c>
      <c r="B29" s="27">
        <f t="shared" si="0"/>
        <v>10</v>
      </c>
      <c r="C29" s="13">
        <v>1</v>
      </c>
      <c r="D29" s="40">
        <f>'REGISTRO DE DATOS'!T30</f>
        <v>0</v>
      </c>
      <c r="E29" s="40">
        <f t="shared" si="1"/>
        <v>0</v>
      </c>
      <c r="F29" s="40">
        <f t="shared" si="2"/>
        <v>0</v>
      </c>
      <c r="G29" s="40">
        <f>'REGISTRO DE DATOS'!R30</f>
        <v>0</v>
      </c>
      <c r="H29" s="41">
        <f t="shared" si="3"/>
        <v>0</v>
      </c>
      <c r="I29" s="41">
        <f>'REGISTRO DE DATOS'!O30</f>
        <v>0</v>
      </c>
      <c r="J29" s="2">
        <f>'REGISTRO DE DATOS'!G30</f>
        <v>0</v>
      </c>
      <c r="K29" s="2">
        <f>'REGISTRO DE DATOS'!I30</f>
        <v>0</v>
      </c>
      <c r="L29" s="2">
        <f t="shared" si="4"/>
        <v>0</v>
      </c>
      <c r="M29" s="94" t="str">
        <f t="shared" si="5"/>
        <v>%</v>
      </c>
      <c r="N29" s="2">
        <f>'REGISTRO DE DATOS'!D30</f>
        <v>0</v>
      </c>
      <c r="O29" s="2">
        <f>'[1]REGISTRO DE DATOS'!W30</f>
        <v>0</v>
      </c>
      <c r="P29" s="41"/>
      <c r="Q29" s="39"/>
      <c r="R29" s="42"/>
      <c r="S29" s="18"/>
      <c r="T29" s="18"/>
      <c r="U29" s="19"/>
      <c r="V29" s="19"/>
      <c r="W29" s="142">
        <f t="shared" si="6"/>
        <v>0</v>
      </c>
      <c r="X29" s="24">
        <v>23</v>
      </c>
      <c r="Y29" s="24">
        <f>'REGISTRO DE DATOS'!P30</f>
        <v>0</v>
      </c>
      <c r="Z29" s="24">
        <v>23</v>
      </c>
    </row>
    <row r="30" spans="1:26" ht="15" thickBot="1" x14ac:dyDescent="0.35">
      <c r="A30" s="11">
        <v>45879</v>
      </c>
      <c r="B30" s="27">
        <f t="shared" si="0"/>
        <v>10</v>
      </c>
      <c r="C30" s="14">
        <v>2</v>
      </c>
      <c r="D30" s="14">
        <f>'REGISTRO DE DATOS'!T31</f>
        <v>53</v>
      </c>
      <c r="E30" s="14">
        <f t="shared" si="1"/>
        <v>1</v>
      </c>
      <c r="F30" s="14">
        <f t="shared" si="2"/>
        <v>52</v>
      </c>
      <c r="G30" s="14">
        <f>'REGISTRO DE DATOS'!R31</f>
        <v>0</v>
      </c>
      <c r="H30" s="5">
        <f t="shared" si="3"/>
        <v>0</v>
      </c>
      <c r="I30" s="5">
        <f>'REGISTRO DE DATOS'!O31</f>
        <v>0</v>
      </c>
      <c r="J30" s="5">
        <f>'REGISTRO DE DATOS'!G31</f>
        <v>0</v>
      </c>
      <c r="K30" s="5">
        <f>'REGISTRO DE DATOS'!I31</f>
        <v>0</v>
      </c>
      <c r="L30" s="5">
        <f t="shared" si="4"/>
        <v>0</v>
      </c>
      <c r="M30" s="94" t="str">
        <f t="shared" si="5"/>
        <v>%</v>
      </c>
      <c r="N30" s="5">
        <f>'REGISTRO DE DATOS'!D31</f>
        <v>1</v>
      </c>
      <c r="O30" s="5">
        <f>'[1]REGISTRO DE DATOS'!W31</f>
        <v>0</v>
      </c>
      <c r="P30" s="5"/>
      <c r="Q30" s="1"/>
      <c r="R30" s="6"/>
      <c r="S30" s="18"/>
      <c r="T30" s="20"/>
      <c r="U30" s="21"/>
      <c r="V30" s="21"/>
      <c r="W30" s="143">
        <f t="shared" si="6"/>
        <v>0</v>
      </c>
      <c r="X30" s="24">
        <v>23</v>
      </c>
      <c r="Y30" s="24">
        <f>'REGISTRO DE DATOS'!P31</f>
        <v>0</v>
      </c>
      <c r="Z30" s="24">
        <v>23</v>
      </c>
    </row>
    <row r="31" spans="1:26" ht="15" thickBot="1" x14ac:dyDescent="0.35">
      <c r="A31" s="12">
        <v>45879</v>
      </c>
      <c r="B31" s="27">
        <f t="shared" si="0"/>
        <v>10</v>
      </c>
      <c r="C31" s="15">
        <v>3</v>
      </c>
      <c r="D31" s="44">
        <f>'REGISTRO DE DATOS'!T32</f>
        <v>0</v>
      </c>
      <c r="E31" s="44">
        <f t="shared" si="1"/>
        <v>0</v>
      </c>
      <c r="F31" s="44">
        <f t="shared" si="2"/>
        <v>0</v>
      </c>
      <c r="G31" s="44">
        <f>'REGISTRO DE DATOS'!R32</f>
        <v>0</v>
      </c>
      <c r="H31" s="45">
        <f t="shared" si="3"/>
        <v>0</v>
      </c>
      <c r="I31" s="45">
        <f>'REGISTRO DE DATOS'!O32</f>
        <v>0</v>
      </c>
      <c r="J31" s="7">
        <f>'REGISTRO DE DATOS'!G32</f>
        <v>0</v>
      </c>
      <c r="K31" s="7">
        <f>'REGISTRO DE DATOS'!I32</f>
        <v>0</v>
      </c>
      <c r="L31" s="7">
        <f t="shared" si="4"/>
        <v>0</v>
      </c>
      <c r="M31" s="94" t="str">
        <f t="shared" si="5"/>
        <v>%</v>
      </c>
      <c r="N31" s="7">
        <f>'REGISTRO DE DATOS'!D32</f>
        <v>0</v>
      </c>
      <c r="O31" s="7">
        <f>'[1]REGISTRO DE DATOS'!W32</f>
        <v>0</v>
      </c>
      <c r="P31" s="45"/>
      <c r="Q31" s="43"/>
      <c r="R31" s="46"/>
      <c r="S31" s="18"/>
      <c r="T31" s="22"/>
      <c r="U31" s="23"/>
      <c r="V31" s="23"/>
      <c r="W31" s="144">
        <f t="shared" si="6"/>
        <v>0</v>
      </c>
      <c r="X31" s="24">
        <v>23</v>
      </c>
      <c r="Y31" s="24">
        <f>'REGISTRO DE DATOS'!P32</f>
        <v>0</v>
      </c>
      <c r="Z31" s="24">
        <v>23</v>
      </c>
    </row>
    <row r="32" spans="1:26" ht="15" thickBot="1" x14ac:dyDescent="0.35">
      <c r="A32" s="10">
        <v>45880</v>
      </c>
      <c r="B32" s="27">
        <f t="shared" si="0"/>
        <v>11</v>
      </c>
      <c r="C32" s="13">
        <v>1</v>
      </c>
      <c r="D32" s="13">
        <f>'REGISTRO DE DATOS'!T33</f>
        <v>0</v>
      </c>
      <c r="E32" s="13">
        <f t="shared" si="1"/>
        <v>0</v>
      </c>
      <c r="F32" s="13">
        <f t="shared" si="2"/>
        <v>0</v>
      </c>
      <c r="G32" s="13">
        <f>'REGISTRO DE DATOS'!R33</f>
        <v>0</v>
      </c>
      <c r="H32" s="2">
        <f t="shared" si="3"/>
        <v>0</v>
      </c>
      <c r="I32" s="2">
        <f>'REGISTRO DE DATOS'!O33</f>
        <v>0</v>
      </c>
      <c r="J32" s="2">
        <f>'REGISTRO DE DATOS'!G33</f>
        <v>0</v>
      </c>
      <c r="K32" s="2">
        <f>'REGISTRO DE DATOS'!I33</f>
        <v>0</v>
      </c>
      <c r="L32" s="2">
        <f t="shared" si="4"/>
        <v>0</v>
      </c>
      <c r="M32" s="94" t="str">
        <f t="shared" si="5"/>
        <v>%</v>
      </c>
      <c r="N32" s="2">
        <f>'REGISTRO DE DATOS'!D33</f>
        <v>0</v>
      </c>
      <c r="O32" s="2">
        <f>'[1]REGISTRO DE DATOS'!W33</f>
        <v>0</v>
      </c>
      <c r="P32" s="2"/>
      <c r="Q32" s="3"/>
      <c r="R32" s="4"/>
      <c r="S32" s="18"/>
      <c r="T32" s="18"/>
      <c r="U32" s="19"/>
      <c r="V32" s="19"/>
      <c r="W32" s="142">
        <f t="shared" si="6"/>
        <v>0</v>
      </c>
      <c r="X32" s="24">
        <v>23</v>
      </c>
      <c r="Y32" s="24">
        <f>'REGISTRO DE DATOS'!P33</f>
        <v>0</v>
      </c>
      <c r="Z32" s="24">
        <v>23</v>
      </c>
    </row>
    <row r="33" spans="1:26" ht="15" thickBot="1" x14ac:dyDescent="0.35">
      <c r="A33" s="11">
        <v>45880</v>
      </c>
      <c r="B33" s="27">
        <f t="shared" si="0"/>
        <v>11</v>
      </c>
      <c r="C33" s="14">
        <v>2</v>
      </c>
      <c r="D33" s="14">
        <f>'REGISTRO DE DATOS'!T34</f>
        <v>24</v>
      </c>
      <c r="E33" s="14">
        <f t="shared" si="1"/>
        <v>1</v>
      </c>
      <c r="F33" s="14">
        <f t="shared" si="2"/>
        <v>23</v>
      </c>
      <c r="G33" s="14">
        <f>'REGISTRO DE DATOS'!R34</f>
        <v>0</v>
      </c>
      <c r="H33" s="5">
        <f t="shared" si="3"/>
        <v>0</v>
      </c>
      <c r="I33" s="5">
        <f>'REGISTRO DE DATOS'!O34</f>
        <v>0</v>
      </c>
      <c r="J33" s="5">
        <f>'REGISTRO DE DATOS'!G34</f>
        <v>0</v>
      </c>
      <c r="K33" s="5">
        <f>'REGISTRO DE DATOS'!I34</f>
        <v>0</v>
      </c>
      <c r="L33" s="5">
        <f t="shared" si="4"/>
        <v>0</v>
      </c>
      <c r="M33" s="94" t="str">
        <f t="shared" si="5"/>
        <v>%</v>
      </c>
      <c r="N33" s="5">
        <f>'REGISTRO DE DATOS'!D34</f>
        <v>1</v>
      </c>
      <c r="O33" s="5">
        <f>'[1]REGISTRO DE DATOS'!W34</f>
        <v>0</v>
      </c>
      <c r="P33" s="5"/>
      <c r="Q33" s="1"/>
      <c r="R33" s="6"/>
      <c r="S33" s="18"/>
      <c r="T33" s="20"/>
      <c r="U33" s="21"/>
      <c r="V33" s="21"/>
      <c r="W33" s="143">
        <f t="shared" si="6"/>
        <v>0</v>
      </c>
      <c r="X33" s="24">
        <v>23</v>
      </c>
      <c r="Y33" s="24">
        <f>'REGISTRO DE DATOS'!P34</f>
        <v>0</v>
      </c>
      <c r="Z33" s="24">
        <v>23</v>
      </c>
    </row>
    <row r="34" spans="1:26" ht="15" thickBot="1" x14ac:dyDescent="0.35">
      <c r="A34" s="12">
        <v>45880</v>
      </c>
      <c r="B34" s="27">
        <f t="shared" ref="B34:B65" si="7">DAY(A34)</f>
        <v>11</v>
      </c>
      <c r="C34" s="15">
        <v>3</v>
      </c>
      <c r="D34" s="15">
        <f>'REGISTRO DE DATOS'!T35</f>
        <v>38</v>
      </c>
      <c r="E34" s="15">
        <f t="shared" ref="E34:E65" si="8">+N34-K34-I34</f>
        <v>0</v>
      </c>
      <c r="F34" s="15">
        <f t="shared" si="2"/>
        <v>38</v>
      </c>
      <c r="G34" s="15">
        <f>'REGISTRO DE DATOS'!R35</f>
        <v>10</v>
      </c>
      <c r="H34" s="7">
        <f t="shared" ref="H34:H65" si="9">P34+Q34+R34</f>
        <v>0</v>
      </c>
      <c r="I34" s="7">
        <f>'REGISTRO DE DATOS'!O35</f>
        <v>0</v>
      </c>
      <c r="J34" s="7">
        <f>'REGISTRO DE DATOS'!G35</f>
        <v>0</v>
      </c>
      <c r="K34" s="7">
        <f>'REGISTRO DE DATOS'!I35</f>
        <v>0</v>
      </c>
      <c r="L34" s="7">
        <f t="shared" ref="L34:L65" si="10">+J34-K34</f>
        <v>0</v>
      </c>
      <c r="M34" s="94" t="str">
        <f t="shared" ref="M34:M65" si="11">IF(ISERROR(K34/J34),"%",(K34/J34))</f>
        <v>%</v>
      </c>
      <c r="N34" s="7">
        <f>'REGISTRO DE DATOS'!D35</f>
        <v>0</v>
      </c>
      <c r="O34" s="7">
        <f>'[1]REGISTRO DE DATOS'!W35</f>
        <v>0</v>
      </c>
      <c r="P34" s="7"/>
      <c r="Q34" s="8"/>
      <c r="R34" s="9"/>
      <c r="S34" s="18"/>
      <c r="T34" s="22"/>
      <c r="U34" s="23"/>
      <c r="V34" s="23"/>
      <c r="W34" s="144">
        <f t="shared" ref="W34:W65" si="12">+T34+U34</f>
        <v>0</v>
      </c>
      <c r="X34" s="24">
        <v>23</v>
      </c>
      <c r="Y34" s="24">
        <f>'REGISTRO DE DATOS'!P35</f>
        <v>1</v>
      </c>
      <c r="Z34" s="24">
        <v>23</v>
      </c>
    </row>
    <row r="35" spans="1:26" ht="15" thickBot="1" x14ac:dyDescent="0.35">
      <c r="A35" s="10">
        <v>45881</v>
      </c>
      <c r="B35" s="27">
        <f t="shared" si="7"/>
        <v>12</v>
      </c>
      <c r="C35" s="13">
        <v>1</v>
      </c>
      <c r="D35" s="40">
        <f>'REGISTRO DE DATOS'!T36</f>
        <v>0</v>
      </c>
      <c r="E35" s="40">
        <f t="shared" si="8"/>
        <v>0</v>
      </c>
      <c r="F35" s="40">
        <f t="shared" si="2"/>
        <v>0</v>
      </c>
      <c r="G35" s="40">
        <f>'REGISTRO DE DATOS'!R36</f>
        <v>0</v>
      </c>
      <c r="H35" s="41">
        <f t="shared" si="9"/>
        <v>0</v>
      </c>
      <c r="I35" s="41">
        <f>'REGISTRO DE DATOS'!O36</f>
        <v>0</v>
      </c>
      <c r="J35" s="2">
        <f>'REGISTRO DE DATOS'!G36</f>
        <v>0</v>
      </c>
      <c r="K35" s="2">
        <f>'REGISTRO DE DATOS'!I36</f>
        <v>0</v>
      </c>
      <c r="L35" s="2">
        <f t="shared" si="10"/>
        <v>0</v>
      </c>
      <c r="M35" s="94" t="str">
        <f t="shared" si="11"/>
        <v>%</v>
      </c>
      <c r="N35" s="2">
        <f>'REGISTRO DE DATOS'!D36</f>
        <v>0</v>
      </c>
      <c r="O35" s="2">
        <f>'[1]REGISTRO DE DATOS'!W36</f>
        <v>0</v>
      </c>
      <c r="P35" s="41"/>
      <c r="Q35" s="39"/>
      <c r="R35" s="42"/>
      <c r="S35" s="18"/>
      <c r="T35" s="18"/>
      <c r="U35" s="19"/>
      <c r="V35" s="19"/>
      <c r="W35" s="142">
        <f t="shared" si="12"/>
        <v>0</v>
      </c>
      <c r="X35" s="24">
        <v>23</v>
      </c>
      <c r="Y35" s="24">
        <f>'REGISTRO DE DATOS'!P36</f>
        <v>0</v>
      </c>
      <c r="Z35" s="24">
        <v>23</v>
      </c>
    </row>
    <row r="36" spans="1:26" ht="15" thickBot="1" x14ac:dyDescent="0.35">
      <c r="A36" s="11">
        <v>45881</v>
      </c>
      <c r="B36" s="27">
        <f t="shared" si="7"/>
        <v>12</v>
      </c>
      <c r="C36" s="14">
        <v>2</v>
      </c>
      <c r="D36" s="14">
        <f>'REGISTRO DE DATOS'!T37</f>
        <v>0</v>
      </c>
      <c r="E36" s="14">
        <f t="shared" si="8"/>
        <v>4</v>
      </c>
      <c r="F36" s="14">
        <f t="shared" si="2"/>
        <v>-4</v>
      </c>
      <c r="G36" s="14">
        <f>'REGISTRO DE DATOS'!R37</f>
        <v>0</v>
      </c>
      <c r="H36" s="5">
        <f t="shared" si="9"/>
        <v>0</v>
      </c>
      <c r="I36" s="5">
        <f>'REGISTRO DE DATOS'!O37</f>
        <v>0</v>
      </c>
      <c r="J36" s="5">
        <f>'REGISTRO DE DATOS'!G37</f>
        <v>0</v>
      </c>
      <c r="K36" s="5">
        <f>'REGISTRO DE DATOS'!I37</f>
        <v>0</v>
      </c>
      <c r="L36" s="5">
        <f t="shared" si="10"/>
        <v>0</v>
      </c>
      <c r="M36" s="94" t="str">
        <f t="shared" si="11"/>
        <v>%</v>
      </c>
      <c r="N36" s="5">
        <f>'REGISTRO DE DATOS'!D37</f>
        <v>4</v>
      </c>
      <c r="O36" s="5">
        <f>'[1]REGISTRO DE DATOS'!W37</f>
        <v>0</v>
      </c>
      <c r="P36" s="5"/>
      <c r="Q36" s="1"/>
      <c r="R36" s="6"/>
      <c r="S36" s="18"/>
      <c r="T36" s="20"/>
      <c r="U36" s="21"/>
      <c r="V36" s="21"/>
      <c r="W36" s="143">
        <f t="shared" si="12"/>
        <v>0</v>
      </c>
      <c r="X36" s="24">
        <v>23</v>
      </c>
      <c r="Y36" s="24">
        <f>'REGISTRO DE DATOS'!P37</f>
        <v>0</v>
      </c>
      <c r="Z36" s="24">
        <v>23</v>
      </c>
    </row>
    <row r="37" spans="1:26" ht="15" thickBot="1" x14ac:dyDescent="0.35">
      <c r="A37" s="12">
        <v>45881</v>
      </c>
      <c r="B37" s="27">
        <f t="shared" si="7"/>
        <v>12</v>
      </c>
      <c r="C37" s="15">
        <v>3</v>
      </c>
      <c r="D37" s="44">
        <f>'REGISTRO DE DATOS'!T38</f>
        <v>39</v>
      </c>
      <c r="E37" s="44">
        <f t="shared" si="8"/>
        <v>0</v>
      </c>
      <c r="F37" s="44">
        <f t="shared" si="2"/>
        <v>39</v>
      </c>
      <c r="G37" s="44">
        <f>'REGISTRO DE DATOS'!R38</f>
        <v>0</v>
      </c>
      <c r="H37" s="45">
        <f t="shared" si="9"/>
        <v>0</v>
      </c>
      <c r="I37" s="45">
        <f>'REGISTRO DE DATOS'!O38</f>
        <v>0</v>
      </c>
      <c r="J37" s="7">
        <f>'REGISTRO DE DATOS'!G38</f>
        <v>0</v>
      </c>
      <c r="K37" s="7">
        <f>'REGISTRO DE DATOS'!I38</f>
        <v>0</v>
      </c>
      <c r="L37" s="7">
        <f t="shared" si="10"/>
        <v>0</v>
      </c>
      <c r="M37" s="94" t="str">
        <f t="shared" si="11"/>
        <v>%</v>
      </c>
      <c r="N37" s="7">
        <f>'REGISTRO DE DATOS'!D38</f>
        <v>0</v>
      </c>
      <c r="O37" s="7">
        <f>'[1]REGISTRO DE DATOS'!W38</f>
        <v>0</v>
      </c>
      <c r="P37" s="45"/>
      <c r="Q37" s="43"/>
      <c r="R37" s="46"/>
      <c r="S37" s="18"/>
      <c r="T37" s="22"/>
      <c r="U37" s="23"/>
      <c r="V37" s="23"/>
      <c r="W37" s="144">
        <f t="shared" si="12"/>
        <v>0</v>
      </c>
      <c r="X37" s="24">
        <v>23</v>
      </c>
      <c r="Y37" s="24">
        <f>'REGISTRO DE DATOS'!P38</f>
        <v>0</v>
      </c>
      <c r="Z37" s="24">
        <v>23</v>
      </c>
    </row>
    <row r="38" spans="1:26" ht="15" thickBot="1" x14ac:dyDescent="0.35">
      <c r="A38" s="10">
        <v>45882</v>
      </c>
      <c r="B38" s="27">
        <f t="shared" si="7"/>
        <v>13</v>
      </c>
      <c r="C38" s="13">
        <v>1</v>
      </c>
      <c r="D38" s="13">
        <f>'REGISTRO DE DATOS'!T39</f>
        <v>0</v>
      </c>
      <c r="E38" s="13">
        <f t="shared" si="8"/>
        <v>0</v>
      </c>
      <c r="F38" s="13">
        <f t="shared" si="2"/>
        <v>0</v>
      </c>
      <c r="G38" s="13">
        <f>'REGISTRO DE DATOS'!R39</f>
        <v>0</v>
      </c>
      <c r="H38" s="2">
        <f t="shared" si="9"/>
        <v>0</v>
      </c>
      <c r="I38" s="2">
        <f>'REGISTRO DE DATOS'!O39</f>
        <v>0</v>
      </c>
      <c r="J38" s="91">
        <f>'REGISTRO DE DATOS'!G39</f>
        <v>0</v>
      </c>
      <c r="K38" s="91">
        <f>'REGISTRO DE DATOS'!I39</f>
        <v>0</v>
      </c>
      <c r="L38" s="91">
        <f t="shared" si="10"/>
        <v>0</v>
      </c>
      <c r="M38" s="94" t="str">
        <f t="shared" si="11"/>
        <v>%</v>
      </c>
      <c r="N38" s="91">
        <f>'REGISTRO DE DATOS'!D39</f>
        <v>0</v>
      </c>
      <c r="O38" s="2">
        <f>'[1]REGISTRO DE DATOS'!W39</f>
        <v>0</v>
      </c>
      <c r="P38" s="2"/>
      <c r="Q38" s="3"/>
      <c r="R38" s="4"/>
      <c r="S38" s="18"/>
      <c r="T38" s="18"/>
      <c r="U38" s="19"/>
      <c r="V38" s="19"/>
      <c r="W38" s="142">
        <f t="shared" si="12"/>
        <v>0</v>
      </c>
      <c r="X38" s="24">
        <v>23</v>
      </c>
      <c r="Y38" s="24">
        <f>'REGISTRO DE DATOS'!P39</f>
        <v>0</v>
      </c>
      <c r="Z38" s="24">
        <v>23</v>
      </c>
    </row>
    <row r="39" spans="1:26" ht="15" thickBot="1" x14ac:dyDescent="0.35">
      <c r="A39" s="11">
        <v>45882</v>
      </c>
      <c r="B39" s="27">
        <f t="shared" si="7"/>
        <v>13</v>
      </c>
      <c r="C39" s="14">
        <v>2</v>
      </c>
      <c r="D39" s="14">
        <f>'REGISTRO DE DATOS'!T40</f>
        <v>30</v>
      </c>
      <c r="E39" s="14">
        <f t="shared" si="8"/>
        <v>0</v>
      </c>
      <c r="F39" s="14">
        <f t="shared" si="2"/>
        <v>30</v>
      </c>
      <c r="G39" s="14">
        <f>'REGISTRO DE DATOS'!R40</f>
        <v>0</v>
      </c>
      <c r="H39" s="5">
        <f t="shared" si="9"/>
        <v>0</v>
      </c>
      <c r="I39" s="5">
        <f>'REGISTRO DE DATOS'!O40</f>
        <v>0</v>
      </c>
      <c r="J39" s="92">
        <f>'REGISTRO DE DATOS'!G40</f>
        <v>0</v>
      </c>
      <c r="K39" s="92">
        <f>'REGISTRO DE DATOS'!I40</f>
        <v>0</v>
      </c>
      <c r="L39" s="92">
        <f t="shared" si="10"/>
        <v>0</v>
      </c>
      <c r="M39" s="94" t="str">
        <f t="shared" si="11"/>
        <v>%</v>
      </c>
      <c r="N39" s="92">
        <f>'REGISTRO DE DATOS'!D40</f>
        <v>0</v>
      </c>
      <c r="O39" s="5">
        <f>'[1]REGISTRO DE DATOS'!W40</f>
        <v>0</v>
      </c>
      <c r="P39" s="5"/>
      <c r="Q39" s="1"/>
      <c r="R39" s="6"/>
      <c r="S39" s="18"/>
      <c r="T39" s="20"/>
      <c r="U39" s="21"/>
      <c r="V39" s="21"/>
      <c r="W39" s="143">
        <f t="shared" si="12"/>
        <v>0</v>
      </c>
      <c r="X39" s="24">
        <v>23</v>
      </c>
      <c r="Y39" s="24">
        <f>'REGISTRO DE DATOS'!P40</f>
        <v>0</v>
      </c>
      <c r="Z39" s="24">
        <v>23</v>
      </c>
    </row>
    <row r="40" spans="1:26" ht="15" thickBot="1" x14ac:dyDescent="0.35">
      <c r="A40" s="12">
        <v>45882</v>
      </c>
      <c r="B40" s="27">
        <f t="shared" si="7"/>
        <v>13</v>
      </c>
      <c r="C40" s="15">
        <v>3</v>
      </c>
      <c r="D40" s="15">
        <f>'REGISTRO DE DATOS'!T41</f>
        <v>24</v>
      </c>
      <c r="E40" s="15">
        <f t="shared" si="8"/>
        <v>1</v>
      </c>
      <c r="F40" s="15">
        <f t="shared" si="2"/>
        <v>23</v>
      </c>
      <c r="G40" s="15">
        <f>'REGISTRO DE DATOS'!R41</f>
        <v>0</v>
      </c>
      <c r="H40" s="7">
        <f t="shared" si="9"/>
        <v>0</v>
      </c>
      <c r="I40" s="7">
        <f>'REGISTRO DE DATOS'!O41</f>
        <v>0</v>
      </c>
      <c r="J40" s="90">
        <f>'REGISTRO DE DATOS'!G41</f>
        <v>0</v>
      </c>
      <c r="K40" s="90">
        <f>'REGISTRO DE DATOS'!I41</f>
        <v>0</v>
      </c>
      <c r="L40" s="90">
        <f t="shared" si="10"/>
        <v>0</v>
      </c>
      <c r="M40" s="94" t="str">
        <f t="shared" si="11"/>
        <v>%</v>
      </c>
      <c r="N40" s="90">
        <f>'REGISTRO DE DATOS'!D41</f>
        <v>1</v>
      </c>
      <c r="O40" s="7">
        <f>'[1]REGISTRO DE DATOS'!W41</f>
        <v>0</v>
      </c>
      <c r="P40" s="7"/>
      <c r="Q40" s="8"/>
      <c r="R40" s="9"/>
      <c r="S40" s="18"/>
      <c r="T40" s="22"/>
      <c r="U40" s="23"/>
      <c r="V40" s="23"/>
      <c r="W40" s="144">
        <f t="shared" si="12"/>
        <v>0</v>
      </c>
      <c r="X40" s="24">
        <v>23</v>
      </c>
      <c r="Y40" s="24">
        <f>'REGISTRO DE DATOS'!P41</f>
        <v>0</v>
      </c>
      <c r="Z40" s="24">
        <v>23</v>
      </c>
    </row>
    <row r="41" spans="1:26" ht="15" thickBot="1" x14ac:dyDescent="0.35">
      <c r="A41" s="10">
        <v>45883</v>
      </c>
      <c r="B41" s="27">
        <f t="shared" si="7"/>
        <v>14</v>
      </c>
      <c r="C41" s="13">
        <v>1</v>
      </c>
      <c r="D41" s="40">
        <f>'REGISTRO DE DATOS'!T42</f>
        <v>0</v>
      </c>
      <c r="E41" s="40">
        <f t="shared" si="8"/>
        <v>0</v>
      </c>
      <c r="F41" s="40">
        <f t="shared" si="2"/>
        <v>0</v>
      </c>
      <c r="G41" s="40">
        <f>'REGISTRO DE DATOS'!R42</f>
        <v>0</v>
      </c>
      <c r="H41" s="41">
        <f t="shared" si="9"/>
        <v>0</v>
      </c>
      <c r="I41" s="41">
        <f>'REGISTRO DE DATOS'!O42</f>
        <v>0</v>
      </c>
      <c r="J41" s="93">
        <f>'REGISTRO DE DATOS'!G42</f>
        <v>0</v>
      </c>
      <c r="K41" s="93">
        <f>'REGISTRO DE DATOS'!I42</f>
        <v>0</v>
      </c>
      <c r="L41" s="93">
        <f t="shared" si="10"/>
        <v>0</v>
      </c>
      <c r="M41" s="94" t="str">
        <f t="shared" si="11"/>
        <v>%</v>
      </c>
      <c r="N41" s="93">
        <f>'REGISTRO DE DATOS'!D42</f>
        <v>0</v>
      </c>
      <c r="O41" s="41">
        <f>'[1]REGISTRO DE DATOS'!W42</f>
        <v>0</v>
      </c>
      <c r="P41" s="41"/>
      <c r="Q41" s="39"/>
      <c r="R41" s="42"/>
      <c r="S41" s="18"/>
      <c r="T41" s="18"/>
      <c r="U41" s="19"/>
      <c r="V41" s="19"/>
      <c r="W41" s="142">
        <f t="shared" si="12"/>
        <v>0</v>
      </c>
      <c r="X41" s="24">
        <v>23</v>
      </c>
      <c r="Y41" s="24">
        <f>'REGISTRO DE DATOS'!P42</f>
        <v>0</v>
      </c>
      <c r="Z41" s="24">
        <v>23</v>
      </c>
    </row>
    <row r="42" spans="1:26" ht="15" thickBot="1" x14ac:dyDescent="0.35">
      <c r="A42" s="11">
        <v>45883</v>
      </c>
      <c r="B42" s="27">
        <f t="shared" si="7"/>
        <v>14</v>
      </c>
      <c r="C42" s="14">
        <v>2</v>
      </c>
      <c r="D42" s="14">
        <f>'REGISTRO DE DATOS'!T43</f>
        <v>18</v>
      </c>
      <c r="E42" s="14">
        <f t="shared" si="8"/>
        <v>1</v>
      </c>
      <c r="F42" s="14">
        <v>0</v>
      </c>
      <c r="G42" s="14">
        <f>'REGISTRO DE DATOS'!R43</f>
        <v>0</v>
      </c>
      <c r="H42" s="5">
        <f t="shared" si="9"/>
        <v>0</v>
      </c>
      <c r="I42" s="5">
        <f>'REGISTRO DE DATOS'!O43</f>
        <v>0</v>
      </c>
      <c r="J42" s="92">
        <f>'REGISTRO DE DATOS'!G43</f>
        <v>0</v>
      </c>
      <c r="K42" s="92">
        <f>'REGISTRO DE DATOS'!I43</f>
        <v>0</v>
      </c>
      <c r="L42" s="92">
        <f t="shared" si="10"/>
        <v>0</v>
      </c>
      <c r="M42" s="94" t="str">
        <f t="shared" si="11"/>
        <v>%</v>
      </c>
      <c r="N42" s="92">
        <f>'REGISTRO DE DATOS'!D43</f>
        <v>1</v>
      </c>
      <c r="O42" s="5">
        <f>'[1]REGISTRO DE DATOS'!W43</f>
        <v>0</v>
      </c>
      <c r="P42" s="5"/>
      <c r="Q42" s="1"/>
      <c r="R42" s="6"/>
      <c r="S42" s="18"/>
      <c r="T42" s="20"/>
      <c r="U42" s="21"/>
      <c r="V42" s="21"/>
      <c r="W42" s="143">
        <f t="shared" si="12"/>
        <v>0</v>
      </c>
      <c r="X42" s="24">
        <v>23</v>
      </c>
      <c r="Y42" s="24">
        <f>'REGISTRO DE DATOS'!P43</f>
        <v>0</v>
      </c>
      <c r="Z42" s="24">
        <v>23</v>
      </c>
    </row>
    <row r="43" spans="1:26" ht="15" thickBot="1" x14ac:dyDescent="0.35">
      <c r="A43" s="12">
        <v>45883</v>
      </c>
      <c r="B43" s="27">
        <f t="shared" si="7"/>
        <v>14</v>
      </c>
      <c r="C43" s="15">
        <v>3</v>
      </c>
      <c r="D43" s="44">
        <f>'REGISTRO DE DATOS'!T44</f>
        <v>24</v>
      </c>
      <c r="E43" s="44">
        <f t="shared" si="8"/>
        <v>0</v>
      </c>
      <c r="F43" s="44">
        <f t="shared" ref="F43:F74" si="13">+D43-E43</f>
        <v>24</v>
      </c>
      <c r="G43" s="44">
        <f>'REGISTRO DE DATOS'!R44</f>
        <v>0</v>
      </c>
      <c r="H43" s="45">
        <f t="shared" si="9"/>
        <v>0</v>
      </c>
      <c r="I43" s="45">
        <f>'REGISTRO DE DATOS'!O44</f>
        <v>0</v>
      </c>
      <c r="J43" s="90">
        <f>'REGISTRO DE DATOS'!G44</f>
        <v>0</v>
      </c>
      <c r="K43" s="90">
        <f>'REGISTRO DE DATOS'!I44</f>
        <v>0</v>
      </c>
      <c r="L43" s="90">
        <f t="shared" si="10"/>
        <v>0</v>
      </c>
      <c r="M43" s="94" t="str">
        <f t="shared" si="11"/>
        <v>%</v>
      </c>
      <c r="N43" s="90">
        <f>'REGISTRO DE DATOS'!D44</f>
        <v>0</v>
      </c>
      <c r="O43" s="7">
        <f>'[1]REGISTRO DE DATOS'!W44</f>
        <v>0</v>
      </c>
      <c r="P43" s="45"/>
      <c r="Q43" s="43"/>
      <c r="R43" s="46"/>
      <c r="S43" s="18"/>
      <c r="T43" s="22"/>
      <c r="U43" s="23"/>
      <c r="V43" s="23"/>
      <c r="W43" s="144">
        <f t="shared" si="12"/>
        <v>0</v>
      </c>
      <c r="X43" s="24">
        <v>23</v>
      </c>
      <c r="Y43" s="24">
        <f>'REGISTRO DE DATOS'!P44</f>
        <v>0</v>
      </c>
      <c r="Z43" s="24">
        <v>23</v>
      </c>
    </row>
    <row r="44" spans="1:26" ht="15" thickBot="1" x14ac:dyDescent="0.35">
      <c r="A44" s="10">
        <v>45884</v>
      </c>
      <c r="B44" s="27">
        <f t="shared" si="7"/>
        <v>15</v>
      </c>
      <c r="C44" s="13">
        <v>1</v>
      </c>
      <c r="D44" s="13">
        <f>'REGISTRO DE DATOS'!T45</f>
        <v>0</v>
      </c>
      <c r="E44" s="13">
        <f t="shared" si="8"/>
        <v>0</v>
      </c>
      <c r="F44" s="13">
        <f t="shared" si="13"/>
        <v>0</v>
      </c>
      <c r="G44" s="13">
        <f>'REGISTRO DE DATOS'!R45</f>
        <v>0</v>
      </c>
      <c r="H44" s="2">
        <f t="shared" si="9"/>
        <v>0</v>
      </c>
      <c r="I44" s="2">
        <f>'REGISTRO DE DATOS'!O45</f>
        <v>0</v>
      </c>
      <c r="J44" s="91">
        <f>'REGISTRO DE DATOS'!G45</f>
        <v>0</v>
      </c>
      <c r="K44" s="91">
        <f>'REGISTRO DE DATOS'!I45</f>
        <v>0</v>
      </c>
      <c r="L44" s="91">
        <f t="shared" si="10"/>
        <v>0</v>
      </c>
      <c r="M44" s="94" t="str">
        <f t="shared" si="11"/>
        <v>%</v>
      </c>
      <c r="N44" s="91">
        <f>'REGISTRO DE DATOS'!D45</f>
        <v>0</v>
      </c>
      <c r="O44" s="2">
        <f>'[1]REGISTRO DE DATOS'!W45</f>
        <v>0</v>
      </c>
      <c r="P44" s="2"/>
      <c r="Q44" s="3"/>
      <c r="R44" s="4"/>
      <c r="S44" s="18"/>
      <c r="T44" s="18"/>
      <c r="U44" s="19"/>
      <c r="V44" s="19"/>
      <c r="W44" s="142">
        <f t="shared" si="12"/>
        <v>0</v>
      </c>
      <c r="X44" s="24">
        <v>23</v>
      </c>
      <c r="Y44" s="24">
        <f>'REGISTRO DE DATOS'!P45</f>
        <v>0</v>
      </c>
      <c r="Z44" s="24">
        <v>23</v>
      </c>
    </row>
    <row r="45" spans="1:26" ht="15" thickBot="1" x14ac:dyDescent="0.35">
      <c r="A45" s="11">
        <v>45884</v>
      </c>
      <c r="B45" s="27">
        <f t="shared" si="7"/>
        <v>15</v>
      </c>
      <c r="C45" s="14">
        <v>2</v>
      </c>
      <c r="D45" s="14">
        <f>'REGISTRO DE DATOS'!T46</f>
        <v>0</v>
      </c>
      <c r="E45" s="14">
        <f t="shared" si="8"/>
        <v>0</v>
      </c>
      <c r="F45" s="14">
        <f t="shared" si="13"/>
        <v>0</v>
      </c>
      <c r="G45" s="14">
        <f>'REGISTRO DE DATOS'!R46</f>
        <v>0</v>
      </c>
      <c r="H45" s="5">
        <f t="shared" si="9"/>
        <v>0</v>
      </c>
      <c r="I45" s="5">
        <f>'REGISTRO DE DATOS'!O46</f>
        <v>0</v>
      </c>
      <c r="J45" s="92">
        <f>'REGISTRO DE DATOS'!G46</f>
        <v>0</v>
      </c>
      <c r="K45" s="92">
        <f>'REGISTRO DE DATOS'!I46</f>
        <v>0</v>
      </c>
      <c r="L45" s="92">
        <f t="shared" si="10"/>
        <v>0</v>
      </c>
      <c r="M45" s="94" t="str">
        <f t="shared" si="11"/>
        <v>%</v>
      </c>
      <c r="N45" s="92">
        <f>'REGISTRO DE DATOS'!D46</f>
        <v>0</v>
      </c>
      <c r="O45" s="5">
        <f>'[1]REGISTRO DE DATOS'!W46</f>
        <v>0</v>
      </c>
      <c r="P45" s="5"/>
      <c r="Q45" s="1"/>
      <c r="R45" s="6"/>
      <c r="S45" s="18"/>
      <c r="T45" s="20"/>
      <c r="U45" s="21"/>
      <c r="V45" s="21"/>
      <c r="W45" s="143">
        <f t="shared" si="12"/>
        <v>0</v>
      </c>
      <c r="X45" s="24">
        <v>23</v>
      </c>
      <c r="Y45" s="24">
        <f>'REGISTRO DE DATOS'!P46</f>
        <v>0</v>
      </c>
      <c r="Z45" s="24">
        <v>23</v>
      </c>
    </row>
    <row r="46" spans="1:26" ht="15" thickBot="1" x14ac:dyDescent="0.35">
      <c r="A46" s="12">
        <v>45884</v>
      </c>
      <c r="B46" s="27">
        <f t="shared" si="7"/>
        <v>15</v>
      </c>
      <c r="C46" s="15">
        <v>3</v>
      </c>
      <c r="D46" s="15">
        <f>'REGISTRO DE DATOS'!T47</f>
        <v>0</v>
      </c>
      <c r="E46" s="15">
        <f t="shared" si="8"/>
        <v>0</v>
      </c>
      <c r="F46" s="15">
        <f t="shared" si="13"/>
        <v>0</v>
      </c>
      <c r="G46" s="15">
        <f>'REGISTRO DE DATOS'!R47</f>
        <v>0</v>
      </c>
      <c r="H46" s="7">
        <f t="shared" si="9"/>
        <v>0</v>
      </c>
      <c r="I46" s="7">
        <f>'REGISTRO DE DATOS'!O47</f>
        <v>0</v>
      </c>
      <c r="J46" s="90">
        <f>'REGISTRO DE DATOS'!G47</f>
        <v>0</v>
      </c>
      <c r="K46" s="90">
        <f>'REGISTRO DE DATOS'!I47</f>
        <v>0</v>
      </c>
      <c r="L46" s="90">
        <f t="shared" si="10"/>
        <v>0</v>
      </c>
      <c r="M46" s="94" t="str">
        <f t="shared" si="11"/>
        <v>%</v>
      </c>
      <c r="N46" s="90">
        <f>'REGISTRO DE DATOS'!D47</f>
        <v>0</v>
      </c>
      <c r="O46" s="7">
        <f>'[1]REGISTRO DE DATOS'!W47</f>
        <v>0</v>
      </c>
      <c r="P46" s="7"/>
      <c r="Q46" s="8"/>
      <c r="R46" s="9"/>
      <c r="S46" s="18"/>
      <c r="T46" s="22"/>
      <c r="U46" s="23"/>
      <c r="V46" s="23"/>
      <c r="W46" s="144">
        <f t="shared" si="12"/>
        <v>0</v>
      </c>
      <c r="X46" s="24">
        <v>23</v>
      </c>
      <c r="Y46" s="24">
        <f>'REGISTRO DE DATOS'!P47</f>
        <v>0</v>
      </c>
      <c r="Z46" s="24">
        <v>23</v>
      </c>
    </row>
    <row r="47" spans="1:26" ht="15" thickBot="1" x14ac:dyDescent="0.35">
      <c r="A47" s="10">
        <v>45885</v>
      </c>
      <c r="B47" s="27">
        <f t="shared" si="7"/>
        <v>16</v>
      </c>
      <c r="C47" s="13">
        <v>1</v>
      </c>
      <c r="D47" s="40">
        <f>'REGISTRO DE DATOS'!T48</f>
        <v>0</v>
      </c>
      <c r="E47" s="40">
        <f t="shared" si="8"/>
        <v>0</v>
      </c>
      <c r="F47" s="40">
        <f t="shared" si="13"/>
        <v>0</v>
      </c>
      <c r="G47" s="40">
        <f>'REGISTRO DE DATOS'!R48</f>
        <v>0</v>
      </c>
      <c r="H47" s="41">
        <f t="shared" si="9"/>
        <v>0</v>
      </c>
      <c r="I47" s="41">
        <f>'REGISTRO DE DATOS'!O48</f>
        <v>0</v>
      </c>
      <c r="J47" s="91">
        <f>'REGISTRO DE DATOS'!G48</f>
        <v>0</v>
      </c>
      <c r="K47" s="91">
        <f>'REGISTRO DE DATOS'!I48</f>
        <v>0</v>
      </c>
      <c r="L47" s="91">
        <f t="shared" si="10"/>
        <v>0</v>
      </c>
      <c r="M47" s="94" t="str">
        <f t="shared" si="11"/>
        <v>%</v>
      </c>
      <c r="N47" s="91">
        <f>'REGISTRO DE DATOS'!D48</f>
        <v>0</v>
      </c>
      <c r="O47" s="2">
        <f>'[1]REGISTRO DE DATOS'!W48</f>
        <v>0</v>
      </c>
      <c r="P47" s="41"/>
      <c r="Q47" s="39"/>
      <c r="R47" s="42"/>
      <c r="S47" s="18"/>
      <c r="T47" s="18"/>
      <c r="U47" s="19"/>
      <c r="V47" s="19"/>
      <c r="W47" s="142">
        <f t="shared" si="12"/>
        <v>0</v>
      </c>
      <c r="X47" s="24">
        <v>23</v>
      </c>
      <c r="Y47" s="24">
        <f>'REGISTRO DE DATOS'!P48</f>
        <v>0</v>
      </c>
      <c r="Z47" s="24">
        <v>23</v>
      </c>
    </row>
    <row r="48" spans="1:26" ht="15" thickBot="1" x14ac:dyDescent="0.35">
      <c r="A48" s="11">
        <v>45885</v>
      </c>
      <c r="B48" s="27">
        <f t="shared" si="7"/>
        <v>16</v>
      </c>
      <c r="C48" s="14">
        <v>2</v>
      </c>
      <c r="D48" s="14">
        <f>'REGISTRO DE DATOS'!T49</f>
        <v>48</v>
      </c>
      <c r="E48" s="14">
        <f t="shared" si="8"/>
        <v>2</v>
      </c>
      <c r="F48" s="14">
        <f t="shared" si="13"/>
        <v>46</v>
      </c>
      <c r="G48" s="14">
        <f>'REGISTRO DE DATOS'!R49</f>
        <v>0</v>
      </c>
      <c r="H48" s="5">
        <f t="shared" si="9"/>
        <v>0</v>
      </c>
      <c r="I48" s="5">
        <f>'REGISTRO DE DATOS'!O49</f>
        <v>0</v>
      </c>
      <c r="J48" s="92">
        <f>'REGISTRO DE DATOS'!G49</f>
        <v>0</v>
      </c>
      <c r="K48" s="92">
        <f>'REGISTRO DE DATOS'!I49</f>
        <v>0</v>
      </c>
      <c r="L48" s="92">
        <f t="shared" si="10"/>
        <v>0</v>
      </c>
      <c r="M48" s="94" t="str">
        <f t="shared" si="11"/>
        <v>%</v>
      </c>
      <c r="N48" s="92">
        <f>'REGISTRO DE DATOS'!D49</f>
        <v>2</v>
      </c>
      <c r="O48" s="5">
        <f>'[1]REGISTRO DE DATOS'!W49</f>
        <v>0</v>
      </c>
      <c r="P48" s="5"/>
      <c r="Q48" s="1"/>
      <c r="R48" s="6"/>
      <c r="S48" s="18"/>
      <c r="T48" s="20"/>
      <c r="U48" s="21"/>
      <c r="V48" s="21"/>
      <c r="W48" s="143">
        <f t="shared" si="12"/>
        <v>0</v>
      </c>
      <c r="X48" s="24">
        <v>23</v>
      </c>
      <c r="Y48" s="24">
        <f>'REGISTRO DE DATOS'!P49</f>
        <v>0</v>
      </c>
      <c r="Z48" s="24">
        <v>23</v>
      </c>
    </row>
    <row r="49" spans="1:26" ht="15" thickBot="1" x14ac:dyDescent="0.35">
      <c r="A49" s="12">
        <v>45885</v>
      </c>
      <c r="B49" s="27">
        <f t="shared" si="7"/>
        <v>16</v>
      </c>
      <c r="C49" s="15">
        <v>3</v>
      </c>
      <c r="D49" s="44">
        <f>'REGISTRO DE DATOS'!T50</f>
        <v>0</v>
      </c>
      <c r="E49" s="44">
        <f t="shared" si="8"/>
        <v>0</v>
      </c>
      <c r="F49" s="44">
        <f t="shared" si="13"/>
        <v>0</v>
      </c>
      <c r="G49" s="44">
        <f>'REGISTRO DE DATOS'!R50</f>
        <v>0</v>
      </c>
      <c r="H49" s="45">
        <f t="shared" si="9"/>
        <v>0</v>
      </c>
      <c r="I49" s="45">
        <f>'REGISTRO DE DATOS'!O50</f>
        <v>0</v>
      </c>
      <c r="J49" s="90">
        <f>'REGISTRO DE DATOS'!G50</f>
        <v>0</v>
      </c>
      <c r="K49" s="90">
        <f>'REGISTRO DE DATOS'!I50</f>
        <v>0</v>
      </c>
      <c r="L49" s="90">
        <f t="shared" si="10"/>
        <v>0</v>
      </c>
      <c r="M49" s="94" t="str">
        <f t="shared" si="11"/>
        <v>%</v>
      </c>
      <c r="N49" s="90">
        <f>'REGISTRO DE DATOS'!D50</f>
        <v>0</v>
      </c>
      <c r="O49" s="7">
        <f>'[1]REGISTRO DE DATOS'!W50</f>
        <v>0</v>
      </c>
      <c r="P49" s="45"/>
      <c r="Q49" s="43"/>
      <c r="R49" s="46"/>
      <c r="S49" s="18"/>
      <c r="T49" s="22"/>
      <c r="U49" s="23"/>
      <c r="V49" s="23"/>
      <c r="W49" s="144">
        <f t="shared" si="12"/>
        <v>0</v>
      </c>
      <c r="X49" s="24">
        <v>23</v>
      </c>
      <c r="Y49" s="24">
        <f>'REGISTRO DE DATOS'!P50</f>
        <v>0</v>
      </c>
      <c r="Z49" s="24">
        <v>23</v>
      </c>
    </row>
    <row r="50" spans="1:26" ht="15" thickBot="1" x14ac:dyDescent="0.35">
      <c r="A50" s="10">
        <v>45886</v>
      </c>
      <c r="B50" s="27">
        <f t="shared" si="7"/>
        <v>17</v>
      </c>
      <c r="C50" s="13">
        <v>1</v>
      </c>
      <c r="D50" s="13">
        <f>'REGISTRO DE DATOS'!T51</f>
        <v>0</v>
      </c>
      <c r="E50" s="13">
        <f t="shared" si="8"/>
        <v>0</v>
      </c>
      <c r="F50" s="13">
        <f t="shared" si="13"/>
        <v>0</v>
      </c>
      <c r="G50" s="13">
        <f>'REGISTRO DE DATOS'!R51</f>
        <v>0</v>
      </c>
      <c r="H50" s="2">
        <f t="shared" si="9"/>
        <v>0</v>
      </c>
      <c r="I50" s="2">
        <f>'REGISTRO DE DATOS'!O51</f>
        <v>0</v>
      </c>
      <c r="J50" s="91">
        <f>'REGISTRO DE DATOS'!G51</f>
        <v>0</v>
      </c>
      <c r="K50" s="91">
        <f>'REGISTRO DE DATOS'!I51</f>
        <v>0</v>
      </c>
      <c r="L50" s="91">
        <f t="shared" si="10"/>
        <v>0</v>
      </c>
      <c r="M50" s="94" t="str">
        <f t="shared" si="11"/>
        <v>%</v>
      </c>
      <c r="N50" s="91">
        <f>'REGISTRO DE DATOS'!D51</f>
        <v>0</v>
      </c>
      <c r="O50" s="2">
        <f>'[1]REGISTRO DE DATOS'!W51</f>
        <v>0</v>
      </c>
      <c r="P50" s="2"/>
      <c r="Q50" s="3"/>
      <c r="R50" s="4"/>
      <c r="S50" s="18"/>
      <c r="T50" s="18"/>
      <c r="U50" s="19"/>
      <c r="V50" s="19"/>
      <c r="W50" s="142">
        <f t="shared" si="12"/>
        <v>0</v>
      </c>
      <c r="X50" s="24">
        <v>23</v>
      </c>
      <c r="Y50" s="24">
        <f>'REGISTRO DE DATOS'!P51</f>
        <v>0</v>
      </c>
      <c r="Z50" s="24">
        <v>23</v>
      </c>
    </row>
    <row r="51" spans="1:26" ht="15" thickBot="1" x14ac:dyDescent="0.35">
      <c r="A51" s="11">
        <v>45886</v>
      </c>
      <c r="B51" s="27">
        <f t="shared" si="7"/>
        <v>17</v>
      </c>
      <c r="C51" s="14">
        <v>2</v>
      </c>
      <c r="D51" s="14">
        <f>'REGISTRO DE DATOS'!T52</f>
        <v>16</v>
      </c>
      <c r="E51" s="14">
        <f t="shared" si="8"/>
        <v>1</v>
      </c>
      <c r="F51" s="14">
        <f t="shared" si="13"/>
        <v>15</v>
      </c>
      <c r="G51" s="14">
        <f>'REGISTRO DE DATOS'!R52</f>
        <v>0</v>
      </c>
      <c r="H51" s="5">
        <f t="shared" si="9"/>
        <v>0</v>
      </c>
      <c r="I51" s="5">
        <f>'REGISTRO DE DATOS'!O52</f>
        <v>0</v>
      </c>
      <c r="J51" s="92">
        <f>'REGISTRO DE DATOS'!G52</f>
        <v>0</v>
      </c>
      <c r="K51" s="92">
        <f>'REGISTRO DE DATOS'!I52</f>
        <v>0</v>
      </c>
      <c r="L51" s="92">
        <f t="shared" si="10"/>
        <v>0</v>
      </c>
      <c r="M51" s="94" t="str">
        <f t="shared" si="11"/>
        <v>%</v>
      </c>
      <c r="N51" s="92">
        <f>'REGISTRO DE DATOS'!D52</f>
        <v>1</v>
      </c>
      <c r="O51" s="5">
        <f>'[1]REGISTRO DE DATOS'!W52</f>
        <v>0</v>
      </c>
      <c r="P51" s="5"/>
      <c r="Q51" s="1"/>
      <c r="R51" s="6"/>
      <c r="S51" s="18"/>
      <c r="T51" s="20"/>
      <c r="U51" s="21"/>
      <c r="V51" s="21"/>
      <c r="W51" s="143">
        <v>20</v>
      </c>
      <c r="X51" s="24">
        <v>23</v>
      </c>
      <c r="Y51" s="24">
        <f>'REGISTRO DE DATOS'!P52</f>
        <v>0</v>
      </c>
      <c r="Z51" s="24">
        <v>23</v>
      </c>
    </row>
    <row r="52" spans="1:26" ht="15" thickBot="1" x14ac:dyDescent="0.35">
      <c r="A52" s="12">
        <v>45886</v>
      </c>
      <c r="B52" s="27">
        <f t="shared" si="7"/>
        <v>17</v>
      </c>
      <c r="C52" s="15">
        <v>3</v>
      </c>
      <c r="D52" s="15">
        <f>'REGISTRO DE DATOS'!T53</f>
        <v>52</v>
      </c>
      <c r="E52" s="15">
        <f t="shared" si="8"/>
        <v>1</v>
      </c>
      <c r="F52" s="15">
        <f t="shared" si="13"/>
        <v>51</v>
      </c>
      <c r="G52" s="15">
        <f>'REGISTRO DE DATOS'!R53</f>
        <v>0</v>
      </c>
      <c r="H52" s="7">
        <f t="shared" si="9"/>
        <v>0</v>
      </c>
      <c r="I52" s="7">
        <f>'REGISTRO DE DATOS'!O53</f>
        <v>0</v>
      </c>
      <c r="J52" s="90">
        <f>'REGISTRO DE DATOS'!G53</f>
        <v>0</v>
      </c>
      <c r="K52" s="90">
        <f>'REGISTRO DE DATOS'!I53</f>
        <v>0</v>
      </c>
      <c r="L52" s="90">
        <f t="shared" si="10"/>
        <v>0</v>
      </c>
      <c r="M52" s="94" t="str">
        <f t="shared" si="11"/>
        <v>%</v>
      </c>
      <c r="N52" s="90">
        <f>'REGISTRO DE DATOS'!D53</f>
        <v>1</v>
      </c>
      <c r="O52" s="7">
        <f>'[1]REGISTRO DE DATOS'!W53</f>
        <v>0</v>
      </c>
      <c r="P52" s="7"/>
      <c r="Q52" s="8"/>
      <c r="R52" s="9"/>
      <c r="S52" s="18"/>
      <c r="T52" s="22"/>
      <c r="U52" s="23"/>
      <c r="V52" s="23"/>
      <c r="W52" s="144">
        <f t="shared" si="12"/>
        <v>0</v>
      </c>
      <c r="X52" s="24">
        <v>23</v>
      </c>
      <c r="Y52" s="24">
        <f>'REGISTRO DE DATOS'!P53</f>
        <v>0</v>
      </c>
      <c r="Z52" s="24">
        <v>23</v>
      </c>
    </row>
    <row r="53" spans="1:26" ht="15" thickBot="1" x14ac:dyDescent="0.35">
      <c r="A53" s="10">
        <v>45887</v>
      </c>
      <c r="B53" s="27">
        <f t="shared" si="7"/>
        <v>18</v>
      </c>
      <c r="C53" s="13">
        <v>1</v>
      </c>
      <c r="D53" s="40">
        <f>'REGISTRO DE DATOS'!T54</f>
        <v>0</v>
      </c>
      <c r="E53" s="40">
        <f t="shared" si="8"/>
        <v>0</v>
      </c>
      <c r="F53" s="40">
        <f t="shared" si="13"/>
        <v>0</v>
      </c>
      <c r="G53" s="40">
        <f>'REGISTRO DE DATOS'!R54</f>
        <v>0</v>
      </c>
      <c r="H53" s="41">
        <f t="shared" si="9"/>
        <v>0</v>
      </c>
      <c r="I53" s="41">
        <f>'REGISTRO DE DATOS'!O54</f>
        <v>0</v>
      </c>
      <c r="J53" s="91">
        <f>'REGISTRO DE DATOS'!G54</f>
        <v>0</v>
      </c>
      <c r="K53" s="91">
        <f>'REGISTRO DE DATOS'!I54</f>
        <v>0</v>
      </c>
      <c r="L53" s="91">
        <f t="shared" si="10"/>
        <v>0</v>
      </c>
      <c r="M53" s="94" t="str">
        <f t="shared" si="11"/>
        <v>%</v>
      </c>
      <c r="N53" s="91">
        <f>'REGISTRO DE DATOS'!D54</f>
        <v>0</v>
      </c>
      <c r="O53" s="2">
        <f>'[1]REGISTRO DE DATOS'!W54</f>
        <v>0</v>
      </c>
      <c r="P53" s="41"/>
      <c r="Q53" s="39"/>
      <c r="R53" s="42"/>
      <c r="S53" s="18"/>
      <c r="T53" s="18"/>
      <c r="U53" s="19"/>
      <c r="V53" s="19"/>
      <c r="W53" s="142">
        <f t="shared" si="12"/>
        <v>0</v>
      </c>
      <c r="X53" s="24">
        <v>23</v>
      </c>
      <c r="Y53" s="24">
        <f>'REGISTRO DE DATOS'!P54</f>
        <v>0</v>
      </c>
      <c r="Z53" s="24">
        <v>23</v>
      </c>
    </row>
    <row r="54" spans="1:26" ht="15" thickBot="1" x14ac:dyDescent="0.35">
      <c r="A54" s="11">
        <v>45887</v>
      </c>
      <c r="B54" s="27">
        <f t="shared" si="7"/>
        <v>18</v>
      </c>
      <c r="C54" s="14">
        <v>2</v>
      </c>
      <c r="D54" s="14">
        <f>'REGISTRO DE DATOS'!T55</f>
        <v>0</v>
      </c>
      <c r="E54" s="14">
        <f t="shared" si="8"/>
        <v>1</v>
      </c>
      <c r="F54" s="14">
        <f t="shared" si="13"/>
        <v>-1</v>
      </c>
      <c r="G54" s="14">
        <f>'REGISTRO DE DATOS'!R55</f>
        <v>0</v>
      </c>
      <c r="H54" s="5">
        <f t="shared" si="9"/>
        <v>0</v>
      </c>
      <c r="I54" s="5">
        <f>'REGISTRO DE DATOS'!O55</f>
        <v>0</v>
      </c>
      <c r="J54" s="92">
        <f>'REGISTRO DE DATOS'!G55</f>
        <v>0</v>
      </c>
      <c r="K54" s="92">
        <f>'REGISTRO DE DATOS'!I55</f>
        <v>0</v>
      </c>
      <c r="L54" s="92">
        <f t="shared" si="10"/>
        <v>0</v>
      </c>
      <c r="M54" s="94" t="str">
        <f t="shared" si="11"/>
        <v>%</v>
      </c>
      <c r="N54" s="92">
        <f>'REGISTRO DE DATOS'!D55</f>
        <v>1</v>
      </c>
      <c r="O54" s="5">
        <f>'[1]REGISTRO DE DATOS'!W55</f>
        <v>0</v>
      </c>
      <c r="P54" s="5"/>
      <c r="Q54" s="1"/>
      <c r="R54" s="6"/>
      <c r="S54" s="18"/>
      <c r="T54" s="20"/>
      <c r="U54" s="21"/>
      <c r="V54" s="21"/>
      <c r="W54" s="143">
        <f t="shared" si="12"/>
        <v>0</v>
      </c>
      <c r="X54" s="24">
        <v>23</v>
      </c>
      <c r="Y54" s="24">
        <f>'REGISTRO DE DATOS'!P55</f>
        <v>0</v>
      </c>
      <c r="Z54" s="24">
        <v>23</v>
      </c>
    </row>
    <row r="55" spans="1:26" ht="15" thickBot="1" x14ac:dyDescent="0.35">
      <c r="A55" s="12">
        <v>45887</v>
      </c>
      <c r="B55" s="27">
        <f t="shared" si="7"/>
        <v>18</v>
      </c>
      <c r="C55" s="15">
        <v>3</v>
      </c>
      <c r="D55" s="44">
        <f>'REGISTRO DE DATOS'!T56</f>
        <v>54</v>
      </c>
      <c r="E55" s="44">
        <f t="shared" si="8"/>
        <v>1</v>
      </c>
      <c r="F55" s="44">
        <f t="shared" si="13"/>
        <v>53</v>
      </c>
      <c r="G55" s="44">
        <f>'REGISTRO DE DATOS'!R56</f>
        <v>0</v>
      </c>
      <c r="H55" s="45">
        <f t="shared" si="9"/>
        <v>0</v>
      </c>
      <c r="I55" s="45">
        <f>'REGISTRO DE DATOS'!O56</f>
        <v>0</v>
      </c>
      <c r="J55" s="90">
        <f>'REGISTRO DE DATOS'!G56</f>
        <v>0</v>
      </c>
      <c r="K55" s="90">
        <f>'REGISTRO DE DATOS'!I56</f>
        <v>0</v>
      </c>
      <c r="L55" s="90">
        <f t="shared" si="10"/>
        <v>0</v>
      </c>
      <c r="M55" s="94" t="str">
        <f t="shared" si="11"/>
        <v>%</v>
      </c>
      <c r="N55" s="90">
        <f>'REGISTRO DE DATOS'!D56</f>
        <v>1</v>
      </c>
      <c r="O55" s="7">
        <f>'[1]REGISTRO DE DATOS'!W56</f>
        <v>0</v>
      </c>
      <c r="P55" s="45"/>
      <c r="Q55" s="43"/>
      <c r="R55" s="46"/>
      <c r="S55" s="18"/>
      <c r="T55" s="22"/>
      <c r="U55" s="23"/>
      <c r="V55" s="23"/>
      <c r="W55" s="144">
        <f t="shared" si="12"/>
        <v>0</v>
      </c>
      <c r="X55" s="24">
        <v>23</v>
      </c>
      <c r="Y55" s="24">
        <f>'REGISTRO DE DATOS'!P56</f>
        <v>0</v>
      </c>
      <c r="Z55" s="24">
        <v>23</v>
      </c>
    </row>
    <row r="56" spans="1:26" ht="15" thickBot="1" x14ac:dyDescent="0.35">
      <c r="A56" s="10">
        <v>45888</v>
      </c>
      <c r="B56" s="27">
        <f t="shared" si="7"/>
        <v>19</v>
      </c>
      <c r="C56" s="13">
        <v>1</v>
      </c>
      <c r="D56" s="13">
        <f>'REGISTRO DE DATOS'!T57</f>
        <v>0</v>
      </c>
      <c r="E56" s="13">
        <f t="shared" si="8"/>
        <v>0</v>
      </c>
      <c r="F56" s="13">
        <f t="shared" si="13"/>
        <v>0</v>
      </c>
      <c r="G56" s="13">
        <f>'REGISTRO DE DATOS'!R57</f>
        <v>0</v>
      </c>
      <c r="H56" s="2">
        <f t="shared" si="9"/>
        <v>0</v>
      </c>
      <c r="I56" s="2">
        <f>'REGISTRO DE DATOS'!O57</f>
        <v>0</v>
      </c>
      <c r="J56" s="91">
        <f>'REGISTRO DE DATOS'!G57</f>
        <v>0</v>
      </c>
      <c r="K56" s="91">
        <f>'REGISTRO DE DATOS'!I57</f>
        <v>0</v>
      </c>
      <c r="L56" s="91">
        <f t="shared" si="10"/>
        <v>0</v>
      </c>
      <c r="M56" s="94" t="str">
        <f t="shared" si="11"/>
        <v>%</v>
      </c>
      <c r="N56" s="91">
        <f>'REGISTRO DE DATOS'!D57</f>
        <v>0</v>
      </c>
      <c r="O56" s="2">
        <f>'[1]REGISTRO DE DATOS'!W57</f>
        <v>0</v>
      </c>
      <c r="P56" s="2"/>
      <c r="Q56" s="3"/>
      <c r="R56" s="4"/>
      <c r="S56" s="18"/>
      <c r="T56" s="18"/>
      <c r="U56" s="19"/>
      <c r="V56" s="19"/>
      <c r="W56" s="142">
        <f t="shared" si="12"/>
        <v>0</v>
      </c>
      <c r="X56" s="24">
        <v>23</v>
      </c>
      <c r="Y56" s="24">
        <f>'REGISTRO DE DATOS'!P57</f>
        <v>0</v>
      </c>
      <c r="Z56" s="24">
        <v>23</v>
      </c>
    </row>
    <row r="57" spans="1:26" ht="15" thickBot="1" x14ac:dyDescent="0.35">
      <c r="A57" s="11">
        <v>45888</v>
      </c>
      <c r="B57" s="27">
        <f t="shared" si="7"/>
        <v>19</v>
      </c>
      <c r="C57" s="14">
        <v>2</v>
      </c>
      <c r="D57" s="14">
        <f>'REGISTRO DE DATOS'!T58</f>
        <v>0</v>
      </c>
      <c r="E57" s="14">
        <f t="shared" si="8"/>
        <v>2</v>
      </c>
      <c r="F57" s="14">
        <f t="shared" si="13"/>
        <v>-2</v>
      </c>
      <c r="G57" s="14">
        <f>'REGISTRO DE DATOS'!R58</f>
        <v>0</v>
      </c>
      <c r="H57" s="5">
        <f t="shared" si="9"/>
        <v>0</v>
      </c>
      <c r="I57" s="5">
        <f>'REGISTRO DE DATOS'!O58</f>
        <v>0</v>
      </c>
      <c r="J57" s="92">
        <f>'REGISTRO DE DATOS'!G58</f>
        <v>0</v>
      </c>
      <c r="K57" s="92">
        <f>'REGISTRO DE DATOS'!I58</f>
        <v>0</v>
      </c>
      <c r="L57" s="92">
        <f t="shared" si="10"/>
        <v>0</v>
      </c>
      <c r="M57" s="94" t="str">
        <f t="shared" si="11"/>
        <v>%</v>
      </c>
      <c r="N57" s="92">
        <f>'REGISTRO DE DATOS'!D58</f>
        <v>2</v>
      </c>
      <c r="O57" s="5">
        <f>'[1]REGISTRO DE DATOS'!W58</f>
        <v>0</v>
      </c>
      <c r="P57" s="5"/>
      <c r="Q57" s="1"/>
      <c r="R57" s="6"/>
      <c r="S57" s="18"/>
      <c r="T57" s="20"/>
      <c r="U57" s="21"/>
      <c r="V57" s="21"/>
      <c r="W57" s="143">
        <v>18</v>
      </c>
      <c r="X57" s="24">
        <v>23</v>
      </c>
      <c r="Y57" s="24">
        <f>'REGISTRO DE DATOS'!P58</f>
        <v>0</v>
      </c>
      <c r="Z57" s="24">
        <v>23</v>
      </c>
    </row>
    <row r="58" spans="1:26" ht="15" thickBot="1" x14ac:dyDescent="0.35">
      <c r="A58" s="12">
        <v>45888</v>
      </c>
      <c r="B58" s="27">
        <f t="shared" si="7"/>
        <v>19</v>
      </c>
      <c r="C58" s="15">
        <v>3</v>
      </c>
      <c r="D58" s="15">
        <f>'REGISTRO DE DATOS'!T59</f>
        <v>94</v>
      </c>
      <c r="E58" s="15">
        <f t="shared" si="8"/>
        <v>0</v>
      </c>
      <c r="F58" s="15">
        <f t="shared" si="13"/>
        <v>94</v>
      </c>
      <c r="G58" s="15">
        <f>'REGISTRO DE DATOS'!R59</f>
        <v>0</v>
      </c>
      <c r="H58" s="7">
        <f t="shared" si="9"/>
        <v>0</v>
      </c>
      <c r="I58" s="7">
        <f>'REGISTRO DE DATOS'!O59</f>
        <v>0</v>
      </c>
      <c r="J58" s="90">
        <f>'REGISTRO DE DATOS'!G59</f>
        <v>0</v>
      </c>
      <c r="K58" s="90">
        <f>'REGISTRO DE DATOS'!I59</f>
        <v>0</v>
      </c>
      <c r="L58" s="90">
        <f t="shared" si="10"/>
        <v>0</v>
      </c>
      <c r="M58" s="94" t="str">
        <f t="shared" si="11"/>
        <v>%</v>
      </c>
      <c r="N58" s="90">
        <f>'REGISTRO DE DATOS'!D59</f>
        <v>0</v>
      </c>
      <c r="O58" s="7">
        <f>'[1]REGISTRO DE DATOS'!W59</f>
        <v>0</v>
      </c>
      <c r="P58" s="7"/>
      <c r="Q58" s="8"/>
      <c r="R58" s="9"/>
      <c r="S58" s="18"/>
      <c r="T58" s="22"/>
      <c r="U58" s="23"/>
      <c r="V58" s="23"/>
      <c r="W58" s="144">
        <f t="shared" si="12"/>
        <v>0</v>
      </c>
      <c r="X58" s="24">
        <v>23</v>
      </c>
      <c r="Y58" s="24">
        <f>'REGISTRO DE DATOS'!P59</f>
        <v>0</v>
      </c>
      <c r="Z58" s="24">
        <v>23</v>
      </c>
    </row>
    <row r="59" spans="1:26" ht="15" thickBot="1" x14ac:dyDescent="0.35">
      <c r="A59" s="10">
        <v>45889</v>
      </c>
      <c r="B59" s="27">
        <f t="shared" si="7"/>
        <v>20</v>
      </c>
      <c r="C59" s="13">
        <v>1</v>
      </c>
      <c r="D59" s="40">
        <f>'REGISTRO DE DATOS'!T60</f>
        <v>0</v>
      </c>
      <c r="E59" s="40">
        <f t="shared" si="8"/>
        <v>0</v>
      </c>
      <c r="F59" s="40">
        <f t="shared" si="13"/>
        <v>0</v>
      </c>
      <c r="G59" s="40">
        <f>'REGISTRO DE DATOS'!R60</f>
        <v>0</v>
      </c>
      <c r="H59" s="41">
        <f t="shared" si="9"/>
        <v>0</v>
      </c>
      <c r="I59" s="41">
        <f>'REGISTRO DE DATOS'!O60</f>
        <v>0</v>
      </c>
      <c r="J59" s="91">
        <f>'REGISTRO DE DATOS'!G60</f>
        <v>0</v>
      </c>
      <c r="K59" s="91">
        <f>'REGISTRO DE DATOS'!I60</f>
        <v>0</v>
      </c>
      <c r="L59" s="91">
        <f t="shared" si="10"/>
        <v>0</v>
      </c>
      <c r="M59" s="94" t="str">
        <f t="shared" si="11"/>
        <v>%</v>
      </c>
      <c r="N59" s="91">
        <f>'REGISTRO DE DATOS'!D60</f>
        <v>0</v>
      </c>
      <c r="O59" s="2">
        <f>'[1]REGISTRO DE DATOS'!W60</f>
        <v>-33560</v>
      </c>
      <c r="P59" s="41"/>
      <c r="Q59" s="39"/>
      <c r="R59" s="42"/>
      <c r="S59" s="18"/>
      <c r="T59" s="18"/>
      <c r="U59" s="19"/>
      <c r="V59" s="19"/>
      <c r="W59" s="142">
        <f t="shared" si="12"/>
        <v>0</v>
      </c>
      <c r="X59" s="24">
        <v>23</v>
      </c>
      <c r="Y59" s="24">
        <f>'REGISTRO DE DATOS'!P60</f>
        <v>0</v>
      </c>
      <c r="Z59" s="24">
        <v>23</v>
      </c>
    </row>
    <row r="60" spans="1:26" ht="15" thickBot="1" x14ac:dyDescent="0.35">
      <c r="A60" s="11">
        <v>45889</v>
      </c>
      <c r="B60" s="27">
        <f t="shared" si="7"/>
        <v>20</v>
      </c>
      <c r="C60" s="14">
        <v>2</v>
      </c>
      <c r="D60" s="14">
        <f>'REGISTRO DE DATOS'!T61</f>
        <v>43</v>
      </c>
      <c r="E60" s="14">
        <f t="shared" si="8"/>
        <v>2</v>
      </c>
      <c r="F60" s="14">
        <f t="shared" si="13"/>
        <v>41</v>
      </c>
      <c r="G60" s="14">
        <f>'REGISTRO DE DATOS'!R61</f>
        <v>0</v>
      </c>
      <c r="H60" s="5">
        <f t="shared" si="9"/>
        <v>0</v>
      </c>
      <c r="I60" s="5">
        <f>'REGISTRO DE DATOS'!O61</f>
        <v>0</v>
      </c>
      <c r="J60" s="92">
        <f>'REGISTRO DE DATOS'!G61</f>
        <v>0</v>
      </c>
      <c r="K60" s="92">
        <f>'REGISTRO DE DATOS'!I61</f>
        <v>0</v>
      </c>
      <c r="L60" s="92">
        <f t="shared" si="10"/>
        <v>0</v>
      </c>
      <c r="M60" s="94" t="str">
        <f t="shared" si="11"/>
        <v>%</v>
      </c>
      <c r="N60" s="92">
        <f>'REGISTRO DE DATOS'!D61</f>
        <v>2</v>
      </c>
      <c r="O60" s="5">
        <f>'[1]REGISTRO DE DATOS'!W61</f>
        <v>0</v>
      </c>
      <c r="P60" s="5"/>
      <c r="Q60" s="1"/>
      <c r="R60" s="6"/>
      <c r="S60" s="18"/>
      <c r="T60" s="20"/>
      <c r="U60" s="21"/>
      <c r="V60" s="21"/>
      <c r="W60" s="143">
        <v>36</v>
      </c>
      <c r="X60" s="24">
        <v>23</v>
      </c>
      <c r="Y60" s="24">
        <f>'REGISTRO DE DATOS'!P61</f>
        <v>0</v>
      </c>
      <c r="Z60" s="24">
        <v>23</v>
      </c>
    </row>
    <row r="61" spans="1:26" ht="15" thickBot="1" x14ac:dyDescent="0.35">
      <c r="A61" s="12">
        <v>45889</v>
      </c>
      <c r="B61" s="27">
        <f t="shared" si="7"/>
        <v>20</v>
      </c>
      <c r="C61" s="15">
        <v>3</v>
      </c>
      <c r="D61" s="44">
        <f>'REGISTRO DE DATOS'!T62</f>
        <v>27</v>
      </c>
      <c r="E61" s="44">
        <f t="shared" si="8"/>
        <v>1</v>
      </c>
      <c r="F61" s="44">
        <f t="shared" si="13"/>
        <v>26</v>
      </c>
      <c r="G61" s="44">
        <f>'REGISTRO DE DATOS'!R62</f>
        <v>0</v>
      </c>
      <c r="H61" s="45">
        <f t="shared" si="9"/>
        <v>0</v>
      </c>
      <c r="I61" s="45">
        <f>'REGISTRO DE DATOS'!O62</f>
        <v>0</v>
      </c>
      <c r="J61" s="90">
        <f>'REGISTRO DE DATOS'!G62</f>
        <v>0</v>
      </c>
      <c r="K61" s="90">
        <f>'REGISTRO DE DATOS'!I62</f>
        <v>0</v>
      </c>
      <c r="L61" s="90">
        <f t="shared" si="10"/>
        <v>0</v>
      </c>
      <c r="M61" s="94" t="str">
        <f t="shared" si="11"/>
        <v>%</v>
      </c>
      <c r="N61" s="90">
        <f>'REGISTRO DE DATOS'!D62</f>
        <v>1</v>
      </c>
      <c r="O61" s="7">
        <f>'[1]REGISTRO DE DATOS'!W62</f>
        <v>0</v>
      </c>
      <c r="P61" s="45"/>
      <c r="Q61" s="43"/>
      <c r="R61" s="46"/>
      <c r="S61" s="18"/>
      <c r="T61" s="22"/>
      <c r="U61" s="23"/>
      <c r="V61" s="23"/>
      <c r="W61" s="144">
        <f t="shared" si="12"/>
        <v>0</v>
      </c>
      <c r="X61" s="24">
        <v>23</v>
      </c>
      <c r="Y61" s="24">
        <f>'REGISTRO DE DATOS'!P62</f>
        <v>0</v>
      </c>
      <c r="Z61" s="24">
        <v>23</v>
      </c>
    </row>
    <row r="62" spans="1:26" ht="15" thickBot="1" x14ac:dyDescent="0.35">
      <c r="A62" s="10">
        <v>45890</v>
      </c>
      <c r="B62" s="27">
        <f t="shared" si="7"/>
        <v>21</v>
      </c>
      <c r="C62" s="13">
        <v>1</v>
      </c>
      <c r="D62" s="13">
        <f>'REGISTRO DE DATOS'!T63</f>
        <v>0</v>
      </c>
      <c r="E62" s="13">
        <f t="shared" si="8"/>
        <v>0</v>
      </c>
      <c r="F62" s="13">
        <f t="shared" si="13"/>
        <v>0</v>
      </c>
      <c r="G62" s="13">
        <f>'REGISTRO DE DATOS'!R63</f>
        <v>0</v>
      </c>
      <c r="H62" s="2">
        <f t="shared" si="9"/>
        <v>0</v>
      </c>
      <c r="I62" s="2">
        <f>'REGISTRO DE DATOS'!O63</f>
        <v>0</v>
      </c>
      <c r="J62" s="91">
        <f>'REGISTRO DE DATOS'!G63</f>
        <v>0</v>
      </c>
      <c r="K62" s="91">
        <f>'REGISTRO DE DATOS'!I63</f>
        <v>0</v>
      </c>
      <c r="L62" s="91">
        <f t="shared" si="10"/>
        <v>0</v>
      </c>
      <c r="M62" s="94" t="str">
        <f t="shared" si="11"/>
        <v>%</v>
      </c>
      <c r="N62" s="91">
        <f>'REGISTRO DE DATOS'!D63</f>
        <v>0</v>
      </c>
      <c r="O62" s="2">
        <f>'[1]REGISTRO DE DATOS'!W63</f>
        <v>0</v>
      </c>
      <c r="P62" s="2"/>
      <c r="Q62" s="3"/>
      <c r="R62" s="4"/>
      <c r="S62" s="18"/>
      <c r="T62" s="18"/>
      <c r="U62" s="19"/>
      <c r="V62" s="19"/>
      <c r="W62" s="142">
        <f t="shared" si="12"/>
        <v>0</v>
      </c>
      <c r="X62" s="24">
        <v>23</v>
      </c>
      <c r="Y62" s="24">
        <f>'REGISTRO DE DATOS'!P63</f>
        <v>0</v>
      </c>
      <c r="Z62" s="24">
        <v>23</v>
      </c>
    </row>
    <row r="63" spans="1:26" ht="15" thickBot="1" x14ac:dyDescent="0.35">
      <c r="A63" s="11">
        <v>45890</v>
      </c>
      <c r="B63" s="27">
        <f t="shared" si="7"/>
        <v>21</v>
      </c>
      <c r="C63" s="14">
        <v>2</v>
      </c>
      <c r="D63" s="14">
        <f>'REGISTRO DE DATOS'!T64</f>
        <v>16</v>
      </c>
      <c r="E63" s="14">
        <f t="shared" si="8"/>
        <v>0</v>
      </c>
      <c r="F63" s="14">
        <f t="shared" si="13"/>
        <v>16</v>
      </c>
      <c r="G63" s="14">
        <f>'REGISTRO DE DATOS'!R64</f>
        <v>0</v>
      </c>
      <c r="H63" s="5">
        <f t="shared" si="9"/>
        <v>0</v>
      </c>
      <c r="I63" s="5">
        <f>'REGISTRO DE DATOS'!O64</f>
        <v>0</v>
      </c>
      <c r="J63" s="92">
        <f>'REGISTRO DE DATOS'!G64</f>
        <v>0</v>
      </c>
      <c r="K63" s="92">
        <f>'REGISTRO DE DATOS'!I64</f>
        <v>0</v>
      </c>
      <c r="L63" s="92">
        <f t="shared" si="10"/>
        <v>0</v>
      </c>
      <c r="M63" s="94" t="str">
        <f t="shared" si="11"/>
        <v>%</v>
      </c>
      <c r="N63" s="92">
        <f>'REGISTRO DE DATOS'!D64</f>
        <v>0</v>
      </c>
      <c r="O63" s="5">
        <f>'[1]REGISTRO DE DATOS'!W64</f>
        <v>0</v>
      </c>
      <c r="P63" s="5"/>
      <c r="Q63" s="1"/>
      <c r="R63" s="6"/>
      <c r="S63" s="18"/>
      <c r="T63" s="20"/>
      <c r="U63" s="21"/>
      <c r="V63" s="21"/>
      <c r="W63" s="143">
        <v>24</v>
      </c>
      <c r="X63" s="24">
        <v>23</v>
      </c>
      <c r="Y63" s="24">
        <f>'REGISTRO DE DATOS'!P64</f>
        <v>0</v>
      </c>
      <c r="Z63" s="24">
        <v>23</v>
      </c>
    </row>
    <row r="64" spans="1:26" ht="15" thickBot="1" x14ac:dyDescent="0.35">
      <c r="A64" s="12">
        <v>45890</v>
      </c>
      <c r="B64" s="27">
        <f t="shared" si="7"/>
        <v>21</v>
      </c>
      <c r="C64" s="15">
        <v>3</v>
      </c>
      <c r="D64" s="15">
        <f>'REGISTRO DE DATOS'!T65</f>
        <v>4</v>
      </c>
      <c r="E64" s="15">
        <f t="shared" si="8"/>
        <v>1</v>
      </c>
      <c r="F64" s="15">
        <f t="shared" si="13"/>
        <v>3</v>
      </c>
      <c r="G64" s="15">
        <f>'REGISTRO DE DATOS'!R65</f>
        <v>10</v>
      </c>
      <c r="H64" s="7">
        <f t="shared" si="9"/>
        <v>0</v>
      </c>
      <c r="I64" s="7">
        <f>'REGISTRO DE DATOS'!O65</f>
        <v>0</v>
      </c>
      <c r="J64" s="90">
        <f>'REGISTRO DE DATOS'!G65</f>
        <v>0</v>
      </c>
      <c r="K64" s="90">
        <f>'REGISTRO DE DATOS'!I65</f>
        <v>0</v>
      </c>
      <c r="L64" s="90">
        <f t="shared" si="10"/>
        <v>0</v>
      </c>
      <c r="M64" s="94" t="str">
        <f t="shared" si="11"/>
        <v>%</v>
      </c>
      <c r="N64" s="90">
        <f>'REGISTRO DE DATOS'!D65</f>
        <v>1</v>
      </c>
      <c r="O64" s="7">
        <f>'[1]REGISTRO DE DATOS'!W65</f>
        <v>0</v>
      </c>
      <c r="P64" s="7"/>
      <c r="Q64" s="8"/>
      <c r="R64" s="9"/>
      <c r="S64" s="18"/>
      <c r="T64" s="22"/>
      <c r="U64" s="23"/>
      <c r="V64" s="23"/>
      <c r="W64" s="144">
        <f t="shared" si="12"/>
        <v>0</v>
      </c>
      <c r="X64" s="24">
        <v>23</v>
      </c>
      <c r="Y64" s="24">
        <f>'REGISTRO DE DATOS'!P65</f>
        <v>1</v>
      </c>
      <c r="Z64" s="24">
        <v>23</v>
      </c>
    </row>
    <row r="65" spans="1:26" ht="15" thickBot="1" x14ac:dyDescent="0.35">
      <c r="A65" s="10">
        <v>45891</v>
      </c>
      <c r="B65" s="27">
        <f t="shared" si="7"/>
        <v>22</v>
      </c>
      <c r="C65" s="13">
        <v>1</v>
      </c>
      <c r="D65" s="40">
        <f>'REGISTRO DE DATOS'!T66</f>
        <v>0</v>
      </c>
      <c r="E65" s="40">
        <f t="shared" si="8"/>
        <v>0</v>
      </c>
      <c r="F65" s="40">
        <f t="shared" si="13"/>
        <v>0</v>
      </c>
      <c r="G65" s="40">
        <f>'REGISTRO DE DATOS'!R66</f>
        <v>0</v>
      </c>
      <c r="H65" s="41">
        <f t="shared" si="9"/>
        <v>0</v>
      </c>
      <c r="I65" s="41">
        <f>'REGISTRO DE DATOS'!O66</f>
        <v>0</v>
      </c>
      <c r="J65" s="91">
        <f>'REGISTRO DE DATOS'!G66</f>
        <v>0</v>
      </c>
      <c r="K65" s="91">
        <f>'REGISTRO DE DATOS'!I66</f>
        <v>0</v>
      </c>
      <c r="L65" s="91">
        <f t="shared" si="10"/>
        <v>0</v>
      </c>
      <c r="M65" s="94" t="str">
        <f t="shared" si="11"/>
        <v>%</v>
      </c>
      <c r="N65" s="91">
        <f>'REGISTRO DE DATOS'!D66</f>
        <v>0</v>
      </c>
      <c r="O65" s="2">
        <f>'[1]REGISTRO DE DATOS'!W66</f>
        <v>0</v>
      </c>
      <c r="P65" s="41"/>
      <c r="Q65" s="39"/>
      <c r="R65" s="42"/>
      <c r="S65" s="18"/>
      <c r="T65" s="18"/>
      <c r="U65" s="19"/>
      <c r="V65" s="19"/>
      <c r="W65" s="142">
        <f t="shared" si="12"/>
        <v>0</v>
      </c>
      <c r="X65" s="24">
        <v>23</v>
      </c>
      <c r="Y65" s="24">
        <f>'REGISTRO DE DATOS'!P66</f>
        <v>0</v>
      </c>
      <c r="Z65" s="24">
        <v>23</v>
      </c>
    </row>
    <row r="66" spans="1:26" ht="15" thickBot="1" x14ac:dyDescent="0.35">
      <c r="A66" s="11">
        <v>45891</v>
      </c>
      <c r="B66" s="27">
        <f t="shared" ref="B66:B94" si="14">DAY(A66)</f>
        <v>22</v>
      </c>
      <c r="C66" s="14">
        <v>2</v>
      </c>
      <c r="D66" s="14">
        <f>'REGISTRO DE DATOS'!T67</f>
        <v>0</v>
      </c>
      <c r="E66" s="14">
        <f t="shared" ref="E66:E96" si="15">+N66-K66-I66</f>
        <v>0</v>
      </c>
      <c r="F66" s="14">
        <f t="shared" si="13"/>
        <v>0</v>
      </c>
      <c r="G66" s="14">
        <f>'REGISTRO DE DATOS'!R67</f>
        <v>0</v>
      </c>
      <c r="H66" s="5">
        <f t="shared" ref="H66:H96" si="16">P66+Q66+R66</f>
        <v>0</v>
      </c>
      <c r="I66" s="5">
        <f>'REGISTRO DE DATOS'!O67</f>
        <v>0</v>
      </c>
      <c r="J66" s="92">
        <f>'REGISTRO DE DATOS'!G67</f>
        <v>0</v>
      </c>
      <c r="K66" s="92">
        <f>'REGISTRO DE DATOS'!I67</f>
        <v>0</v>
      </c>
      <c r="L66" s="92">
        <f t="shared" ref="L66:L95" si="17">+J66-K66</f>
        <v>0</v>
      </c>
      <c r="M66" s="94" t="str">
        <f t="shared" ref="M66:M95" si="18">IF(ISERROR(K66/J66),"%",(K66/J66))</f>
        <v>%</v>
      </c>
      <c r="N66" s="92">
        <f>'REGISTRO DE DATOS'!D67</f>
        <v>0</v>
      </c>
      <c r="O66" s="5">
        <f>'[1]REGISTRO DE DATOS'!W67</f>
        <v>0</v>
      </c>
      <c r="P66" s="5"/>
      <c r="Q66" s="1"/>
      <c r="R66" s="6"/>
      <c r="S66" s="18"/>
      <c r="T66" s="20"/>
      <c r="U66" s="21"/>
      <c r="V66" s="21"/>
      <c r="W66" s="143">
        <f t="shared" ref="W66:W96" si="19">+T66+U66</f>
        <v>0</v>
      </c>
      <c r="X66" s="24">
        <v>23</v>
      </c>
      <c r="Y66" s="24">
        <f>'REGISTRO DE DATOS'!P67</f>
        <v>0</v>
      </c>
      <c r="Z66" s="24">
        <v>23</v>
      </c>
    </row>
    <row r="67" spans="1:26" ht="15" thickBot="1" x14ac:dyDescent="0.35">
      <c r="A67" s="12">
        <v>45891</v>
      </c>
      <c r="B67" s="27">
        <f t="shared" si="14"/>
        <v>22</v>
      </c>
      <c r="C67" s="15">
        <v>3</v>
      </c>
      <c r="D67" s="44">
        <f>'REGISTRO DE DATOS'!T68</f>
        <v>0</v>
      </c>
      <c r="E67" s="44">
        <f t="shared" si="15"/>
        <v>0</v>
      </c>
      <c r="F67" s="44">
        <f t="shared" si="13"/>
        <v>0</v>
      </c>
      <c r="G67" s="44">
        <f>'REGISTRO DE DATOS'!R68</f>
        <v>0</v>
      </c>
      <c r="H67" s="45">
        <f t="shared" si="16"/>
        <v>0</v>
      </c>
      <c r="I67" s="45">
        <f>'REGISTRO DE DATOS'!O68</f>
        <v>0</v>
      </c>
      <c r="J67" s="90">
        <f>'REGISTRO DE DATOS'!G68</f>
        <v>0</v>
      </c>
      <c r="K67" s="90">
        <f>'REGISTRO DE DATOS'!I68</f>
        <v>0</v>
      </c>
      <c r="L67" s="90">
        <f t="shared" si="17"/>
        <v>0</v>
      </c>
      <c r="M67" s="94" t="str">
        <f t="shared" si="18"/>
        <v>%</v>
      </c>
      <c r="N67" s="90">
        <f>'REGISTRO DE DATOS'!D68</f>
        <v>0</v>
      </c>
      <c r="O67" s="7">
        <f>'[1]REGISTRO DE DATOS'!W68</f>
        <v>0</v>
      </c>
      <c r="P67" s="45"/>
      <c r="Q67" s="43"/>
      <c r="R67" s="46"/>
      <c r="S67" s="18"/>
      <c r="T67" s="22"/>
      <c r="U67" s="23"/>
      <c r="V67" s="23"/>
      <c r="W67" s="144">
        <f t="shared" si="19"/>
        <v>0</v>
      </c>
      <c r="X67" s="24">
        <v>23</v>
      </c>
      <c r="Y67" s="24">
        <f>'REGISTRO DE DATOS'!P68</f>
        <v>0</v>
      </c>
      <c r="Z67" s="24">
        <v>23</v>
      </c>
    </row>
    <row r="68" spans="1:26" ht="15" thickBot="1" x14ac:dyDescent="0.35">
      <c r="A68" s="10">
        <v>45892</v>
      </c>
      <c r="B68" s="27">
        <f t="shared" si="14"/>
        <v>23</v>
      </c>
      <c r="C68" s="13">
        <v>1</v>
      </c>
      <c r="D68" s="13">
        <f>'REGISTRO DE DATOS'!T69</f>
        <v>0</v>
      </c>
      <c r="E68" s="13">
        <f t="shared" si="15"/>
        <v>0</v>
      </c>
      <c r="F68" s="13">
        <f t="shared" si="13"/>
        <v>0</v>
      </c>
      <c r="G68" s="13">
        <f>'REGISTRO DE DATOS'!R69</f>
        <v>0</v>
      </c>
      <c r="H68" s="2">
        <f t="shared" si="16"/>
        <v>0</v>
      </c>
      <c r="I68" s="2">
        <f>'REGISTRO DE DATOS'!O69</f>
        <v>0</v>
      </c>
      <c r="J68" s="91">
        <f>'REGISTRO DE DATOS'!G69</f>
        <v>0</v>
      </c>
      <c r="K68" s="91">
        <f>'REGISTRO DE DATOS'!I69</f>
        <v>0</v>
      </c>
      <c r="L68" s="91">
        <f t="shared" si="17"/>
        <v>0</v>
      </c>
      <c r="M68" s="94" t="str">
        <f t="shared" si="18"/>
        <v>%</v>
      </c>
      <c r="N68" s="91">
        <f>'REGISTRO DE DATOS'!D69</f>
        <v>0</v>
      </c>
      <c r="O68" s="2">
        <f>'[1]REGISTRO DE DATOS'!W69</f>
        <v>0</v>
      </c>
      <c r="P68" s="2"/>
      <c r="Q68" s="3"/>
      <c r="R68" s="4"/>
      <c r="S68" s="18"/>
      <c r="T68" s="18"/>
      <c r="U68" s="19"/>
      <c r="V68" s="19"/>
      <c r="W68" s="142">
        <f t="shared" si="19"/>
        <v>0</v>
      </c>
      <c r="X68" s="24">
        <v>23</v>
      </c>
      <c r="Y68" s="24">
        <f>'REGISTRO DE DATOS'!P69</f>
        <v>0</v>
      </c>
      <c r="Z68" s="24">
        <v>23</v>
      </c>
    </row>
    <row r="69" spans="1:26" ht="15" thickBot="1" x14ac:dyDescent="0.35">
      <c r="A69" s="11">
        <v>45892</v>
      </c>
      <c r="B69" s="27">
        <f t="shared" si="14"/>
        <v>23</v>
      </c>
      <c r="C69" s="14">
        <v>2</v>
      </c>
      <c r="D69" s="14">
        <f>'REGISTRO DE DATOS'!T70</f>
        <v>0</v>
      </c>
      <c r="E69" s="14">
        <f t="shared" si="15"/>
        <v>0</v>
      </c>
      <c r="F69" s="14">
        <f t="shared" si="13"/>
        <v>0</v>
      </c>
      <c r="G69" s="14">
        <f>'REGISTRO DE DATOS'!R70</f>
        <v>0</v>
      </c>
      <c r="H69" s="5">
        <f t="shared" si="16"/>
        <v>0</v>
      </c>
      <c r="I69" s="5">
        <f>'REGISTRO DE DATOS'!O70</f>
        <v>0</v>
      </c>
      <c r="J69" s="92">
        <f>'REGISTRO DE DATOS'!G70</f>
        <v>0</v>
      </c>
      <c r="K69" s="92">
        <f>'REGISTRO DE DATOS'!I70</f>
        <v>0</v>
      </c>
      <c r="L69" s="92">
        <f t="shared" si="17"/>
        <v>0</v>
      </c>
      <c r="M69" s="94" t="str">
        <f t="shared" si="18"/>
        <v>%</v>
      </c>
      <c r="N69" s="92">
        <f>'REGISTRO DE DATOS'!D70</f>
        <v>0</v>
      </c>
      <c r="O69" s="5">
        <f>'[1]REGISTRO DE DATOS'!W70</f>
        <v>0</v>
      </c>
      <c r="P69" s="5"/>
      <c r="Q69" s="1"/>
      <c r="R69" s="6"/>
      <c r="S69" s="18"/>
      <c r="T69" s="20"/>
      <c r="U69" s="21"/>
      <c r="V69" s="21"/>
      <c r="W69" s="143">
        <f t="shared" si="19"/>
        <v>0</v>
      </c>
      <c r="X69" s="24">
        <v>23</v>
      </c>
      <c r="Y69" s="24">
        <f>'REGISTRO DE DATOS'!P70</f>
        <v>0</v>
      </c>
      <c r="Z69" s="24">
        <v>23</v>
      </c>
    </row>
    <row r="70" spans="1:26" ht="15" thickBot="1" x14ac:dyDescent="0.35">
      <c r="A70" s="12">
        <v>45892</v>
      </c>
      <c r="B70" s="27">
        <f t="shared" si="14"/>
        <v>23</v>
      </c>
      <c r="C70" s="15">
        <v>3</v>
      </c>
      <c r="D70" s="15">
        <f>'REGISTRO DE DATOS'!T71</f>
        <v>0</v>
      </c>
      <c r="E70" s="15">
        <f t="shared" si="15"/>
        <v>0</v>
      </c>
      <c r="F70" s="15">
        <f t="shared" si="13"/>
        <v>0</v>
      </c>
      <c r="G70" s="15">
        <f>'REGISTRO DE DATOS'!R71</f>
        <v>0</v>
      </c>
      <c r="H70" s="7">
        <f t="shared" si="16"/>
        <v>0</v>
      </c>
      <c r="I70" s="7">
        <f>'REGISTRO DE DATOS'!O71</f>
        <v>0</v>
      </c>
      <c r="J70" s="90">
        <f>'REGISTRO DE DATOS'!G71</f>
        <v>0</v>
      </c>
      <c r="K70" s="90">
        <f>'REGISTRO DE DATOS'!I71</f>
        <v>0</v>
      </c>
      <c r="L70" s="90">
        <f t="shared" si="17"/>
        <v>0</v>
      </c>
      <c r="M70" s="94" t="str">
        <f t="shared" si="18"/>
        <v>%</v>
      </c>
      <c r="N70" s="90">
        <f>'REGISTRO DE DATOS'!D71</f>
        <v>0</v>
      </c>
      <c r="O70" s="7">
        <f>'[1]REGISTRO DE DATOS'!W71</f>
        <v>0</v>
      </c>
      <c r="P70" s="7"/>
      <c r="Q70" s="8"/>
      <c r="R70" s="9"/>
      <c r="S70" s="18"/>
      <c r="T70" s="22"/>
      <c r="U70" s="23"/>
      <c r="V70" s="23"/>
      <c r="W70" s="144">
        <f t="shared" si="19"/>
        <v>0</v>
      </c>
      <c r="X70" s="24">
        <v>23</v>
      </c>
      <c r="Y70" s="24">
        <f>'REGISTRO DE DATOS'!P71</f>
        <v>0</v>
      </c>
      <c r="Z70" s="24">
        <v>23</v>
      </c>
    </row>
    <row r="71" spans="1:26" ht="15" thickBot="1" x14ac:dyDescent="0.35">
      <c r="A71" s="10">
        <v>45893</v>
      </c>
      <c r="B71" s="27">
        <f t="shared" si="14"/>
        <v>24</v>
      </c>
      <c r="C71" s="13">
        <v>1</v>
      </c>
      <c r="D71" s="40">
        <f>'REGISTRO DE DATOS'!T72</f>
        <v>0</v>
      </c>
      <c r="E71" s="40">
        <f t="shared" si="15"/>
        <v>0</v>
      </c>
      <c r="F71" s="40">
        <f t="shared" si="13"/>
        <v>0</v>
      </c>
      <c r="G71" s="40">
        <f>'REGISTRO DE DATOS'!R72</f>
        <v>0</v>
      </c>
      <c r="H71" s="41">
        <f t="shared" si="16"/>
        <v>0</v>
      </c>
      <c r="I71" s="41">
        <f>'REGISTRO DE DATOS'!O72</f>
        <v>0</v>
      </c>
      <c r="J71" s="91">
        <f>'REGISTRO DE DATOS'!G72</f>
        <v>0</v>
      </c>
      <c r="K71" s="91">
        <f>'REGISTRO DE DATOS'!I72</f>
        <v>0</v>
      </c>
      <c r="L71" s="91">
        <f t="shared" si="17"/>
        <v>0</v>
      </c>
      <c r="M71" s="94" t="str">
        <f t="shared" si="18"/>
        <v>%</v>
      </c>
      <c r="N71" s="91">
        <f>'REGISTRO DE DATOS'!D72</f>
        <v>0</v>
      </c>
      <c r="O71" s="2">
        <f>'[1]REGISTRO DE DATOS'!W72</f>
        <v>0</v>
      </c>
      <c r="P71" s="41"/>
      <c r="Q71" s="39"/>
      <c r="R71" s="42"/>
      <c r="S71" s="18"/>
      <c r="T71" s="18"/>
      <c r="U71" s="19"/>
      <c r="V71" s="19"/>
      <c r="W71" s="142">
        <f t="shared" si="19"/>
        <v>0</v>
      </c>
      <c r="X71" s="24">
        <v>23</v>
      </c>
      <c r="Y71" s="24">
        <f>'REGISTRO DE DATOS'!P72</f>
        <v>0</v>
      </c>
      <c r="Z71" s="24">
        <v>23</v>
      </c>
    </row>
    <row r="72" spans="1:26" ht="15" thickBot="1" x14ac:dyDescent="0.35">
      <c r="A72" s="11">
        <v>45893</v>
      </c>
      <c r="B72" s="27">
        <f t="shared" si="14"/>
        <v>24</v>
      </c>
      <c r="C72" s="14">
        <v>2</v>
      </c>
      <c r="D72" s="14">
        <f>'REGISTRO DE DATOS'!T73</f>
        <v>0</v>
      </c>
      <c r="E72" s="14">
        <f t="shared" si="15"/>
        <v>1</v>
      </c>
      <c r="F72" s="14">
        <f t="shared" si="13"/>
        <v>-1</v>
      </c>
      <c r="G72" s="14">
        <f>'REGISTRO DE DATOS'!R73</f>
        <v>0</v>
      </c>
      <c r="H72" s="5">
        <f t="shared" si="16"/>
        <v>0</v>
      </c>
      <c r="I72" s="5">
        <f>'REGISTRO DE DATOS'!O73</f>
        <v>0</v>
      </c>
      <c r="J72" s="92">
        <f>'REGISTRO DE DATOS'!G73</f>
        <v>0</v>
      </c>
      <c r="K72" s="92">
        <f>'REGISTRO DE DATOS'!I73</f>
        <v>0</v>
      </c>
      <c r="L72" s="92">
        <f t="shared" si="17"/>
        <v>0</v>
      </c>
      <c r="M72" s="94" t="str">
        <f t="shared" si="18"/>
        <v>%</v>
      </c>
      <c r="N72" s="92">
        <f>'REGISTRO DE DATOS'!D73</f>
        <v>1</v>
      </c>
      <c r="O72" s="5">
        <f>'[1]REGISTRO DE DATOS'!W73</f>
        <v>0</v>
      </c>
      <c r="P72" s="5"/>
      <c r="Q72" s="1"/>
      <c r="R72" s="6"/>
      <c r="S72" s="18"/>
      <c r="T72" s="20"/>
      <c r="U72" s="21"/>
      <c r="V72" s="21"/>
      <c r="W72" s="143">
        <f t="shared" si="19"/>
        <v>0</v>
      </c>
      <c r="X72" s="24">
        <v>23</v>
      </c>
      <c r="Y72" s="24">
        <f>'REGISTRO DE DATOS'!P73</f>
        <v>0</v>
      </c>
      <c r="Z72" s="24">
        <v>23</v>
      </c>
    </row>
    <row r="73" spans="1:26" ht="15" thickBot="1" x14ac:dyDescent="0.35">
      <c r="A73" s="12">
        <v>45893</v>
      </c>
      <c r="B73" s="27">
        <f t="shared" si="14"/>
        <v>24</v>
      </c>
      <c r="C73" s="15">
        <v>3</v>
      </c>
      <c r="D73" s="44">
        <f>'REGISTRO DE DATOS'!T74</f>
        <v>0</v>
      </c>
      <c r="E73" s="44">
        <f t="shared" si="15"/>
        <v>0</v>
      </c>
      <c r="F73" s="44">
        <f t="shared" si="13"/>
        <v>0</v>
      </c>
      <c r="G73" s="44">
        <f>'REGISTRO DE DATOS'!R74</f>
        <v>0</v>
      </c>
      <c r="H73" s="45">
        <f t="shared" si="16"/>
        <v>0</v>
      </c>
      <c r="I73" s="45">
        <f>'REGISTRO DE DATOS'!O74</f>
        <v>0</v>
      </c>
      <c r="J73" s="90">
        <f>'REGISTRO DE DATOS'!G74</f>
        <v>0</v>
      </c>
      <c r="K73" s="90">
        <f>'REGISTRO DE DATOS'!I74</f>
        <v>0</v>
      </c>
      <c r="L73" s="90">
        <f t="shared" si="17"/>
        <v>0</v>
      </c>
      <c r="M73" s="94" t="str">
        <f t="shared" si="18"/>
        <v>%</v>
      </c>
      <c r="N73" s="90">
        <f>'REGISTRO DE DATOS'!D74</f>
        <v>0</v>
      </c>
      <c r="O73" s="7">
        <f>'[1]REGISTRO DE DATOS'!W74</f>
        <v>0</v>
      </c>
      <c r="P73" s="45"/>
      <c r="Q73" s="43"/>
      <c r="R73" s="46"/>
      <c r="S73" s="18"/>
      <c r="T73" s="22"/>
      <c r="U73" s="23"/>
      <c r="V73" s="23"/>
      <c r="W73" s="144">
        <f t="shared" si="19"/>
        <v>0</v>
      </c>
      <c r="X73" s="24">
        <v>23</v>
      </c>
      <c r="Y73" s="24">
        <f>'REGISTRO DE DATOS'!P74</f>
        <v>0</v>
      </c>
      <c r="Z73" s="24">
        <v>23</v>
      </c>
    </row>
    <row r="74" spans="1:26" ht="15" thickBot="1" x14ac:dyDescent="0.35">
      <c r="A74" s="10">
        <v>45894</v>
      </c>
      <c r="B74" s="27">
        <f t="shared" si="14"/>
        <v>25</v>
      </c>
      <c r="C74" s="13">
        <v>1</v>
      </c>
      <c r="D74" s="13">
        <f>'REGISTRO DE DATOS'!T75</f>
        <v>0</v>
      </c>
      <c r="E74" s="13">
        <f t="shared" si="15"/>
        <v>0</v>
      </c>
      <c r="F74" s="13">
        <f t="shared" si="13"/>
        <v>0</v>
      </c>
      <c r="G74" s="13">
        <f>'REGISTRO DE DATOS'!R75</f>
        <v>0</v>
      </c>
      <c r="H74" s="2">
        <f t="shared" si="16"/>
        <v>0</v>
      </c>
      <c r="I74" s="2">
        <f>'REGISTRO DE DATOS'!O75</f>
        <v>0</v>
      </c>
      <c r="J74" s="91">
        <f>'REGISTRO DE DATOS'!G75</f>
        <v>0</v>
      </c>
      <c r="K74" s="91">
        <f>'REGISTRO DE DATOS'!I75</f>
        <v>0</v>
      </c>
      <c r="L74" s="91">
        <f t="shared" si="17"/>
        <v>0</v>
      </c>
      <c r="M74" s="94" t="str">
        <f t="shared" si="18"/>
        <v>%</v>
      </c>
      <c r="N74" s="91">
        <f>'REGISTRO DE DATOS'!D75</f>
        <v>0</v>
      </c>
      <c r="O74" s="2">
        <f>'[1]REGISTRO DE DATOS'!W75</f>
        <v>0</v>
      </c>
      <c r="P74" s="2"/>
      <c r="Q74" s="3"/>
      <c r="R74" s="4"/>
      <c r="S74" s="18"/>
      <c r="T74" s="18"/>
      <c r="U74" s="19"/>
      <c r="V74" s="19"/>
      <c r="W74" s="142">
        <f t="shared" si="19"/>
        <v>0</v>
      </c>
      <c r="X74" s="24">
        <v>23</v>
      </c>
      <c r="Y74" s="24">
        <f>'REGISTRO DE DATOS'!P75</f>
        <v>0</v>
      </c>
      <c r="Z74" s="24">
        <v>23</v>
      </c>
    </row>
    <row r="75" spans="1:26" ht="15" thickBot="1" x14ac:dyDescent="0.35">
      <c r="A75" s="11">
        <v>45894</v>
      </c>
      <c r="B75" s="27">
        <f t="shared" si="14"/>
        <v>25</v>
      </c>
      <c r="C75" s="14">
        <v>2</v>
      </c>
      <c r="D75" s="14">
        <f>'REGISTRO DE DATOS'!T76</f>
        <v>0</v>
      </c>
      <c r="E75" s="14">
        <f t="shared" si="15"/>
        <v>2</v>
      </c>
      <c r="F75" s="14">
        <f t="shared" ref="F75:F95" si="20">+D75-E75</f>
        <v>-2</v>
      </c>
      <c r="G75" s="14">
        <f>'REGISTRO DE DATOS'!R76</f>
        <v>0</v>
      </c>
      <c r="H75" s="5">
        <f t="shared" si="16"/>
        <v>0</v>
      </c>
      <c r="I75" s="5">
        <f>'REGISTRO DE DATOS'!O76</f>
        <v>0</v>
      </c>
      <c r="J75" s="92">
        <f>'REGISTRO DE DATOS'!G76</f>
        <v>0</v>
      </c>
      <c r="K75" s="92">
        <f>'REGISTRO DE DATOS'!I76</f>
        <v>0</v>
      </c>
      <c r="L75" s="92">
        <f t="shared" si="17"/>
        <v>0</v>
      </c>
      <c r="M75" s="94" t="str">
        <f t="shared" si="18"/>
        <v>%</v>
      </c>
      <c r="N75" s="92">
        <f>'REGISTRO DE DATOS'!D76</f>
        <v>2</v>
      </c>
      <c r="O75" s="5">
        <f>'[1]REGISTRO DE DATOS'!W76</f>
        <v>0</v>
      </c>
      <c r="P75" s="5"/>
      <c r="Q75" s="1"/>
      <c r="R75" s="6"/>
      <c r="S75" s="18"/>
      <c r="T75" s="20"/>
      <c r="U75" s="21"/>
      <c r="V75" s="21"/>
      <c r="W75" s="143">
        <v>36</v>
      </c>
      <c r="X75" s="24">
        <v>23</v>
      </c>
      <c r="Y75" s="24">
        <f>'REGISTRO DE DATOS'!P76</f>
        <v>0</v>
      </c>
      <c r="Z75" s="24">
        <v>23</v>
      </c>
    </row>
    <row r="76" spans="1:26" ht="15" thickBot="1" x14ac:dyDescent="0.35">
      <c r="A76" s="12">
        <v>45894</v>
      </c>
      <c r="B76" s="27">
        <f t="shared" si="14"/>
        <v>25</v>
      </c>
      <c r="C76" s="15">
        <v>3</v>
      </c>
      <c r="D76" s="15">
        <f>'REGISTRO DE DATOS'!T77</f>
        <v>0</v>
      </c>
      <c r="E76" s="15">
        <f t="shared" si="15"/>
        <v>0</v>
      </c>
      <c r="F76" s="15">
        <f t="shared" si="20"/>
        <v>0</v>
      </c>
      <c r="G76" s="15">
        <f>'REGISTRO DE DATOS'!R77</f>
        <v>0</v>
      </c>
      <c r="H76" s="7">
        <f t="shared" si="16"/>
        <v>0</v>
      </c>
      <c r="I76" s="7">
        <f>'REGISTRO DE DATOS'!O77</f>
        <v>0</v>
      </c>
      <c r="J76" s="90">
        <f>'REGISTRO DE DATOS'!G77</f>
        <v>0</v>
      </c>
      <c r="K76" s="90">
        <f>'REGISTRO DE DATOS'!I77</f>
        <v>0</v>
      </c>
      <c r="L76" s="90">
        <f t="shared" si="17"/>
        <v>0</v>
      </c>
      <c r="M76" s="94" t="str">
        <f t="shared" si="18"/>
        <v>%</v>
      </c>
      <c r="N76" s="90">
        <f>'REGISTRO DE DATOS'!D77</f>
        <v>0</v>
      </c>
      <c r="O76" s="7">
        <f>'[1]REGISTRO DE DATOS'!W77</f>
        <v>0</v>
      </c>
      <c r="P76" s="7"/>
      <c r="Q76" s="8"/>
      <c r="R76" s="9"/>
      <c r="S76" s="18"/>
      <c r="T76" s="22"/>
      <c r="U76" s="23"/>
      <c r="V76" s="23"/>
      <c r="W76" s="144">
        <f t="shared" si="19"/>
        <v>0</v>
      </c>
      <c r="X76" s="24">
        <v>23</v>
      </c>
      <c r="Y76" s="24">
        <f>'REGISTRO DE DATOS'!P77</f>
        <v>0</v>
      </c>
      <c r="Z76" s="24">
        <v>23</v>
      </c>
    </row>
    <row r="77" spans="1:26" ht="15" thickBot="1" x14ac:dyDescent="0.35">
      <c r="A77" s="10">
        <v>45895</v>
      </c>
      <c r="B77" s="27">
        <f t="shared" si="14"/>
        <v>26</v>
      </c>
      <c r="C77" s="13">
        <v>1</v>
      </c>
      <c r="D77" s="40">
        <f>'REGISTRO DE DATOS'!T78</f>
        <v>0</v>
      </c>
      <c r="E77" s="40">
        <f t="shared" si="15"/>
        <v>0</v>
      </c>
      <c r="F77" s="40">
        <f t="shared" si="20"/>
        <v>0</v>
      </c>
      <c r="G77" s="40">
        <f>'REGISTRO DE DATOS'!R78</f>
        <v>0</v>
      </c>
      <c r="H77" s="41">
        <f t="shared" si="16"/>
        <v>0</v>
      </c>
      <c r="I77" s="41">
        <f>'REGISTRO DE DATOS'!O78</f>
        <v>0</v>
      </c>
      <c r="J77" s="93">
        <f>'REGISTRO DE DATOS'!G78</f>
        <v>0</v>
      </c>
      <c r="K77" s="93">
        <f>'REGISTRO DE DATOS'!I78</f>
        <v>0</v>
      </c>
      <c r="L77" s="93">
        <f t="shared" si="17"/>
        <v>0</v>
      </c>
      <c r="M77" s="94" t="str">
        <f t="shared" si="18"/>
        <v>%</v>
      </c>
      <c r="N77" s="93">
        <f>'REGISTRO DE DATOS'!D78</f>
        <v>0</v>
      </c>
      <c r="O77" s="41">
        <f>'[1]REGISTRO DE DATOS'!W78</f>
        <v>0</v>
      </c>
      <c r="P77" s="41"/>
      <c r="Q77" s="39"/>
      <c r="R77" s="42"/>
      <c r="S77" s="18"/>
      <c r="T77" s="18"/>
      <c r="U77" s="19"/>
      <c r="V77" s="19"/>
      <c r="W77" s="142">
        <f t="shared" si="19"/>
        <v>0</v>
      </c>
      <c r="X77" s="24">
        <v>23</v>
      </c>
      <c r="Y77" s="24">
        <f>'REGISTRO DE DATOS'!P78</f>
        <v>0</v>
      </c>
      <c r="Z77" s="24">
        <v>23</v>
      </c>
    </row>
    <row r="78" spans="1:26" ht="15" thickBot="1" x14ac:dyDescent="0.35">
      <c r="A78" s="11">
        <v>45895</v>
      </c>
      <c r="B78" s="27">
        <f t="shared" si="14"/>
        <v>26</v>
      </c>
      <c r="C78" s="14">
        <v>2</v>
      </c>
      <c r="D78" s="14">
        <f>'REGISTRO DE DATOS'!T79</f>
        <v>0</v>
      </c>
      <c r="E78" s="14">
        <f t="shared" si="15"/>
        <v>2</v>
      </c>
      <c r="F78" s="14">
        <f t="shared" si="20"/>
        <v>-2</v>
      </c>
      <c r="G78" s="14">
        <f>'REGISTRO DE DATOS'!R79</f>
        <v>10</v>
      </c>
      <c r="H78" s="5">
        <f t="shared" si="16"/>
        <v>0</v>
      </c>
      <c r="I78" s="5">
        <f>'REGISTRO DE DATOS'!O79</f>
        <v>0</v>
      </c>
      <c r="J78" s="92">
        <f>'REGISTRO DE DATOS'!G79</f>
        <v>0</v>
      </c>
      <c r="K78" s="92">
        <f>'REGISTRO DE DATOS'!I79</f>
        <v>0</v>
      </c>
      <c r="L78" s="92">
        <f t="shared" si="17"/>
        <v>0</v>
      </c>
      <c r="M78" s="94" t="str">
        <f t="shared" si="18"/>
        <v>%</v>
      </c>
      <c r="N78" s="92">
        <f>'REGISTRO DE DATOS'!D79</f>
        <v>2</v>
      </c>
      <c r="O78" s="5">
        <f>'[1]REGISTRO DE DATOS'!W79</f>
        <v>0</v>
      </c>
      <c r="P78" s="5"/>
      <c r="Q78" s="1"/>
      <c r="R78" s="6"/>
      <c r="S78" s="18"/>
      <c r="T78" s="20"/>
      <c r="U78" s="21"/>
      <c r="V78" s="21"/>
      <c r="W78" s="143">
        <v>38</v>
      </c>
      <c r="X78" s="24">
        <v>23</v>
      </c>
      <c r="Y78" s="24">
        <f>'REGISTRO DE DATOS'!P79</f>
        <v>1</v>
      </c>
      <c r="Z78" s="24">
        <v>23</v>
      </c>
    </row>
    <row r="79" spans="1:26" ht="15" thickBot="1" x14ac:dyDescent="0.35">
      <c r="A79" s="12">
        <v>45895</v>
      </c>
      <c r="B79" s="27">
        <f t="shared" si="14"/>
        <v>26</v>
      </c>
      <c r="C79" s="15">
        <v>3</v>
      </c>
      <c r="D79" s="44">
        <f>'REGISTRO DE DATOS'!T80</f>
        <v>0</v>
      </c>
      <c r="E79" s="44">
        <f t="shared" si="15"/>
        <v>1</v>
      </c>
      <c r="F79" s="44">
        <f t="shared" si="20"/>
        <v>-1</v>
      </c>
      <c r="G79" s="44">
        <f>'REGISTRO DE DATOS'!R80</f>
        <v>0</v>
      </c>
      <c r="H79" s="45">
        <f t="shared" si="16"/>
        <v>0</v>
      </c>
      <c r="I79" s="45">
        <f>'REGISTRO DE DATOS'!O80</f>
        <v>0</v>
      </c>
      <c r="J79" s="90">
        <f>'REGISTRO DE DATOS'!G80</f>
        <v>0</v>
      </c>
      <c r="K79" s="90">
        <f>'REGISTRO DE DATOS'!I80</f>
        <v>0</v>
      </c>
      <c r="L79" s="90">
        <f t="shared" si="17"/>
        <v>0</v>
      </c>
      <c r="M79" s="94" t="str">
        <f t="shared" si="18"/>
        <v>%</v>
      </c>
      <c r="N79" s="90">
        <f>'REGISTRO DE DATOS'!D80</f>
        <v>1</v>
      </c>
      <c r="O79" s="7">
        <f>'[1]REGISTRO DE DATOS'!W80</f>
        <v>0</v>
      </c>
      <c r="P79" s="45"/>
      <c r="Q79" s="43"/>
      <c r="R79" s="46"/>
      <c r="S79" s="18"/>
      <c r="T79" s="22"/>
      <c r="U79" s="23"/>
      <c r="V79" s="23"/>
      <c r="W79" s="144">
        <f t="shared" si="19"/>
        <v>0</v>
      </c>
      <c r="X79" s="24">
        <v>23</v>
      </c>
      <c r="Y79" s="24">
        <f>'REGISTRO DE DATOS'!P80</f>
        <v>0</v>
      </c>
      <c r="Z79" s="24">
        <v>23</v>
      </c>
    </row>
    <row r="80" spans="1:26" ht="15" thickBot="1" x14ac:dyDescent="0.35">
      <c r="A80" s="10">
        <v>45896</v>
      </c>
      <c r="B80" s="27">
        <f t="shared" si="14"/>
        <v>27</v>
      </c>
      <c r="C80" s="13">
        <v>1</v>
      </c>
      <c r="D80" s="13">
        <f>'REGISTRO DE DATOS'!T81</f>
        <v>0</v>
      </c>
      <c r="E80" s="13">
        <f t="shared" si="15"/>
        <v>0</v>
      </c>
      <c r="F80" s="13">
        <f t="shared" si="20"/>
        <v>0</v>
      </c>
      <c r="G80" s="13">
        <f>'REGISTRO DE DATOS'!R81</f>
        <v>0</v>
      </c>
      <c r="H80" s="2">
        <f t="shared" si="16"/>
        <v>0</v>
      </c>
      <c r="I80" s="2">
        <f>'REGISTRO DE DATOS'!O81</f>
        <v>0</v>
      </c>
      <c r="J80" s="2">
        <f>'REGISTRO DE DATOS'!G81</f>
        <v>0</v>
      </c>
      <c r="K80" s="2">
        <f>'REGISTRO DE DATOS'!I81</f>
        <v>0</v>
      </c>
      <c r="L80" s="2">
        <f t="shared" si="17"/>
        <v>0</v>
      </c>
      <c r="M80" s="94" t="str">
        <f t="shared" si="18"/>
        <v>%</v>
      </c>
      <c r="N80" s="2">
        <f>'REGISTRO DE DATOS'!D81</f>
        <v>0</v>
      </c>
      <c r="O80" s="2">
        <f>'[1]REGISTRO DE DATOS'!W81</f>
        <v>0</v>
      </c>
      <c r="P80" s="2"/>
      <c r="Q80" s="3"/>
      <c r="R80" s="4"/>
      <c r="S80" s="18"/>
      <c r="T80" s="18"/>
      <c r="U80" s="19"/>
      <c r="V80" s="19"/>
      <c r="W80" s="142">
        <f t="shared" si="19"/>
        <v>0</v>
      </c>
      <c r="X80" s="24">
        <v>23</v>
      </c>
      <c r="Y80" s="24">
        <f>'REGISTRO DE DATOS'!P81</f>
        <v>0</v>
      </c>
      <c r="Z80" s="24">
        <v>23</v>
      </c>
    </row>
    <row r="81" spans="1:26" ht="15" thickBot="1" x14ac:dyDescent="0.35">
      <c r="A81" s="11">
        <v>45896</v>
      </c>
      <c r="B81" s="27">
        <f t="shared" si="14"/>
        <v>27</v>
      </c>
      <c r="C81" s="14">
        <v>2</v>
      </c>
      <c r="D81" s="14">
        <f>'REGISTRO DE DATOS'!T82</f>
        <v>0</v>
      </c>
      <c r="E81" s="14">
        <f t="shared" si="15"/>
        <v>2</v>
      </c>
      <c r="F81" s="14">
        <f t="shared" si="20"/>
        <v>-2</v>
      </c>
      <c r="G81" s="14">
        <f>'REGISTRO DE DATOS'!R82</f>
        <v>0</v>
      </c>
      <c r="H81" s="5">
        <f t="shared" si="16"/>
        <v>0</v>
      </c>
      <c r="I81" s="5">
        <f>'REGISTRO DE DATOS'!O82</f>
        <v>0</v>
      </c>
      <c r="J81" s="5">
        <f>'REGISTRO DE DATOS'!G82</f>
        <v>0</v>
      </c>
      <c r="K81" s="5">
        <f>'REGISTRO DE DATOS'!I82</f>
        <v>0</v>
      </c>
      <c r="L81" s="5">
        <f t="shared" si="17"/>
        <v>0</v>
      </c>
      <c r="M81" s="94" t="str">
        <f t="shared" si="18"/>
        <v>%</v>
      </c>
      <c r="N81" s="5">
        <f>'REGISTRO DE DATOS'!D82</f>
        <v>2</v>
      </c>
      <c r="O81" s="5">
        <f>'[1]REGISTRO DE DATOS'!W82</f>
        <v>0</v>
      </c>
      <c r="P81" s="5"/>
      <c r="Q81" s="1"/>
      <c r="R81" s="6"/>
      <c r="S81" s="18"/>
      <c r="T81" s="20"/>
      <c r="U81" s="21"/>
      <c r="V81" s="21"/>
      <c r="W81" s="143">
        <f t="shared" si="19"/>
        <v>0</v>
      </c>
      <c r="X81" s="24">
        <v>23</v>
      </c>
      <c r="Y81" s="24">
        <f>'REGISTRO DE DATOS'!P82</f>
        <v>0</v>
      </c>
      <c r="Z81" s="24">
        <v>23</v>
      </c>
    </row>
    <row r="82" spans="1:26" ht="15" thickBot="1" x14ac:dyDescent="0.35">
      <c r="A82" s="12">
        <v>45896</v>
      </c>
      <c r="B82" s="27">
        <f t="shared" si="14"/>
        <v>27</v>
      </c>
      <c r="C82" s="15">
        <v>3</v>
      </c>
      <c r="D82" s="15">
        <f>'REGISTRO DE DATOS'!T83</f>
        <v>0</v>
      </c>
      <c r="E82" s="15">
        <f t="shared" si="15"/>
        <v>0</v>
      </c>
      <c r="F82" s="15">
        <f t="shared" si="20"/>
        <v>0</v>
      </c>
      <c r="G82" s="15">
        <f>'REGISTRO DE DATOS'!R83</f>
        <v>0</v>
      </c>
      <c r="H82" s="7">
        <f t="shared" si="16"/>
        <v>0</v>
      </c>
      <c r="I82" s="7">
        <f>'REGISTRO DE DATOS'!O83</f>
        <v>0</v>
      </c>
      <c r="J82" s="7">
        <f>'REGISTRO DE DATOS'!G83</f>
        <v>0</v>
      </c>
      <c r="K82" s="7">
        <f>'REGISTRO DE DATOS'!I83</f>
        <v>0</v>
      </c>
      <c r="L82" s="7">
        <f t="shared" si="17"/>
        <v>0</v>
      </c>
      <c r="M82" s="94" t="str">
        <f t="shared" si="18"/>
        <v>%</v>
      </c>
      <c r="N82" s="7">
        <f>'REGISTRO DE DATOS'!D83</f>
        <v>0</v>
      </c>
      <c r="O82" s="7">
        <f>'[1]REGISTRO DE DATOS'!W83</f>
        <v>0</v>
      </c>
      <c r="P82" s="7"/>
      <c r="Q82" s="8"/>
      <c r="R82" s="9"/>
      <c r="S82" s="18"/>
      <c r="T82" s="22"/>
      <c r="U82" s="23"/>
      <c r="V82" s="23"/>
      <c r="W82" s="144">
        <f t="shared" si="19"/>
        <v>0</v>
      </c>
      <c r="X82" s="24">
        <v>23</v>
      </c>
      <c r="Y82" s="24">
        <f>'REGISTRO DE DATOS'!P83</f>
        <v>0</v>
      </c>
      <c r="Z82" s="24">
        <v>23</v>
      </c>
    </row>
    <row r="83" spans="1:26" ht="15" thickBot="1" x14ac:dyDescent="0.35">
      <c r="A83" s="10">
        <v>45897</v>
      </c>
      <c r="B83" s="27">
        <f t="shared" si="14"/>
        <v>28</v>
      </c>
      <c r="C83" s="13">
        <v>1</v>
      </c>
      <c r="D83" s="40">
        <f>'REGISTRO DE DATOS'!T84</f>
        <v>0</v>
      </c>
      <c r="E83" s="40">
        <f t="shared" si="15"/>
        <v>0</v>
      </c>
      <c r="F83" s="40">
        <f t="shared" si="20"/>
        <v>0</v>
      </c>
      <c r="G83" s="40">
        <f>'REGISTRO DE DATOS'!R84</f>
        <v>0</v>
      </c>
      <c r="H83" s="41">
        <f t="shared" si="16"/>
        <v>0</v>
      </c>
      <c r="I83" s="41">
        <f>'REGISTRO DE DATOS'!O84</f>
        <v>0</v>
      </c>
      <c r="J83" s="41">
        <f>'REGISTRO DE DATOS'!G84</f>
        <v>0</v>
      </c>
      <c r="K83" s="41">
        <f>'REGISTRO DE DATOS'!I84</f>
        <v>0</v>
      </c>
      <c r="L83" s="41">
        <f t="shared" si="17"/>
        <v>0</v>
      </c>
      <c r="M83" s="94" t="str">
        <f t="shared" si="18"/>
        <v>%</v>
      </c>
      <c r="N83" s="41">
        <f>'REGISTRO DE DATOS'!D84</f>
        <v>0</v>
      </c>
      <c r="O83" s="41">
        <f>'[1]REGISTRO DE DATOS'!W84</f>
        <v>0</v>
      </c>
      <c r="P83" s="41"/>
      <c r="Q83" s="39"/>
      <c r="R83" s="42"/>
      <c r="S83" s="18"/>
      <c r="T83" s="18"/>
      <c r="U83" s="19"/>
      <c r="V83" s="19"/>
      <c r="W83" s="142">
        <f t="shared" si="19"/>
        <v>0</v>
      </c>
      <c r="X83" s="24">
        <v>23</v>
      </c>
      <c r="Y83" s="24">
        <f>'REGISTRO DE DATOS'!P84</f>
        <v>0</v>
      </c>
      <c r="Z83" s="24">
        <v>23</v>
      </c>
    </row>
    <row r="84" spans="1:26" ht="15" thickBot="1" x14ac:dyDescent="0.35">
      <c r="A84" s="11">
        <v>45897</v>
      </c>
      <c r="B84" s="27">
        <f t="shared" si="14"/>
        <v>28</v>
      </c>
      <c r="C84" s="14">
        <v>2</v>
      </c>
      <c r="D84" s="14">
        <f>'REGISTRO DE DATOS'!T85</f>
        <v>0</v>
      </c>
      <c r="E84" s="14">
        <f t="shared" si="15"/>
        <v>0</v>
      </c>
      <c r="F84" s="14">
        <f t="shared" si="20"/>
        <v>0</v>
      </c>
      <c r="G84" s="14">
        <f>'REGISTRO DE DATOS'!R85</f>
        <v>0</v>
      </c>
      <c r="H84" s="5">
        <f t="shared" si="16"/>
        <v>0</v>
      </c>
      <c r="I84" s="5">
        <f>'REGISTRO DE DATOS'!O85</f>
        <v>0</v>
      </c>
      <c r="J84" s="5">
        <f>'REGISTRO DE DATOS'!G85</f>
        <v>0</v>
      </c>
      <c r="K84" s="5">
        <f>'REGISTRO DE DATOS'!I85</f>
        <v>0</v>
      </c>
      <c r="L84" s="5">
        <f t="shared" si="17"/>
        <v>0</v>
      </c>
      <c r="M84" s="94" t="str">
        <f t="shared" si="18"/>
        <v>%</v>
      </c>
      <c r="N84" s="5">
        <f>'REGISTRO DE DATOS'!D85</f>
        <v>0</v>
      </c>
      <c r="O84" s="5">
        <f>'[1]REGISTRO DE DATOS'!W85</f>
        <v>0</v>
      </c>
      <c r="P84" s="5"/>
      <c r="Q84" s="1"/>
      <c r="R84" s="6"/>
      <c r="S84" s="18"/>
      <c r="T84" s="20"/>
      <c r="U84" s="21"/>
      <c r="V84" s="21"/>
      <c r="W84" s="143">
        <f t="shared" si="19"/>
        <v>0</v>
      </c>
      <c r="X84" s="24">
        <v>23</v>
      </c>
      <c r="Y84" s="24">
        <f>'REGISTRO DE DATOS'!P85</f>
        <v>0</v>
      </c>
      <c r="Z84" s="24">
        <v>23</v>
      </c>
    </row>
    <row r="85" spans="1:26" ht="15" thickBot="1" x14ac:dyDescent="0.35">
      <c r="A85" s="12">
        <v>45897</v>
      </c>
      <c r="B85" s="27">
        <f t="shared" si="14"/>
        <v>28</v>
      </c>
      <c r="C85" s="15">
        <v>3</v>
      </c>
      <c r="D85" s="44">
        <f>'REGISTRO DE DATOS'!T86</f>
        <v>0</v>
      </c>
      <c r="E85" s="44">
        <f t="shared" si="15"/>
        <v>0</v>
      </c>
      <c r="F85" s="44">
        <f t="shared" si="20"/>
        <v>0</v>
      </c>
      <c r="G85" s="44">
        <f>'REGISTRO DE DATOS'!R86</f>
        <v>0</v>
      </c>
      <c r="H85" s="45">
        <f t="shared" si="16"/>
        <v>0</v>
      </c>
      <c r="I85" s="45">
        <f>'REGISTRO DE DATOS'!O86</f>
        <v>0</v>
      </c>
      <c r="J85" s="45">
        <f>'REGISTRO DE DATOS'!G86</f>
        <v>0</v>
      </c>
      <c r="K85" s="45">
        <f>'REGISTRO DE DATOS'!I86</f>
        <v>0</v>
      </c>
      <c r="L85" s="45">
        <f t="shared" si="17"/>
        <v>0</v>
      </c>
      <c r="M85" s="94" t="str">
        <f t="shared" si="18"/>
        <v>%</v>
      </c>
      <c r="N85" s="45">
        <f>'REGISTRO DE DATOS'!D86</f>
        <v>0</v>
      </c>
      <c r="O85" s="45">
        <f>'[1]REGISTRO DE DATOS'!W86</f>
        <v>0</v>
      </c>
      <c r="P85" s="45"/>
      <c r="Q85" s="43"/>
      <c r="R85" s="46"/>
      <c r="S85" s="18"/>
      <c r="T85" s="22"/>
      <c r="U85" s="23"/>
      <c r="V85" s="23"/>
      <c r="W85" s="144">
        <f t="shared" si="19"/>
        <v>0</v>
      </c>
      <c r="X85" s="24">
        <v>23</v>
      </c>
      <c r="Y85" s="24">
        <f>'REGISTRO DE DATOS'!P86</f>
        <v>0</v>
      </c>
      <c r="Z85" s="24">
        <v>23</v>
      </c>
    </row>
    <row r="86" spans="1:26" ht="15" thickBot="1" x14ac:dyDescent="0.35">
      <c r="A86" s="10">
        <v>45898</v>
      </c>
      <c r="B86" s="27">
        <f t="shared" si="14"/>
        <v>29</v>
      </c>
      <c r="C86" s="13">
        <v>1</v>
      </c>
      <c r="D86" s="13">
        <f>'REGISTRO DE DATOS'!T87</f>
        <v>0</v>
      </c>
      <c r="E86" s="13">
        <f t="shared" si="15"/>
        <v>0</v>
      </c>
      <c r="F86" s="13">
        <f t="shared" si="20"/>
        <v>0</v>
      </c>
      <c r="G86" s="13">
        <f>'REGISTRO DE DATOS'!R87</f>
        <v>0</v>
      </c>
      <c r="H86" s="2">
        <f t="shared" si="16"/>
        <v>0</v>
      </c>
      <c r="I86" s="2">
        <f>'REGISTRO DE DATOS'!O87</f>
        <v>0</v>
      </c>
      <c r="J86" s="2">
        <f>'REGISTRO DE DATOS'!G87</f>
        <v>0</v>
      </c>
      <c r="K86" s="2">
        <f>'REGISTRO DE DATOS'!I87</f>
        <v>0</v>
      </c>
      <c r="L86" s="2">
        <f t="shared" si="17"/>
        <v>0</v>
      </c>
      <c r="M86" s="94" t="str">
        <f t="shared" si="18"/>
        <v>%</v>
      </c>
      <c r="N86" s="2">
        <f>'REGISTRO DE DATOS'!D87</f>
        <v>0</v>
      </c>
      <c r="O86" s="2">
        <f>'[1]REGISTRO DE DATOS'!W87</f>
        <v>0</v>
      </c>
      <c r="P86" s="2"/>
      <c r="Q86" s="3"/>
      <c r="R86" s="4"/>
      <c r="S86" s="18"/>
      <c r="T86" s="18"/>
      <c r="U86" s="19"/>
      <c r="V86" s="19"/>
      <c r="W86" s="142">
        <f t="shared" si="19"/>
        <v>0</v>
      </c>
      <c r="X86" s="24">
        <v>23</v>
      </c>
      <c r="Y86" s="24">
        <f>'REGISTRO DE DATOS'!P87</f>
        <v>0</v>
      </c>
      <c r="Z86" s="24">
        <v>23</v>
      </c>
    </row>
    <row r="87" spans="1:26" ht="15" thickBot="1" x14ac:dyDescent="0.35">
      <c r="A87" s="11">
        <v>45898</v>
      </c>
      <c r="B87" s="27">
        <f t="shared" si="14"/>
        <v>29</v>
      </c>
      <c r="C87" s="14">
        <v>2</v>
      </c>
      <c r="D87" s="14">
        <f>'REGISTRO DE DATOS'!T88</f>
        <v>0</v>
      </c>
      <c r="E87" s="14">
        <f t="shared" si="15"/>
        <v>0</v>
      </c>
      <c r="F87" s="14">
        <f t="shared" si="20"/>
        <v>0</v>
      </c>
      <c r="G87" s="14">
        <f>'REGISTRO DE DATOS'!R88</f>
        <v>0</v>
      </c>
      <c r="H87" s="5">
        <f t="shared" si="16"/>
        <v>0</v>
      </c>
      <c r="I87" s="5">
        <f>'REGISTRO DE DATOS'!O88</f>
        <v>0</v>
      </c>
      <c r="J87" s="5">
        <f>'REGISTRO DE DATOS'!G88</f>
        <v>0</v>
      </c>
      <c r="K87" s="5">
        <f>'REGISTRO DE DATOS'!I88</f>
        <v>0</v>
      </c>
      <c r="L87" s="5">
        <f t="shared" si="17"/>
        <v>0</v>
      </c>
      <c r="M87" s="94" t="str">
        <f t="shared" si="18"/>
        <v>%</v>
      </c>
      <c r="N87" s="5">
        <f>'REGISTRO DE DATOS'!D88</f>
        <v>0</v>
      </c>
      <c r="O87" s="5">
        <f>'[1]REGISTRO DE DATOS'!W88</f>
        <v>0</v>
      </c>
      <c r="P87" s="5"/>
      <c r="Q87" s="1"/>
      <c r="R87" s="6"/>
      <c r="S87" s="18"/>
      <c r="T87" s="20"/>
      <c r="U87" s="21"/>
      <c r="V87" s="21"/>
      <c r="W87" s="143">
        <f t="shared" si="19"/>
        <v>0</v>
      </c>
      <c r="X87" s="24">
        <v>23</v>
      </c>
      <c r="Y87" s="24">
        <f>'REGISTRO DE DATOS'!P88</f>
        <v>0</v>
      </c>
      <c r="Z87" s="24">
        <v>23</v>
      </c>
    </row>
    <row r="88" spans="1:26" ht="15" thickBot="1" x14ac:dyDescent="0.35">
      <c r="A88" s="12">
        <v>45898</v>
      </c>
      <c r="B88" s="27">
        <f t="shared" si="14"/>
        <v>29</v>
      </c>
      <c r="C88" s="15">
        <v>3</v>
      </c>
      <c r="D88" s="15">
        <f>'REGISTRO DE DATOS'!T89</f>
        <v>0</v>
      </c>
      <c r="E88" s="15">
        <f t="shared" si="15"/>
        <v>0</v>
      </c>
      <c r="F88" s="15">
        <f t="shared" si="20"/>
        <v>0</v>
      </c>
      <c r="G88" s="15">
        <f>'REGISTRO DE DATOS'!R89</f>
        <v>0</v>
      </c>
      <c r="H88" s="7">
        <f t="shared" si="16"/>
        <v>0</v>
      </c>
      <c r="I88" s="7">
        <f>'REGISTRO DE DATOS'!O89</f>
        <v>0</v>
      </c>
      <c r="J88" s="7">
        <f>'REGISTRO DE DATOS'!G89</f>
        <v>0</v>
      </c>
      <c r="K88" s="7">
        <f>'REGISTRO DE DATOS'!I89</f>
        <v>0</v>
      </c>
      <c r="L88" s="7">
        <f t="shared" si="17"/>
        <v>0</v>
      </c>
      <c r="M88" s="94" t="str">
        <f t="shared" si="18"/>
        <v>%</v>
      </c>
      <c r="N88" s="7">
        <f>'REGISTRO DE DATOS'!D89</f>
        <v>0</v>
      </c>
      <c r="O88" s="7">
        <f>'[1]REGISTRO DE DATOS'!W89</f>
        <v>0</v>
      </c>
      <c r="P88" s="7"/>
      <c r="Q88" s="8"/>
      <c r="R88" s="9"/>
      <c r="S88" s="18"/>
      <c r="T88" s="22"/>
      <c r="U88" s="23"/>
      <c r="V88" s="23"/>
      <c r="W88" s="144">
        <f t="shared" si="19"/>
        <v>0</v>
      </c>
      <c r="X88" s="24">
        <v>23</v>
      </c>
      <c r="Y88" s="24">
        <f>'REGISTRO DE DATOS'!P89</f>
        <v>0</v>
      </c>
      <c r="Z88" s="24">
        <v>23</v>
      </c>
    </row>
    <row r="89" spans="1:26" ht="15" thickBot="1" x14ac:dyDescent="0.35">
      <c r="A89" s="10">
        <v>45899</v>
      </c>
      <c r="B89" s="27">
        <f t="shared" si="14"/>
        <v>30</v>
      </c>
      <c r="C89" s="13">
        <v>1</v>
      </c>
      <c r="D89" s="13">
        <f>'REGISTRO DE DATOS'!T90</f>
        <v>0</v>
      </c>
      <c r="E89" s="13">
        <f t="shared" si="15"/>
        <v>0</v>
      </c>
      <c r="F89" s="13">
        <f t="shared" si="20"/>
        <v>0</v>
      </c>
      <c r="G89" s="13">
        <f>'REGISTRO DE DATOS'!R90</f>
        <v>0</v>
      </c>
      <c r="H89" s="41">
        <f t="shared" si="16"/>
        <v>0</v>
      </c>
      <c r="I89" s="41">
        <f>'REGISTRO DE DATOS'!O90</f>
        <v>0</v>
      </c>
      <c r="J89" s="83">
        <f>'REGISTRO DE DATOS'!G90</f>
        <v>0</v>
      </c>
      <c r="K89" s="83">
        <f>'REGISTRO DE DATOS'!I90</f>
        <v>0</v>
      </c>
      <c r="L89" s="83">
        <f t="shared" si="17"/>
        <v>0</v>
      </c>
      <c r="M89" s="94" t="str">
        <f t="shared" si="18"/>
        <v>%</v>
      </c>
      <c r="N89" s="83">
        <f>'REGISTRO DE DATOS'!D90</f>
        <v>0</v>
      </c>
      <c r="O89" s="2">
        <f>'[1]REGISTRO DE DATOS'!W90</f>
        <v>0</v>
      </c>
      <c r="P89" s="41"/>
      <c r="Q89" s="39"/>
      <c r="R89" s="42"/>
      <c r="S89" s="18"/>
      <c r="T89" s="18"/>
      <c r="U89" s="19"/>
      <c r="V89" s="19"/>
      <c r="W89" s="142">
        <f t="shared" si="19"/>
        <v>0</v>
      </c>
      <c r="X89" s="24">
        <v>23</v>
      </c>
      <c r="Y89" s="24">
        <f>'REGISTRO DE DATOS'!P90</f>
        <v>0</v>
      </c>
      <c r="Z89" s="24">
        <v>23</v>
      </c>
    </row>
    <row r="90" spans="1:26" ht="15" thickBot="1" x14ac:dyDescent="0.35">
      <c r="A90" s="11">
        <v>45899</v>
      </c>
      <c r="B90" s="27">
        <f t="shared" si="14"/>
        <v>30</v>
      </c>
      <c r="C90" s="14">
        <v>2</v>
      </c>
      <c r="D90" s="14">
        <f>'REGISTRO DE DATOS'!T91</f>
        <v>53</v>
      </c>
      <c r="E90" s="14">
        <f t="shared" si="15"/>
        <v>1</v>
      </c>
      <c r="F90" s="14">
        <f t="shared" si="20"/>
        <v>52</v>
      </c>
      <c r="G90" s="14">
        <f>'REGISTRO DE DATOS'!R91</f>
        <v>0</v>
      </c>
      <c r="H90" s="5">
        <f t="shared" si="16"/>
        <v>0</v>
      </c>
      <c r="I90" s="5">
        <f>'REGISTRO DE DATOS'!O91</f>
        <v>0</v>
      </c>
      <c r="J90" s="84">
        <f>'REGISTRO DE DATOS'!G91</f>
        <v>0</v>
      </c>
      <c r="K90" s="84">
        <f>'REGISTRO DE DATOS'!I91</f>
        <v>0</v>
      </c>
      <c r="L90" s="84">
        <f t="shared" si="17"/>
        <v>0</v>
      </c>
      <c r="M90" s="94" t="str">
        <f t="shared" si="18"/>
        <v>%</v>
      </c>
      <c r="N90" s="84">
        <f>'REGISTRO DE DATOS'!D91</f>
        <v>1</v>
      </c>
      <c r="O90" s="5">
        <f>'[1]REGISTRO DE DATOS'!W91</f>
        <v>0</v>
      </c>
      <c r="P90" s="5"/>
      <c r="Q90" s="1"/>
      <c r="R90" s="6"/>
      <c r="S90" s="18"/>
      <c r="T90" s="20"/>
      <c r="U90" s="21"/>
      <c r="V90" s="21"/>
      <c r="W90" s="143">
        <f t="shared" si="19"/>
        <v>0</v>
      </c>
      <c r="X90" s="24">
        <v>23</v>
      </c>
      <c r="Y90" s="24">
        <f>'REGISTRO DE DATOS'!P91</f>
        <v>0</v>
      </c>
      <c r="Z90" s="24">
        <v>23</v>
      </c>
    </row>
    <row r="91" spans="1:26" ht="15" thickBot="1" x14ac:dyDescent="0.35">
      <c r="A91" s="12">
        <v>45899</v>
      </c>
      <c r="B91" s="85">
        <f t="shared" si="14"/>
        <v>30</v>
      </c>
      <c r="C91" s="15">
        <v>3</v>
      </c>
      <c r="D91" s="15">
        <f>'REGISTRO DE DATOS'!T92</f>
        <v>0</v>
      </c>
      <c r="E91" s="15">
        <f t="shared" si="15"/>
        <v>0</v>
      </c>
      <c r="F91" s="15">
        <f t="shared" si="20"/>
        <v>0</v>
      </c>
      <c r="G91" s="15">
        <f>'REGISTRO DE DATOS'!R92</f>
        <v>0</v>
      </c>
      <c r="H91" s="7">
        <f t="shared" si="16"/>
        <v>0</v>
      </c>
      <c r="I91" s="7">
        <f>'REGISTRO DE DATOS'!O92</f>
        <v>0</v>
      </c>
      <c r="J91" s="86">
        <f>'REGISTRO DE DATOS'!G92</f>
        <v>0</v>
      </c>
      <c r="K91" s="86">
        <f>'REGISTRO DE DATOS'!I92</f>
        <v>0</v>
      </c>
      <c r="L91" s="86">
        <f t="shared" si="17"/>
        <v>0</v>
      </c>
      <c r="M91" s="94" t="str">
        <f t="shared" si="18"/>
        <v>%</v>
      </c>
      <c r="N91" s="86">
        <f>'REGISTRO DE DATOS'!D92</f>
        <v>0</v>
      </c>
      <c r="O91" s="7">
        <f>'[1]REGISTRO DE DATOS'!W92</f>
        <v>0</v>
      </c>
      <c r="P91" s="7"/>
      <c r="Q91" s="8"/>
      <c r="R91" s="9"/>
      <c r="S91" s="18"/>
      <c r="T91" s="22"/>
      <c r="U91" s="23"/>
      <c r="V91" s="23"/>
      <c r="W91" s="144">
        <f t="shared" si="19"/>
        <v>0</v>
      </c>
      <c r="X91" s="24">
        <v>23</v>
      </c>
      <c r="Y91" s="24">
        <f>'REGISTRO DE DATOS'!P92</f>
        <v>0</v>
      </c>
      <c r="Z91" s="24">
        <v>23</v>
      </c>
    </row>
    <row r="92" spans="1:26" ht="15" thickBot="1" x14ac:dyDescent="0.35">
      <c r="A92" s="10">
        <v>45900</v>
      </c>
      <c r="B92" s="82">
        <f t="shared" si="14"/>
        <v>31</v>
      </c>
      <c r="C92" s="40">
        <v>1</v>
      </c>
      <c r="D92" s="13">
        <f>'REGISTRO DE DATOS'!T93</f>
        <v>0</v>
      </c>
      <c r="E92" s="13">
        <f t="shared" si="15"/>
        <v>0</v>
      </c>
      <c r="F92" s="13">
        <f t="shared" si="20"/>
        <v>0</v>
      </c>
      <c r="G92" s="13">
        <f>'REGISTRO DE DATOS'!R93</f>
        <v>0</v>
      </c>
      <c r="H92" s="41">
        <f t="shared" si="16"/>
        <v>0</v>
      </c>
      <c r="I92" s="41">
        <f>'REGISTRO DE DATOS'!O93</f>
        <v>0</v>
      </c>
      <c r="J92" s="41">
        <f>'REGISTRO DE DATOS'!G93</f>
        <v>0</v>
      </c>
      <c r="K92" s="41">
        <f>'REGISTRO DE DATOS'!I93</f>
        <v>0</v>
      </c>
      <c r="L92" s="41">
        <f t="shared" si="17"/>
        <v>0</v>
      </c>
      <c r="M92" s="94" t="str">
        <f t="shared" si="18"/>
        <v>%</v>
      </c>
      <c r="N92" s="41">
        <f>'REGISTRO DE DATOS'!D93</f>
        <v>0</v>
      </c>
      <c r="O92" s="41">
        <f>'[1]REGISTRO DE DATOS'!W93</f>
        <v>0</v>
      </c>
      <c r="P92" s="41"/>
      <c r="Q92" s="39"/>
      <c r="R92" s="42"/>
      <c r="S92" s="18"/>
      <c r="T92" s="18"/>
      <c r="U92" s="19"/>
      <c r="V92" s="19"/>
      <c r="W92" s="142">
        <f t="shared" si="19"/>
        <v>0</v>
      </c>
      <c r="X92" s="24">
        <v>23</v>
      </c>
      <c r="Y92" s="24">
        <f>'REGISTRO DE DATOS'!P93</f>
        <v>0</v>
      </c>
      <c r="Z92" s="24">
        <v>23</v>
      </c>
    </row>
    <row r="93" spans="1:26" ht="15" thickBot="1" x14ac:dyDescent="0.35">
      <c r="A93" s="11">
        <v>45900</v>
      </c>
      <c r="B93" s="27">
        <f t="shared" si="14"/>
        <v>31</v>
      </c>
      <c r="C93" s="14">
        <v>2</v>
      </c>
      <c r="D93" s="14">
        <f>'REGISTRO DE DATOS'!T94</f>
        <v>23</v>
      </c>
      <c r="E93" s="14">
        <f t="shared" si="15"/>
        <v>3</v>
      </c>
      <c r="F93" s="14">
        <f t="shared" si="20"/>
        <v>20</v>
      </c>
      <c r="G93" s="14">
        <f>'REGISTRO DE DATOS'!R94</f>
        <v>0</v>
      </c>
      <c r="H93" s="5">
        <f t="shared" si="16"/>
        <v>0</v>
      </c>
      <c r="I93" s="5">
        <f>'REGISTRO DE DATOS'!O94</f>
        <v>0</v>
      </c>
      <c r="J93" s="5">
        <f>'REGISTRO DE DATOS'!G94</f>
        <v>0</v>
      </c>
      <c r="K93" s="5">
        <f>'REGISTRO DE DATOS'!I94</f>
        <v>0</v>
      </c>
      <c r="L93" s="5">
        <f t="shared" si="17"/>
        <v>0</v>
      </c>
      <c r="M93" s="94" t="str">
        <f t="shared" si="18"/>
        <v>%</v>
      </c>
      <c r="N93" s="5">
        <f>'REGISTRO DE DATOS'!D94</f>
        <v>3</v>
      </c>
      <c r="O93" s="5">
        <f>'[1]REGISTRO DE DATOS'!W94</f>
        <v>0</v>
      </c>
      <c r="P93" s="5"/>
      <c r="Q93" s="1"/>
      <c r="R93" s="6"/>
      <c r="S93" s="18"/>
      <c r="T93" s="20"/>
      <c r="U93" s="21"/>
      <c r="V93" s="21"/>
      <c r="W93" s="143">
        <f t="shared" si="19"/>
        <v>0</v>
      </c>
      <c r="X93" s="24">
        <v>23</v>
      </c>
      <c r="Y93" s="24">
        <f>'REGISTRO DE DATOS'!P94</f>
        <v>0</v>
      </c>
      <c r="Z93" s="24">
        <v>23</v>
      </c>
    </row>
    <row r="94" spans="1:26" ht="15" thickBot="1" x14ac:dyDescent="0.35">
      <c r="A94" s="12">
        <v>45900</v>
      </c>
      <c r="B94" s="27">
        <f t="shared" si="14"/>
        <v>31</v>
      </c>
      <c r="C94" s="15">
        <v>3</v>
      </c>
      <c r="D94" s="15">
        <f>'REGISTRO DE DATOS'!T95</f>
        <v>19</v>
      </c>
      <c r="E94" s="15">
        <f t="shared" si="15"/>
        <v>0</v>
      </c>
      <c r="F94" s="15">
        <f t="shared" si="20"/>
        <v>19</v>
      </c>
      <c r="G94" s="15">
        <f>'REGISTRO DE DATOS'!R95</f>
        <v>0</v>
      </c>
      <c r="H94" s="7">
        <f t="shared" si="16"/>
        <v>0</v>
      </c>
      <c r="I94" s="7">
        <f>'REGISTRO DE DATOS'!O95</f>
        <v>0</v>
      </c>
      <c r="J94" s="7">
        <f>'REGISTRO DE DATOS'!G95</f>
        <v>0</v>
      </c>
      <c r="K94" s="7">
        <f>'REGISTRO DE DATOS'!I95</f>
        <v>0</v>
      </c>
      <c r="L94" s="7">
        <f t="shared" si="17"/>
        <v>0</v>
      </c>
      <c r="M94" s="94" t="str">
        <f t="shared" si="18"/>
        <v>%</v>
      </c>
      <c r="N94" s="7">
        <f>'REGISTRO DE DATOS'!D95</f>
        <v>0</v>
      </c>
      <c r="O94" s="7">
        <f>'[1]REGISTRO DE DATOS'!W95</f>
        <v>0</v>
      </c>
      <c r="P94" s="7"/>
      <c r="Q94" s="8"/>
      <c r="R94" s="9"/>
      <c r="S94" s="18"/>
      <c r="T94" s="22"/>
      <c r="U94" s="23"/>
      <c r="V94" s="23"/>
      <c r="W94" s="144">
        <f t="shared" si="19"/>
        <v>0</v>
      </c>
      <c r="X94" s="24">
        <v>23</v>
      </c>
      <c r="Y94" s="24">
        <f>'REGISTRO DE DATOS'!P95</f>
        <v>0</v>
      </c>
      <c r="Z94" s="24">
        <v>23</v>
      </c>
    </row>
    <row r="95" spans="1:26" x14ac:dyDescent="0.3">
      <c r="A95" s="10">
        <v>45901</v>
      </c>
      <c r="B95" s="27"/>
      <c r="C95" s="13"/>
      <c r="D95" s="13">
        <f>'REGISTRO DE DATOS'!T96</f>
        <v>0</v>
      </c>
      <c r="E95" s="13">
        <f t="shared" si="15"/>
        <v>0</v>
      </c>
      <c r="F95" s="13">
        <f t="shared" si="20"/>
        <v>0</v>
      </c>
      <c r="G95" s="13">
        <f>'REGISTRO DE DATOS'!R96</f>
        <v>0</v>
      </c>
      <c r="H95" s="2">
        <f t="shared" si="16"/>
        <v>0</v>
      </c>
      <c r="I95" s="2">
        <f>'REGISTRO DE DATOS'!O96</f>
        <v>0</v>
      </c>
      <c r="J95" s="13">
        <f>'REGISTRO DE DATOS'!G96</f>
        <v>0</v>
      </c>
      <c r="K95" s="13">
        <f>'REGISTRO DE DATOS'!I96</f>
        <v>0</v>
      </c>
      <c r="L95" s="13">
        <f t="shared" si="17"/>
        <v>0</v>
      </c>
      <c r="M95" s="94" t="str">
        <f t="shared" si="18"/>
        <v>%</v>
      </c>
      <c r="N95" s="13">
        <f>'REGISTRO DE DATOS'!D96</f>
        <v>0</v>
      </c>
      <c r="O95" s="13">
        <f>'[1]REGISTRO DE DATOS'!W96</f>
        <v>0</v>
      </c>
      <c r="P95" s="2"/>
      <c r="Q95" s="3"/>
      <c r="R95" s="4"/>
      <c r="S95" s="18"/>
      <c r="T95" s="18"/>
      <c r="U95" s="19"/>
      <c r="V95" s="19"/>
      <c r="W95" s="142">
        <f t="shared" si="19"/>
        <v>0</v>
      </c>
      <c r="X95" s="24">
        <v>23</v>
      </c>
      <c r="Y95" s="24">
        <f>'REGISTRO DE DATOS'!P96</f>
        <v>0</v>
      </c>
      <c r="Z95" s="24">
        <v>23</v>
      </c>
    </row>
    <row r="96" spans="1:26" x14ac:dyDescent="0.3">
      <c r="E96">
        <f t="shared" si="15"/>
        <v>0</v>
      </c>
      <c r="G96">
        <f>'REGISTRO DE DATOS'!R97</f>
        <v>0</v>
      </c>
      <c r="H96">
        <f t="shared" si="16"/>
        <v>0</v>
      </c>
      <c r="M96" s="95"/>
      <c r="O96">
        <f>'[1]REGISTRO DE DATOS'!W97</f>
        <v>0</v>
      </c>
      <c r="W96" s="24">
        <f t="shared" si="19"/>
        <v>0</v>
      </c>
    </row>
    <row r="98" spans="17:20" x14ac:dyDescent="0.3">
      <c r="Q98">
        <f>+Q97+P97</f>
        <v>0</v>
      </c>
      <c r="T98" s="24">
        <f>+T95+U95</f>
        <v>0</v>
      </c>
    </row>
    <row r="99" spans="17:20" x14ac:dyDescent="0.3">
      <c r="T99" s="24" t="e">
        <f>+Q98/T98</f>
        <v>#DIV/0!</v>
      </c>
    </row>
  </sheetData>
  <autoFilter ref="A1:Z95" xr:uid="{17D241D2-0F16-4C4F-AD3C-28EA3DD47E42}">
    <sortState xmlns:xlrd2="http://schemas.microsoft.com/office/spreadsheetml/2017/richdata2" ref="A2:Z96">
      <sortCondition ref="A1:A95"/>
    </sortState>
  </autoFilter>
  <conditionalFormatting sqref="F1:F1048576">
    <cfRule type="cellIs" dxfId="0" priority="1" operator="less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16D1-95F9-4984-BA6D-B4D4FA43C058}">
  <sheetPr>
    <tabColor theme="9"/>
  </sheetPr>
  <dimension ref="A1:AI373"/>
  <sheetViews>
    <sheetView topLeftCell="A2" zoomScale="60" zoomScaleNormal="60" workbookViewId="0">
      <pane ySplit="1" topLeftCell="A67" activePane="bottomLeft" state="frozen"/>
      <selection activeCell="B2" sqref="B2"/>
      <selection pane="bottomLeft" activeCell="V3" sqref="V3:V95"/>
    </sheetView>
  </sheetViews>
  <sheetFormatPr baseColWidth="10" defaultRowHeight="14.4" x14ac:dyDescent="0.3"/>
  <cols>
    <col min="1" max="1" width="14.21875" customWidth="1"/>
    <col min="3" max="4" width="18" customWidth="1"/>
    <col min="5" max="15" width="15.77734375" hidden="1" customWidth="1"/>
    <col min="16" max="16" width="15.77734375" customWidth="1"/>
    <col min="17" max="17" width="18.109375" style="24" customWidth="1"/>
    <col min="18" max="20" width="15.77734375" customWidth="1"/>
    <col min="21" max="22" width="17.44140625" customWidth="1"/>
    <col min="23" max="24" width="15.77734375" customWidth="1"/>
    <col min="25" max="27" width="10.77734375" customWidth="1"/>
    <col min="28" max="28" width="12.77734375" customWidth="1"/>
    <col min="35" max="35" width="50" customWidth="1"/>
    <col min="37" max="37" width="75.21875" customWidth="1"/>
  </cols>
  <sheetData>
    <row r="1" spans="1:35" ht="15" hidden="1" thickBot="1" x14ac:dyDescent="0.35">
      <c r="C1" s="274" t="s">
        <v>71</v>
      </c>
      <c r="D1" s="274"/>
      <c r="E1" s="275" t="s">
        <v>72</v>
      </c>
      <c r="F1" s="275"/>
      <c r="G1" s="275"/>
      <c r="H1" s="275"/>
      <c r="I1" s="275"/>
      <c r="J1" s="275"/>
      <c r="K1" s="276" t="s">
        <v>73</v>
      </c>
      <c r="L1" s="276"/>
      <c r="M1" s="276"/>
      <c r="N1" s="276"/>
      <c r="O1" s="276"/>
      <c r="P1" s="277" t="s">
        <v>74</v>
      </c>
      <c r="Q1" s="277"/>
      <c r="R1" s="277"/>
      <c r="S1" s="278" t="s">
        <v>75</v>
      </c>
      <c r="T1" s="278"/>
      <c r="U1" s="278"/>
      <c r="V1" s="278"/>
      <c r="W1" s="278"/>
      <c r="X1" s="278"/>
    </row>
    <row r="2" spans="1:35" ht="86.1" customHeight="1" thickBot="1" x14ac:dyDescent="0.35">
      <c r="A2" s="149" t="s">
        <v>1</v>
      </c>
      <c r="B2" s="16" t="s">
        <v>7</v>
      </c>
      <c r="C2" s="116" t="s">
        <v>76</v>
      </c>
      <c r="D2" s="116" t="s">
        <v>77</v>
      </c>
      <c r="E2" s="117" t="s">
        <v>78</v>
      </c>
      <c r="F2" s="117" t="s">
        <v>79</v>
      </c>
      <c r="G2" s="117" t="s">
        <v>80</v>
      </c>
      <c r="H2" s="117" t="s">
        <v>81</v>
      </c>
      <c r="I2" s="117" t="s">
        <v>82</v>
      </c>
      <c r="J2" s="117" t="s">
        <v>83</v>
      </c>
      <c r="K2" s="174" t="s">
        <v>84</v>
      </c>
      <c r="L2" s="174" t="s">
        <v>85</v>
      </c>
      <c r="M2" s="174" t="s">
        <v>86</v>
      </c>
      <c r="N2" s="174" t="s">
        <v>87</v>
      </c>
      <c r="O2" s="174" t="s">
        <v>88</v>
      </c>
      <c r="P2" s="118" t="s">
        <v>89</v>
      </c>
      <c r="Q2" s="118" t="s">
        <v>90</v>
      </c>
      <c r="R2" s="118" t="s">
        <v>91</v>
      </c>
      <c r="S2" s="119" t="s">
        <v>92</v>
      </c>
      <c r="T2" s="119" t="s">
        <v>93</v>
      </c>
      <c r="U2" s="227" t="s">
        <v>126</v>
      </c>
      <c r="V2" s="227" t="s">
        <v>142</v>
      </c>
      <c r="W2" s="129" t="s">
        <v>103</v>
      </c>
      <c r="X2" s="129" t="s">
        <v>103</v>
      </c>
      <c r="Y2" s="129" t="s">
        <v>118</v>
      </c>
      <c r="Z2" s="129" t="s">
        <v>118</v>
      </c>
      <c r="AA2" s="156" t="s">
        <v>119</v>
      </c>
      <c r="AB2" s="155" t="s">
        <v>120</v>
      </c>
      <c r="AC2" s="271" t="s">
        <v>121</v>
      </c>
      <c r="AD2" s="272"/>
      <c r="AE2" s="272"/>
      <c r="AF2" s="272"/>
      <c r="AG2" s="272"/>
      <c r="AH2" s="272"/>
      <c r="AI2" s="273"/>
    </row>
    <row r="3" spans="1:35" ht="15" thickBot="1" x14ac:dyDescent="0.35">
      <c r="A3" s="150">
        <v>46082</v>
      </c>
      <c r="B3" s="91">
        <f>DAY(A3)</f>
        <v>1</v>
      </c>
      <c r="C3" s="171">
        <v>351712</v>
      </c>
      <c r="D3" s="120">
        <v>0</v>
      </c>
      <c r="E3" s="168">
        <v>0</v>
      </c>
      <c r="F3" s="168">
        <v>0</v>
      </c>
      <c r="G3" s="120">
        <f>+F3*E3</f>
        <v>0</v>
      </c>
      <c r="H3" s="168">
        <v>0</v>
      </c>
      <c r="I3" s="120">
        <f>+H3*F3</f>
        <v>0</v>
      </c>
      <c r="J3" s="120">
        <f>+G3-I3</f>
        <v>0</v>
      </c>
      <c r="K3" s="175">
        <v>888</v>
      </c>
      <c r="L3" s="120">
        <v>0</v>
      </c>
      <c r="M3" s="175">
        <v>40</v>
      </c>
      <c r="N3" s="120">
        <v>0</v>
      </c>
      <c r="O3" s="121">
        <f>+K3*J3</f>
        <v>0</v>
      </c>
      <c r="P3" s="157">
        <v>0</v>
      </c>
      <c r="Q3" s="157">
        <v>10</v>
      </c>
      <c r="R3" s="121">
        <f>(P3*Q3)</f>
        <v>0</v>
      </c>
      <c r="S3" s="178">
        <v>93304</v>
      </c>
      <c r="T3" s="121">
        <v>0</v>
      </c>
      <c r="U3" s="121">
        <v>0</v>
      </c>
      <c r="V3" s="121">
        <f>T3-U3</f>
        <v>0</v>
      </c>
      <c r="W3" s="160"/>
      <c r="X3" s="121">
        <v>0</v>
      </c>
      <c r="Y3" s="160"/>
      <c r="Z3" s="121">
        <v>0</v>
      </c>
      <c r="AA3" s="163">
        <f>X3-AB3</f>
        <v>0</v>
      </c>
      <c r="AB3" s="181">
        <f>X3-Z3</f>
        <v>0</v>
      </c>
      <c r="AC3" s="262"/>
      <c r="AD3" s="263"/>
      <c r="AE3" s="263"/>
      <c r="AF3" s="263"/>
      <c r="AG3" s="263"/>
      <c r="AH3" s="263"/>
      <c r="AI3" s="264"/>
    </row>
    <row r="4" spans="1:35" ht="15" thickBot="1" x14ac:dyDescent="0.35">
      <c r="A4" s="151">
        <f>A3</f>
        <v>46082</v>
      </c>
      <c r="B4" s="92">
        <v>2</v>
      </c>
      <c r="C4" s="172">
        <v>351713</v>
      </c>
      <c r="D4" s="122">
        <f>C4-C3</f>
        <v>1</v>
      </c>
      <c r="E4" s="169">
        <v>0</v>
      </c>
      <c r="F4" s="169">
        <v>0</v>
      </c>
      <c r="G4" s="122">
        <f t="shared" ref="G4:G67" si="0">+F4*E4</f>
        <v>0</v>
      </c>
      <c r="H4" s="169">
        <v>0</v>
      </c>
      <c r="I4" s="122">
        <f t="shared" ref="I4:I67" si="1">+H4*F4</f>
        <v>0</v>
      </c>
      <c r="J4" s="122">
        <f t="shared" ref="J4:J67" si="2">+G4-I4</f>
        <v>0</v>
      </c>
      <c r="K4" s="176">
        <v>888</v>
      </c>
      <c r="L4" s="122">
        <f>+K4-K3</f>
        <v>0</v>
      </c>
      <c r="M4" s="176">
        <v>40</v>
      </c>
      <c r="N4" s="122">
        <v>0</v>
      </c>
      <c r="O4" s="123">
        <f t="shared" ref="O4:O38" si="3">+K4*J4</f>
        <v>0</v>
      </c>
      <c r="P4" s="158">
        <v>0</v>
      </c>
      <c r="Q4" s="157">
        <v>10</v>
      </c>
      <c r="R4" s="123">
        <f t="shared" ref="R4:R67" si="4">(P4*Q4)</f>
        <v>0</v>
      </c>
      <c r="S4" s="179">
        <v>93304</v>
      </c>
      <c r="T4" s="123">
        <f>+S4-S3</f>
        <v>0</v>
      </c>
      <c r="U4" s="123">
        <v>0</v>
      </c>
      <c r="V4" s="123">
        <f t="shared" ref="V4:V67" si="5">T4-U4</f>
        <v>0</v>
      </c>
      <c r="W4" s="161"/>
      <c r="X4" s="123">
        <f>+W4-W3</f>
        <v>0</v>
      </c>
      <c r="Y4" s="161"/>
      <c r="Z4" s="123">
        <f>+Y4-Y3</f>
        <v>0</v>
      </c>
      <c r="AA4" s="164">
        <f t="shared" ref="AA4:AA67" si="6">X4-AB4</f>
        <v>0</v>
      </c>
      <c r="AB4" s="182">
        <f t="shared" ref="AB4:AB67" si="7">X4-Z4</f>
        <v>0</v>
      </c>
      <c r="AC4" s="265"/>
      <c r="AD4" s="266"/>
      <c r="AE4" s="266"/>
      <c r="AF4" s="266"/>
      <c r="AG4" s="266"/>
      <c r="AH4" s="266"/>
      <c r="AI4" s="267"/>
    </row>
    <row r="5" spans="1:35" ht="15" thickBot="1" x14ac:dyDescent="0.35">
      <c r="A5" s="152">
        <f>A4</f>
        <v>46082</v>
      </c>
      <c r="B5" s="90">
        <v>3</v>
      </c>
      <c r="C5" s="173">
        <v>351713</v>
      </c>
      <c r="D5" s="124">
        <f>C5-C4</f>
        <v>0</v>
      </c>
      <c r="E5" s="170">
        <v>0</v>
      </c>
      <c r="F5" s="170">
        <v>0</v>
      </c>
      <c r="G5" s="124">
        <f t="shared" si="0"/>
        <v>0</v>
      </c>
      <c r="H5" s="170">
        <v>0</v>
      </c>
      <c r="I5" s="124">
        <f t="shared" si="1"/>
        <v>0</v>
      </c>
      <c r="J5" s="124">
        <f t="shared" si="2"/>
        <v>0</v>
      </c>
      <c r="K5" s="177">
        <v>888</v>
      </c>
      <c r="L5" s="124">
        <f t="shared" ref="L5:L68" si="8">+K5-K4</f>
        <v>0</v>
      </c>
      <c r="M5" s="177">
        <v>40</v>
      </c>
      <c r="N5" s="124">
        <v>0</v>
      </c>
      <c r="O5" s="125">
        <f t="shared" si="3"/>
        <v>0</v>
      </c>
      <c r="P5" s="159">
        <v>0</v>
      </c>
      <c r="Q5" s="157">
        <v>10</v>
      </c>
      <c r="R5" s="125">
        <f t="shared" si="4"/>
        <v>0</v>
      </c>
      <c r="S5" s="180">
        <v>93304</v>
      </c>
      <c r="T5" s="125">
        <f t="shared" ref="T5:T68" si="9">+S5-S4</f>
        <v>0</v>
      </c>
      <c r="U5" s="125">
        <v>0</v>
      </c>
      <c r="V5" s="125">
        <f t="shared" si="5"/>
        <v>0</v>
      </c>
      <c r="W5" s="162"/>
      <c r="X5" s="125">
        <f t="shared" ref="X5:X68" si="10">+W5-W4</f>
        <v>0</v>
      </c>
      <c r="Y5" s="162"/>
      <c r="Z5" s="125">
        <f t="shared" ref="Z5:Z68" si="11">+Y5-Y4</f>
        <v>0</v>
      </c>
      <c r="AA5" s="165">
        <f t="shared" si="6"/>
        <v>0</v>
      </c>
      <c r="AB5" s="183">
        <f t="shared" si="7"/>
        <v>0</v>
      </c>
      <c r="AC5" s="268"/>
      <c r="AD5" s="269"/>
      <c r="AE5" s="269"/>
      <c r="AF5" s="269"/>
      <c r="AG5" s="269"/>
      <c r="AH5" s="269"/>
      <c r="AI5" s="270"/>
    </row>
    <row r="6" spans="1:35" ht="15" thickBot="1" x14ac:dyDescent="0.35">
      <c r="A6" s="150">
        <f>A5+1</f>
        <v>46083</v>
      </c>
      <c r="B6" s="91">
        <v>1</v>
      </c>
      <c r="C6" s="171">
        <v>351713</v>
      </c>
      <c r="D6" s="120">
        <f t="shared" ref="D6:D69" si="12">+C6-C5</f>
        <v>0</v>
      </c>
      <c r="E6" s="168">
        <v>0</v>
      </c>
      <c r="F6" s="168">
        <v>0</v>
      </c>
      <c r="G6" s="120">
        <f t="shared" si="0"/>
        <v>0</v>
      </c>
      <c r="H6" s="168">
        <v>0</v>
      </c>
      <c r="I6" s="120">
        <f t="shared" si="1"/>
        <v>0</v>
      </c>
      <c r="J6" s="120">
        <f t="shared" si="2"/>
        <v>0</v>
      </c>
      <c r="K6" s="175">
        <v>888</v>
      </c>
      <c r="L6" s="120">
        <f t="shared" si="8"/>
        <v>0</v>
      </c>
      <c r="M6" s="175">
        <v>40</v>
      </c>
      <c r="N6" s="120">
        <v>0</v>
      </c>
      <c r="O6" s="121">
        <f t="shared" si="3"/>
        <v>0</v>
      </c>
      <c r="P6" s="157">
        <v>0</v>
      </c>
      <c r="Q6" s="157">
        <v>10</v>
      </c>
      <c r="R6" s="121">
        <f t="shared" si="4"/>
        <v>0</v>
      </c>
      <c r="S6" s="178">
        <v>93304</v>
      </c>
      <c r="T6" s="121">
        <f t="shared" si="9"/>
        <v>0</v>
      </c>
      <c r="U6" s="121">
        <v>0</v>
      </c>
      <c r="V6" s="121">
        <f t="shared" si="5"/>
        <v>0</v>
      </c>
      <c r="W6" s="160"/>
      <c r="X6" s="121">
        <f t="shared" si="10"/>
        <v>0</v>
      </c>
      <c r="Y6" s="160"/>
      <c r="Z6" s="121">
        <f t="shared" si="11"/>
        <v>0</v>
      </c>
      <c r="AA6" s="166">
        <f t="shared" si="6"/>
        <v>0</v>
      </c>
      <c r="AB6" s="181">
        <f t="shared" si="7"/>
        <v>0</v>
      </c>
      <c r="AC6" s="262"/>
      <c r="AD6" s="263"/>
      <c r="AE6" s="263"/>
      <c r="AF6" s="263"/>
      <c r="AG6" s="263"/>
      <c r="AH6" s="263"/>
      <c r="AI6" s="264"/>
    </row>
    <row r="7" spans="1:35" ht="15" thickBot="1" x14ac:dyDescent="0.35">
      <c r="A7" s="151">
        <f>A6</f>
        <v>46083</v>
      </c>
      <c r="B7" s="92">
        <v>2</v>
      </c>
      <c r="C7" s="172">
        <v>351715</v>
      </c>
      <c r="D7" s="122">
        <f t="shared" si="12"/>
        <v>2</v>
      </c>
      <c r="E7" s="169">
        <v>0</v>
      </c>
      <c r="F7" s="169">
        <v>0</v>
      </c>
      <c r="G7" s="122">
        <f t="shared" si="0"/>
        <v>0</v>
      </c>
      <c r="H7" s="169">
        <v>0</v>
      </c>
      <c r="I7" s="122">
        <f t="shared" si="1"/>
        <v>0</v>
      </c>
      <c r="J7" s="122">
        <f t="shared" si="2"/>
        <v>0</v>
      </c>
      <c r="K7" s="176">
        <v>888</v>
      </c>
      <c r="L7" s="122">
        <f t="shared" si="8"/>
        <v>0</v>
      </c>
      <c r="M7" s="176">
        <v>40</v>
      </c>
      <c r="N7" s="122">
        <f t="shared" ref="N7:N67" si="13">+K7/M7</f>
        <v>22.2</v>
      </c>
      <c r="O7" s="123">
        <f t="shared" si="3"/>
        <v>0</v>
      </c>
      <c r="P7" s="158">
        <v>0</v>
      </c>
      <c r="Q7" s="157">
        <v>10</v>
      </c>
      <c r="R7" s="123">
        <f t="shared" si="4"/>
        <v>0</v>
      </c>
      <c r="S7" s="179">
        <v>93350</v>
      </c>
      <c r="T7" s="123">
        <f t="shared" si="9"/>
        <v>46</v>
      </c>
      <c r="U7" s="123">
        <v>46</v>
      </c>
      <c r="V7" s="123">
        <f t="shared" si="5"/>
        <v>0</v>
      </c>
      <c r="W7" s="161"/>
      <c r="X7" s="123">
        <f t="shared" si="10"/>
        <v>0</v>
      </c>
      <c r="Y7" s="161"/>
      <c r="Z7" s="123">
        <f t="shared" si="11"/>
        <v>0</v>
      </c>
      <c r="AA7" s="164">
        <f t="shared" si="6"/>
        <v>0</v>
      </c>
      <c r="AB7" s="182">
        <f t="shared" si="7"/>
        <v>0</v>
      </c>
      <c r="AC7" s="265"/>
      <c r="AD7" s="266"/>
      <c r="AE7" s="266"/>
      <c r="AF7" s="266"/>
      <c r="AG7" s="266"/>
      <c r="AH7" s="266"/>
      <c r="AI7" s="267"/>
    </row>
    <row r="8" spans="1:35" ht="15" thickBot="1" x14ac:dyDescent="0.35">
      <c r="A8" s="152">
        <f>A7</f>
        <v>46083</v>
      </c>
      <c r="B8" s="90">
        <v>3</v>
      </c>
      <c r="C8" s="173">
        <v>351716</v>
      </c>
      <c r="D8" s="124">
        <f t="shared" si="12"/>
        <v>1</v>
      </c>
      <c r="E8" s="170">
        <v>0</v>
      </c>
      <c r="F8" s="170">
        <v>0</v>
      </c>
      <c r="G8" s="124">
        <f t="shared" si="0"/>
        <v>0</v>
      </c>
      <c r="H8" s="170">
        <v>0</v>
      </c>
      <c r="I8" s="124">
        <f t="shared" si="1"/>
        <v>0</v>
      </c>
      <c r="J8" s="124">
        <f t="shared" si="2"/>
        <v>0</v>
      </c>
      <c r="K8" s="177">
        <v>888</v>
      </c>
      <c r="L8" s="124">
        <f t="shared" si="8"/>
        <v>0</v>
      </c>
      <c r="M8" s="177">
        <v>40</v>
      </c>
      <c r="N8" s="124">
        <f t="shared" si="13"/>
        <v>22.2</v>
      </c>
      <c r="O8" s="125">
        <f t="shared" si="3"/>
        <v>0</v>
      </c>
      <c r="P8" s="159">
        <v>0</v>
      </c>
      <c r="Q8" s="157">
        <v>10</v>
      </c>
      <c r="R8" s="125">
        <f t="shared" si="4"/>
        <v>0</v>
      </c>
      <c r="S8" s="180">
        <v>93350</v>
      </c>
      <c r="T8" s="125">
        <f t="shared" si="9"/>
        <v>0</v>
      </c>
      <c r="U8" s="125">
        <v>0</v>
      </c>
      <c r="V8" s="125">
        <f t="shared" si="5"/>
        <v>0</v>
      </c>
      <c r="W8" s="162"/>
      <c r="X8" s="125">
        <f t="shared" si="10"/>
        <v>0</v>
      </c>
      <c r="Y8" s="162"/>
      <c r="Z8" s="125">
        <f t="shared" si="11"/>
        <v>0</v>
      </c>
      <c r="AA8" s="167">
        <f t="shared" si="6"/>
        <v>0</v>
      </c>
      <c r="AB8" s="183">
        <f t="shared" si="7"/>
        <v>0</v>
      </c>
      <c r="AC8" s="262"/>
      <c r="AD8" s="263"/>
      <c r="AE8" s="263"/>
      <c r="AF8" s="263"/>
      <c r="AG8" s="263"/>
      <c r="AH8" s="263"/>
      <c r="AI8" s="264"/>
    </row>
    <row r="9" spans="1:35" ht="15" thickBot="1" x14ac:dyDescent="0.35">
      <c r="A9" s="150">
        <f>A8+1</f>
        <v>46084</v>
      </c>
      <c r="B9" s="91">
        <v>1</v>
      </c>
      <c r="C9" s="231">
        <v>351716</v>
      </c>
      <c r="D9" s="120">
        <f t="shared" si="12"/>
        <v>0</v>
      </c>
      <c r="E9" s="168">
        <v>0</v>
      </c>
      <c r="F9" s="168">
        <v>0</v>
      </c>
      <c r="G9" s="120">
        <f t="shared" si="0"/>
        <v>0</v>
      </c>
      <c r="H9" s="168">
        <v>0</v>
      </c>
      <c r="I9" s="120">
        <f t="shared" si="1"/>
        <v>0</v>
      </c>
      <c r="J9" s="120">
        <f t="shared" si="2"/>
        <v>0</v>
      </c>
      <c r="K9" s="175">
        <v>888</v>
      </c>
      <c r="L9" s="120">
        <f t="shared" si="8"/>
        <v>0</v>
      </c>
      <c r="M9" s="175">
        <v>40</v>
      </c>
      <c r="N9" s="120">
        <f t="shared" si="13"/>
        <v>22.2</v>
      </c>
      <c r="O9" s="121">
        <f t="shared" si="3"/>
        <v>0</v>
      </c>
      <c r="P9" s="157">
        <v>0</v>
      </c>
      <c r="Q9" s="157">
        <v>10</v>
      </c>
      <c r="R9" s="121">
        <f t="shared" si="4"/>
        <v>0</v>
      </c>
      <c r="S9" s="178">
        <v>93350</v>
      </c>
      <c r="T9" s="121">
        <f t="shared" si="9"/>
        <v>0</v>
      </c>
      <c r="U9" s="121">
        <v>0</v>
      </c>
      <c r="V9" s="121">
        <f t="shared" si="5"/>
        <v>0</v>
      </c>
      <c r="W9" s="160"/>
      <c r="X9" s="121">
        <f t="shared" si="10"/>
        <v>0</v>
      </c>
      <c r="Y9" s="160"/>
      <c r="Z9" s="121">
        <f t="shared" si="11"/>
        <v>0</v>
      </c>
      <c r="AA9" s="163">
        <f t="shared" si="6"/>
        <v>0</v>
      </c>
      <c r="AB9" s="181">
        <f t="shared" si="7"/>
        <v>0</v>
      </c>
      <c r="AC9" s="262"/>
      <c r="AD9" s="263"/>
      <c r="AE9" s="263"/>
      <c r="AF9" s="263"/>
      <c r="AG9" s="263"/>
      <c r="AH9" s="263"/>
      <c r="AI9" s="264"/>
    </row>
    <row r="10" spans="1:35" ht="15" thickBot="1" x14ac:dyDescent="0.35">
      <c r="A10" s="151">
        <f>A9</f>
        <v>46084</v>
      </c>
      <c r="B10" s="92">
        <v>2</v>
      </c>
      <c r="C10" s="232">
        <v>351717</v>
      </c>
      <c r="D10" s="122">
        <f t="shared" si="12"/>
        <v>1</v>
      </c>
      <c r="E10" s="169">
        <v>0</v>
      </c>
      <c r="F10" s="169">
        <v>0</v>
      </c>
      <c r="G10" s="122">
        <f t="shared" si="0"/>
        <v>0</v>
      </c>
      <c r="H10" s="169">
        <v>0</v>
      </c>
      <c r="I10" s="122">
        <f t="shared" si="1"/>
        <v>0</v>
      </c>
      <c r="J10" s="122">
        <f t="shared" si="2"/>
        <v>0</v>
      </c>
      <c r="K10" s="176">
        <v>888</v>
      </c>
      <c r="L10" s="122">
        <f t="shared" si="8"/>
        <v>0</v>
      </c>
      <c r="M10" s="176">
        <v>40</v>
      </c>
      <c r="N10" s="122">
        <f t="shared" si="13"/>
        <v>22.2</v>
      </c>
      <c r="O10" s="123">
        <f t="shared" si="3"/>
        <v>0</v>
      </c>
      <c r="P10" s="158">
        <v>0</v>
      </c>
      <c r="Q10" s="157">
        <v>10</v>
      </c>
      <c r="R10" s="123">
        <f t="shared" si="4"/>
        <v>0</v>
      </c>
      <c r="S10" s="179">
        <v>93414</v>
      </c>
      <c r="T10" s="123">
        <f t="shared" si="9"/>
        <v>64</v>
      </c>
      <c r="U10" s="123">
        <v>64</v>
      </c>
      <c r="V10" s="123">
        <f t="shared" si="5"/>
        <v>0</v>
      </c>
      <c r="W10" s="161"/>
      <c r="X10" s="123">
        <f t="shared" si="10"/>
        <v>0</v>
      </c>
      <c r="Y10" s="161"/>
      <c r="Z10" s="123">
        <f t="shared" si="11"/>
        <v>0</v>
      </c>
      <c r="AA10" s="164">
        <f t="shared" si="6"/>
        <v>0</v>
      </c>
      <c r="AB10" s="182">
        <f t="shared" si="7"/>
        <v>0</v>
      </c>
      <c r="AC10" s="265"/>
      <c r="AD10" s="266"/>
      <c r="AE10" s="266"/>
      <c r="AF10" s="266"/>
      <c r="AG10" s="266"/>
      <c r="AH10" s="266"/>
      <c r="AI10" s="267"/>
    </row>
    <row r="11" spans="1:35" ht="15" thickBot="1" x14ac:dyDescent="0.35">
      <c r="A11" s="152">
        <f>A10</f>
        <v>46084</v>
      </c>
      <c r="B11" s="199">
        <v>3</v>
      </c>
      <c r="C11" s="238">
        <v>351717</v>
      </c>
      <c r="D11" s="201">
        <f t="shared" si="12"/>
        <v>0</v>
      </c>
      <c r="E11" s="202">
        <v>0</v>
      </c>
      <c r="F11" s="202">
        <v>0</v>
      </c>
      <c r="G11" s="201">
        <f t="shared" si="0"/>
        <v>0</v>
      </c>
      <c r="H11" s="202">
        <v>0</v>
      </c>
      <c r="I11" s="201">
        <f t="shared" si="1"/>
        <v>0</v>
      </c>
      <c r="J11" s="201">
        <f t="shared" si="2"/>
        <v>0</v>
      </c>
      <c r="K11" s="203">
        <v>888</v>
      </c>
      <c r="L11" s="201">
        <f t="shared" si="8"/>
        <v>0</v>
      </c>
      <c r="M11" s="203">
        <v>40</v>
      </c>
      <c r="N11" s="201">
        <f t="shared" si="13"/>
        <v>22.2</v>
      </c>
      <c r="O11" s="204">
        <f t="shared" si="3"/>
        <v>0</v>
      </c>
      <c r="P11" s="205">
        <v>0</v>
      </c>
      <c r="Q11" s="157">
        <v>10</v>
      </c>
      <c r="R11" s="204">
        <f t="shared" si="4"/>
        <v>0</v>
      </c>
      <c r="S11" s="206">
        <v>93449</v>
      </c>
      <c r="T11" s="204">
        <f t="shared" si="9"/>
        <v>35</v>
      </c>
      <c r="U11" s="204">
        <v>18</v>
      </c>
      <c r="V11" s="204">
        <f t="shared" si="5"/>
        <v>17</v>
      </c>
      <c r="W11" s="207"/>
      <c r="X11" s="204">
        <f t="shared" si="10"/>
        <v>0</v>
      </c>
      <c r="Y11" s="207"/>
      <c r="Z11" s="204">
        <f t="shared" si="11"/>
        <v>0</v>
      </c>
      <c r="AA11" s="165">
        <f t="shared" si="6"/>
        <v>0</v>
      </c>
      <c r="AB11" s="183">
        <f t="shared" si="7"/>
        <v>0</v>
      </c>
      <c r="AC11" s="268"/>
      <c r="AD11" s="269"/>
      <c r="AE11" s="269"/>
      <c r="AF11" s="269"/>
      <c r="AG11" s="269"/>
      <c r="AH11" s="269"/>
      <c r="AI11" s="270"/>
    </row>
    <row r="12" spans="1:35" ht="15" thickBot="1" x14ac:dyDescent="0.35">
      <c r="A12" s="150">
        <f>A11+1</f>
        <v>46085</v>
      </c>
      <c r="B12" s="91">
        <v>1</v>
      </c>
      <c r="C12" s="233">
        <v>351717</v>
      </c>
      <c r="D12" s="120">
        <f t="shared" si="12"/>
        <v>0</v>
      </c>
      <c r="E12" s="168">
        <v>0</v>
      </c>
      <c r="F12" s="168">
        <v>0</v>
      </c>
      <c r="G12" s="120">
        <f t="shared" si="0"/>
        <v>0</v>
      </c>
      <c r="H12" s="168">
        <v>0</v>
      </c>
      <c r="I12" s="120">
        <f t="shared" si="1"/>
        <v>0</v>
      </c>
      <c r="J12" s="120">
        <f t="shared" si="2"/>
        <v>0</v>
      </c>
      <c r="K12" s="175">
        <v>888</v>
      </c>
      <c r="L12" s="120">
        <f t="shared" si="8"/>
        <v>0</v>
      </c>
      <c r="M12" s="175">
        <v>40</v>
      </c>
      <c r="N12" s="120">
        <f t="shared" si="13"/>
        <v>22.2</v>
      </c>
      <c r="O12" s="121">
        <f t="shared" si="3"/>
        <v>0</v>
      </c>
      <c r="P12" s="157">
        <v>0</v>
      </c>
      <c r="Q12" s="157">
        <v>10</v>
      </c>
      <c r="R12" s="121">
        <f t="shared" si="4"/>
        <v>0</v>
      </c>
      <c r="S12" s="178">
        <v>93449</v>
      </c>
      <c r="T12" s="121">
        <f t="shared" si="9"/>
        <v>0</v>
      </c>
      <c r="U12" s="121">
        <v>0</v>
      </c>
      <c r="V12" s="121">
        <f t="shared" si="5"/>
        <v>0</v>
      </c>
      <c r="W12" s="160"/>
      <c r="X12" s="121">
        <f t="shared" si="10"/>
        <v>0</v>
      </c>
      <c r="Y12" s="160"/>
      <c r="Z12" s="234">
        <f t="shared" si="11"/>
        <v>0</v>
      </c>
      <c r="AA12" s="166">
        <f t="shared" si="6"/>
        <v>0</v>
      </c>
      <c r="AB12" s="181">
        <f t="shared" si="7"/>
        <v>0</v>
      </c>
      <c r="AC12" s="262"/>
      <c r="AD12" s="263"/>
      <c r="AE12" s="263"/>
      <c r="AF12" s="263"/>
      <c r="AG12" s="263"/>
      <c r="AH12" s="263"/>
      <c r="AI12" s="264"/>
    </row>
    <row r="13" spans="1:35" ht="15" thickBot="1" x14ac:dyDescent="0.35">
      <c r="A13" s="151">
        <f>A12</f>
        <v>46085</v>
      </c>
      <c r="B13" s="92">
        <v>2</v>
      </c>
      <c r="C13" s="232">
        <v>351717</v>
      </c>
      <c r="D13" s="122">
        <f t="shared" si="12"/>
        <v>0</v>
      </c>
      <c r="E13" s="169">
        <v>0</v>
      </c>
      <c r="F13" s="169">
        <v>0</v>
      </c>
      <c r="G13" s="122">
        <f t="shared" si="0"/>
        <v>0</v>
      </c>
      <c r="H13" s="169">
        <v>0</v>
      </c>
      <c r="I13" s="122">
        <f t="shared" si="1"/>
        <v>0</v>
      </c>
      <c r="J13" s="122">
        <f t="shared" si="2"/>
        <v>0</v>
      </c>
      <c r="K13" s="176">
        <v>888</v>
      </c>
      <c r="L13" s="122">
        <f t="shared" si="8"/>
        <v>0</v>
      </c>
      <c r="M13" s="176">
        <v>40</v>
      </c>
      <c r="N13" s="122">
        <f t="shared" si="13"/>
        <v>22.2</v>
      </c>
      <c r="O13" s="123">
        <f t="shared" si="3"/>
        <v>0</v>
      </c>
      <c r="P13" s="158">
        <v>0</v>
      </c>
      <c r="Q13" s="157">
        <v>10</v>
      </c>
      <c r="R13" s="123">
        <f t="shared" si="4"/>
        <v>0</v>
      </c>
      <c r="S13" s="179">
        <v>93478</v>
      </c>
      <c r="T13" s="123">
        <f t="shared" si="9"/>
        <v>29</v>
      </c>
      <c r="U13" s="123">
        <v>29</v>
      </c>
      <c r="V13" s="123">
        <f t="shared" si="5"/>
        <v>0</v>
      </c>
      <c r="W13" s="161"/>
      <c r="X13" s="123">
        <f>+W13-W12</f>
        <v>0</v>
      </c>
      <c r="Y13" s="161"/>
      <c r="Z13" s="235">
        <f t="shared" si="11"/>
        <v>0</v>
      </c>
      <c r="AA13" s="166">
        <f t="shared" si="6"/>
        <v>0</v>
      </c>
      <c r="AB13" s="182">
        <f t="shared" si="7"/>
        <v>0</v>
      </c>
      <c r="AC13" s="265"/>
      <c r="AD13" s="266"/>
      <c r="AE13" s="266"/>
      <c r="AF13" s="266"/>
      <c r="AG13" s="266"/>
      <c r="AH13" s="266"/>
      <c r="AI13" s="267"/>
    </row>
    <row r="14" spans="1:35" ht="15" thickBot="1" x14ac:dyDescent="0.35">
      <c r="A14" s="152">
        <f>A13</f>
        <v>46085</v>
      </c>
      <c r="B14" s="90">
        <v>3</v>
      </c>
      <c r="C14" s="236">
        <v>351717</v>
      </c>
      <c r="D14" s="124">
        <f t="shared" si="12"/>
        <v>0</v>
      </c>
      <c r="E14" s="170">
        <v>0</v>
      </c>
      <c r="F14" s="170">
        <v>0</v>
      </c>
      <c r="G14" s="124">
        <f t="shared" si="0"/>
        <v>0</v>
      </c>
      <c r="H14" s="170">
        <v>0</v>
      </c>
      <c r="I14" s="124">
        <f t="shared" si="1"/>
        <v>0</v>
      </c>
      <c r="J14" s="124">
        <f t="shared" si="2"/>
        <v>0</v>
      </c>
      <c r="K14" s="177">
        <v>888</v>
      </c>
      <c r="L14" s="124">
        <f t="shared" si="8"/>
        <v>0</v>
      </c>
      <c r="M14" s="177">
        <v>40</v>
      </c>
      <c r="N14" s="124">
        <v>0</v>
      </c>
      <c r="O14" s="125">
        <f t="shared" si="3"/>
        <v>0</v>
      </c>
      <c r="P14" s="159">
        <v>0</v>
      </c>
      <c r="Q14" s="157">
        <v>10</v>
      </c>
      <c r="R14" s="125">
        <f t="shared" si="4"/>
        <v>0</v>
      </c>
      <c r="S14" s="180">
        <v>93502</v>
      </c>
      <c r="T14" s="125">
        <f t="shared" si="9"/>
        <v>24</v>
      </c>
      <c r="U14" s="125">
        <v>24</v>
      </c>
      <c r="V14" s="125">
        <f t="shared" si="5"/>
        <v>0</v>
      </c>
      <c r="W14" s="162"/>
      <c r="X14" s="125">
        <f>+W14-W13</f>
        <v>0</v>
      </c>
      <c r="Y14" s="162"/>
      <c r="Z14" s="237">
        <f t="shared" si="11"/>
        <v>0</v>
      </c>
      <c r="AA14" s="166">
        <f>X14-AB14</f>
        <v>0</v>
      </c>
      <c r="AB14" s="182">
        <f t="shared" si="7"/>
        <v>0</v>
      </c>
      <c r="AC14" s="268"/>
      <c r="AD14" s="269"/>
      <c r="AE14" s="269"/>
      <c r="AF14" s="269"/>
      <c r="AG14" s="269"/>
      <c r="AH14" s="269"/>
      <c r="AI14" s="270"/>
    </row>
    <row r="15" spans="1:35" ht="15" thickBot="1" x14ac:dyDescent="0.35">
      <c r="A15" s="150">
        <f>A14+1</f>
        <v>46086</v>
      </c>
      <c r="B15" s="93">
        <v>1</v>
      </c>
      <c r="C15" s="238">
        <v>351717</v>
      </c>
      <c r="D15" s="209">
        <f t="shared" si="12"/>
        <v>0</v>
      </c>
      <c r="E15" s="210">
        <v>0</v>
      </c>
      <c r="F15" s="210">
        <v>0</v>
      </c>
      <c r="G15" s="209">
        <f t="shared" si="0"/>
        <v>0</v>
      </c>
      <c r="H15" s="210">
        <v>0</v>
      </c>
      <c r="I15" s="209">
        <f t="shared" si="1"/>
        <v>0</v>
      </c>
      <c r="J15" s="209">
        <f t="shared" si="2"/>
        <v>0</v>
      </c>
      <c r="K15" s="211">
        <v>888</v>
      </c>
      <c r="L15" s="209">
        <f t="shared" si="8"/>
        <v>0</v>
      </c>
      <c r="M15" s="211">
        <v>40</v>
      </c>
      <c r="N15" s="209">
        <f t="shared" si="13"/>
        <v>22.2</v>
      </c>
      <c r="O15" s="121">
        <f t="shared" si="3"/>
        <v>0</v>
      </c>
      <c r="P15" s="158">
        <v>0</v>
      </c>
      <c r="Q15" s="157">
        <v>10</v>
      </c>
      <c r="R15" s="212">
        <f t="shared" si="4"/>
        <v>0</v>
      </c>
      <c r="S15" s="213">
        <v>93502</v>
      </c>
      <c r="T15" s="212">
        <f t="shared" si="9"/>
        <v>0</v>
      </c>
      <c r="U15" s="212">
        <v>0</v>
      </c>
      <c r="V15" s="212">
        <f t="shared" si="5"/>
        <v>0</v>
      </c>
      <c r="W15" s="214"/>
      <c r="X15" s="212">
        <f t="shared" si="10"/>
        <v>0</v>
      </c>
      <c r="Y15" s="214"/>
      <c r="Z15" s="212">
        <f t="shared" si="11"/>
        <v>0</v>
      </c>
      <c r="AA15" s="163">
        <f t="shared" si="6"/>
        <v>0</v>
      </c>
      <c r="AB15" s="181">
        <f t="shared" si="7"/>
        <v>0</v>
      </c>
      <c r="AC15" s="262"/>
      <c r="AD15" s="263"/>
      <c r="AE15" s="263"/>
      <c r="AF15" s="263"/>
      <c r="AG15" s="263"/>
      <c r="AH15" s="263"/>
      <c r="AI15" s="264"/>
    </row>
    <row r="16" spans="1:35" ht="15" thickBot="1" x14ac:dyDescent="0.35">
      <c r="A16" s="151">
        <f>A15</f>
        <v>46086</v>
      </c>
      <c r="B16" s="92">
        <v>2</v>
      </c>
      <c r="C16" s="232">
        <v>351717</v>
      </c>
      <c r="D16" s="122">
        <f t="shared" si="12"/>
        <v>0</v>
      </c>
      <c r="E16" s="169">
        <v>0</v>
      </c>
      <c r="F16" s="169">
        <v>0</v>
      </c>
      <c r="G16" s="122">
        <f t="shared" si="0"/>
        <v>0</v>
      </c>
      <c r="H16" s="169">
        <v>0</v>
      </c>
      <c r="I16" s="122">
        <f t="shared" si="1"/>
        <v>0</v>
      </c>
      <c r="J16" s="122">
        <f t="shared" si="2"/>
        <v>0</v>
      </c>
      <c r="K16" s="176">
        <v>888</v>
      </c>
      <c r="L16" s="122">
        <f t="shared" si="8"/>
        <v>0</v>
      </c>
      <c r="M16" s="176">
        <v>40</v>
      </c>
      <c r="N16" s="122">
        <f t="shared" si="13"/>
        <v>22.2</v>
      </c>
      <c r="O16" s="123">
        <f t="shared" si="3"/>
        <v>0</v>
      </c>
      <c r="P16" s="158">
        <v>0</v>
      </c>
      <c r="Q16" s="157">
        <v>10</v>
      </c>
      <c r="R16" s="123">
        <f t="shared" si="4"/>
        <v>0</v>
      </c>
      <c r="S16" s="179">
        <v>93524</v>
      </c>
      <c r="T16" s="123">
        <f t="shared" si="9"/>
        <v>22</v>
      </c>
      <c r="U16" s="123">
        <v>22</v>
      </c>
      <c r="V16" s="123">
        <f t="shared" si="5"/>
        <v>0</v>
      </c>
      <c r="W16" s="161"/>
      <c r="X16" s="123">
        <f t="shared" si="10"/>
        <v>0</v>
      </c>
      <c r="Y16" s="161"/>
      <c r="Z16" s="123">
        <f t="shared" si="11"/>
        <v>0</v>
      </c>
      <c r="AA16" s="164">
        <f t="shared" si="6"/>
        <v>0</v>
      </c>
      <c r="AB16" s="182">
        <f t="shared" si="7"/>
        <v>0</v>
      </c>
      <c r="AC16" s="265"/>
      <c r="AD16" s="266"/>
      <c r="AE16" s="266"/>
      <c r="AF16" s="266"/>
      <c r="AG16" s="266"/>
      <c r="AH16" s="266"/>
      <c r="AI16" s="267"/>
    </row>
    <row r="17" spans="1:35" ht="15" thickBot="1" x14ac:dyDescent="0.35">
      <c r="A17" s="152">
        <f>A16</f>
        <v>46086</v>
      </c>
      <c r="B17" s="90">
        <v>3</v>
      </c>
      <c r="C17" s="208">
        <v>351719</v>
      </c>
      <c r="D17" s="124">
        <f t="shared" si="12"/>
        <v>2</v>
      </c>
      <c r="E17" s="170">
        <v>0</v>
      </c>
      <c r="F17" s="170">
        <v>0</v>
      </c>
      <c r="G17" s="124">
        <f t="shared" si="0"/>
        <v>0</v>
      </c>
      <c r="H17" s="170">
        <v>0</v>
      </c>
      <c r="I17" s="124">
        <f t="shared" si="1"/>
        <v>0</v>
      </c>
      <c r="J17" s="124">
        <f t="shared" si="2"/>
        <v>0</v>
      </c>
      <c r="K17" s="177">
        <v>888</v>
      </c>
      <c r="L17" s="124">
        <f>+K17-K16</f>
        <v>0</v>
      </c>
      <c r="M17" s="177">
        <v>40</v>
      </c>
      <c r="N17" s="124">
        <f t="shared" si="13"/>
        <v>22.2</v>
      </c>
      <c r="O17" s="125">
        <f t="shared" si="3"/>
        <v>0</v>
      </c>
      <c r="P17" s="159">
        <v>0</v>
      </c>
      <c r="Q17" s="157">
        <v>10</v>
      </c>
      <c r="R17" s="125">
        <f t="shared" si="4"/>
        <v>0</v>
      </c>
      <c r="S17" s="180">
        <v>93552</v>
      </c>
      <c r="T17" s="125">
        <f t="shared" si="9"/>
        <v>28</v>
      </c>
      <c r="U17" s="125">
        <v>28</v>
      </c>
      <c r="V17" s="125">
        <f t="shared" si="5"/>
        <v>0</v>
      </c>
      <c r="W17" s="162"/>
      <c r="X17" s="125">
        <f t="shared" si="10"/>
        <v>0</v>
      </c>
      <c r="Y17" s="162"/>
      <c r="Z17" s="125">
        <f t="shared" si="11"/>
        <v>0</v>
      </c>
      <c r="AA17" s="165">
        <f t="shared" si="6"/>
        <v>0</v>
      </c>
      <c r="AB17" s="183">
        <f t="shared" si="7"/>
        <v>0</v>
      </c>
      <c r="AC17" s="268"/>
      <c r="AD17" s="269"/>
      <c r="AE17" s="269"/>
      <c r="AF17" s="269"/>
      <c r="AG17" s="269"/>
      <c r="AH17" s="269"/>
      <c r="AI17" s="270"/>
    </row>
    <row r="18" spans="1:35" ht="15" thickBot="1" x14ac:dyDescent="0.35">
      <c r="A18" s="153">
        <f>A17+1</f>
        <v>46087</v>
      </c>
      <c r="B18" s="91">
        <v>1</v>
      </c>
      <c r="C18" s="231">
        <v>351719</v>
      </c>
      <c r="D18" s="120">
        <f t="shared" si="12"/>
        <v>0</v>
      </c>
      <c r="E18" s="168">
        <v>0</v>
      </c>
      <c r="F18" s="168">
        <v>0</v>
      </c>
      <c r="G18" s="120">
        <f t="shared" si="0"/>
        <v>0</v>
      </c>
      <c r="H18" s="168">
        <v>0</v>
      </c>
      <c r="I18" s="120">
        <f t="shared" si="1"/>
        <v>0</v>
      </c>
      <c r="J18" s="120">
        <f t="shared" si="2"/>
        <v>0</v>
      </c>
      <c r="K18" s="175">
        <v>888</v>
      </c>
      <c r="L18" s="120">
        <f t="shared" si="8"/>
        <v>0</v>
      </c>
      <c r="M18" s="175">
        <v>40</v>
      </c>
      <c r="N18" s="120">
        <f t="shared" si="13"/>
        <v>22.2</v>
      </c>
      <c r="O18" s="121">
        <f t="shared" si="3"/>
        <v>0</v>
      </c>
      <c r="P18" s="157">
        <v>0</v>
      </c>
      <c r="Q18" s="157">
        <v>10</v>
      </c>
      <c r="R18" s="121">
        <f t="shared" si="4"/>
        <v>0</v>
      </c>
      <c r="S18" s="178">
        <v>93552</v>
      </c>
      <c r="T18" s="121">
        <f t="shared" si="9"/>
        <v>0</v>
      </c>
      <c r="U18" s="121">
        <v>0</v>
      </c>
      <c r="V18" s="121">
        <f t="shared" si="5"/>
        <v>0</v>
      </c>
      <c r="W18" s="160"/>
      <c r="X18" s="121">
        <f t="shared" si="10"/>
        <v>0</v>
      </c>
      <c r="Y18" s="160"/>
      <c r="Z18" s="121">
        <f t="shared" si="11"/>
        <v>0</v>
      </c>
      <c r="AA18" s="166">
        <f t="shared" si="6"/>
        <v>0</v>
      </c>
      <c r="AB18" s="181">
        <f t="shared" si="7"/>
        <v>0</v>
      </c>
      <c r="AC18" s="262"/>
      <c r="AD18" s="263"/>
      <c r="AE18" s="263"/>
      <c r="AF18" s="263"/>
      <c r="AG18" s="263"/>
      <c r="AH18" s="263"/>
      <c r="AI18" s="264"/>
    </row>
    <row r="19" spans="1:35" ht="15" thickBot="1" x14ac:dyDescent="0.35">
      <c r="A19" s="151">
        <f>A18</f>
        <v>46087</v>
      </c>
      <c r="B19" s="92">
        <v>2</v>
      </c>
      <c r="C19" s="232">
        <v>351721</v>
      </c>
      <c r="D19" s="122">
        <f t="shared" si="12"/>
        <v>2</v>
      </c>
      <c r="E19" s="169">
        <v>0</v>
      </c>
      <c r="F19" s="169">
        <v>0</v>
      </c>
      <c r="G19" s="122">
        <f t="shared" si="0"/>
        <v>0</v>
      </c>
      <c r="H19" s="169">
        <v>0</v>
      </c>
      <c r="I19" s="122">
        <f t="shared" si="1"/>
        <v>0</v>
      </c>
      <c r="J19" s="122">
        <f t="shared" si="2"/>
        <v>0</v>
      </c>
      <c r="K19" s="176">
        <v>888</v>
      </c>
      <c r="L19" s="122">
        <f t="shared" si="8"/>
        <v>0</v>
      </c>
      <c r="M19" s="176">
        <v>40</v>
      </c>
      <c r="N19" s="122">
        <f t="shared" si="13"/>
        <v>22.2</v>
      </c>
      <c r="O19" s="123">
        <f t="shared" si="3"/>
        <v>0</v>
      </c>
      <c r="P19" s="158">
        <v>0</v>
      </c>
      <c r="Q19" s="157">
        <v>10</v>
      </c>
      <c r="R19" s="123">
        <f t="shared" si="4"/>
        <v>0</v>
      </c>
      <c r="S19" s="179">
        <v>93552</v>
      </c>
      <c r="T19" s="123">
        <f t="shared" si="9"/>
        <v>0</v>
      </c>
      <c r="U19" s="123">
        <v>0</v>
      </c>
      <c r="V19" s="123">
        <f t="shared" si="5"/>
        <v>0</v>
      </c>
      <c r="W19" s="161"/>
      <c r="X19" s="123">
        <f t="shared" si="10"/>
        <v>0</v>
      </c>
      <c r="Y19" s="161"/>
      <c r="Z19" s="123">
        <f t="shared" si="11"/>
        <v>0</v>
      </c>
      <c r="AA19" s="164">
        <f t="shared" si="6"/>
        <v>0</v>
      </c>
      <c r="AB19" s="182">
        <f t="shared" si="7"/>
        <v>0</v>
      </c>
      <c r="AC19" s="265"/>
      <c r="AD19" s="266"/>
      <c r="AE19" s="266"/>
      <c r="AF19" s="266"/>
      <c r="AG19" s="266"/>
      <c r="AH19" s="266"/>
      <c r="AI19" s="267"/>
    </row>
    <row r="20" spans="1:35" ht="15" thickBot="1" x14ac:dyDescent="0.35">
      <c r="A20" s="154">
        <f>A19</f>
        <v>46087</v>
      </c>
      <c r="B20" s="90">
        <v>3</v>
      </c>
      <c r="C20" s="208">
        <v>351721</v>
      </c>
      <c r="D20" s="124">
        <f t="shared" si="12"/>
        <v>0</v>
      </c>
      <c r="E20" s="170">
        <v>0</v>
      </c>
      <c r="F20" s="170">
        <v>0</v>
      </c>
      <c r="G20" s="124">
        <f t="shared" si="0"/>
        <v>0</v>
      </c>
      <c r="H20" s="170">
        <v>0</v>
      </c>
      <c r="I20" s="124">
        <f t="shared" si="1"/>
        <v>0</v>
      </c>
      <c r="J20" s="124">
        <f t="shared" si="2"/>
        <v>0</v>
      </c>
      <c r="K20" s="177">
        <v>888</v>
      </c>
      <c r="L20" s="124">
        <f t="shared" si="8"/>
        <v>0</v>
      </c>
      <c r="M20" s="177">
        <v>40</v>
      </c>
      <c r="N20" s="124">
        <f t="shared" si="13"/>
        <v>22.2</v>
      </c>
      <c r="O20" s="125">
        <f t="shared" si="3"/>
        <v>0</v>
      </c>
      <c r="P20" s="159">
        <v>0</v>
      </c>
      <c r="Q20" s="157">
        <v>10</v>
      </c>
      <c r="R20" s="125">
        <f t="shared" si="4"/>
        <v>0</v>
      </c>
      <c r="S20" s="180">
        <v>93552</v>
      </c>
      <c r="T20" s="125">
        <f t="shared" si="9"/>
        <v>0</v>
      </c>
      <c r="U20" s="125">
        <v>0</v>
      </c>
      <c r="V20" s="125">
        <f t="shared" si="5"/>
        <v>0</v>
      </c>
      <c r="W20" s="162"/>
      <c r="X20" s="125">
        <f t="shared" si="10"/>
        <v>0</v>
      </c>
      <c r="Y20" s="162"/>
      <c r="Z20" s="125">
        <f t="shared" si="11"/>
        <v>0</v>
      </c>
      <c r="AA20" s="167">
        <f t="shared" si="6"/>
        <v>0</v>
      </c>
      <c r="AB20" s="184">
        <f t="shared" si="7"/>
        <v>0</v>
      </c>
      <c r="AC20" s="268"/>
      <c r="AD20" s="269"/>
      <c r="AE20" s="269"/>
      <c r="AF20" s="269"/>
      <c r="AG20" s="269"/>
      <c r="AH20" s="269"/>
      <c r="AI20" s="270"/>
    </row>
    <row r="21" spans="1:35" ht="15" thickBot="1" x14ac:dyDescent="0.35">
      <c r="A21" s="150">
        <f>A20+1</f>
        <v>46088</v>
      </c>
      <c r="B21" s="91">
        <v>1</v>
      </c>
      <c r="C21" s="171">
        <v>351721</v>
      </c>
      <c r="D21" s="120">
        <f t="shared" si="12"/>
        <v>0</v>
      </c>
      <c r="E21" s="168">
        <v>0</v>
      </c>
      <c r="F21" s="168">
        <v>0</v>
      </c>
      <c r="G21" s="120">
        <f t="shared" si="0"/>
        <v>0</v>
      </c>
      <c r="H21" s="168">
        <v>0</v>
      </c>
      <c r="I21" s="120">
        <f t="shared" si="1"/>
        <v>0</v>
      </c>
      <c r="J21" s="120">
        <f t="shared" si="2"/>
        <v>0</v>
      </c>
      <c r="K21" s="175">
        <v>888</v>
      </c>
      <c r="L21" s="120">
        <f t="shared" si="8"/>
        <v>0</v>
      </c>
      <c r="M21" s="175">
        <v>40</v>
      </c>
      <c r="N21" s="120">
        <f t="shared" si="13"/>
        <v>22.2</v>
      </c>
      <c r="O21" s="121">
        <f t="shared" si="3"/>
        <v>0</v>
      </c>
      <c r="P21" s="157">
        <v>0</v>
      </c>
      <c r="Q21" s="157">
        <v>10</v>
      </c>
      <c r="R21" s="121">
        <f t="shared" si="4"/>
        <v>0</v>
      </c>
      <c r="S21" s="178">
        <v>93552</v>
      </c>
      <c r="T21" s="121">
        <f t="shared" si="9"/>
        <v>0</v>
      </c>
      <c r="U21" s="121">
        <v>0</v>
      </c>
      <c r="V21" s="121">
        <f t="shared" si="5"/>
        <v>0</v>
      </c>
      <c r="W21" s="160"/>
      <c r="X21" s="121">
        <f t="shared" si="10"/>
        <v>0</v>
      </c>
      <c r="Y21" s="160"/>
      <c r="Z21" s="121">
        <f t="shared" si="11"/>
        <v>0</v>
      </c>
      <c r="AA21" s="163">
        <f t="shared" si="6"/>
        <v>0</v>
      </c>
      <c r="AB21" s="181">
        <f t="shared" si="7"/>
        <v>0</v>
      </c>
      <c r="AC21" s="262"/>
      <c r="AD21" s="263"/>
      <c r="AE21" s="263"/>
      <c r="AF21" s="263"/>
      <c r="AG21" s="263"/>
      <c r="AH21" s="263"/>
      <c r="AI21" s="264"/>
    </row>
    <row r="22" spans="1:35" ht="15" thickBot="1" x14ac:dyDescent="0.35">
      <c r="A22" s="151">
        <f>A21</f>
        <v>46088</v>
      </c>
      <c r="B22" s="92">
        <v>2</v>
      </c>
      <c r="C22" s="172">
        <v>351722</v>
      </c>
      <c r="D22" s="122">
        <f t="shared" si="12"/>
        <v>1</v>
      </c>
      <c r="E22" s="169">
        <v>0</v>
      </c>
      <c r="F22" s="169">
        <v>0</v>
      </c>
      <c r="G22" s="122">
        <f t="shared" si="0"/>
        <v>0</v>
      </c>
      <c r="H22" s="169">
        <v>0</v>
      </c>
      <c r="I22" s="122">
        <f t="shared" si="1"/>
        <v>0</v>
      </c>
      <c r="J22" s="122">
        <f t="shared" si="2"/>
        <v>0</v>
      </c>
      <c r="K22" s="176">
        <v>888</v>
      </c>
      <c r="L22" s="122">
        <f t="shared" si="8"/>
        <v>0</v>
      </c>
      <c r="M22" s="176">
        <v>40</v>
      </c>
      <c r="N22" s="122">
        <f t="shared" si="13"/>
        <v>22.2</v>
      </c>
      <c r="O22" s="123">
        <f t="shared" si="3"/>
        <v>0</v>
      </c>
      <c r="P22" s="158">
        <v>0</v>
      </c>
      <c r="Q22" s="157">
        <v>10</v>
      </c>
      <c r="R22" s="123">
        <f t="shared" si="4"/>
        <v>0</v>
      </c>
      <c r="S22" s="179">
        <v>93552</v>
      </c>
      <c r="T22" s="123">
        <f t="shared" si="9"/>
        <v>0</v>
      </c>
      <c r="U22" s="123">
        <v>0</v>
      </c>
      <c r="V22" s="123">
        <f t="shared" si="5"/>
        <v>0</v>
      </c>
      <c r="W22" s="161"/>
      <c r="X22" s="123">
        <f t="shared" si="10"/>
        <v>0</v>
      </c>
      <c r="Y22" s="161"/>
      <c r="Z22" s="123">
        <f t="shared" si="11"/>
        <v>0</v>
      </c>
      <c r="AA22" s="164">
        <f t="shared" si="6"/>
        <v>0</v>
      </c>
      <c r="AB22" s="182">
        <f t="shared" si="7"/>
        <v>0</v>
      </c>
      <c r="AC22" s="265"/>
      <c r="AD22" s="266"/>
      <c r="AE22" s="266"/>
      <c r="AF22" s="266"/>
      <c r="AG22" s="266"/>
      <c r="AH22" s="266"/>
      <c r="AI22" s="267"/>
    </row>
    <row r="23" spans="1:35" ht="15" thickBot="1" x14ac:dyDescent="0.35">
      <c r="A23" s="152">
        <f>A22</f>
        <v>46088</v>
      </c>
      <c r="B23" s="90">
        <v>3</v>
      </c>
      <c r="C23" s="173">
        <v>351722</v>
      </c>
      <c r="D23" s="124">
        <f t="shared" si="12"/>
        <v>0</v>
      </c>
      <c r="E23" s="170">
        <v>0</v>
      </c>
      <c r="F23" s="170">
        <v>0</v>
      </c>
      <c r="G23" s="124">
        <f t="shared" si="0"/>
        <v>0</v>
      </c>
      <c r="H23" s="170">
        <v>0</v>
      </c>
      <c r="I23" s="124">
        <f t="shared" si="1"/>
        <v>0</v>
      </c>
      <c r="J23" s="124">
        <f t="shared" si="2"/>
        <v>0</v>
      </c>
      <c r="K23" s="177">
        <v>888</v>
      </c>
      <c r="L23" s="124">
        <f t="shared" si="8"/>
        <v>0</v>
      </c>
      <c r="M23" s="177">
        <v>40</v>
      </c>
      <c r="N23" s="124">
        <f t="shared" si="13"/>
        <v>22.2</v>
      </c>
      <c r="O23" s="125">
        <f t="shared" si="3"/>
        <v>0</v>
      </c>
      <c r="P23" s="159">
        <v>0</v>
      </c>
      <c r="Q23" s="157">
        <v>10</v>
      </c>
      <c r="R23" s="125">
        <f t="shared" si="4"/>
        <v>0</v>
      </c>
      <c r="S23" s="180">
        <v>93572</v>
      </c>
      <c r="T23" s="125">
        <f t="shared" si="9"/>
        <v>20</v>
      </c>
      <c r="U23" s="125">
        <v>20</v>
      </c>
      <c r="V23" s="125">
        <f t="shared" si="5"/>
        <v>0</v>
      </c>
      <c r="W23" s="162"/>
      <c r="X23" s="125">
        <f t="shared" si="10"/>
        <v>0</v>
      </c>
      <c r="Y23" s="162"/>
      <c r="Z23" s="125">
        <f t="shared" si="11"/>
        <v>0</v>
      </c>
      <c r="AA23" s="165">
        <f t="shared" si="6"/>
        <v>0</v>
      </c>
      <c r="AB23" s="183">
        <f t="shared" si="7"/>
        <v>0</v>
      </c>
      <c r="AC23" s="268"/>
      <c r="AD23" s="269"/>
      <c r="AE23" s="269"/>
      <c r="AF23" s="269"/>
      <c r="AG23" s="269"/>
      <c r="AH23" s="269"/>
      <c r="AI23" s="270"/>
    </row>
    <row r="24" spans="1:35" ht="15" thickBot="1" x14ac:dyDescent="0.35">
      <c r="A24" s="153">
        <f>A23+1</f>
        <v>46089</v>
      </c>
      <c r="B24" s="91">
        <v>1</v>
      </c>
      <c r="C24" s="171">
        <v>351722</v>
      </c>
      <c r="D24" s="120">
        <f t="shared" si="12"/>
        <v>0</v>
      </c>
      <c r="E24" s="168">
        <v>0</v>
      </c>
      <c r="F24" s="168">
        <v>0</v>
      </c>
      <c r="G24" s="120">
        <f t="shared" si="0"/>
        <v>0</v>
      </c>
      <c r="H24" s="168">
        <v>0</v>
      </c>
      <c r="I24" s="120">
        <f t="shared" si="1"/>
        <v>0</v>
      </c>
      <c r="J24" s="120">
        <f t="shared" si="2"/>
        <v>0</v>
      </c>
      <c r="K24" s="175">
        <v>888</v>
      </c>
      <c r="L24" s="120">
        <f t="shared" si="8"/>
        <v>0</v>
      </c>
      <c r="M24" s="175">
        <v>40</v>
      </c>
      <c r="N24" s="120">
        <f t="shared" si="13"/>
        <v>22.2</v>
      </c>
      <c r="O24" s="121">
        <f t="shared" si="3"/>
        <v>0</v>
      </c>
      <c r="P24" s="157">
        <v>0</v>
      </c>
      <c r="Q24" s="157">
        <v>10</v>
      </c>
      <c r="R24" s="121">
        <f t="shared" si="4"/>
        <v>0</v>
      </c>
      <c r="S24" s="178">
        <v>93572</v>
      </c>
      <c r="T24" s="121">
        <f t="shared" si="9"/>
        <v>0</v>
      </c>
      <c r="U24" s="121">
        <v>0</v>
      </c>
      <c r="V24" s="121">
        <f t="shared" si="5"/>
        <v>0</v>
      </c>
      <c r="W24" s="160"/>
      <c r="X24" s="121">
        <f t="shared" si="10"/>
        <v>0</v>
      </c>
      <c r="Y24" s="160"/>
      <c r="Z24" s="121">
        <f t="shared" si="11"/>
        <v>0</v>
      </c>
      <c r="AA24" s="166">
        <f t="shared" si="6"/>
        <v>0</v>
      </c>
      <c r="AB24" s="182">
        <f t="shared" si="7"/>
        <v>0</v>
      </c>
      <c r="AC24" s="262"/>
      <c r="AD24" s="263"/>
      <c r="AE24" s="263"/>
      <c r="AF24" s="263"/>
      <c r="AG24" s="263"/>
      <c r="AH24" s="263"/>
      <c r="AI24" s="264"/>
    </row>
    <row r="25" spans="1:35" ht="15" thickBot="1" x14ac:dyDescent="0.35">
      <c r="A25" s="151">
        <f>A24</f>
        <v>46089</v>
      </c>
      <c r="B25" s="92">
        <v>2</v>
      </c>
      <c r="C25" s="172">
        <v>351722</v>
      </c>
      <c r="D25" s="122">
        <f t="shared" si="12"/>
        <v>0</v>
      </c>
      <c r="E25" s="169">
        <v>0</v>
      </c>
      <c r="F25" s="169">
        <v>0</v>
      </c>
      <c r="G25" s="122">
        <f t="shared" si="0"/>
        <v>0</v>
      </c>
      <c r="H25" s="169">
        <v>0</v>
      </c>
      <c r="I25" s="122">
        <f t="shared" si="1"/>
        <v>0</v>
      </c>
      <c r="J25" s="122">
        <f t="shared" si="2"/>
        <v>0</v>
      </c>
      <c r="K25" s="176">
        <v>888</v>
      </c>
      <c r="L25" s="122">
        <f t="shared" si="8"/>
        <v>0</v>
      </c>
      <c r="M25" s="176">
        <v>40</v>
      </c>
      <c r="N25" s="122">
        <f t="shared" si="13"/>
        <v>22.2</v>
      </c>
      <c r="O25" s="123">
        <f t="shared" si="3"/>
        <v>0</v>
      </c>
      <c r="P25" s="158">
        <v>0</v>
      </c>
      <c r="Q25" s="157">
        <v>10</v>
      </c>
      <c r="R25" s="123">
        <f t="shared" si="4"/>
        <v>0</v>
      </c>
      <c r="S25" s="179">
        <v>93572</v>
      </c>
      <c r="T25" s="123">
        <f t="shared" si="9"/>
        <v>0</v>
      </c>
      <c r="U25" s="123">
        <v>0</v>
      </c>
      <c r="V25" s="123">
        <f t="shared" si="5"/>
        <v>0</v>
      </c>
      <c r="W25" s="161"/>
      <c r="X25" s="123">
        <f t="shared" si="10"/>
        <v>0</v>
      </c>
      <c r="Y25" s="161"/>
      <c r="Z25" s="123">
        <f t="shared" si="11"/>
        <v>0</v>
      </c>
      <c r="AA25" s="164">
        <f t="shared" si="6"/>
        <v>0</v>
      </c>
      <c r="AB25" s="182">
        <f t="shared" si="7"/>
        <v>0</v>
      </c>
      <c r="AC25" s="265"/>
      <c r="AD25" s="266"/>
      <c r="AE25" s="266"/>
      <c r="AF25" s="266"/>
      <c r="AG25" s="266"/>
      <c r="AH25" s="266"/>
      <c r="AI25" s="267"/>
    </row>
    <row r="26" spans="1:35" ht="15" thickBot="1" x14ac:dyDescent="0.35">
      <c r="A26" s="154">
        <f>A25</f>
        <v>46089</v>
      </c>
      <c r="B26" s="90">
        <v>3</v>
      </c>
      <c r="C26" s="173">
        <v>351722</v>
      </c>
      <c r="D26" s="124">
        <f t="shared" si="12"/>
        <v>0</v>
      </c>
      <c r="E26" s="170">
        <v>0</v>
      </c>
      <c r="F26" s="170">
        <v>0</v>
      </c>
      <c r="G26" s="124">
        <f t="shared" si="0"/>
        <v>0</v>
      </c>
      <c r="H26" s="170">
        <v>0</v>
      </c>
      <c r="I26" s="124">
        <f t="shared" si="1"/>
        <v>0</v>
      </c>
      <c r="J26" s="124">
        <f t="shared" si="2"/>
        <v>0</v>
      </c>
      <c r="K26" s="177">
        <v>888</v>
      </c>
      <c r="L26" s="124">
        <f t="shared" si="8"/>
        <v>0</v>
      </c>
      <c r="M26" s="177">
        <v>40</v>
      </c>
      <c r="N26" s="124">
        <f t="shared" si="13"/>
        <v>22.2</v>
      </c>
      <c r="O26" s="125">
        <f t="shared" si="3"/>
        <v>0</v>
      </c>
      <c r="P26" s="159">
        <v>0</v>
      </c>
      <c r="Q26" s="157">
        <v>10</v>
      </c>
      <c r="R26" s="125">
        <f t="shared" si="4"/>
        <v>0</v>
      </c>
      <c r="S26" s="180">
        <v>93572</v>
      </c>
      <c r="T26" s="125">
        <f t="shared" si="9"/>
        <v>0</v>
      </c>
      <c r="U26" s="125">
        <v>0</v>
      </c>
      <c r="V26" s="125">
        <f t="shared" si="5"/>
        <v>0</v>
      </c>
      <c r="W26" s="162"/>
      <c r="X26" s="125">
        <f t="shared" si="10"/>
        <v>0</v>
      </c>
      <c r="Y26" s="162"/>
      <c r="Z26" s="125">
        <f t="shared" si="11"/>
        <v>0</v>
      </c>
      <c r="AA26" s="167">
        <f t="shared" si="6"/>
        <v>0</v>
      </c>
      <c r="AB26" s="184">
        <f t="shared" si="7"/>
        <v>0</v>
      </c>
      <c r="AC26" s="268"/>
      <c r="AD26" s="269"/>
      <c r="AE26" s="269"/>
      <c r="AF26" s="269"/>
      <c r="AG26" s="269"/>
      <c r="AH26" s="269"/>
      <c r="AI26" s="270"/>
    </row>
    <row r="27" spans="1:35" ht="15" thickBot="1" x14ac:dyDescent="0.35">
      <c r="A27" s="150">
        <f>A26+1</f>
        <v>46090</v>
      </c>
      <c r="B27" s="91">
        <v>1</v>
      </c>
      <c r="C27" s="171">
        <v>351722</v>
      </c>
      <c r="D27" s="120">
        <f t="shared" si="12"/>
        <v>0</v>
      </c>
      <c r="E27" s="168">
        <v>0</v>
      </c>
      <c r="F27" s="168">
        <v>0</v>
      </c>
      <c r="G27" s="120">
        <f t="shared" si="0"/>
        <v>0</v>
      </c>
      <c r="H27" s="168">
        <v>0</v>
      </c>
      <c r="I27" s="120">
        <f t="shared" si="1"/>
        <v>0</v>
      </c>
      <c r="J27" s="120">
        <f t="shared" si="2"/>
        <v>0</v>
      </c>
      <c r="K27" s="175">
        <v>888</v>
      </c>
      <c r="L27" s="120">
        <f t="shared" si="8"/>
        <v>0</v>
      </c>
      <c r="M27" s="175">
        <v>40</v>
      </c>
      <c r="N27" s="120">
        <f t="shared" si="13"/>
        <v>22.2</v>
      </c>
      <c r="O27" s="121">
        <f t="shared" si="3"/>
        <v>0</v>
      </c>
      <c r="P27" s="157">
        <v>0</v>
      </c>
      <c r="Q27" s="157">
        <v>10</v>
      </c>
      <c r="R27" s="121">
        <f t="shared" si="4"/>
        <v>0</v>
      </c>
      <c r="S27" s="178">
        <v>93572</v>
      </c>
      <c r="T27" s="121">
        <f t="shared" si="9"/>
        <v>0</v>
      </c>
      <c r="U27" s="121">
        <v>0</v>
      </c>
      <c r="V27" s="121">
        <f t="shared" si="5"/>
        <v>0</v>
      </c>
      <c r="W27" s="160"/>
      <c r="X27" s="121">
        <f t="shared" si="10"/>
        <v>0</v>
      </c>
      <c r="Y27" s="160"/>
      <c r="Z27" s="121">
        <f t="shared" si="11"/>
        <v>0</v>
      </c>
      <c r="AA27" s="163">
        <f t="shared" si="6"/>
        <v>0</v>
      </c>
      <c r="AB27" s="181">
        <f t="shared" si="7"/>
        <v>0</v>
      </c>
      <c r="AC27" s="262"/>
      <c r="AD27" s="263"/>
      <c r="AE27" s="263"/>
      <c r="AF27" s="263"/>
      <c r="AG27" s="263"/>
      <c r="AH27" s="263"/>
      <c r="AI27" s="264"/>
    </row>
    <row r="28" spans="1:35" ht="15" thickBot="1" x14ac:dyDescent="0.35">
      <c r="A28" s="151">
        <f>A27</f>
        <v>46090</v>
      </c>
      <c r="B28" s="92">
        <v>2</v>
      </c>
      <c r="C28" s="172">
        <v>351722</v>
      </c>
      <c r="D28" s="122">
        <f>+C28-C27</f>
        <v>0</v>
      </c>
      <c r="E28" s="169">
        <v>0</v>
      </c>
      <c r="F28" s="169">
        <v>0</v>
      </c>
      <c r="G28" s="122">
        <f t="shared" si="0"/>
        <v>0</v>
      </c>
      <c r="H28" s="169">
        <v>0</v>
      </c>
      <c r="I28" s="122">
        <f t="shared" si="1"/>
        <v>0</v>
      </c>
      <c r="J28" s="122">
        <f t="shared" si="2"/>
        <v>0</v>
      </c>
      <c r="K28" s="176">
        <v>888</v>
      </c>
      <c r="L28" s="122">
        <f t="shared" si="8"/>
        <v>0</v>
      </c>
      <c r="M28" s="176">
        <v>40</v>
      </c>
      <c r="N28" s="122">
        <f t="shared" si="13"/>
        <v>22.2</v>
      </c>
      <c r="O28" s="123">
        <f t="shared" si="3"/>
        <v>0</v>
      </c>
      <c r="P28" s="158">
        <v>0</v>
      </c>
      <c r="Q28" s="157">
        <v>10</v>
      </c>
      <c r="R28" s="123">
        <f t="shared" si="4"/>
        <v>0</v>
      </c>
      <c r="S28" s="179">
        <v>93590</v>
      </c>
      <c r="T28" s="123">
        <f t="shared" si="9"/>
        <v>18</v>
      </c>
      <c r="U28" s="123">
        <v>18</v>
      </c>
      <c r="V28" s="123">
        <f t="shared" si="5"/>
        <v>0</v>
      </c>
      <c r="W28" s="161"/>
      <c r="X28" s="123">
        <f t="shared" si="10"/>
        <v>0</v>
      </c>
      <c r="Y28" s="161"/>
      <c r="Z28" s="123">
        <f t="shared" si="11"/>
        <v>0</v>
      </c>
      <c r="AA28" s="164">
        <f t="shared" si="6"/>
        <v>0</v>
      </c>
      <c r="AB28" s="182">
        <f t="shared" si="7"/>
        <v>0</v>
      </c>
      <c r="AC28" s="265"/>
      <c r="AD28" s="266"/>
      <c r="AE28" s="266"/>
      <c r="AF28" s="266"/>
      <c r="AG28" s="266"/>
      <c r="AH28" s="266"/>
      <c r="AI28" s="267"/>
    </row>
    <row r="29" spans="1:35" ht="15" thickBot="1" x14ac:dyDescent="0.35">
      <c r="A29" s="152">
        <f>A28</f>
        <v>46090</v>
      </c>
      <c r="B29" s="90">
        <v>3</v>
      </c>
      <c r="C29" s="173">
        <v>351722</v>
      </c>
      <c r="D29" s="124">
        <f>+C29-C28</f>
        <v>0</v>
      </c>
      <c r="E29" s="170">
        <v>0</v>
      </c>
      <c r="F29" s="170">
        <v>0</v>
      </c>
      <c r="G29" s="124">
        <f t="shared" si="0"/>
        <v>0</v>
      </c>
      <c r="H29" s="170">
        <v>0</v>
      </c>
      <c r="I29" s="124">
        <f t="shared" si="1"/>
        <v>0</v>
      </c>
      <c r="J29" s="124">
        <f t="shared" si="2"/>
        <v>0</v>
      </c>
      <c r="K29" s="177">
        <v>888</v>
      </c>
      <c r="L29" s="124">
        <f t="shared" si="8"/>
        <v>0</v>
      </c>
      <c r="M29" s="177">
        <v>40</v>
      </c>
      <c r="N29" s="124">
        <f t="shared" si="13"/>
        <v>22.2</v>
      </c>
      <c r="O29" s="125">
        <f t="shared" si="3"/>
        <v>0</v>
      </c>
      <c r="P29" s="159">
        <v>0</v>
      </c>
      <c r="Q29" s="157">
        <v>10</v>
      </c>
      <c r="R29" s="125">
        <f t="shared" si="4"/>
        <v>0</v>
      </c>
      <c r="S29" s="180">
        <v>93613</v>
      </c>
      <c r="T29" s="125">
        <f t="shared" si="9"/>
        <v>23</v>
      </c>
      <c r="U29" s="125">
        <v>23</v>
      </c>
      <c r="V29" s="125">
        <f t="shared" si="5"/>
        <v>0</v>
      </c>
      <c r="W29" s="162"/>
      <c r="X29" s="125">
        <f t="shared" si="10"/>
        <v>0</v>
      </c>
      <c r="Y29" s="162"/>
      <c r="Z29" s="125">
        <f t="shared" si="11"/>
        <v>0</v>
      </c>
      <c r="AA29" s="165">
        <f t="shared" si="6"/>
        <v>0</v>
      </c>
      <c r="AB29" s="183">
        <f t="shared" si="7"/>
        <v>0</v>
      </c>
      <c r="AC29" s="268"/>
      <c r="AD29" s="269"/>
      <c r="AE29" s="269"/>
      <c r="AF29" s="269"/>
      <c r="AG29" s="269"/>
      <c r="AH29" s="269"/>
      <c r="AI29" s="270"/>
    </row>
    <row r="30" spans="1:35" ht="15" thickBot="1" x14ac:dyDescent="0.35">
      <c r="A30" s="153">
        <f>A29+1</f>
        <v>46091</v>
      </c>
      <c r="B30" s="91">
        <v>1</v>
      </c>
      <c r="C30" s="171">
        <v>351722</v>
      </c>
      <c r="D30" s="120">
        <f>+C30-C29</f>
        <v>0</v>
      </c>
      <c r="E30" s="168">
        <v>0</v>
      </c>
      <c r="F30" s="168">
        <v>0</v>
      </c>
      <c r="G30" s="120">
        <f t="shared" si="0"/>
        <v>0</v>
      </c>
      <c r="H30" s="168">
        <v>0</v>
      </c>
      <c r="I30" s="120">
        <f t="shared" si="1"/>
        <v>0</v>
      </c>
      <c r="J30" s="120">
        <f t="shared" si="2"/>
        <v>0</v>
      </c>
      <c r="K30" s="175">
        <v>888</v>
      </c>
      <c r="L30" s="120">
        <f t="shared" si="8"/>
        <v>0</v>
      </c>
      <c r="M30" s="175">
        <v>40</v>
      </c>
      <c r="N30" s="120">
        <f t="shared" si="13"/>
        <v>22.2</v>
      </c>
      <c r="O30" s="121">
        <f t="shared" si="3"/>
        <v>0</v>
      </c>
      <c r="P30" s="157">
        <v>0</v>
      </c>
      <c r="Q30" s="157">
        <v>10</v>
      </c>
      <c r="R30" s="121">
        <f t="shared" si="4"/>
        <v>0</v>
      </c>
      <c r="S30" s="178">
        <v>93613</v>
      </c>
      <c r="T30" s="121">
        <f t="shared" si="9"/>
        <v>0</v>
      </c>
      <c r="U30" s="121">
        <v>0</v>
      </c>
      <c r="V30" s="121">
        <f t="shared" si="5"/>
        <v>0</v>
      </c>
      <c r="W30" s="160"/>
      <c r="X30" s="121">
        <f t="shared" si="10"/>
        <v>0</v>
      </c>
      <c r="Y30" s="160"/>
      <c r="Z30" s="121">
        <f t="shared" si="11"/>
        <v>0</v>
      </c>
      <c r="AA30" s="166">
        <f t="shared" si="6"/>
        <v>0</v>
      </c>
      <c r="AB30" s="182">
        <f t="shared" si="7"/>
        <v>0</v>
      </c>
      <c r="AC30" s="262"/>
      <c r="AD30" s="263"/>
      <c r="AE30" s="263"/>
      <c r="AF30" s="263"/>
      <c r="AG30" s="263"/>
      <c r="AH30" s="263"/>
      <c r="AI30" s="264"/>
    </row>
    <row r="31" spans="1:35" ht="15" thickBot="1" x14ac:dyDescent="0.35">
      <c r="A31" s="151">
        <f>A30</f>
        <v>46091</v>
      </c>
      <c r="B31" s="92">
        <v>2</v>
      </c>
      <c r="C31" s="172">
        <v>351723</v>
      </c>
      <c r="D31" s="122">
        <f>+C31-C30</f>
        <v>1</v>
      </c>
      <c r="E31" s="169">
        <v>0</v>
      </c>
      <c r="F31" s="169">
        <v>0</v>
      </c>
      <c r="G31" s="122">
        <f t="shared" si="0"/>
        <v>0</v>
      </c>
      <c r="H31" s="169">
        <v>0</v>
      </c>
      <c r="I31" s="122">
        <f t="shared" si="1"/>
        <v>0</v>
      </c>
      <c r="J31" s="122">
        <f t="shared" si="2"/>
        <v>0</v>
      </c>
      <c r="K31" s="176">
        <v>888</v>
      </c>
      <c r="L31" s="122">
        <f t="shared" si="8"/>
        <v>0</v>
      </c>
      <c r="M31" s="176">
        <v>40</v>
      </c>
      <c r="N31" s="122">
        <f t="shared" si="13"/>
        <v>22.2</v>
      </c>
      <c r="O31" s="123">
        <f t="shared" si="3"/>
        <v>0</v>
      </c>
      <c r="P31" s="158">
        <v>0</v>
      </c>
      <c r="Q31" s="157">
        <v>10</v>
      </c>
      <c r="R31" s="123">
        <f t="shared" si="4"/>
        <v>0</v>
      </c>
      <c r="S31" s="179">
        <v>93666</v>
      </c>
      <c r="T31" s="123">
        <f t="shared" si="9"/>
        <v>53</v>
      </c>
      <c r="U31" s="123">
        <v>53</v>
      </c>
      <c r="V31" s="123">
        <f t="shared" si="5"/>
        <v>0</v>
      </c>
      <c r="W31" s="161"/>
      <c r="X31" s="123">
        <f t="shared" si="10"/>
        <v>0</v>
      </c>
      <c r="Y31" s="161"/>
      <c r="Z31" s="123">
        <f t="shared" si="11"/>
        <v>0</v>
      </c>
      <c r="AA31" s="164">
        <f t="shared" si="6"/>
        <v>0</v>
      </c>
      <c r="AB31" s="182">
        <f t="shared" si="7"/>
        <v>0</v>
      </c>
      <c r="AC31" s="265"/>
      <c r="AD31" s="266"/>
      <c r="AE31" s="266"/>
      <c r="AF31" s="266"/>
      <c r="AG31" s="266"/>
      <c r="AH31" s="266"/>
      <c r="AI31" s="267"/>
    </row>
    <row r="32" spans="1:35" ht="15" thickBot="1" x14ac:dyDescent="0.35">
      <c r="A32" s="154">
        <f>A31</f>
        <v>46091</v>
      </c>
      <c r="B32" s="90">
        <v>3</v>
      </c>
      <c r="C32" s="173">
        <v>351723</v>
      </c>
      <c r="D32" s="124">
        <f t="shared" si="12"/>
        <v>0</v>
      </c>
      <c r="E32" s="170">
        <v>0</v>
      </c>
      <c r="F32" s="170">
        <v>0</v>
      </c>
      <c r="G32" s="124">
        <f t="shared" si="0"/>
        <v>0</v>
      </c>
      <c r="H32" s="170">
        <v>0</v>
      </c>
      <c r="I32" s="124">
        <f t="shared" si="1"/>
        <v>0</v>
      </c>
      <c r="J32" s="124">
        <f t="shared" si="2"/>
        <v>0</v>
      </c>
      <c r="K32" s="177">
        <v>888</v>
      </c>
      <c r="L32" s="124">
        <f t="shared" si="8"/>
        <v>0</v>
      </c>
      <c r="M32" s="177">
        <v>40</v>
      </c>
      <c r="N32" s="124">
        <f t="shared" si="13"/>
        <v>22.2</v>
      </c>
      <c r="O32" s="125">
        <f t="shared" si="3"/>
        <v>0</v>
      </c>
      <c r="P32" s="159">
        <v>0</v>
      </c>
      <c r="Q32" s="157">
        <v>10</v>
      </c>
      <c r="R32" s="125">
        <f t="shared" si="4"/>
        <v>0</v>
      </c>
      <c r="S32" s="180">
        <v>93666</v>
      </c>
      <c r="T32" s="125">
        <f t="shared" si="9"/>
        <v>0</v>
      </c>
      <c r="U32" s="125">
        <v>0</v>
      </c>
      <c r="V32" s="125">
        <f t="shared" si="5"/>
        <v>0</v>
      </c>
      <c r="W32" s="162"/>
      <c r="X32" s="125">
        <f t="shared" si="10"/>
        <v>0</v>
      </c>
      <c r="Y32" s="162"/>
      <c r="Z32" s="125">
        <f t="shared" si="11"/>
        <v>0</v>
      </c>
      <c r="AA32" s="167">
        <f t="shared" si="6"/>
        <v>0</v>
      </c>
      <c r="AB32" s="184">
        <f t="shared" si="7"/>
        <v>0</v>
      </c>
      <c r="AC32" s="268"/>
      <c r="AD32" s="269"/>
      <c r="AE32" s="269"/>
      <c r="AF32" s="269"/>
      <c r="AG32" s="269"/>
      <c r="AH32" s="269"/>
      <c r="AI32" s="270"/>
    </row>
    <row r="33" spans="1:35" ht="15" thickBot="1" x14ac:dyDescent="0.35">
      <c r="A33" s="150">
        <f>A32+1</f>
        <v>46092</v>
      </c>
      <c r="B33" s="91">
        <v>1</v>
      </c>
      <c r="C33" s="171">
        <v>351723</v>
      </c>
      <c r="D33" s="120">
        <f t="shared" si="12"/>
        <v>0</v>
      </c>
      <c r="E33" s="168">
        <v>0</v>
      </c>
      <c r="F33" s="168">
        <v>0</v>
      </c>
      <c r="G33" s="120">
        <f t="shared" si="0"/>
        <v>0</v>
      </c>
      <c r="H33" s="168">
        <v>0</v>
      </c>
      <c r="I33" s="120">
        <f t="shared" si="1"/>
        <v>0</v>
      </c>
      <c r="J33" s="120">
        <f t="shared" si="2"/>
        <v>0</v>
      </c>
      <c r="K33" s="175">
        <v>888</v>
      </c>
      <c r="L33" s="120">
        <f t="shared" si="8"/>
        <v>0</v>
      </c>
      <c r="M33" s="175">
        <v>40</v>
      </c>
      <c r="N33" s="120">
        <f t="shared" si="13"/>
        <v>22.2</v>
      </c>
      <c r="O33" s="121">
        <f t="shared" si="3"/>
        <v>0</v>
      </c>
      <c r="P33" s="157">
        <v>0</v>
      </c>
      <c r="Q33" s="157">
        <v>10</v>
      </c>
      <c r="R33" s="121">
        <f t="shared" si="4"/>
        <v>0</v>
      </c>
      <c r="S33" s="178">
        <v>93666</v>
      </c>
      <c r="T33" s="121">
        <f t="shared" si="9"/>
        <v>0</v>
      </c>
      <c r="U33" s="121">
        <v>0</v>
      </c>
      <c r="V33" s="121">
        <f t="shared" si="5"/>
        <v>0</v>
      </c>
      <c r="W33" s="160"/>
      <c r="X33" s="121">
        <f t="shared" si="10"/>
        <v>0</v>
      </c>
      <c r="Y33" s="160"/>
      <c r="Z33" s="121">
        <f t="shared" si="11"/>
        <v>0</v>
      </c>
      <c r="AA33" s="163">
        <f t="shared" si="6"/>
        <v>0</v>
      </c>
      <c r="AB33" s="181">
        <f t="shared" si="7"/>
        <v>0</v>
      </c>
      <c r="AC33" s="262"/>
      <c r="AD33" s="263"/>
      <c r="AE33" s="263"/>
      <c r="AF33" s="263"/>
      <c r="AG33" s="263"/>
      <c r="AH33" s="263"/>
      <c r="AI33" s="264"/>
    </row>
    <row r="34" spans="1:35" ht="15" thickBot="1" x14ac:dyDescent="0.35">
      <c r="A34" s="151">
        <f>A33</f>
        <v>46092</v>
      </c>
      <c r="B34" s="92">
        <v>2</v>
      </c>
      <c r="C34" s="172">
        <v>351724</v>
      </c>
      <c r="D34" s="122">
        <f t="shared" si="12"/>
        <v>1</v>
      </c>
      <c r="E34" s="169">
        <v>0</v>
      </c>
      <c r="F34" s="169">
        <v>0</v>
      </c>
      <c r="G34" s="122">
        <f t="shared" si="0"/>
        <v>0</v>
      </c>
      <c r="H34" s="169">
        <v>0</v>
      </c>
      <c r="I34" s="122">
        <f t="shared" si="1"/>
        <v>0</v>
      </c>
      <c r="J34" s="122">
        <f t="shared" si="2"/>
        <v>0</v>
      </c>
      <c r="K34" s="176">
        <v>888</v>
      </c>
      <c r="L34" s="122">
        <f t="shared" si="8"/>
        <v>0</v>
      </c>
      <c r="M34" s="176">
        <v>40</v>
      </c>
      <c r="N34" s="122">
        <f t="shared" si="13"/>
        <v>22.2</v>
      </c>
      <c r="O34" s="123">
        <f t="shared" si="3"/>
        <v>0</v>
      </c>
      <c r="P34" s="158">
        <v>0</v>
      </c>
      <c r="Q34" s="157">
        <v>10</v>
      </c>
      <c r="R34" s="123">
        <f t="shared" si="4"/>
        <v>0</v>
      </c>
      <c r="S34" s="179">
        <v>93690</v>
      </c>
      <c r="T34" s="123">
        <f t="shared" si="9"/>
        <v>24</v>
      </c>
      <c r="U34" s="123">
        <v>24</v>
      </c>
      <c r="V34" s="123">
        <f t="shared" si="5"/>
        <v>0</v>
      </c>
      <c r="W34" s="161"/>
      <c r="X34" s="123">
        <f t="shared" si="10"/>
        <v>0</v>
      </c>
      <c r="Y34" s="161"/>
      <c r="Z34" s="123">
        <f t="shared" si="11"/>
        <v>0</v>
      </c>
      <c r="AA34" s="164">
        <f t="shared" si="6"/>
        <v>0</v>
      </c>
      <c r="AB34" s="182">
        <f t="shared" si="7"/>
        <v>0</v>
      </c>
      <c r="AC34" s="265"/>
      <c r="AD34" s="266"/>
      <c r="AE34" s="266"/>
      <c r="AF34" s="266"/>
      <c r="AG34" s="266"/>
      <c r="AH34" s="266"/>
      <c r="AI34" s="267"/>
    </row>
    <row r="35" spans="1:35" ht="15" thickBot="1" x14ac:dyDescent="0.35">
      <c r="A35" s="152">
        <f>A33</f>
        <v>46092</v>
      </c>
      <c r="B35" s="90">
        <v>3</v>
      </c>
      <c r="C35" s="173">
        <v>351724</v>
      </c>
      <c r="D35" s="124">
        <f t="shared" si="12"/>
        <v>0</v>
      </c>
      <c r="E35" s="170">
        <v>0</v>
      </c>
      <c r="F35" s="170">
        <v>0</v>
      </c>
      <c r="G35" s="124">
        <f t="shared" si="0"/>
        <v>0</v>
      </c>
      <c r="H35" s="170">
        <v>0</v>
      </c>
      <c r="I35" s="124">
        <f t="shared" si="1"/>
        <v>0</v>
      </c>
      <c r="J35" s="124">
        <f t="shared" si="2"/>
        <v>0</v>
      </c>
      <c r="K35" s="177">
        <v>888</v>
      </c>
      <c r="L35" s="124">
        <f t="shared" si="8"/>
        <v>0</v>
      </c>
      <c r="M35" s="177">
        <v>40</v>
      </c>
      <c r="N35" s="124">
        <f t="shared" si="13"/>
        <v>22.2</v>
      </c>
      <c r="O35" s="125">
        <f t="shared" si="3"/>
        <v>0</v>
      </c>
      <c r="P35" s="159">
        <v>1</v>
      </c>
      <c r="Q35" s="157">
        <v>10</v>
      </c>
      <c r="R35" s="125">
        <f t="shared" si="4"/>
        <v>10</v>
      </c>
      <c r="S35" s="180">
        <v>93728</v>
      </c>
      <c r="T35" s="125">
        <f t="shared" si="9"/>
        <v>38</v>
      </c>
      <c r="U35" s="125">
        <v>38</v>
      </c>
      <c r="V35" s="125">
        <f t="shared" si="5"/>
        <v>0</v>
      </c>
      <c r="W35" s="162"/>
      <c r="X35" s="125">
        <f t="shared" si="10"/>
        <v>0</v>
      </c>
      <c r="Y35" s="162"/>
      <c r="Z35" s="125">
        <f t="shared" si="11"/>
        <v>0</v>
      </c>
      <c r="AA35" s="165">
        <f t="shared" si="6"/>
        <v>0</v>
      </c>
      <c r="AB35" s="183">
        <f t="shared" si="7"/>
        <v>0</v>
      </c>
      <c r="AC35" s="268"/>
      <c r="AD35" s="269"/>
      <c r="AE35" s="269"/>
      <c r="AF35" s="269"/>
      <c r="AG35" s="269"/>
      <c r="AH35" s="269"/>
      <c r="AI35" s="270"/>
    </row>
    <row r="36" spans="1:35" ht="15" thickBot="1" x14ac:dyDescent="0.35">
      <c r="A36" s="153">
        <f>A33+1</f>
        <v>46093</v>
      </c>
      <c r="B36" s="91">
        <v>1</v>
      </c>
      <c r="C36" s="171">
        <v>351724</v>
      </c>
      <c r="D36" s="120">
        <f t="shared" si="12"/>
        <v>0</v>
      </c>
      <c r="E36" s="168">
        <v>0</v>
      </c>
      <c r="F36" s="168">
        <v>0</v>
      </c>
      <c r="G36" s="120">
        <f t="shared" si="0"/>
        <v>0</v>
      </c>
      <c r="H36" s="168">
        <v>0</v>
      </c>
      <c r="I36" s="120">
        <f t="shared" si="1"/>
        <v>0</v>
      </c>
      <c r="J36" s="120">
        <f t="shared" si="2"/>
        <v>0</v>
      </c>
      <c r="K36" s="175">
        <v>888</v>
      </c>
      <c r="L36" s="120">
        <f t="shared" si="8"/>
        <v>0</v>
      </c>
      <c r="M36" s="175">
        <v>40</v>
      </c>
      <c r="N36" s="120">
        <f t="shared" si="13"/>
        <v>22.2</v>
      </c>
      <c r="O36" s="121">
        <f t="shared" si="3"/>
        <v>0</v>
      </c>
      <c r="P36" s="157">
        <v>0</v>
      </c>
      <c r="Q36" s="157">
        <v>10</v>
      </c>
      <c r="R36" s="121">
        <f t="shared" si="4"/>
        <v>0</v>
      </c>
      <c r="S36" s="178">
        <v>93728</v>
      </c>
      <c r="T36" s="121">
        <f t="shared" si="9"/>
        <v>0</v>
      </c>
      <c r="U36" s="121">
        <v>0</v>
      </c>
      <c r="V36" s="121">
        <f t="shared" si="5"/>
        <v>0</v>
      </c>
      <c r="W36" s="160"/>
      <c r="X36" s="121">
        <f t="shared" si="10"/>
        <v>0</v>
      </c>
      <c r="Y36" s="160"/>
      <c r="Z36" s="121">
        <f t="shared" si="11"/>
        <v>0</v>
      </c>
      <c r="AA36" s="166">
        <f t="shared" si="6"/>
        <v>0</v>
      </c>
      <c r="AB36" s="182">
        <f t="shared" si="7"/>
        <v>0</v>
      </c>
      <c r="AC36" s="262"/>
      <c r="AD36" s="263"/>
      <c r="AE36" s="263"/>
      <c r="AF36" s="263"/>
      <c r="AG36" s="263"/>
      <c r="AH36" s="263"/>
      <c r="AI36" s="264"/>
    </row>
    <row r="37" spans="1:35" ht="15" thickBot="1" x14ac:dyDescent="0.35">
      <c r="A37" s="151">
        <f>A36</f>
        <v>46093</v>
      </c>
      <c r="B37" s="92">
        <v>2</v>
      </c>
      <c r="C37" s="172">
        <v>351728</v>
      </c>
      <c r="D37" s="122">
        <f t="shared" si="12"/>
        <v>4</v>
      </c>
      <c r="E37" s="169">
        <v>0</v>
      </c>
      <c r="F37" s="169">
        <v>0</v>
      </c>
      <c r="G37" s="122">
        <f t="shared" si="0"/>
        <v>0</v>
      </c>
      <c r="H37" s="169">
        <v>0</v>
      </c>
      <c r="I37" s="122">
        <f t="shared" si="1"/>
        <v>0</v>
      </c>
      <c r="J37" s="122">
        <f t="shared" si="2"/>
        <v>0</v>
      </c>
      <c r="K37" s="176">
        <v>888</v>
      </c>
      <c r="L37" s="122">
        <f t="shared" si="8"/>
        <v>0</v>
      </c>
      <c r="M37" s="176">
        <v>40</v>
      </c>
      <c r="N37" s="122">
        <f t="shared" si="13"/>
        <v>22.2</v>
      </c>
      <c r="O37" s="123">
        <f t="shared" si="3"/>
        <v>0</v>
      </c>
      <c r="P37" s="158">
        <v>0</v>
      </c>
      <c r="Q37" s="157">
        <v>10</v>
      </c>
      <c r="R37" s="123">
        <f t="shared" si="4"/>
        <v>0</v>
      </c>
      <c r="S37" s="179">
        <v>93728</v>
      </c>
      <c r="T37" s="123">
        <f t="shared" si="9"/>
        <v>0</v>
      </c>
      <c r="U37" s="123">
        <v>0</v>
      </c>
      <c r="V37" s="123">
        <f t="shared" si="5"/>
        <v>0</v>
      </c>
      <c r="W37" s="161"/>
      <c r="X37" s="123">
        <f t="shared" si="10"/>
        <v>0</v>
      </c>
      <c r="Y37" s="161"/>
      <c r="Z37" s="123">
        <f t="shared" si="11"/>
        <v>0</v>
      </c>
      <c r="AA37" s="164">
        <f t="shared" si="6"/>
        <v>0</v>
      </c>
      <c r="AB37" s="182">
        <f t="shared" si="7"/>
        <v>0</v>
      </c>
      <c r="AC37" s="265"/>
      <c r="AD37" s="266"/>
      <c r="AE37" s="266"/>
      <c r="AF37" s="266"/>
      <c r="AG37" s="266"/>
      <c r="AH37" s="266"/>
      <c r="AI37" s="267"/>
    </row>
    <row r="38" spans="1:35" ht="15" thickBot="1" x14ac:dyDescent="0.35">
      <c r="A38" s="154">
        <f>A36</f>
        <v>46093</v>
      </c>
      <c r="B38" s="90">
        <v>3</v>
      </c>
      <c r="C38" s="173">
        <v>351728</v>
      </c>
      <c r="D38" s="124">
        <f t="shared" si="12"/>
        <v>0</v>
      </c>
      <c r="E38" s="170">
        <v>0</v>
      </c>
      <c r="F38" s="170">
        <v>0</v>
      </c>
      <c r="G38" s="124">
        <f t="shared" si="0"/>
        <v>0</v>
      </c>
      <c r="H38" s="170">
        <v>0</v>
      </c>
      <c r="I38" s="124">
        <f t="shared" si="1"/>
        <v>0</v>
      </c>
      <c r="J38" s="124">
        <f t="shared" si="2"/>
        <v>0</v>
      </c>
      <c r="K38" s="177">
        <v>888</v>
      </c>
      <c r="L38" s="124">
        <f t="shared" si="8"/>
        <v>0</v>
      </c>
      <c r="M38" s="177">
        <v>40</v>
      </c>
      <c r="N38" s="124">
        <f t="shared" si="13"/>
        <v>22.2</v>
      </c>
      <c r="O38" s="125">
        <f t="shared" si="3"/>
        <v>0</v>
      </c>
      <c r="P38" s="159">
        <v>0</v>
      </c>
      <c r="Q38" s="157">
        <v>10</v>
      </c>
      <c r="R38" s="125">
        <f t="shared" si="4"/>
        <v>0</v>
      </c>
      <c r="S38" s="180">
        <v>93767</v>
      </c>
      <c r="T38" s="125">
        <f t="shared" si="9"/>
        <v>39</v>
      </c>
      <c r="U38" s="125">
        <v>39</v>
      </c>
      <c r="V38" s="125">
        <f t="shared" si="5"/>
        <v>0</v>
      </c>
      <c r="W38" s="162"/>
      <c r="X38" s="125">
        <f t="shared" si="10"/>
        <v>0</v>
      </c>
      <c r="Y38" s="162"/>
      <c r="Z38" s="125">
        <f t="shared" si="11"/>
        <v>0</v>
      </c>
      <c r="AA38" s="167">
        <f t="shared" si="6"/>
        <v>0</v>
      </c>
      <c r="AB38" s="184">
        <f t="shared" si="7"/>
        <v>0</v>
      </c>
      <c r="AC38" s="268"/>
      <c r="AD38" s="269"/>
      <c r="AE38" s="269"/>
      <c r="AF38" s="269"/>
      <c r="AG38" s="269"/>
      <c r="AH38" s="269"/>
      <c r="AI38" s="270"/>
    </row>
    <row r="39" spans="1:35" ht="15" thickBot="1" x14ac:dyDescent="0.35">
      <c r="A39" s="150">
        <f>A38+1</f>
        <v>46094</v>
      </c>
      <c r="B39" s="91">
        <v>1</v>
      </c>
      <c r="C39" s="171">
        <v>351728</v>
      </c>
      <c r="D39" s="120">
        <f t="shared" si="12"/>
        <v>0</v>
      </c>
      <c r="E39" s="168">
        <v>0</v>
      </c>
      <c r="F39" s="168">
        <v>0</v>
      </c>
      <c r="G39" s="120">
        <f t="shared" si="0"/>
        <v>0</v>
      </c>
      <c r="H39" s="168">
        <v>0</v>
      </c>
      <c r="I39" s="120">
        <f t="shared" si="1"/>
        <v>0</v>
      </c>
      <c r="J39" s="120">
        <f t="shared" si="2"/>
        <v>0</v>
      </c>
      <c r="K39" s="175">
        <v>888</v>
      </c>
      <c r="L39" s="120">
        <f t="shared" si="8"/>
        <v>0</v>
      </c>
      <c r="M39" s="175">
        <v>40</v>
      </c>
      <c r="N39" s="120">
        <f t="shared" si="13"/>
        <v>22.2</v>
      </c>
      <c r="O39" s="121">
        <f>(N40-N39)*M39</f>
        <v>0</v>
      </c>
      <c r="P39" s="157">
        <v>0</v>
      </c>
      <c r="Q39" s="157">
        <v>10</v>
      </c>
      <c r="R39" s="121">
        <f t="shared" si="4"/>
        <v>0</v>
      </c>
      <c r="S39" s="178">
        <v>93767</v>
      </c>
      <c r="T39" s="121">
        <f t="shared" si="9"/>
        <v>0</v>
      </c>
      <c r="U39" s="121">
        <v>0</v>
      </c>
      <c r="V39" s="121">
        <f t="shared" si="5"/>
        <v>0</v>
      </c>
      <c r="W39" s="160"/>
      <c r="X39" s="121">
        <f t="shared" si="10"/>
        <v>0</v>
      </c>
      <c r="Y39" s="160"/>
      <c r="Z39" s="121">
        <f t="shared" si="11"/>
        <v>0</v>
      </c>
      <c r="AA39" s="163">
        <f t="shared" si="6"/>
        <v>0</v>
      </c>
      <c r="AB39" s="181">
        <f t="shared" si="7"/>
        <v>0</v>
      </c>
      <c r="AC39" s="262"/>
      <c r="AD39" s="263"/>
      <c r="AE39" s="263"/>
      <c r="AF39" s="263"/>
      <c r="AG39" s="263"/>
      <c r="AH39" s="263"/>
      <c r="AI39" s="264"/>
    </row>
    <row r="40" spans="1:35" ht="15" thickBot="1" x14ac:dyDescent="0.35">
      <c r="A40" s="151">
        <f>A39</f>
        <v>46094</v>
      </c>
      <c r="B40" s="92">
        <v>2</v>
      </c>
      <c r="C40" s="172">
        <v>351728</v>
      </c>
      <c r="D40" s="122">
        <f t="shared" si="12"/>
        <v>0</v>
      </c>
      <c r="E40" s="169">
        <v>0</v>
      </c>
      <c r="F40" s="169">
        <v>0</v>
      </c>
      <c r="G40" s="122">
        <f t="shared" si="0"/>
        <v>0</v>
      </c>
      <c r="H40" s="169">
        <v>0</v>
      </c>
      <c r="I40" s="122">
        <f t="shared" si="1"/>
        <v>0</v>
      </c>
      <c r="J40" s="122">
        <f t="shared" si="2"/>
        <v>0</v>
      </c>
      <c r="K40" s="176">
        <v>888</v>
      </c>
      <c r="L40" s="122">
        <f t="shared" si="8"/>
        <v>0</v>
      </c>
      <c r="M40" s="176">
        <v>40</v>
      </c>
      <c r="N40" s="122">
        <f t="shared" si="13"/>
        <v>22.2</v>
      </c>
      <c r="O40" s="123">
        <f t="shared" ref="O40:O94" si="14">(N41-N40)*M40</f>
        <v>0</v>
      </c>
      <c r="P40" s="158">
        <v>0</v>
      </c>
      <c r="Q40" s="157">
        <v>10</v>
      </c>
      <c r="R40" s="123">
        <f t="shared" si="4"/>
        <v>0</v>
      </c>
      <c r="S40" s="179">
        <v>93797</v>
      </c>
      <c r="T40" s="123">
        <f t="shared" si="9"/>
        <v>30</v>
      </c>
      <c r="U40" s="123">
        <v>30</v>
      </c>
      <c r="V40" s="123">
        <f t="shared" si="5"/>
        <v>0</v>
      </c>
      <c r="W40" s="161"/>
      <c r="X40" s="123">
        <f t="shared" si="10"/>
        <v>0</v>
      </c>
      <c r="Y40" s="161"/>
      <c r="Z40" s="123">
        <f t="shared" si="11"/>
        <v>0</v>
      </c>
      <c r="AA40" s="164">
        <f t="shared" si="6"/>
        <v>0</v>
      </c>
      <c r="AB40" s="182">
        <f t="shared" si="7"/>
        <v>0</v>
      </c>
      <c r="AC40" s="265"/>
      <c r="AD40" s="266"/>
      <c r="AE40" s="266"/>
      <c r="AF40" s="266"/>
      <c r="AG40" s="266"/>
      <c r="AH40" s="266"/>
      <c r="AI40" s="267"/>
    </row>
    <row r="41" spans="1:35" ht="15" thickBot="1" x14ac:dyDescent="0.35">
      <c r="A41" s="152">
        <f>A40</f>
        <v>46094</v>
      </c>
      <c r="B41" s="90">
        <v>3</v>
      </c>
      <c r="C41" s="173">
        <v>351729</v>
      </c>
      <c r="D41" s="124">
        <f t="shared" si="12"/>
        <v>1</v>
      </c>
      <c r="E41" s="170">
        <v>0</v>
      </c>
      <c r="F41" s="170">
        <v>0</v>
      </c>
      <c r="G41" s="124">
        <f t="shared" si="0"/>
        <v>0</v>
      </c>
      <c r="H41" s="170">
        <v>0</v>
      </c>
      <c r="I41" s="124">
        <f t="shared" si="1"/>
        <v>0</v>
      </c>
      <c r="J41" s="124">
        <f t="shared" si="2"/>
        <v>0</v>
      </c>
      <c r="K41" s="177">
        <v>888</v>
      </c>
      <c r="L41" s="124">
        <f t="shared" si="8"/>
        <v>0</v>
      </c>
      <c r="M41" s="177">
        <v>40</v>
      </c>
      <c r="N41" s="124">
        <f t="shared" si="13"/>
        <v>22.2</v>
      </c>
      <c r="O41" s="125">
        <f t="shared" si="14"/>
        <v>0</v>
      </c>
      <c r="P41" s="159">
        <v>0</v>
      </c>
      <c r="Q41" s="157">
        <v>10</v>
      </c>
      <c r="R41" s="125">
        <f t="shared" si="4"/>
        <v>0</v>
      </c>
      <c r="S41" s="180">
        <v>93821</v>
      </c>
      <c r="T41" s="125">
        <f t="shared" si="9"/>
        <v>24</v>
      </c>
      <c r="U41" s="125">
        <v>24</v>
      </c>
      <c r="V41" s="125">
        <f t="shared" si="5"/>
        <v>0</v>
      </c>
      <c r="W41" s="162"/>
      <c r="X41" s="125">
        <f t="shared" si="10"/>
        <v>0</v>
      </c>
      <c r="Y41" s="162"/>
      <c r="Z41" s="125">
        <f t="shared" si="11"/>
        <v>0</v>
      </c>
      <c r="AA41" s="165">
        <f t="shared" si="6"/>
        <v>0</v>
      </c>
      <c r="AB41" s="183">
        <f t="shared" si="7"/>
        <v>0</v>
      </c>
      <c r="AC41" s="268"/>
      <c r="AD41" s="269"/>
      <c r="AE41" s="269"/>
      <c r="AF41" s="269"/>
      <c r="AG41" s="269"/>
      <c r="AH41" s="269"/>
      <c r="AI41" s="270"/>
    </row>
    <row r="42" spans="1:35" ht="15" thickBot="1" x14ac:dyDescent="0.35">
      <c r="A42" s="153">
        <f>A41+1</f>
        <v>46095</v>
      </c>
      <c r="B42" s="91">
        <v>1</v>
      </c>
      <c r="C42" s="171">
        <v>351729</v>
      </c>
      <c r="D42" s="120">
        <f t="shared" si="12"/>
        <v>0</v>
      </c>
      <c r="E42" s="168">
        <v>0</v>
      </c>
      <c r="F42" s="168">
        <v>0</v>
      </c>
      <c r="G42" s="120">
        <f t="shared" si="0"/>
        <v>0</v>
      </c>
      <c r="H42" s="168">
        <v>0</v>
      </c>
      <c r="I42" s="120">
        <f t="shared" si="1"/>
        <v>0</v>
      </c>
      <c r="J42" s="120">
        <f t="shared" si="2"/>
        <v>0</v>
      </c>
      <c r="K42" s="175">
        <v>888</v>
      </c>
      <c r="L42" s="120">
        <f t="shared" si="8"/>
        <v>0</v>
      </c>
      <c r="M42" s="175">
        <v>40</v>
      </c>
      <c r="N42" s="120">
        <f t="shared" si="13"/>
        <v>22.2</v>
      </c>
      <c r="O42" s="121">
        <f t="shared" si="14"/>
        <v>0</v>
      </c>
      <c r="P42" s="157">
        <v>0</v>
      </c>
      <c r="Q42" s="157">
        <v>10</v>
      </c>
      <c r="R42" s="121">
        <f t="shared" si="4"/>
        <v>0</v>
      </c>
      <c r="S42" s="178">
        <v>93821</v>
      </c>
      <c r="T42" s="121">
        <f t="shared" si="9"/>
        <v>0</v>
      </c>
      <c r="U42" s="121">
        <v>0</v>
      </c>
      <c r="V42" s="121">
        <f t="shared" si="5"/>
        <v>0</v>
      </c>
      <c r="W42" s="160"/>
      <c r="X42" s="121">
        <f t="shared" si="10"/>
        <v>0</v>
      </c>
      <c r="Y42" s="160"/>
      <c r="Z42" s="121">
        <f t="shared" si="11"/>
        <v>0</v>
      </c>
      <c r="AA42" s="166">
        <f t="shared" si="6"/>
        <v>0</v>
      </c>
      <c r="AB42" s="182">
        <f t="shared" si="7"/>
        <v>0</v>
      </c>
      <c r="AC42" s="262"/>
      <c r="AD42" s="263"/>
      <c r="AE42" s="263"/>
      <c r="AF42" s="263"/>
      <c r="AG42" s="263"/>
      <c r="AH42" s="263"/>
      <c r="AI42" s="264"/>
    </row>
    <row r="43" spans="1:35" ht="15" thickBot="1" x14ac:dyDescent="0.35">
      <c r="A43" s="151">
        <f>A42</f>
        <v>46095</v>
      </c>
      <c r="B43" s="92">
        <v>2</v>
      </c>
      <c r="C43" s="172">
        <v>351730</v>
      </c>
      <c r="D43" s="122">
        <f t="shared" si="12"/>
        <v>1</v>
      </c>
      <c r="E43" s="169">
        <v>0</v>
      </c>
      <c r="F43" s="169">
        <v>0</v>
      </c>
      <c r="G43" s="122">
        <f t="shared" si="0"/>
        <v>0</v>
      </c>
      <c r="H43" s="169">
        <v>0</v>
      </c>
      <c r="I43" s="122">
        <f t="shared" si="1"/>
        <v>0</v>
      </c>
      <c r="J43" s="122">
        <f t="shared" si="2"/>
        <v>0</v>
      </c>
      <c r="K43" s="176">
        <v>888</v>
      </c>
      <c r="L43" s="122">
        <f t="shared" si="8"/>
        <v>0</v>
      </c>
      <c r="M43" s="176">
        <v>40</v>
      </c>
      <c r="N43" s="122">
        <f t="shared" si="13"/>
        <v>22.2</v>
      </c>
      <c r="O43" s="123">
        <f t="shared" si="14"/>
        <v>0</v>
      </c>
      <c r="P43" s="158">
        <v>0</v>
      </c>
      <c r="Q43" s="157">
        <v>10</v>
      </c>
      <c r="R43" s="123">
        <f t="shared" si="4"/>
        <v>0</v>
      </c>
      <c r="S43" s="179">
        <v>93839</v>
      </c>
      <c r="T43" s="123">
        <f t="shared" si="9"/>
        <v>18</v>
      </c>
      <c r="U43" s="123">
        <v>18</v>
      </c>
      <c r="V43" s="123">
        <f t="shared" si="5"/>
        <v>0</v>
      </c>
      <c r="W43" s="161"/>
      <c r="X43" s="123">
        <f t="shared" si="10"/>
        <v>0</v>
      </c>
      <c r="Y43" s="161"/>
      <c r="Z43" s="123">
        <f t="shared" si="11"/>
        <v>0</v>
      </c>
      <c r="AA43" s="164">
        <f t="shared" si="6"/>
        <v>0</v>
      </c>
      <c r="AB43" s="182">
        <f t="shared" si="7"/>
        <v>0</v>
      </c>
      <c r="AC43" s="265"/>
      <c r="AD43" s="266"/>
      <c r="AE43" s="266"/>
      <c r="AF43" s="266"/>
      <c r="AG43" s="266"/>
      <c r="AH43" s="266"/>
      <c r="AI43" s="267"/>
    </row>
    <row r="44" spans="1:35" ht="15" thickBot="1" x14ac:dyDescent="0.35">
      <c r="A44" s="154">
        <f>A43</f>
        <v>46095</v>
      </c>
      <c r="B44" s="90">
        <v>3</v>
      </c>
      <c r="C44" s="173">
        <v>351730</v>
      </c>
      <c r="D44" s="124">
        <f t="shared" si="12"/>
        <v>0</v>
      </c>
      <c r="E44" s="170">
        <v>0</v>
      </c>
      <c r="F44" s="170">
        <v>0</v>
      </c>
      <c r="G44" s="124">
        <f t="shared" si="0"/>
        <v>0</v>
      </c>
      <c r="H44" s="170">
        <v>0</v>
      </c>
      <c r="I44" s="124">
        <f t="shared" si="1"/>
        <v>0</v>
      </c>
      <c r="J44" s="124">
        <f t="shared" si="2"/>
        <v>0</v>
      </c>
      <c r="K44" s="177">
        <v>888</v>
      </c>
      <c r="L44" s="124">
        <f t="shared" si="8"/>
        <v>0</v>
      </c>
      <c r="M44" s="177">
        <v>40</v>
      </c>
      <c r="N44" s="124">
        <f t="shared" si="13"/>
        <v>22.2</v>
      </c>
      <c r="O44" s="125">
        <f t="shared" si="14"/>
        <v>0</v>
      </c>
      <c r="P44" s="159">
        <v>0</v>
      </c>
      <c r="Q44" s="157">
        <v>10</v>
      </c>
      <c r="R44" s="125">
        <f t="shared" si="4"/>
        <v>0</v>
      </c>
      <c r="S44" s="180">
        <v>93863</v>
      </c>
      <c r="T44" s="125">
        <f t="shared" si="9"/>
        <v>24</v>
      </c>
      <c r="U44" s="125">
        <v>24</v>
      </c>
      <c r="V44" s="125">
        <f t="shared" si="5"/>
        <v>0</v>
      </c>
      <c r="W44" s="162"/>
      <c r="X44" s="125">
        <f t="shared" si="10"/>
        <v>0</v>
      </c>
      <c r="Y44" s="162"/>
      <c r="Z44" s="125">
        <f t="shared" si="11"/>
        <v>0</v>
      </c>
      <c r="AA44" s="167">
        <f t="shared" si="6"/>
        <v>0</v>
      </c>
      <c r="AB44" s="184">
        <f t="shared" si="7"/>
        <v>0</v>
      </c>
      <c r="AC44" s="268"/>
      <c r="AD44" s="269"/>
      <c r="AE44" s="269"/>
      <c r="AF44" s="269"/>
      <c r="AG44" s="269"/>
      <c r="AH44" s="269"/>
      <c r="AI44" s="270"/>
    </row>
    <row r="45" spans="1:35" ht="15" thickBot="1" x14ac:dyDescent="0.35">
      <c r="A45" s="150">
        <f>A44+1</f>
        <v>46096</v>
      </c>
      <c r="B45" s="91">
        <v>1</v>
      </c>
      <c r="C45" s="171">
        <v>351730</v>
      </c>
      <c r="D45" s="120">
        <f t="shared" si="12"/>
        <v>0</v>
      </c>
      <c r="E45" s="168">
        <v>0</v>
      </c>
      <c r="F45" s="168">
        <v>0</v>
      </c>
      <c r="G45" s="120">
        <f t="shared" si="0"/>
        <v>0</v>
      </c>
      <c r="H45" s="168">
        <v>0</v>
      </c>
      <c r="I45" s="120">
        <f t="shared" si="1"/>
        <v>0</v>
      </c>
      <c r="J45" s="120">
        <f t="shared" si="2"/>
        <v>0</v>
      </c>
      <c r="K45" s="175">
        <v>888</v>
      </c>
      <c r="L45" s="120">
        <f t="shared" si="8"/>
        <v>0</v>
      </c>
      <c r="M45" s="175">
        <v>40</v>
      </c>
      <c r="N45" s="120">
        <f t="shared" si="13"/>
        <v>22.2</v>
      </c>
      <c r="O45" s="121">
        <f t="shared" si="14"/>
        <v>0</v>
      </c>
      <c r="P45" s="157">
        <v>0</v>
      </c>
      <c r="Q45" s="157">
        <v>10</v>
      </c>
      <c r="R45" s="121">
        <f t="shared" si="4"/>
        <v>0</v>
      </c>
      <c r="S45" s="178">
        <v>93863</v>
      </c>
      <c r="T45" s="121">
        <f t="shared" si="9"/>
        <v>0</v>
      </c>
      <c r="U45" s="121">
        <v>0</v>
      </c>
      <c r="V45" s="121">
        <f t="shared" si="5"/>
        <v>0</v>
      </c>
      <c r="W45" s="160"/>
      <c r="X45" s="121">
        <f t="shared" si="10"/>
        <v>0</v>
      </c>
      <c r="Y45" s="160"/>
      <c r="Z45" s="234">
        <f t="shared" si="11"/>
        <v>0</v>
      </c>
      <c r="AA45" s="163">
        <f t="shared" si="6"/>
        <v>0</v>
      </c>
      <c r="AB45" s="181">
        <f t="shared" si="7"/>
        <v>0</v>
      </c>
      <c r="AC45" s="262"/>
      <c r="AD45" s="263"/>
      <c r="AE45" s="263"/>
      <c r="AF45" s="263"/>
      <c r="AG45" s="263"/>
      <c r="AH45" s="263"/>
      <c r="AI45" s="264"/>
    </row>
    <row r="46" spans="1:35" ht="15" thickBot="1" x14ac:dyDescent="0.35">
      <c r="A46" s="151">
        <f>A45</f>
        <v>46096</v>
      </c>
      <c r="B46" s="92">
        <v>2</v>
      </c>
      <c r="C46" s="172">
        <v>351730</v>
      </c>
      <c r="D46" s="122">
        <f t="shared" si="12"/>
        <v>0</v>
      </c>
      <c r="E46" s="169">
        <v>0</v>
      </c>
      <c r="F46" s="169">
        <v>0</v>
      </c>
      <c r="G46" s="122">
        <f t="shared" si="0"/>
        <v>0</v>
      </c>
      <c r="H46" s="169">
        <v>0</v>
      </c>
      <c r="I46" s="122">
        <f t="shared" si="1"/>
        <v>0</v>
      </c>
      <c r="J46" s="122">
        <f t="shared" si="2"/>
        <v>0</v>
      </c>
      <c r="K46" s="176">
        <v>888</v>
      </c>
      <c r="L46" s="122">
        <f t="shared" si="8"/>
        <v>0</v>
      </c>
      <c r="M46" s="176">
        <v>40</v>
      </c>
      <c r="N46" s="122">
        <f t="shared" si="13"/>
        <v>22.2</v>
      </c>
      <c r="O46" s="123">
        <f t="shared" si="14"/>
        <v>0</v>
      </c>
      <c r="P46" s="158">
        <v>0</v>
      </c>
      <c r="Q46" s="157">
        <v>10</v>
      </c>
      <c r="R46" s="123">
        <f t="shared" si="4"/>
        <v>0</v>
      </c>
      <c r="S46" s="179">
        <v>93863</v>
      </c>
      <c r="T46" s="123">
        <f t="shared" si="9"/>
        <v>0</v>
      </c>
      <c r="U46" s="123">
        <v>0</v>
      </c>
      <c r="V46" s="123">
        <f t="shared" si="5"/>
        <v>0</v>
      </c>
      <c r="W46" s="161"/>
      <c r="X46" s="123">
        <f t="shared" si="10"/>
        <v>0</v>
      </c>
      <c r="Y46" s="161"/>
      <c r="Z46" s="235">
        <f t="shared" si="11"/>
        <v>0</v>
      </c>
      <c r="AA46" s="164">
        <f t="shared" si="6"/>
        <v>0</v>
      </c>
      <c r="AB46" s="182">
        <f t="shared" si="7"/>
        <v>0</v>
      </c>
      <c r="AC46" s="265" t="s">
        <v>141</v>
      </c>
      <c r="AD46" s="266"/>
      <c r="AE46" s="266"/>
      <c r="AF46" s="266"/>
      <c r="AG46" s="266"/>
      <c r="AH46" s="266"/>
      <c r="AI46" s="267"/>
    </row>
    <row r="47" spans="1:35" ht="15" thickBot="1" x14ac:dyDescent="0.35">
      <c r="A47" s="152">
        <f>A45</f>
        <v>46096</v>
      </c>
      <c r="B47" s="90">
        <v>3</v>
      </c>
      <c r="C47" s="173">
        <v>351730</v>
      </c>
      <c r="D47" s="124">
        <f t="shared" si="12"/>
        <v>0</v>
      </c>
      <c r="E47" s="170">
        <v>0</v>
      </c>
      <c r="F47" s="170">
        <v>0</v>
      </c>
      <c r="G47" s="124">
        <f t="shared" si="0"/>
        <v>0</v>
      </c>
      <c r="H47" s="170">
        <v>0</v>
      </c>
      <c r="I47" s="124">
        <f t="shared" si="1"/>
        <v>0</v>
      </c>
      <c r="J47" s="124">
        <f t="shared" si="2"/>
        <v>0</v>
      </c>
      <c r="K47" s="177">
        <v>888</v>
      </c>
      <c r="L47" s="124">
        <f t="shared" si="8"/>
        <v>0</v>
      </c>
      <c r="M47" s="177">
        <v>40</v>
      </c>
      <c r="N47" s="124">
        <f t="shared" si="13"/>
        <v>22.2</v>
      </c>
      <c r="O47" s="125">
        <f t="shared" si="14"/>
        <v>0</v>
      </c>
      <c r="P47" s="159">
        <v>0</v>
      </c>
      <c r="Q47" s="157">
        <v>10</v>
      </c>
      <c r="R47" s="125">
        <f t="shared" si="4"/>
        <v>0</v>
      </c>
      <c r="S47" s="180">
        <v>93863</v>
      </c>
      <c r="T47" s="125">
        <f t="shared" si="9"/>
        <v>0</v>
      </c>
      <c r="U47" s="125">
        <v>0</v>
      </c>
      <c r="V47" s="125">
        <f t="shared" si="5"/>
        <v>0</v>
      </c>
      <c r="W47" s="162"/>
      <c r="X47" s="125">
        <f t="shared" si="10"/>
        <v>0</v>
      </c>
      <c r="Y47" s="162"/>
      <c r="Z47" s="237">
        <f t="shared" si="11"/>
        <v>0</v>
      </c>
      <c r="AA47" s="165">
        <f t="shared" si="6"/>
        <v>0</v>
      </c>
      <c r="AB47" s="183">
        <f t="shared" si="7"/>
        <v>0</v>
      </c>
      <c r="AC47" s="268"/>
      <c r="AD47" s="269"/>
      <c r="AE47" s="269"/>
      <c r="AF47" s="269"/>
      <c r="AG47" s="269"/>
      <c r="AH47" s="269"/>
      <c r="AI47" s="270"/>
    </row>
    <row r="48" spans="1:35" ht="15" thickBot="1" x14ac:dyDescent="0.35">
      <c r="A48" s="153">
        <f>A47+1</f>
        <v>46097</v>
      </c>
      <c r="B48" s="91">
        <v>1</v>
      </c>
      <c r="C48" s="171">
        <v>351730</v>
      </c>
      <c r="D48" s="120">
        <f t="shared" si="12"/>
        <v>0</v>
      </c>
      <c r="E48" s="168">
        <v>0</v>
      </c>
      <c r="F48" s="168">
        <v>0</v>
      </c>
      <c r="G48" s="120">
        <f t="shared" si="0"/>
        <v>0</v>
      </c>
      <c r="H48" s="168">
        <v>0</v>
      </c>
      <c r="I48" s="120">
        <f t="shared" si="1"/>
        <v>0</v>
      </c>
      <c r="J48" s="120">
        <f t="shared" si="2"/>
        <v>0</v>
      </c>
      <c r="K48" s="175">
        <v>888</v>
      </c>
      <c r="L48" s="120">
        <f t="shared" si="8"/>
        <v>0</v>
      </c>
      <c r="M48" s="175">
        <v>40</v>
      </c>
      <c r="N48" s="120">
        <f t="shared" si="13"/>
        <v>22.2</v>
      </c>
      <c r="O48" s="121">
        <f t="shared" si="14"/>
        <v>0</v>
      </c>
      <c r="P48" s="157">
        <v>0</v>
      </c>
      <c r="Q48" s="157">
        <v>10</v>
      </c>
      <c r="R48" s="121">
        <f t="shared" si="4"/>
        <v>0</v>
      </c>
      <c r="S48" s="178">
        <v>93863</v>
      </c>
      <c r="T48" s="228">
        <f t="shared" si="9"/>
        <v>0</v>
      </c>
      <c r="U48" s="228">
        <v>0</v>
      </c>
      <c r="V48" s="228">
        <f t="shared" si="5"/>
        <v>0</v>
      </c>
      <c r="W48" s="160"/>
      <c r="X48" s="121">
        <v>0</v>
      </c>
      <c r="Y48" s="160"/>
      <c r="Z48" s="121">
        <v>0</v>
      </c>
      <c r="AA48" s="166">
        <f t="shared" si="6"/>
        <v>0</v>
      </c>
      <c r="AB48" s="182">
        <f t="shared" si="7"/>
        <v>0</v>
      </c>
      <c r="AC48" s="262"/>
      <c r="AD48" s="263"/>
      <c r="AE48" s="263"/>
      <c r="AF48" s="263"/>
      <c r="AG48" s="263"/>
      <c r="AH48" s="263"/>
      <c r="AI48" s="264"/>
    </row>
    <row r="49" spans="1:35" ht="15" thickBot="1" x14ac:dyDescent="0.35">
      <c r="A49" s="151">
        <f>A48</f>
        <v>46097</v>
      </c>
      <c r="B49" s="92">
        <v>2</v>
      </c>
      <c r="C49" s="172">
        <v>351732</v>
      </c>
      <c r="D49" s="122">
        <f t="shared" si="12"/>
        <v>2</v>
      </c>
      <c r="E49" s="169">
        <v>0</v>
      </c>
      <c r="F49" s="169">
        <v>0</v>
      </c>
      <c r="G49" s="122">
        <f t="shared" si="0"/>
        <v>0</v>
      </c>
      <c r="H49" s="169">
        <v>0</v>
      </c>
      <c r="I49" s="122">
        <f t="shared" si="1"/>
        <v>0</v>
      </c>
      <c r="J49" s="122">
        <f t="shared" si="2"/>
        <v>0</v>
      </c>
      <c r="K49" s="176">
        <v>888</v>
      </c>
      <c r="L49" s="122">
        <f t="shared" si="8"/>
        <v>0</v>
      </c>
      <c r="M49" s="176">
        <v>40</v>
      </c>
      <c r="N49" s="122">
        <f t="shared" si="13"/>
        <v>22.2</v>
      </c>
      <c r="O49" s="123">
        <f t="shared" si="14"/>
        <v>0</v>
      </c>
      <c r="P49" s="158">
        <v>0</v>
      </c>
      <c r="Q49" s="157">
        <v>10</v>
      </c>
      <c r="R49" s="123">
        <f t="shared" si="4"/>
        <v>0</v>
      </c>
      <c r="S49" s="179">
        <v>93911</v>
      </c>
      <c r="T49" s="230">
        <f t="shared" si="9"/>
        <v>48</v>
      </c>
      <c r="U49" s="230">
        <v>46</v>
      </c>
      <c r="V49" s="230">
        <f t="shared" si="5"/>
        <v>2</v>
      </c>
      <c r="W49" s="161"/>
      <c r="X49" s="123">
        <f t="shared" si="10"/>
        <v>0</v>
      </c>
      <c r="Y49" s="161"/>
      <c r="Z49" s="123">
        <f t="shared" si="11"/>
        <v>0</v>
      </c>
      <c r="AA49" s="164">
        <f t="shared" si="6"/>
        <v>0</v>
      </c>
      <c r="AB49" s="182">
        <f t="shared" si="7"/>
        <v>0</v>
      </c>
      <c r="AC49" s="265"/>
      <c r="AD49" s="266"/>
      <c r="AE49" s="266"/>
      <c r="AF49" s="266"/>
      <c r="AG49" s="266"/>
      <c r="AH49" s="266"/>
      <c r="AI49" s="267"/>
    </row>
    <row r="50" spans="1:35" ht="15" thickBot="1" x14ac:dyDescent="0.35">
      <c r="A50" s="154">
        <f>A49</f>
        <v>46097</v>
      </c>
      <c r="B50" s="199">
        <v>3</v>
      </c>
      <c r="C50" s="200">
        <v>351732</v>
      </c>
      <c r="D50" s="201">
        <f t="shared" si="12"/>
        <v>0</v>
      </c>
      <c r="E50" s="202">
        <v>0</v>
      </c>
      <c r="F50" s="202">
        <v>0</v>
      </c>
      <c r="G50" s="201">
        <f t="shared" si="0"/>
        <v>0</v>
      </c>
      <c r="H50" s="202">
        <v>0</v>
      </c>
      <c r="I50" s="201">
        <f t="shared" si="1"/>
        <v>0</v>
      </c>
      <c r="J50" s="201">
        <f t="shared" si="2"/>
        <v>0</v>
      </c>
      <c r="K50" s="203">
        <v>888</v>
      </c>
      <c r="L50" s="201">
        <f t="shared" si="8"/>
        <v>0</v>
      </c>
      <c r="M50" s="203">
        <v>40</v>
      </c>
      <c r="N50" s="201">
        <f t="shared" si="13"/>
        <v>22.2</v>
      </c>
      <c r="O50" s="204">
        <f t="shared" si="14"/>
        <v>0</v>
      </c>
      <c r="P50" s="205">
        <v>0</v>
      </c>
      <c r="Q50" s="157">
        <v>10</v>
      </c>
      <c r="R50" s="204">
        <f>(P50*Q50)</f>
        <v>0</v>
      </c>
      <c r="S50" s="206">
        <v>93911</v>
      </c>
      <c r="T50" s="212">
        <f t="shared" si="9"/>
        <v>0</v>
      </c>
      <c r="U50" s="229">
        <v>0</v>
      </c>
      <c r="V50" s="229">
        <f t="shared" si="5"/>
        <v>0</v>
      </c>
      <c r="W50" s="207"/>
      <c r="X50" s="204">
        <f t="shared" si="10"/>
        <v>0</v>
      </c>
      <c r="Y50" s="207"/>
      <c r="Z50" s="204">
        <f t="shared" si="11"/>
        <v>0</v>
      </c>
      <c r="AA50" s="167">
        <f t="shared" si="6"/>
        <v>0</v>
      </c>
      <c r="AB50" s="184">
        <f t="shared" si="7"/>
        <v>0</v>
      </c>
      <c r="AC50" s="268"/>
      <c r="AD50" s="269"/>
      <c r="AE50" s="269"/>
      <c r="AF50" s="269"/>
      <c r="AG50" s="269"/>
      <c r="AH50" s="269"/>
      <c r="AI50" s="270"/>
    </row>
    <row r="51" spans="1:35" ht="15" thickBot="1" x14ac:dyDescent="0.35">
      <c r="A51" s="150">
        <f>A50+1</f>
        <v>46098</v>
      </c>
      <c r="B51" s="91">
        <v>1</v>
      </c>
      <c r="C51" s="171">
        <v>351732</v>
      </c>
      <c r="D51" s="120">
        <f t="shared" si="12"/>
        <v>0</v>
      </c>
      <c r="E51" s="168">
        <v>0</v>
      </c>
      <c r="F51" s="168">
        <v>0</v>
      </c>
      <c r="G51" s="120">
        <f t="shared" si="0"/>
        <v>0</v>
      </c>
      <c r="H51" s="168">
        <v>0</v>
      </c>
      <c r="I51" s="120">
        <f t="shared" si="1"/>
        <v>0</v>
      </c>
      <c r="J51" s="120">
        <f t="shared" si="2"/>
        <v>0</v>
      </c>
      <c r="K51" s="175">
        <v>888</v>
      </c>
      <c r="L51" s="120">
        <f t="shared" si="8"/>
        <v>0</v>
      </c>
      <c r="M51" s="175">
        <v>40</v>
      </c>
      <c r="N51" s="120">
        <f t="shared" si="13"/>
        <v>22.2</v>
      </c>
      <c r="O51" s="121">
        <f t="shared" si="14"/>
        <v>0</v>
      </c>
      <c r="P51" s="157">
        <v>0</v>
      </c>
      <c r="Q51" s="157">
        <v>10</v>
      </c>
      <c r="R51" s="121">
        <f>(P51*Q51)</f>
        <v>0</v>
      </c>
      <c r="S51" s="178">
        <v>93911</v>
      </c>
      <c r="T51" s="121">
        <f t="shared" si="9"/>
        <v>0</v>
      </c>
      <c r="U51" s="121">
        <v>0</v>
      </c>
      <c r="V51" s="121">
        <f t="shared" si="5"/>
        <v>0</v>
      </c>
      <c r="W51" s="160"/>
      <c r="X51" s="121">
        <f t="shared" si="10"/>
        <v>0</v>
      </c>
      <c r="Y51" s="160"/>
      <c r="Z51" s="121">
        <f t="shared" si="11"/>
        <v>0</v>
      </c>
      <c r="AA51" s="163">
        <f t="shared" si="6"/>
        <v>0</v>
      </c>
      <c r="AB51" s="215">
        <f t="shared" si="7"/>
        <v>0</v>
      </c>
      <c r="AC51" s="262"/>
      <c r="AD51" s="263"/>
      <c r="AE51" s="263"/>
      <c r="AF51" s="263"/>
      <c r="AG51" s="263"/>
      <c r="AH51" s="263"/>
      <c r="AI51" s="264"/>
    </row>
    <row r="52" spans="1:35" ht="15" thickBot="1" x14ac:dyDescent="0.35">
      <c r="A52" s="151">
        <f>A51</f>
        <v>46098</v>
      </c>
      <c r="B52" s="92">
        <v>2</v>
      </c>
      <c r="C52" s="172">
        <v>351733</v>
      </c>
      <c r="D52" s="122">
        <f t="shared" si="12"/>
        <v>1</v>
      </c>
      <c r="E52" s="169">
        <v>0</v>
      </c>
      <c r="F52" s="169">
        <v>0</v>
      </c>
      <c r="G52" s="122">
        <f t="shared" si="0"/>
        <v>0</v>
      </c>
      <c r="H52" s="169">
        <v>0</v>
      </c>
      <c r="I52" s="122">
        <f t="shared" si="1"/>
        <v>0</v>
      </c>
      <c r="J52" s="122">
        <f t="shared" si="2"/>
        <v>0</v>
      </c>
      <c r="K52" s="176">
        <v>888</v>
      </c>
      <c r="L52" s="122">
        <f t="shared" si="8"/>
        <v>0</v>
      </c>
      <c r="M52" s="176">
        <v>40</v>
      </c>
      <c r="N52" s="122">
        <f t="shared" si="13"/>
        <v>22.2</v>
      </c>
      <c r="O52" s="123">
        <f t="shared" si="14"/>
        <v>0</v>
      </c>
      <c r="P52" s="158">
        <v>0</v>
      </c>
      <c r="Q52" s="157">
        <v>10</v>
      </c>
      <c r="R52" s="123">
        <f t="shared" si="4"/>
        <v>0</v>
      </c>
      <c r="S52" s="179">
        <v>93927</v>
      </c>
      <c r="T52" s="123">
        <f t="shared" si="9"/>
        <v>16</v>
      </c>
      <c r="U52" s="123">
        <v>15</v>
      </c>
      <c r="V52" s="123">
        <f t="shared" si="5"/>
        <v>1</v>
      </c>
      <c r="W52" s="161"/>
      <c r="X52" s="123">
        <f t="shared" si="10"/>
        <v>0</v>
      </c>
      <c r="Y52" s="161"/>
      <c r="Z52" s="123">
        <f t="shared" si="11"/>
        <v>0</v>
      </c>
      <c r="AA52" s="164">
        <f t="shared" si="6"/>
        <v>0</v>
      </c>
      <c r="AB52" s="216">
        <f t="shared" si="7"/>
        <v>0</v>
      </c>
      <c r="AC52" s="279"/>
      <c r="AD52" s="280"/>
      <c r="AE52" s="280"/>
      <c r="AF52" s="280"/>
      <c r="AG52" s="280"/>
      <c r="AH52" s="280"/>
      <c r="AI52" s="281"/>
    </row>
    <row r="53" spans="1:35" ht="15" thickBot="1" x14ac:dyDescent="0.35">
      <c r="A53" s="152">
        <f>A52</f>
        <v>46098</v>
      </c>
      <c r="B53" s="90">
        <v>3</v>
      </c>
      <c r="C53" s="173">
        <v>351734</v>
      </c>
      <c r="D53" s="124">
        <f t="shared" si="12"/>
        <v>1</v>
      </c>
      <c r="E53" s="170">
        <v>0</v>
      </c>
      <c r="F53" s="170">
        <v>0</v>
      </c>
      <c r="G53" s="124">
        <f t="shared" si="0"/>
        <v>0</v>
      </c>
      <c r="H53" s="170">
        <v>0</v>
      </c>
      <c r="I53" s="124">
        <f t="shared" si="1"/>
        <v>0</v>
      </c>
      <c r="J53" s="124">
        <f t="shared" si="2"/>
        <v>0</v>
      </c>
      <c r="K53" s="177">
        <v>888</v>
      </c>
      <c r="L53" s="124">
        <f t="shared" si="8"/>
        <v>0</v>
      </c>
      <c r="M53" s="177">
        <v>40</v>
      </c>
      <c r="N53" s="124">
        <f t="shared" si="13"/>
        <v>22.2</v>
      </c>
      <c r="O53" s="125">
        <f t="shared" si="14"/>
        <v>0</v>
      </c>
      <c r="P53" s="159">
        <v>0</v>
      </c>
      <c r="Q53" s="157">
        <v>10</v>
      </c>
      <c r="R53" s="125">
        <f t="shared" si="4"/>
        <v>0</v>
      </c>
      <c r="S53" s="180">
        <v>93979</v>
      </c>
      <c r="T53" s="125">
        <f t="shared" si="9"/>
        <v>52</v>
      </c>
      <c r="U53" s="125">
        <v>51</v>
      </c>
      <c r="V53" s="125">
        <f t="shared" si="5"/>
        <v>1</v>
      </c>
      <c r="W53" s="162"/>
      <c r="X53" s="125">
        <f t="shared" si="10"/>
        <v>0</v>
      </c>
      <c r="Y53" s="162"/>
      <c r="Z53" s="125">
        <f t="shared" si="11"/>
        <v>0</v>
      </c>
      <c r="AA53" s="165">
        <f t="shared" si="6"/>
        <v>0</v>
      </c>
      <c r="AB53" s="217">
        <f t="shared" si="7"/>
        <v>0</v>
      </c>
      <c r="AC53" s="265"/>
      <c r="AD53" s="266"/>
      <c r="AE53" s="266"/>
      <c r="AF53" s="266"/>
      <c r="AG53" s="266"/>
      <c r="AH53" s="266"/>
      <c r="AI53" s="266"/>
    </row>
    <row r="54" spans="1:35" ht="15" thickBot="1" x14ac:dyDescent="0.35">
      <c r="A54" s="150">
        <f>A53+1</f>
        <v>46099</v>
      </c>
      <c r="B54" s="91">
        <v>1</v>
      </c>
      <c r="C54" s="171">
        <v>351734</v>
      </c>
      <c r="D54" s="120">
        <f t="shared" si="12"/>
        <v>0</v>
      </c>
      <c r="E54" s="168">
        <v>0</v>
      </c>
      <c r="F54" s="168">
        <v>0</v>
      </c>
      <c r="G54" s="120">
        <f t="shared" si="0"/>
        <v>0</v>
      </c>
      <c r="H54" s="168">
        <v>0</v>
      </c>
      <c r="I54" s="120">
        <f t="shared" si="1"/>
        <v>0</v>
      </c>
      <c r="J54" s="120">
        <f t="shared" si="2"/>
        <v>0</v>
      </c>
      <c r="K54" s="175">
        <v>888</v>
      </c>
      <c r="L54" s="120">
        <f>+K54-K53</f>
        <v>0</v>
      </c>
      <c r="M54" s="175">
        <v>40</v>
      </c>
      <c r="N54" s="120">
        <f t="shared" si="13"/>
        <v>22.2</v>
      </c>
      <c r="O54" s="121">
        <f t="shared" si="14"/>
        <v>0</v>
      </c>
      <c r="P54" s="157">
        <v>0</v>
      </c>
      <c r="Q54" s="157">
        <v>10</v>
      </c>
      <c r="R54" s="121">
        <f t="shared" si="4"/>
        <v>0</v>
      </c>
      <c r="S54" s="178">
        <v>93979</v>
      </c>
      <c r="T54" s="121">
        <f t="shared" si="9"/>
        <v>0</v>
      </c>
      <c r="U54" s="121">
        <v>0</v>
      </c>
      <c r="V54" s="121">
        <f t="shared" si="5"/>
        <v>0</v>
      </c>
      <c r="W54" s="160"/>
      <c r="X54" s="121">
        <f t="shared" si="10"/>
        <v>0</v>
      </c>
      <c r="Y54" s="160"/>
      <c r="Z54" s="234">
        <f t="shared" si="11"/>
        <v>0</v>
      </c>
      <c r="AA54" s="163">
        <f t="shared" si="6"/>
        <v>0</v>
      </c>
      <c r="AB54" s="215">
        <f t="shared" si="7"/>
        <v>0</v>
      </c>
      <c r="AC54" s="268"/>
      <c r="AD54" s="269"/>
      <c r="AE54" s="269"/>
      <c r="AF54" s="269"/>
      <c r="AG54" s="269"/>
      <c r="AH54" s="269"/>
      <c r="AI54" s="270"/>
    </row>
    <row r="55" spans="1:35" ht="15" thickBot="1" x14ac:dyDescent="0.35">
      <c r="A55" s="151">
        <f>A54</f>
        <v>46099</v>
      </c>
      <c r="B55" s="92">
        <v>2</v>
      </c>
      <c r="C55" s="172">
        <v>351735</v>
      </c>
      <c r="D55" s="122">
        <f t="shared" si="12"/>
        <v>1</v>
      </c>
      <c r="E55" s="169">
        <v>0</v>
      </c>
      <c r="F55" s="169">
        <v>0</v>
      </c>
      <c r="G55" s="122">
        <f t="shared" si="0"/>
        <v>0</v>
      </c>
      <c r="H55" s="169">
        <v>0</v>
      </c>
      <c r="I55" s="122">
        <f t="shared" si="1"/>
        <v>0</v>
      </c>
      <c r="J55" s="122">
        <f t="shared" si="2"/>
        <v>0</v>
      </c>
      <c r="K55" s="176">
        <v>888</v>
      </c>
      <c r="L55" s="122">
        <f t="shared" si="8"/>
        <v>0</v>
      </c>
      <c r="M55" s="176">
        <v>40</v>
      </c>
      <c r="N55" s="122">
        <f t="shared" si="13"/>
        <v>22.2</v>
      </c>
      <c r="O55" s="123">
        <f t="shared" si="14"/>
        <v>0</v>
      </c>
      <c r="P55" s="158">
        <v>0</v>
      </c>
      <c r="Q55" s="157">
        <v>10</v>
      </c>
      <c r="R55" s="123">
        <f t="shared" si="4"/>
        <v>0</v>
      </c>
      <c r="S55" s="179">
        <v>93979</v>
      </c>
      <c r="T55" s="123">
        <f t="shared" si="9"/>
        <v>0</v>
      </c>
      <c r="U55" s="123">
        <v>0</v>
      </c>
      <c r="V55" s="123">
        <f t="shared" si="5"/>
        <v>0</v>
      </c>
      <c r="W55" s="161"/>
      <c r="X55" s="123">
        <f t="shared" si="10"/>
        <v>0</v>
      </c>
      <c r="Y55" s="161"/>
      <c r="Z55" s="235">
        <f t="shared" si="11"/>
        <v>0</v>
      </c>
      <c r="AA55" s="164">
        <f t="shared" si="6"/>
        <v>0</v>
      </c>
      <c r="AB55" s="216">
        <f t="shared" si="7"/>
        <v>0</v>
      </c>
      <c r="AC55" s="265"/>
      <c r="AD55" s="266"/>
      <c r="AE55" s="266"/>
      <c r="AF55" s="266"/>
      <c r="AG55" s="266"/>
      <c r="AH55" s="266"/>
      <c r="AI55" s="267"/>
    </row>
    <row r="56" spans="1:35" ht="15" thickBot="1" x14ac:dyDescent="0.35">
      <c r="A56" s="152">
        <f>A55</f>
        <v>46099</v>
      </c>
      <c r="B56" s="90">
        <v>3</v>
      </c>
      <c r="C56" s="173">
        <v>351736</v>
      </c>
      <c r="D56" s="124">
        <f t="shared" si="12"/>
        <v>1</v>
      </c>
      <c r="E56" s="170">
        <v>0</v>
      </c>
      <c r="F56" s="170">
        <v>0</v>
      </c>
      <c r="G56" s="124">
        <f t="shared" si="0"/>
        <v>0</v>
      </c>
      <c r="H56" s="170">
        <v>0</v>
      </c>
      <c r="I56" s="124">
        <f t="shared" si="1"/>
        <v>0</v>
      </c>
      <c r="J56" s="124">
        <f t="shared" si="2"/>
        <v>0</v>
      </c>
      <c r="K56" s="177">
        <v>888</v>
      </c>
      <c r="L56" s="124">
        <f t="shared" si="8"/>
        <v>0</v>
      </c>
      <c r="M56" s="177">
        <v>40</v>
      </c>
      <c r="N56" s="124">
        <f t="shared" si="13"/>
        <v>22.2</v>
      </c>
      <c r="O56" s="125">
        <f t="shared" si="14"/>
        <v>0</v>
      </c>
      <c r="P56" s="159">
        <v>0</v>
      </c>
      <c r="Q56" s="157">
        <v>10</v>
      </c>
      <c r="R56" s="125">
        <f t="shared" si="4"/>
        <v>0</v>
      </c>
      <c r="S56" s="180">
        <v>94033</v>
      </c>
      <c r="T56" s="125">
        <f t="shared" si="9"/>
        <v>54</v>
      </c>
      <c r="U56" s="125">
        <v>0</v>
      </c>
      <c r="V56" s="125">
        <f t="shared" si="5"/>
        <v>54</v>
      </c>
      <c r="W56" s="162"/>
      <c r="X56" s="125">
        <f t="shared" si="10"/>
        <v>0</v>
      </c>
      <c r="Y56" s="162"/>
      <c r="Z56" s="237">
        <f t="shared" si="11"/>
        <v>0</v>
      </c>
      <c r="AA56" s="165">
        <f t="shared" si="6"/>
        <v>0</v>
      </c>
      <c r="AB56" s="217">
        <f t="shared" si="7"/>
        <v>0</v>
      </c>
      <c r="AC56" s="268" t="s">
        <v>139</v>
      </c>
      <c r="AD56" s="269"/>
      <c r="AE56" s="269"/>
      <c r="AF56" s="269"/>
      <c r="AG56" s="269"/>
      <c r="AH56" s="269"/>
      <c r="AI56" s="270"/>
    </row>
    <row r="57" spans="1:35" ht="15" thickBot="1" x14ac:dyDescent="0.35">
      <c r="A57" s="153">
        <f>A56+1</f>
        <v>46100</v>
      </c>
      <c r="B57" s="93">
        <v>1</v>
      </c>
      <c r="C57" s="208">
        <v>351736</v>
      </c>
      <c r="D57" s="209">
        <f t="shared" si="12"/>
        <v>0</v>
      </c>
      <c r="E57" s="210">
        <v>0</v>
      </c>
      <c r="F57" s="210">
        <v>0</v>
      </c>
      <c r="G57" s="209">
        <f t="shared" si="0"/>
        <v>0</v>
      </c>
      <c r="H57" s="210">
        <v>0</v>
      </c>
      <c r="I57" s="209">
        <f t="shared" si="1"/>
        <v>0</v>
      </c>
      <c r="J57" s="209">
        <f t="shared" si="2"/>
        <v>0</v>
      </c>
      <c r="K57" s="211">
        <v>888</v>
      </c>
      <c r="L57" s="209">
        <f t="shared" si="8"/>
        <v>0</v>
      </c>
      <c r="M57" s="211">
        <v>40</v>
      </c>
      <c r="N57" s="209">
        <f t="shared" si="13"/>
        <v>22.2</v>
      </c>
      <c r="O57" s="212">
        <f t="shared" si="14"/>
        <v>0</v>
      </c>
      <c r="P57" s="158">
        <v>0</v>
      </c>
      <c r="Q57" s="157">
        <v>10</v>
      </c>
      <c r="R57" s="212">
        <f t="shared" si="4"/>
        <v>0</v>
      </c>
      <c r="S57" s="213">
        <v>94033</v>
      </c>
      <c r="T57" s="212">
        <f t="shared" si="9"/>
        <v>0</v>
      </c>
      <c r="U57" s="212">
        <v>0</v>
      </c>
      <c r="V57" s="212">
        <f t="shared" si="5"/>
        <v>0</v>
      </c>
      <c r="W57" s="214"/>
      <c r="X57" s="212">
        <f t="shared" si="10"/>
        <v>0</v>
      </c>
      <c r="Y57" s="214"/>
      <c r="Z57" s="212">
        <f t="shared" si="11"/>
        <v>0</v>
      </c>
      <c r="AA57" s="166">
        <f t="shared" si="6"/>
        <v>0</v>
      </c>
      <c r="AB57" s="182">
        <f t="shared" si="7"/>
        <v>0</v>
      </c>
      <c r="AC57" s="262"/>
      <c r="AD57" s="263"/>
      <c r="AE57" s="263"/>
      <c r="AF57" s="263"/>
      <c r="AG57" s="263"/>
      <c r="AH57" s="263"/>
      <c r="AI57" s="264"/>
    </row>
    <row r="58" spans="1:35" ht="15" thickBot="1" x14ac:dyDescent="0.35">
      <c r="A58" s="151">
        <f>A57</f>
        <v>46100</v>
      </c>
      <c r="B58" s="92">
        <v>2</v>
      </c>
      <c r="C58" s="172">
        <v>351738</v>
      </c>
      <c r="D58" s="122">
        <f t="shared" si="12"/>
        <v>2</v>
      </c>
      <c r="E58" s="169">
        <v>0</v>
      </c>
      <c r="F58" s="169">
        <v>0</v>
      </c>
      <c r="G58" s="122">
        <f t="shared" si="0"/>
        <v>0</v>
      </c>
      <c r="H58" s="169">
        <v>0</v>
      </c>
      <c r="I58" s="122">
        <f t="shared" si="1"/>
        <v>0</v>
      </c>
      <c r="J58" s="122">
        <f t="shared" si="2"/>
        <v>0</v>
      </c>
      <c r="K58" s="176">
        <v>888</v>
      </c>
      <c r="L58" s="122">
        <f t="shared" si="8"/>
        <v>0</v>
      </c>
      <c r="M58" s="176">
        <v>40</v>
      </c>
      <c r="N58" s="122">
        <f t="shared" si="13"/>
        <v>22.2</v>
      </c>
      <c r="O58" s="123">
        <f t="shared" si="14"/>
        <v>0</v>
      </c>
      <c r="P58" s="158">
        <v>0</v>
      </c>
      <c r="Q58" s="157">
        <v>10</v>
      </c>
      <c r="R58" s="123">
        <f t="shared" si="4"/>
        <v>0</v>
      </c>
      <c r="S58" s="179">
        <v>94033</v>
      </c>
      <c r="T58" s="123">
        <f t="shared" si="9"/>
        <v>0</v>
      </c>
      <c r="U58" s="123">
        <v>0</v>
      </c>
      <c r="V58" s="123">
        <f t="shared" si="5"/>
        <v>0</v>
      </c>
      <c r="W58" s="161"/>
      <c r="X58" s="123">
        <f t="shared" si="10"/>
        <v>0</v>
      </c>
      <c r="Y58" s="161"/>
      <c r="Z58" s="123">
        <f t="shared" si="11"/>
        <v>0</v>
      </c>
      <c r="AA58" s="164">
        <f t="shared" si="6"/>
        <v>0</v>
      </c>
      <c r="AB58" s="182">
        <f t="shared" si="7"/>
        <v>0</v>
      </c>
      <c r="AC58" s="265"/>
      <c r="AD58" s="266"/>
      <c r="AE58" s="266"/>
      <c r="AF58" s="266"/>
      <c r="AG58" s="266"/>
      <c r="AH58" s="266"/>
      <c r="AI58" s="267"/>
    </row>
    <row r="59" spans="1:35" ht="15" thickBot="1" x14ac:dyDescent="0.35">
      <c r="A59" s="154">
        <f>A58</f>
        <v>46100</v>
      </c>
      <c r="B59" s="199">
        <v>3</v>
      </c>
      <c r="C59" s="200">
        <v>351738</v>
      </c>
      <c r="D59" s="201">
        <f t="shared" si="12"/>
        <v>0</v>
      </c>
      <c r="E59" s="202">
        <v>0</v>
      </c>
      <c r="F59" s="202">
        <v>0</v>
      </c>
      <c r="G59" s="201">
        <f t="shared" si="0"/>
        <v>0</v>
      </c>
      <c r="H59" s="202">
        <v>0</v>
      </c>
      <c r="I59" s="201">
        <f t="shared" si="1"/>
        <v>0</v>
      </c>
      <c r="J59" s="201">
        <f t="shared" si="2"/>
        <v>0</v>
      </c>
      <c r="K59" s="203">
        <v>888</v>
      </c>
      <c r="L59" s="201">
        <f t="shared" si="8"/>
        <v>0</v>
      </c>
      <c r="M59" s="203">
        <v>40</v>
      </c>
      <c r="N59" s="201">
        <f t="shared" si="13"/>
        <v>22.2</v>
      </c>
      <c r="O59" s="204">
        <f t="shared" si="14"/>
        <v>0</v>
      </c>
      <c r="P59" s="205">
        <v>0</v>
      </c>
      <c r="Q59" s="157">
        <v>10</v>
      </c>
      <c r="R59" s="204">
        <f t="shared" si="4"/>
        <v>0</v>
      </c>
      <c r="S59" s="206">
        <v>94127</v>
      </c>
      <c r="T59" s="204">
        <f>+S59-S58</f>
        <v>94</v>
      </c>
      <c r="U59" s="204">
        <v>0</v>
      </c>
      <c r="V59" s="204">
        <f t="shared" si="5"/>
        <v>94</v>
      </c>
      <c r="W59" s="207"/>
      <c r="X59" s="204">
        <f t="shared" si="10"/>
        <v>0</v>
      </c>
      <c r="Y59" s="207"/>
      <c r="Z59" s="204">
        <f t="shared" si="11"/>
        <v>0</v>
      </c>
      <c r="AA59" s="167">
        <f t="shared" si="6"/>
        <v>0</v>
      </c>
      <c r="AB59" s="184">
        <f t="shared" si="7"/>
        <v>0</v>
      </c>
      <c r="AC59" s="268" t="s">
        <v>140</v>
      </c>
      <c r="AD59" s="269"/>
      <c r="AE59" s="269"/>
      <c r="AF59" s="269"/>
      <c r="AG59" s="269"/>
      <c r="AH59" s="269"/>
      <c r="AI59" s="270"/>
    </row>
    <row r="60" spans="1:35" ht="15" thickBot="1" x14ac:dyDescent="0.35">
      <c r="A60" s="150">
        <f>A59+1</f>
        <v>46101</v>
      </c>
      <c r="B60" s="91">
        <v>1</v>
      </c>
      <c r="C60" s="171">
        <v>351738</v>
      </c>
      <c r="D60" s="120">
        <f t="shared" si="12"/>
        <v>0</v>
      </c>
      <c r="E60" s="168">
        <v>0</v>
      </c>
      <c r="F60" s="168">
        <v>0</v>
      </c>
      <c r="G60" s="120">
        <f t="shared" si="0"/>
        <v>0</v>
      </c>
      <c r="H60" s="168">
        <v>0</v>
      </c>
      <c r="I60" s="120">
        <f t="shared" si="1"/>
        <v>0</v>
      </c>
      <c r="J60" s="120">
        <f t="shared" si="2"/>
        <v>0</v>
      </c>
      <c r="K60" s="175">
        <v>888</v>
      </c>
      <c r="L60" s="120">
        <f t="shared" si="8"/>
        <v>0</v>
      </c>
      <c r="M60" s="175">
        <v>40</v>
      </c>
      <c r="N60" s="120">
        <f t="shared" si="13"/>
        <v>22.2</v>
      </c>
      <c r="O60" s="121">
        <f t="shared" si="14"/>
        <v>0</v>
      </c>
      <c r="P60" s="157">
        <v>0</v>
      </c>
      <c r="Q60" s="157">
        <v>10</v>
      </c>
      <c r="R60" s="121">
        <f t="shared" si="4"/>
        <v>0</v>
      </c>
      <c r="S60" s="178">
        <v>94127</v>
      </c>
      <c r="T60" s="121">
        <f>+S60-S59</f>
        <v>0</v>
      </c>
      <c r="U60" s="121">
        <v>0</v>
      </c>
      <c r="V60" s="121">
        <f t="shared" si="5"/>
        <v>0</v>
      </c>
      <c r="W60" s="160"/>
      <c r="X60" s="121">
        <f t="shared" si="10"/>
        <v>0</v>
      </c>
      <c r="Y60" s="160"/>
      <c r="Z60" s="121">
        <f t="shared" si="11"/>
        <v>0</v>
      </c>
      <c r="AA60" s="163">
        <f t="shared" si="6"/>
        <v>0</v>
      </c>
      <c r="AB60" s="215">
        <f t="shared" si="7"/>
        <v>0</v>
      </c>
      <c r="AC60" s="262"/>
      <c r="AD60" s="263"/>
      <c r="AE60" s="263"/>
      <c r="AF60" s="263"/>
      <c r="AG60" s="263"/>
      <c r="AH60" s="263"/>
      <c r="AI60" s="264"/>
    </row>
    <row r="61" spans="1:35" ht="15" thickBot="1" x14ac:dyDescent="0.35">
      <c r="A61" s="151">
        <f>A60</f>
        <v>46101</v>
      </c>
      <c r="B61" s="92">
        <v>2</v>
      </c>
      <c r="C61" s="172">
        <v>351740</v>
      </c>
      <c r="D61" s="122">
        <f t="shared" si="12"/>
        <v>2</v>
      </c>
      <c r="E61" s="169">
        <v>0</v>
      </c>
      <c r="F61" s="169">
        <v>0</v>
      </c>
      <c r="G61" s="122">
        <f t="shared" si="0"/>
        <v>0</v>
      </c>
      <c r="H61" s="169">
        <v>0</v>
      </c>
      <c r="I61" s="122">
        <f t="shared" si="1"/>
        <v>0</v>
      </c>
      <c r="J61" s="122">
        <f t="shared" si="2"/>
        <v>0</v>
      </c>
      <c r="K61" s="176">
        <v>888</v>
      </c>
      <c r="L61" s="122">
        <f t="shared" si="8"/>
        <v>0</v>
      </c>
      <c r="M61" s="176">
        <v>40</v>
      </c>
      <c r="N61" s="122">
        <f t="shared" si="13"/>
        <v>22.2</v>
      </c>
      <c r="O61" s="123">
        <f t="shared" si="14"/>
        <v>0</v>
      </c>
      <c r="P61" s="158">
        <v>0</v>
      </c>
      <c r="Q61" s="157">
        <v>10</v>
      </c>
      <c r="R61" s="123">
        <f t="shared" si="4"/>
        <v>0</v>
      </c>
      <c r="S61" s="179">
        <v>94170</v>
      </c>
      <c r="T61" s="123">
        <f>+S61-S60</f>
        <v>43</v>
      </c>
      <c r="U61" s="123">
        <v>41</v>
      </c>
      <c r="V61" s="123">
        <f t="shared" si="5"/>
        <v>2</v>
      </c>
      <c r="W61" s="161"/>
      <c r="X61" s="123">
        <f t="shared" si="10"/>
        <v>0</v>
      </c>
      <c r="Y61" s="161"/>
      <c r="Z61" s="123">
        <f t="shared" si="11"/>
        <v>0</v>
      </c>
      <c r="AA61" s="164">
        <f t="shared" si="6"/>
        <v>0</v>
      </c>
      <c r="AB61" s="216">
        <f t="shared" si="7"/>
        <v>0</v>
      </c>
      <c r="AC61" s="265"/>
      <c r="AD61" s="266"/>
      <c r="AE61" s="266"/>
      <c r="AF61" s="266"/>
      <c r="AG61" s="266"/>
      <c r="AH61" s="266"/>
      <c r="AI61" s="267"/>
    </row>
    <row r="62" spans="1:35" ht="15" thickBot="1" x14ac:dyDescent="0.35">
      <c r="A62" s="152">
        <f>A61</f>
        <v>46101</v>
      </c>
      <c r="B62" s="90">
        <v>3</v>
      </c>
      <c r="C62" s="173">
        <v>351741</v>
      </c>
      <c r="D62" s="124">
        <f t="shared" si="12"/>
        <v>1</v>
      </c>
      <c r="E62" s="170">
        <v>0</v>
      </c>
      <c r="F62" s="170">
        <v>0</v>
      </c>
      <c r="G62" s="124">
        <f t="shared" si="0"/>
        <v>0</v>
      </c>
      <c r="H62" s="170">
        <v>0</v>
      </c>
      <c r="I62" s="124">
        <f t="shared" si="1"/>
        <v>0</v>
      </c>
      <c r="J62" s="124">
        <f t="shared" si="2"/>
        <v>0</v>
      </c>
      <c r="K62" s="177">
        <v>888</v>
      </c>
      <c r="L62" s="124">
        <f t="shared" si="8"/>
        <v>0</v>
      </c>
      <c r="M62" s="177">
        <v>40</v>
      </c>
      <c r="N62" s="124">
        <f t="shared" si="13"/>
        <v>22.2</v>
      </c>
      <c r="O62" s="125">
        <f t="shared" si="14"/>
        <v>0</v>
      </c>
      <c r="P62" s="159">
        <v>0</v>
      </c>
      <c r="Q62" s="157">
        <v>10</v>
      </c>
      <c r="R62" s="125">
        <f t="shared" si="4"/>
        <v>0</v>
      </c>
      <c r="S62" s="180">
        <v>94197</v>
      </c>
      <c r="T62" s="125">
        <f t="shared" si="9"/>
        <v>27</v>
      </c>
      <c r="U62" s="125">
        <v>26</v>
      </c>
      <c r="V62" s="125">
        <f t="shared" si="5"/>
        <v>1</v>
      </c>
      <c r="W62" s="162"/>
      <c r="X62" s="125">
        <f t="shared" si="10"/>
        <v>0</v>
      </c>
      <c r="Y62" s="162"/>
      <c r="Z62" s="125">
        <f t="shared" si="11"/>
        <v>0</v>
      </c>
      <c r="AA62" s="165">
        <f t="shared" si="6"/>
        <v>0</v>
      </c>
      <c r="AB62" s="217">
        <f t="shared" si="7"/>
        <v>0</v>
      </c>
      <c r="AC62" s="268"/>
      <c r="AD62" s="269"/>
      <c r="AE62" s="269"/>
      <c r="AF62" s="269"/>
      <c r="AG62" s="269"/>
      <c r="AH62" s="269"/>
      <c r="AI62" s="270"/>
    </row>
    <row r="63" spans="1:35" ht="15" thickBot="1" x14ac:dyDescent="0.35">
      <c r="A63" s="153">
        <f>A62+1</f>
        <v>46102</v>
      </c>
      <c r="B63" s="93">
        <v>1</v>
      </c>
      <c r="C63" s="208">
        <v>351741</v>
      </c>
      <c r="D63" s="209">
        <f t="shared" si="12"/>
        <v>0</v>
      </c>
      <c r="E63" s="210">
        <v>0</v>
      </c>
      <c r="F63" s="210">
        <v>0</v>
      </c>
      <c r="G63" s="209">
        <f t="shared" si="0"/>
        <v>0</v>
      </c>
      <c r="H63" s="210">
        <v>0</v>
      </c>
      <c r="I63" s="209">
        <f t="shared" si="1"/>
        <v>0</v>
      </c>
      <c r="J63" s="209">
        <f t="shared" si="2"/>
        <v>0</v>
      </c>
      <c r="K63" s="211">
        <v>888</v>
      </c>
      <c r="L63" s="209">
        <f t="shared" si="8"/>
        <v>0</v>
      </c>
      <c r="M63" s="211">
        <v>40</v>
      </c>
      <c r="N63" s="209">
        <f t="shared" si="13"/>
        <v>22.2</v>
      </c>
      <c r="O63" s="212">
        <f t="shared" si="14"/>
        <v>0</v>
      </c>
      <c r="P63" s="158">
        <v>0</v>
      </c>
      <c r="Q63" s="157">
        <v>10</v>
      </c>
      <c r="R63" s="212">
        <f t="shared" si="4"/>
        <v>0</v>
      </c>
      <c r="S63" s="213">
        <v>94197</v>
      </c>
      <c r="T63" s="212">
        <f t="shared" si="9"/>
        <v>0</v>
      </c>
      <c r="U63" s="212">
        <v>0</v>
      </c>
      <c r="V63" s="212">
        <f t="shared" si="5"/>
        <v>0</v>
      </c>
      <c r="W63" s="214"/>
      <c r="X63" s="212">
        <f t="shared" si="10"/>
        <v>0</v>
      </c>
      <c r="Y63" s="214"/>
      <c r="Z63" s="212">
        <f t="shared" si="11"/>
        <v>0</v>
      </c>
      <c r="AA63" s="166">
        <f t="shared" si="6"/>
        <v>0</v>
      </c>
      <c r="AB63" s="182">
        <f t="shared" si="7"/>
        <v>0</v>
      </c>
      <c r="AC63" s="262"/>
      <c r="AD63" s="263"/>
      <c r="AE63" s="263"/>
      <c r="AF63" s="263"/>
      <c r="AG63" s="263"/>
      <c r="AH63" s="263"/>
      <c r="AI63" s="264"/>
    </row>
    <row r="64" spans="1:35" ht="15" thickBot="1" x14ac:dyDescent="0.35">
      <c r="A64" s="151">
        <f>A63</f>
        <v>46102</v>
      </c>
      <c r="B64" s="92">
        <v>2</v>
      </c>
      <c r="C64" s="172">
        <v>351741</v>
      </c>
      <c r="D64" s="122">
        <f t="shared" si="12"/>
        <v>0</v>
      </c>
      <c r="E64" s="169">
        <v>0</v>
      </c>
      <c r="F64" s="169">
        <v>0</v>
      </c>
      <c r="G64" s="122">
        <f t="shared" si="0"/>
        <v>0</v>
      </c>
      <c r="H64" s="169">
        <v>0</v>
      </c>
      <c r="I64" s="122">
        <f t="shared" si="1"/>
        <v>0</v>
      </c>
      <c r="J64" s="122">
        <f t="shared" si="2"/>
        <v>0</v>
      </c>
      <c r="K64" s="176">
        <v>888</v>
      </c>
      <c r="L64" s="122">
        <f t="shared" si="8"/>
        <v>0</v>
      </c>
      <c r="M64" s="176">
        <v>40</v>
      </c>
      <c r="N64" s="122">
        <f t="shared" si="13"/>
        <v>22.2</v>
      </c>
      <c r="O64" s="123">
        <f t="shared" si="14"/>
        <v>0</v>
      </c>
      <c r="P64" s="158">
        <v>0</v>
      </c>
      <c r="Q64" s="157">
        <v>10</v>
      </c>
      <c r="R64" s="123">
        <f t="shared" si="4"/>
        <v>0</v>
      </c>
      <c r="S64" s="179">
        <v>94213</v>
      </c>
      <c r="T64" s="123">
        <f t="shared" si="9"/>
        <v>16</v>
      </c>
      <c r="U64" s="123">
        <v>16</v>
      </c>
      <c r="V64" s="123">
        <f t="shared" si="5"/>
        <v>0</v>
      </c>
      <c r="W64" s="161"/>
      <c r="X64" s="123">
        <f t="shared" si="10"/>
        <v>0</v>
      </c>
      <c r="Y64" s="161"/>
      <c r="Z64" s="123">
        <f t="shared" si="11"/>
        <v>0</v>
      </c>
      <c r="AA64" s="164">
        <f t="shared" si="6"/>
        <v>0</v>
      </c>
      <c r="AB64" s="182">
        <f t="shared" si="7"/>
        <v>0</v>
      </c>
      <c r="AC64" s="265"/>
      <c r="AD64" s="266"/>
      <c r="AE64" s="266"/>
      <c r="AF64" s="266"/>
      <c r="AG64" s="266"/>
      <c r="AH64" s="266"/>
      <c r="AI64" s="267"/>
    </row>
    <row r="65" spans="1:35" ht="15" thickBot="1" x14ac:dyDescent="0.35">
      <c r="A65" s="154">
        <f>A64</f>
        <v>46102</v>
      </c>
      <c r="B65" s="199">
        <v>3</v>
      </c>
      <c r="C65" s="200">
        <v>351742</v>
      </c>
      <c r="D65" s="201">
        <f t="shared" si="12"/>
        <v>1</v>
      </c>
      <c r="E65" s="202">
        <v>0</v>
      </c>
      <c r="F65" s="202">
        <v>0</v>
      </c>
      <c r="G65" s="201">
        <f t="shared" si="0"/>
        <v>0</v>
      </c>
      <c r="H65" s="202">
        <v>0</v>
      </c>
      <c r="I65" s="201">
        <f t="shared" si="1"/>
        <v>0</v>
      </c>
      <c r="J65" s="201">
        <f t="shared" si="2"/>
        <v>0</v>
      </c>
      <c r="K65" s="203">
        <v>888</v>
      </c>
      <c r="L65" s="201">
        <f t="shared" si="8"/>
        <v>0</v>
      </c>
      <c r="M65" s="203">
        <v>40</v>
      </c>
      <c r="N65" s="201">
        <f t="shared" si="13"/>
        <v>22.2</v>
      </c>
      <c r="O65" s="204">
        <f t="shared" si="14"/>
        <v>0</v>
      </c>
      <c r="P65" s="205">
        <v>1</v>
      </c>
      <c r="Q65" s="157">
        <v>10</v>
      </c>
      <c r="R65" s="204">
        <f t="shared" si="4"/>
        <v>10</v>
      </c>
      <c r="S65" s="206">
        <v>94217</v>
      </c>
      <c r="T65" s="204">
        <f t="shared" si="9"/>
        <v>4</v>
      </c>
      <c r="U65" s="204">
        <v>3</v>
      </c>
      <c r="V65" s="204">
        <f t="shared" si="5"/>
        <v>1</v>
      </c>
      <c r="W65" s="207"/>
      <c r="X65" s="204">
        <f t="shared" si="10"/>
        <v>0</v>
      </c>
      <c r="Y65" s="207"/>
      <c r="Z65" s="204">
        <f t="shared" si="11"/>
        <v>0</v>
      </c>
      <c r="AA65" s="167">
        <f t="shared" si="6"/>
        <v>0</v>
      </c>
      <c r="AB65" s="184">
        <f t="shared" si="7"/>
        <v>0</v>
      </c>
      <c r="AC65" s="268"/>
      <c r="AD65" s="269"/>
      <c r="AE65" s="269"/>
      <c r="AF65" s="269"/>
      <c r="AG65" s="269"/>
      <c r="AH65" s="269"/>
      <c r="AI65" s="270"/>
    </row>
    <row r="66" spans="1:35" ht="15" thickBot="1" x14ac:dyDescent="0.35">
      <c r="A66" s="150">
        <f>A65+1</f>
        <v>46103</v>
      </c>
      <c r="B66" s="91">
        <v>1</v>
      </c>
      <c r="C66" s="171">
        <v>351742</v>
      </c>
      <c r="D66" s="120">
        <f t="shared" si="12"/>
        <v>0</v>
      </c>
      <c r="E66" s="168">
        <v>0</v>
      </c>
      <c r="F66" s="168">
        <v>0</v>
      </c>
      <c r="G66" s="120">
        <f t="shared" si="0"/>
        <v>0</v>
      </c>
      <c r="H66" s="168">
        <v>0</v>
      </c>
      <c r="I66" s="120">
        <f t="shared" si="1"/>
        <v>0</v>
      </c>
      <c r="J66" s="120">
        <f t="shared" si="2"/>
        <v>0</v>
      </c>
      <c r="K66" s="175">
        <v>888</v>
      </c>
      <c r="L66" s="120">
        <f t="shared" si="8"/>
        <v>0</v>
      </c>
      <c r="M66" s="175">
        <v>40</v>
      </c>
      <c r="N66" s="120">
        <f t="shared" si="13"/>
        <v>22.2</v>
      </c>
      <c r="O66" s="121">
        <f t="shared" si="14"/>
        <v>0</v>
      </c>
      <c r="P66" s="157">
        <v>0</v>
      </c>
      <c r="Q66" s="157">
        <v>10</v>
      </c>
      <c r="R66" s="121">
        <f t="shared" si="4"/>
        <v>0</v>
      </c>
      <c r="S66" s="178">
        <v>94217</v>
      </c>
      <c r="T66" s="121">
        <f t="shared" si="9"/>
        <v>0</v>
      </c>
      <c r="U66" s="121">
        <v>0</v>
      </c>
      <c r="V66" s="121">
        <f t="shared" si="5"/>
        <v>0</v>
      </c>
      <c r="W66" s="160"/>
      <c r="X66" s="121">
        <f t="shared" si="10"/>
        <v>0</v>
      </c>
      <c r="Y66" s="160"/>
      <c r="Z66" s="121">
        <f t="shared" si="11"/>
        <v>0</v>
      </c>
      <c r="AA66" s="163">
        <f t="shared" si="6"/>
        <v>0</v>
      </c>
      <c r="AB66" s="215">
        <f t="shared" si="7"/>
        <v>0</v>
      </c>
      <c r="AC66" s="262"/>
      <c r="AD66" s="263"/>
      <c r="AE66" s="263"/>
      <c r="AF66" s="263"/>
      <c r="AG66" s="263"/>
      <c r="AH66" s="263"/>
      <c r="AI66" s="264"/>
    </row>
    <row r="67" spans="1:35" ht="15" thickBot="1" x14ac:dyDescent="0.35">
      <c r="A67" s="151">
        <f>A66</f>
        <v>46103</v>
      </c>
      <c r="B67" s="92">
        <v>2</v>
      </c>
      <c r="C67" s="172">
        <v>351742</v>
      </c>
      <c r="D67" s="122">
        <f t="shared" si="12"/>
        <v>0</v>
      </c>
      <c r="E67" s="169">
        <v>0</v>
      </c>
      <c r="F67" s="169">
        <v>0</v>
      </c>
      <c r="G67" s="122">
        <f t="shared" si="0"/>
        <v>0</v>
      </c>
      <c r="H67" s="169">
        <v>0</v>
      </c>
      <c r="I67" s="122">
        <f t="shared" si="1"/>
        <v>0</v>
      </c>
      <c r="J67" s="122">
        <f t="shared" si="2"/>
        <v>0</v>
      </c>
      <c r="K67" s="176">
        <v>888</v>
      </c>
      <c r="L67" s="122">
        <f t="shared" si="8"/>
        <v>0</v>
      </c>
      <c r="M67" s="176">
        <v>40</v>
      </c>
      <c r="N67" s="122">
        <f t="shared" si="13"/>
        <v>22.2</v>
      </c>
      <c r="O67" s="123">
        <f t="shared" si="14"/>
        <v>0</v>
      </c>
      <c r="P67" s="158">
        <v>0</v>
      </c>
      <c r="Q67" s="157">
        <v>10</v>
      </c>
      <c r="R67" s="123">
        <f t="shared" si="4"/>
        <v>0</v>
      </c>
      <c r="S67" s="179">
        <v>94217</v>
      </c>
      <c r="T67" s="123">
        <f t="shared" si="9"/>
        <v>0</v>
      </c>
      <c r="U67" s="123">
        <v>0</v>
      </c>
      <c r="V67" s="123">
        <f t="shared" si="5"/>
        <v>0</v>
      </c>
      <c r="W67" s="161"/>
      <c r="X67" s="123">
        <f t="shared" si="10"/>
        <v>0</v>
      </c>
      <c r="Y67" s="161"/>
      <c r="Z67" s="123">
        <f t="shared" si="11"/>
        <v>0</v>
      </c>
      <c r="AA67" s="164">
        <f t="shared" si="6"/>
        <v>0</v>
      </c>
      <c r="AB67" s="216">
        <f t="shared" si="7"/>
        <v>0</v>
      </c>
      <c r="AC67" s="265"/>
      <c r="AD67" s="266"/>
      <c r="AE67" s="266"/>
      <c r="AF67" s="266"/>
      <c r="AG67" s="266"/>
      <c r="AH67" s="266"/>
      <c r="AI67" s="267"/>
    </row>
    <row r="68" spans="1:35" ht="15" thickBot="1" x14ac:dyDescent="0.35">
      <c r="A68" s="152">
        <f>A67</f>
        <v>46103</v>
      </c>
      <c r="B68" s="90">
        <v>3</v>
      </c>
      <c r="C68" s="173">
        <v>351742</v>
      </c>
      <c r="D68" s="124">
        <f t="shared" si="12"/>
        <v>0</v>
      </c>
      <c r="E68" s="170">
        <v>0</v>
      </c>
      <c r="F68" s="170">
        <v>0</v>
      </c>
      <c r="G68" s="124">
        <f t="shared" ref="G68:G95" si="15">+F68*E68</f>
        <v>0</v>
      </c>
      <c r="H68" s="170">
        <v>0</v>
      </c>
      <c r="I68" s="124">
        <f t="shared" ref="I68:I94" si="16">+H68*F68</f>
        <v>0</v>
      </c>
      <c r="J68" s="124">
        <f t="shared" ref="J68:J95" si="17">+G68-I68</f>
        <v>0</v>
      </c>
      <c r="K68" s="177">
        <v>888</v>
      </c>
      <c r="L68" s="124">
        <f t="shared" si="8"/>
        <v>0</v>
      </c>
      <c r="M68" s="177">
        <v>40</v>
      </c>
      <c r="N68" s="124">
        <f t="shared" ref="N68:N95" si="18">+K68/M68</f>
        <v>22.2</v>
      </c>
      <c r="O68" s="125">
        <f t="shared" si="14"/>
        <v>0</v>
      </c>
      <c r="P68" s="159">
        <v>0</v>
      </c>
      <c r="Q68" s="157">
        <v>10</v>
      </c>
      <c r="R68" s="125">
        <f t="shared" ref="R68:R95" si="19">(P68*Q68)</f>
        <v>0</v>
      </c>
      <c r="S68" s="180">
        <v>94217</v>
      </c>
      <c r="T68" s="125">
        <f t="shared" si="9"/>
        <v>0</v>
      </c>
      <c r="U68" s="125">
        <v>0</v>
      </c>
      <c r="V68" s="125">
        <f t="shared" ref="V68:V95" si="20">T68-U68</f>
        <v>0</v>
      </c>
      <c r="W68" s="162"/>
      <c r="X68" s="125">
        <f t="shared" si="10"/>
        <v>0</v>
      </c>
      <c r="Y68" s="162"/>
      <c r="Z68" s="125">
        <f t="shared" si="11"/>
        <v>0</v>
      </c>
      <c r="AA68" s="165">
        <f t="shared" ref="AA68:AA95" si="21">X68-AB68</f>
        <v>0</v>
      </c>
      <c r="AB68" s="217">
        <f t="shared" ref="AB68:AB95" si="22">X68-Z68</f>
        <v>0</v>
      </c>
      <c r="AC68" s="268"/>
      <c r="AD68" s="269"/>
      <c r="AE68" s="269"/>
      <c r="AF68" s="269"/>
      <c r="AG68" s="269"/>
      <c r="AH68" s="269"/>
      <c r="AI68" s="270"/>
    </row>
    <row r="69" spans="1:35" ht="15" thickBot="1" x14ac:dyDescent="0.35">
      <c r="A69" s="153">
        <f>A68+1</f>
        <v>46104</v>
      </c>
      <c r="B69" s="91">
        <v>1</v>
      </c>
      <c r="C69" s="171">
        <v>351742</v>
      </c>
      <c r="D69" s="120">
        <f t="shared" si="12"/>
        <v>0</v>
      </c>
      <c r="E69" s="168">
        <v>0</v>
      </c>
      <c r="F69" s="168">
        <v>0</v>
      </c>
      <c r="G69" s="120">
        <f t="shared" si="15"/>
        <v>0</v>
      </c>
      <c r="H69" s="168">
        <v>0</v>
      </c>
      <c r="I69" s="120">
        <f t="shared" si="16"/>
        <v>0</v>
      </c>
      <c r="J69" s="120">
        <f t="shared" si="17"/>
        <v>0</v>
      </c>
      <c r="K69" s="175">
        <v>888</v>
      </c>
      <c r="L69" s="120">
        <f t="shared" ref="L69:L95" si="23">+K69-K68</f>
        <v>0</v>
      </c>
      <c r="M69" s="175">
        <v>40</v>
      </c>
      <c r="N69" s="120">
        <f t="shared" si="18"/>
        <v>22.2</v>
      </c>
      <c r="O69" s="121">
        <f t="shared" si="14"/>
        <v>0</v>
      </c>
      <c r="P69" s="157">
        <v>0</v>
      </c>
      <c r="Q69" s="157">
        <v>10</v>
      </c>
      <c r="R69" s="121">
        <f t="shared" si="19"/>
        <v>0</v>
      </c>
      <c r="S69" s="178">
        <v>94217</v>
      </c>
      <c r="T69" s="121">
        <f t="shared" ref="T69:T95" si="24">+S69-S68</f>
        <v>0</v>
      </c>
      <c r="U69" s="121">
        <v>0</v>
      </c>
      <c r="V69" s="121">
        <f t="shared" si="20"/>
        <v>0</v>
      </c>
      <c r="W69" s="160"/>
      <c r="X69" s="121">
        <f t="shared" ref="X69:X95" si="25">+W69-W68</f>
        <v>0</v>
      </c>
      <c r="Y69" s="160"/>
      <c r="Z69" s="121">
        <f t="shared" ref="Z69:Z95" si="26">+Y69-Y68</f>
        <v>0</v>
      </c>
      <c r="AA69" s="163">
        <f t="shared" si="21"/>
        <v>0</v>
      </c>
      <c r="AB69" s="181">
        <f t="shared" si="22"/>
        <v>0</v>
      </c>
      <c r="AC69" s="262"/>
      <c r="AD69" s="263"/>
      <c r="AE69" s="263"/>
      <c r="AF69" s="263"/>
      <c r="AG69" s="263"/>
      <c r="AH69" s="263"/>
      <c r="AI69" s="264"/>
    </row>
    <row r="70" spans="1:35" ht="15" thickBot="1" x14ac:dyDescent="0.35">
      <c r="A70" s="151">
        <f>A69</f>
        <v>46104</v>
      </c>
      <c r="B70" s="92">
        <v>2</v>
      </c>
      <c r="C70" s="172">
        <v>351742</v>
      </c>
      <c r="D70" s="122">
        <f t="shared" ref="D70:D95" si="27">+C70-C69</f>
        <v>0</v>
      </c>
      <c r="E70" s="169">
        <v>0</v>
      </c>
      <c r="F70" s="169">
        <v>0</v>
      </c>
      <c r="G70" s="122">
        <f t="shared" si="15"/>
        <v>0</v>
      </c>
      <c r="H70" s="169">
        <v>0</v>
      </c>
      <c r="I70" s="122">
        <f t="shared" si="16"/>
        <v>0</v>
      </c>
      <c r="J70" s="122">
        <f t="shared" si="17"/>
        <v>0</v>
      </c>
      <c r="K70" s="176">
        <v>888</v>
      </c>
      <c r="L70" s="122">
        <f t="shared" si="23"/>
        <v>0</v>
      </c>
      <c r="M70" s="176">
        <v>40</v>
      </c>
      <c r="N70" s="122">
        <f t="shared" si="18"/>
        <v>22.2</v>
      </c>
      <c r="O70" s="123">
        <f t="shared" si="14"/>
        <v>0</v>
      </c>
      <c r="P70" s="158">
        <v>0</v>
      </c>
      <c r="Q70" s="157">
        <v>10</v>
      </c>
      <c r="R70" s="123">
        <f t="shared" si="19"/>
        <v>0</v>
      </c>
      <c r="S70" s="179">
        <v>94217</v>
      </c>
      <c r="T70" s="123">
        <f t="shared" si="24"/>
        <v>0</v>
      </c>
      <c r="U70" s="123">
        <v>0</v>
      </c>
      <c r="V70" s="123">
        <f t="shared" si="20"/>
        <v>0</v>
      </c>
      <c r="W70" s="161"/>
      <c r="X70" s="123">
        <f t="shared" si="25"/>
        <v>0</v>
      </c>
      <c r="Y70" s="161"/>
      <c r="Z70" s="123">
        <f t="shared" si="26"/>
        <v>0</v>
      </c>
      <c r="AA70" s="164">
        <f t="shared" si="21"/>
        <v>0</v>
      </c>
      <c r="AB70" s="182">
        <f t="shared" si="22"/>
        <v>0</v>
      </c>
      <c r="AC70" s="265"/>
      <c r="AD70" s="266"/>
      <c r="AE70" s="266"/>
      <c r="AF70" s="266"/>
      <c r="AG70" s="266"/>
      <c r="AH70" s="266"/>
      <c r="AI70" s="267"/>
    </row>
    <row r="71" spans="1:35" ht="15" thickBot="1" x14ac:dyDescent="0.35">
      <c r="A71" s="152">
        <f>A70</f>
        <v>46104</v>
      </c>
      <c r="B71" s="90">
        <v>3</v>
      </c>
      <c r="C71" s="173">
        <v>351742</v>
      </c>
      <c r="D71" s="124">
        <f t="shared" si="27"/>
        <v>0</v>
      </c>
      <c r="E71" s="170">
        <v>0</v>
      </c>
      <c r="F71" s="170">
        <v>0</v>
      </c>
      <c r="G71" s="124">
        <f t="shared" si="15"/>
        <v>0</v>
      </c>
      <c r="H71" s="170">
        <v>0</v>
      </c>
      <c r="I71" s="124">
        <f t="shared" si="16"/>
        <v>0</v>
      </c>
      <c r="J71" s="124">
        <f t="shared" si="17"/>
        <v>0</v>
      </c>
      <c r="K71" s="177">
        <v>888</v>
      </c>
      <c r="L71" s="124">
        <f t="shared" si="23"/>
        <v>0</v>
      </c>
      <c r="M71" s="177">
        <v>40</v>
      </c>
      <c r="N71" s="124">
        <f t="shared" si="18"/>
        <v>22.2</v>
      </c>
      <c r="O71" s="125">
        <f t="shared" si="14"/>
        <v>0</v>
      </c>
      <c r="P71" s="159">
        <v>0</v>
      </c>
      <c r="Q71" s="157">
        <v>10</v>
      </c>
      <c r="R71" s="125">
        <f t="shared" si="19"/>
        <v>0</v>
      </c>
      <c r="S71" s="180">
        <v>94217</v>
      </c>
      <c r="T71" s="125">
        <f t="shared" si="24"/>
        <v>0</v>
      </c>
      <c r="U71" s="125">
        <v>0</v>
      </c>
      <c r="V71" s="125">
        <f t="shared" si="20"/>
        <v>0</v>
      </c>
      <c r="W71" s="162"/>
      <c r="X71" s="125">
        <f t="shared" si="25"/>
        <v>0</v>
      </c>
      <c r="Y71" s="162"/>
      <c r="Z71" s="125">
        <f t="shared" si="26"/>
        <v>0</v>
      </c>
      <c r="AA71" s="165">
        <f t="shared" si="21"/>
        <v>0</v>
      </c>
      <c r="AB71" s="183">
        <f t="shared" si="22"/>
        <v>0</v>
      </c>
      <c r="AC71" s="268"/>
      <c r="AD71" s="269"/>
      <c r="AE71" s="269"/>
      <c r="AF71" s="269"/>
      <c r="AG71" s="269"/>
      <c r="AH71" s="269"/>
      <c r="AI71" s="270"/>
    </row>
    <row r="72" spans="1:35" ht="15" thickBot="1" x14ac:dyDescent="0.35">
      <c r="A72" s="153">
        <f>A71+1</f>
        <v>46105</v>
      </c>
      <c r="B72" s="91">
        <v>1</v>
      </c>
      <c r="C72" s="171">
        <v>351742</v>
      </c>
      <c r="D72" s="120">
        <f t="shared" si="27"/>
        <v>0</v>
      </c>
      <c r="E72" s="168">
        <v>0</v>
      </c>
      <c r="F72" s="168">
        <v>0</v>
      </c>
      <c r="G72" s="120">
        <f t="shared" si="15"/>
        <v>0</v>
      </c>
      <c r="H72" s="168">
        <v>0</v>
      </c>
      <c r="I72" s="120">
        <f t="shared" si="16"/>
        <v>0</v>
      </c>
      <c r="J72" s="120">
        <f t="shared" si="17"/>
        <v>0</v>
      </c>
      <c r="K72" s="175">
        <v>888</v>
      </c>
      <c r="L72" s="120">
        <f t="shared" si="23"/>
        <v>0</v>
      </c>
      <c r="M72" s="175">
        <v>40</v>
      </c>
      <c r="N72" s="120">
        <f t="shared" si="18"/>
        <v>22.2</v>
      </c>
      <c r="O72" s="121">
        <f t="shared" si="14"/>
        <v>0</v>
      </c>
      <c r="P72" s="157">
        <v>0</v>
      </c>
      <c r="Q72" s="157">
        <v>10</v>
      </c>
      <c r="R72" s="121">
        <f t="shared" si="19"/>
        <v>0</v>
      </c>
      <c r="S72" s="178">
        <v>94217</v>
      </c>
      <c r="T72" s="121">
        <f t="shared" si="24"/>
        <v>0</v>
      </c>
      <c r="U72" s="121">
        <v>0</v>
      </c>
      <c r="V72" s="121">
        <f t="shared" si="20"/>
        <v>0</v>
      </c>
      <c r="W72" s="160"/>
      <c r="X72" s="121">
        <f t="shared" si="25"/>
        <v>0</v>
      </c>
      <c r="Y72" s="160"/>
      <c r="Z72" s="121">
        <f t="shared" si="26"/>
        <v>0</v>
      </c>
      <c r="AA72" s="163">
        <f t="shared" si="21"/>
        <v>0</v>
      </c>
      <c r="AB72" s="181">
        <f t="shared" si="22"/>
        <v>0</v>
      </c>
      <c r="AC72" s="262"/>
      <c r="AD72" s="263"/>
      <c r="AE72" s="263"/>
      <c r="AF72" s="263"/>
      <c r="AG72" s="263"/>
      <c r="AH72" s="263"/>
      <c r="AI72" s="264"/>
    </row>
    <row r="73" spans="1:35" ht="15" thickBot="1" x14ac:dyDescent="0.35">
      <c r="A73" s="151">
        <f>A72</f>
        <v>46105</v>
      </c>
      <c r="B73" s="92">
        <v>2</v>
      </c>
      <c r="C73" s="172">
        <v>351743</v>
      </c>
      <c r="D73" s="122">
        <f t="shared" si="27"/>
        <v>1</v>
      </c>
      <c r="E73" s="169">
        <v>0</v>
      </c>
      <c r="F73" s="169">
        <v>0</v>
      </c>
      <c r="G73" s="122">
        <f t="shared" si="15"/>
        <v>0</v>
      </c>
      <c r="H73" s="169">
        <v>0</v>
      </c>
      <c r="I73" s="122">
        <f t="shared" si="16"/>
        <v>0</v>
      </c>
      <c r="J73" s="122">
        <f t="shared" si="17"/>
        <v>0</v>
      </c>
      <c r="K73" s="176">
        <v>888</v>
      </c>
      <c r="L73" s="122">
        <f t="shared" si="23"/>
        <v>0</v>
      </c>
      <c r="M73" s="176">
        <v>40</v>
      </c>
      <c r="N73" s="122">
        <f t="shared" si="18"/>
        <v>22.2</v>
      </c>
      <c r="O73" s="123">
        <f t="shared" si="14"/>
        <v>0</v>
      </c>
      <c r="P73" s="158">
        <v>0</v>
      </c>
      <c r="Q73" s="157">
        <v>10</v>
      </c>
      <c r="R73" s="123">
        <f t="shared" si="19"/>
        <v>0</v>
      </c>
      <c r="S73" s="179">
        <v>94217</v>
      </c>
      <c r="T73" s="123">
        <f t="shared" si="24"/>
        <v>0</v>
      </c>
      <c r="U73" s="123">
        <v>0</v>
      </c>
      <c r="V73" s="123">
        <f t="shared" si="20"/>
        <v>0</v>
      </c>
      <c r="W73" s="161"/>
      <c r="X73" s="123">
        <f t="shared" si="25"/>
        <v>0</v>
      </c>
      <c r="Y73" s="161"/>
      <c r="Z73" s="123">
        <f t="shared" si="26"/>
        <v>0</v>
      </c>
      <c r="AA73" s="164">
        <f t="shared" si="21"/>
        <v>0</v>
      </c>
      <c r="AB73" s="182">
        <f t="shared" si="22"/>
        <v>0</v>
      </c>
      <c r="AC73" s="265"/>
      <c r="AD73" s="266"/>
      <c r="AE73" s="266"/>
      <c r="AF73" s="266"/>
      <c r="AG73" s="266"/>
      <c r="AH73" s="266"/>
      <c r="AI73" s="267"/>
    </row>
    <row r="74" spans="1:35" ht="15" thickBot="1" x14ac:dyDescent="0.35">
      <c r="A74" s="154">
        <f>A73</f>
        <v>46105</v>
      </c>
      <c r="B74" s="90">
        <v>3</v>
      </c>
      <c r="C74" s="173">
        <v>351743</v>
      </c>
      <c r="D74" s="124">
        <f t="shared" si="27"/>
        <v>0</v>
      </c>
      <c r="E74" s="170">
        <v>0</v>
      </c>
      <c r="F74" s="170">
        <v>0</v>
      </c>
      <c r="G74" s="124">
        <f t="shared" si="15"/>
        <v>0</v>
      </c>
      <c r="H74" s="170">
        <v>0</v>
      </c>
      <c r="I74" s="124">
        <f t="shared" si="16"/>
        <v>0</v>
      </c>
      <c r="J74" s="124">
        <f t="shared" si="17"/>
        <v>0</v>
      </c>
      <c r="K74" s="177">
        <v>888</v>
      </c>
      <c r="L74" s="124">
        <f t="shared" si="23"/>
        <v>0</v>
      </c>
      <c r="M74" s="177">
        <v>40</v>
      </c>
      <c r="N74" s="124">
        <f t="shared" si="18"/>
        <v>22.2</v>
      </c>
      <c r="O74" s="125">
        <f t="shared" si="14"/>
        <v>0</v>
      </c>
      <c r="P74" s="159">
        <v>0</v>
      </c>
      <c r="Q74" s="157">
        <v>10</v>
      </c>
      <c r="R74" s="125">
        <f t="shared" si="19"/>
        <v>0</v>
      </c>
      <c r="S74" s="180">
        <v>94217</v>
      </c>
      <c r="T74" s="125">
        <f t="shared" si="24"/>
        <v>0</v>
      </c>
      <c r="U74" s="125">
        <v>0</v>
      </c>
      <c r="V74" s="125">
        <f t="shared" si="20"/>
        <v>0</v>
      </c>
      <c r="W74" s="162"/>
      <c r="X74" s="125">
        <f>+W74-W73</f>
        <v>0</v>
      </c>
      <c r="Y74" s="162"/>
      <c r="Z74" s="125">
        <f t="shared" si="26"/>
        <v>0</v>
      </c>
      <c r="AA74" s="165">
        <f t="shared" si="21"/>
        <v>0</v>
      </c>
      <c r="AB74" s="183">
        <f t="shared" si="22"/>
        <v>0</v>
      </c>
      <c r="AC74" s="268"/>
      <c r="AD74" s="269"/>
      <c r="AE74" s="269"/>
      <c r="AF74" s="269"/>
      <c r="AG74" s="269"/>
      <c r="AH74" s="269"/>
      <c r="AI74" s="270"/>
    </row>
    <row r="75" spans="1:35" ht="15" thickBot="1" x14ac:dyDescent="0.35">
      <c r="A75" s="150">
        <f>A74+1</f>
        <v>46106</v>
      </c>
      <c r="B75" s="91">
        <v>1</v>
      </c>
      <c r="C75" s="171">
        <v>351743</v>
      </c>
      <c r="D75" s="120">
        <f t="shared" si="27"/>
        <v>0</v>
      </c>
      <c r="E75" s="168">
        <v>0</v>
      </c>
      <c r="F75" s="168">
        <v>0</v>
      </c>
      <c r="G75" s="120">
        <f t="shared" si="15"/>
        <v>0</v>
      </c>
      <c r="H75" s="168">
        <v>0</v>
      </c>
      <c r="I75" s="120">
        <f t="shared" si="16"/>
        <v>0</v>
      </c>
      <c r="J75" s="120">
        <f t="shared" si="17"/>
        <v>0</v>
      </c>
      <c r="K75" s="175">
        <v>888</v>
      </c>
      <c r="L75" s="120">
        <f t="shared" si="23"/>
        <v>0</v>
      </c>
      <c r="M75" s="175">
        <v>40</v>
      </c>
      <c r="N75" s="120">
        <f t="shared" si="18"/>
        <v>22.2</v>
      </c>
      <c r="O75" s="121">
        <f t="shared" si="14"/>
        <v>0</v>
      </c>
      <c r="P75" s="157">
        <v>0</v>
      </c>
      <c r="Q75" s="157">
        <v>10</v>
      </c>
      <c r="R75" s="121">
        <f t="shared" si="19"/>
        <v>0</v>
      </c>
      <c r="S75" s="178">
        <v>94217</v>
      </c>
      <c r="T75" s="121">
        <f t="shared" si="24"/>
        <v>0</v>
      </c>
      <c r="U75" s="121">
        <v>0</v>
      </c>
      <c r="V75" s="121">
        <f t="shared" si="20"/>
        <v>0</v>
      </c>
      <c r="W75" s="160"/>
      <c r="X75" s="121">
        <f t="shared" si="25"/>
        <v>0</v>
      </c>
      <c r="Y75" s="160"/>
      <c r="Z75" s="121">
        <f t="shared" si="26"/>
        <v>0</v>
      </c>
      <c r="AA75" s="163">
        <f t="shared" si="21"/>
        <v>0</v>
      </c>
      <c r="AB75" s="181">
        <f t="shared" si="22"/>
        <v>0</v>
      </c>
      <c r="AC75" s="262"/>
      <c r="AD75" s="263"/>
      <c r="AE75" s="263"/>
      <c r="AF75" s="263"/>
      <c r="AG75" s="263"/>
      <c r="AH75" s="263"/>
      <c r="AI75" s="264"/>
    </row>
    <row r="76" spans="1:35" ht="15" thickBot="1" x14ac:dyDescent="0.35">
      <c r="A76" s="151">
        <f>A75</f>
        <v>46106</v>
      </c>
      <c r="B76" s="92">
        <v>2</v>
      </c>
      <c r="C76" s="172">
        <v>351745</v>
      </c>
      <c r="D76" s="122">
        <f t="shared" si="27"/>
        <v>2</v>
      </c>
      <c r="E76" s="169">
        <v>0</v>
      </c>
      <c r="F76" s="169">
        <v>0</v>
      </c>
      <c r="G76" s="122">
        <f t="shared" si="15"/>
        <v>0</v>
      </c>
      <c r="H76" s="169">
        <v>0</v>
      </c>
      <c r="I76" s="122">
        <f t="shared" si="16"/>
        <v>0</v>
      </c>
      <c r="J76" s="122">
        <f t="shared" si="17"/>
        <v>0</v>
      </c>
      <c r="K76" s="176">
        <v>888</v>
      </c>
      <c r="L76" s="122">
        <f t="shared" si="23"/>
        <v>0</v>
      </c>
      <c r="M76" s="176">
        <v>40</v>
      </c>
      <c r="N76" s="122">
        <f t="shared" si="18"/>
        <v>22.2</v>
      </c>
      <c r="O76" s="123">
        <f t="shared" si="14"/>
        <v>0</v>
      </c>
      <c r="P76" s="158">
        <v>0</v>
      </c>
      <c r="Q76" s="157">
        <v>10</v>
      </c>
      <c r="R76" s="123">
        <f t="shared" si="19"/>
        <v>0</v>
      </c>
      <c r="S76" s="179">
        <v>94217</v>
      </c>
      <c r="T76" s="123">
        <f t="shared" si="24"/>
        <v>0</v>
      </c>
      <c r="U76" s="123">
        <v>0</v>
      </c>
      <c r="V76" s="123">
        <f t="shared" si="20"/>
        <v>0</v>
      </c>
      <c r="W76" s="161"/>
      <c r="X76" s="123">
        <f t="shared" si="25"/>
        <v>0</v>
      </c>
      <c r="Y76" s="161"/>
      <c r="Z76" s="123">
        <f t="shared" si="26"/>
        <v>0</v>
      </c>
      <c r="AA76" s="164">
        <f t="shared" si="21"/>
        <v>0</v>
      </c>
      <c r="AB76" s="182">
        <f t="shared" si="22"/>
        <v>0</v>
      </c>
      <c r="AC76" s="265"/>
      <c r="AD76" s="266"/>
      <c r="AE76" s="266"/>
      <c r="AF76" s="266"/>
      <c r="AG76" s="266"/>
      <c r="AH76" s="266"/>
      <c r="AI76" s="267"/>
    </row>
    <row r="77" spans="1:35" ht="15" thickBot="1" x14ac:dyDescent="0.35">
      <c r="A77" s="152">
        <f>A76</f>
        <v>46106</v>
      </c>
      <c r="B77" s="90">
        <v>3</v>
      </c>
      <c r="C77" s="173">
        <v>351745</v>
      </c>
      <c r="D77" s="124">
        <f t="shared" si="27"/>
        <v>0</v>
      </c>
      <c r="E77" s="170">
        <v>0</v>
      </c>
      <c r="F77" s="170">
        <v>0</v>
      </c>
      <c r="G77" s="124">
        <f t="shared" si="15"/>
        <v>0</v>
      </c>
      <c r="H77" s="170">
        <v>0</v>
      </c>
      <c r="I77" s="124">
        <f t="shared" si="16"/>
        <v>0</v>
      </c>
      <c r="J77" s="124">
        <f t="shared" si="17"/>
        <v>0</v>
      </c>
      <c r="K77" s="177">
        <v>888</v>
      </c>
      <c r="L77" s="124">
        <f t="shared" si="23"/>
        <v>0</v>
      </c>
      <c r="M77" s="177">
        <v>40</v>
      </c>
      <c r="N77" s="124">
        <f t="shared" si="18"/>
        <v>22.2</v>
      </c>
      <c r="O77" s="125">
        <f t="shared" si="14"/>
        <v>0</v>
      </c>
      <c r="P77" s="159">
        <v>0</v>
      </c>
      <c r="Q77" s="157">
        <v>10</v>
      </c>
      <c r="R77" s="125">
        <f t="shared" si="19"/>
        <v>0</v>
      </c>
      <c r="S77" s="180">
        <v>94217</v>
      </c>
      <c r="T77" s="125">
        <f t="shared" si="24"/>
        <v>0</v>
      </c>
      <c r="U77" s="125">
        <v>0</v>
      </c>
      <c r="V77" s="125">
        <f t="shared" si="20"/>
        <v>0</v>
      </c>
      <c r="W77" s="162"/>
      <c r="X77" s="125">
        <f t="shared" si="25"/>
        <v>0</v>
      </c>
      <c r="Y77" s="162"/>
      <c r="Z77" s="125">
        <f t="shared" si="26"/>
        <v>0</v>
      </c>
      <c r="AA77" s="165">
        <f t="shared" si="21"/>
        <v>0</v>
      </c>
      <c r="AB77" s="183">
        <f t="shared" si="22"/>
        <v>0</v>
      </c>
      <c r="AC77" s="268"/>
      <c r="AD77" s="269"/>
      <c r="AE77" s="269"/>
      <c r="AF77" s="269"/>
      <c r="AG77" s="269"/>
      <c r="AH77" s="269"/>
      <c r="AI77" s="270"/>
    </row>
    <row r="78" spans="1:35" ht="15" thickBot="1" x14ac:dyDescent="0.35">
      <c r="A78" s="150">
        <f>A77+1</f>
        <v>46107</v>
      </c>
      <c r="B78" s="91">
        <v>1</v>
      </c>
      <c r="C78" s="171">
        <v>351745</v>
      </c>
      <c r="D78" s="120">
        <f t="shared" si="27"/>
        <v>0</v>
      </c>
      <c r="E78" s="168">
        <v>0</v>
      </c>
      <c r="F78" s="168">
        <v>0</v>
      </c>
      <c r="G78" s="120">
        <f t="shared" si="15"/>
        <v>0</v>
      </c>
      <c r="H78" s="168">
        <v>0</v>
      </c>
      <c r="I78" s="120">
        <f t="shared" si="16"/>
        <v>0</v>
      </c>
      <c r="J78" s="120">
        <f t="shared" si="17"/>
        <v>0</v>
      </c>
      <c r="K78" s="175">
        <v>888</v>
      </c>
      <c r="L78" s="120">
        <f>+K78-K77</f>
        <v>0</v>
      </c>
      <c r="M78" s="175">
        <v>40</v>
      </c>
      <c r="N78" s="120">
        <f>+K78/M78</f>
        <v>22.2</v>
      </c>
      <c r="O78" s="121">
        <f t="shared" si="14"/>
        <v>0</v>
      </c>
      <c r="P78" s="157">
        <v>0</v>
      </c>
      <c r="Q78" s="157">
        <v>10</v>
      </c>
      <c r="R78" s="121">
        <f t="shared" si="19"/>
        <v>0</v>
      </c>
      <c r="S78" s="178">
        <v>94217</v>
      </c>
      <c r="T78" s="228">
        <f t="shared" si="24"/>
        <v>0</v>
      </c>
      <c r="U78" s="121">
        <v>0</v>
      </c>
      <c r="V78" s="121">
        <f t="shared" si="20"/>
        <v>0</v>
      </c>
      <c r="W78" s="160"/>
      <c r="X78" s="121">
        <f t="shared" si="25"/>
        <v>0</v>
      </c>
      <c r="Y78" s="160"/>
      <c r="Z78" s="121">
        <f t="shared" si="26"/>
        <v>0</v>
      </c>
      <c r="AA78" s="163">
        <f t="shared" si="21"/>
        <v>0</v>
      </c>
      <c r="AB78" s="181">
        <f t="shared" si="22"/>
        <v>0</v>
      </c>
      <c r="AC78" s="262"/>
      <c r="AD78" s="263"/>
      <c r="AE78" s="263"/>
      <c r="AF78" s="263"/>
      <c r="AG78" s="263"/>
      <c r="AH78" s="263"/>
      <c r="AI78" s="264"/>
    </row>
    <row r="79" spans="1:35" ht="15" thickBot="1" x14ac:dyDescent="0.35">
      <c r="A79" s="151">
        <f>A78</f>
        <v>46107</v>
      </c>
      <c r="B79" s="92">
        <v>2</v>
      </c>
      <c r="C79" s="172">
        <v>351747</v>
      </c>
      <c r="D79" s="122">
        <f t="shared" si="27"/>
        <v>2</v>
      </c>
      <c r="E79" s="169">
        <v>0</v>
      </c>
      <c r="F79" s="169">
        <v>0</v>
      </c>
      <c r="G79" s="122">
        <f t="shared" si="15"/>
        <v>0</v>
      </c>
      <c r="H79" s="169">
        <v>0</v>
      </c>
      <c r="I79" s="122">
        <f t="shared" si="16"/>
        <v>0</v>
      </c>
      <c r="J79" s="122">
        <f t="shared" si="17"/>
        <v>0</v>
      </c>
      <c r="K79" s="176">
        <v>888</v>
      </c>
      <c r="L79" s="122">
        <f>+K79-K78</f>
        <v>0</v>
      </c>
      <c r="M79" s="176">
        <v>40</v>
      </c>
      <c r="N79" s="122">
        <f>+K79/M79</f>
        <v>22.2</v>
      </c>
      <c r="O79" s="123">
        <f t="shared" si="14"/>
        <v>0</v>
      </c>
      <c r="P79" s="158">
        <v>1</v>
      </c>
      <c r="Q79" s="157">
        <v>10</v>
      </c>
      <c r="R79" s="123">
        <f t="shared" si="19"/>
        <v>10</v>
      </c>
      <c r="S79" s="179">
        <v>94217</v>
      </c>
      <c r="T79" s="230">
        <f t="shared" si="24"/>
        <v>0</v>
      </c>
      <c r="U79" s="123">
        <v>0</v>
      </c>
      <c r="V79" s="123">
        <f t="shared" si="20"/>
        <v>0</v>
      </c>
      <c r="W79" s="161"/>
      <c r="X79" s="123">
        <f t="shared" si="25"/>
        <v>0</v>
      </c>
      <c r="Y79" s="161"/>
      <c r="Z79" s="123">
        <f t="shared" si="26"/>
        <v>0</v>
      </c>
      <c r="AA79" s="164">
        <f t="shared" si="21"/>
        <v>0</v>
      </c>
      <c r="AB79" s="182">
        <f t="shared" si="22"/>
        <v>0</v>
      </c>
      <c r="AC79" s="265"/>
      <c r="AD79" s="266"/>
      <c r="AE79" s="266"/>
      <c r="AF79" s="266"/>
      <c r="AG79" s="266"/>
      <c r="AH79" s="266"/>
      <c r="AI79" s="267"/>
    </row>
    <row r="80" spans="1:35" ht="15" thickBot="1" x14ac:dyDescent="0.35">
      <c r="A80" s="152">
        <f>A79</f>
        <v>46107</v>
      </c>
      <c r="B80" s="90">
        <v>3</v>
      </c>
      <c r="C80" s="173">
        <v>351748</v>
      </c>
      <c r="D80" s="124">
        <f t="shared" si="27"/>
        <v>1</v>
      </c>
      <c r="E80" s="170">
        <v>0</v>
      </c>
      <c r="F80" s="170">
        <v>0</v>
      </c>
      <c r="G80" s="124">
        <f t="shared" si="15"/>
        <v>0</v>
      </c>
      <c r="H80" s="170">
        <v>0</v>
      </c>
      <c r="I80" s="124">
        <f t="shared" si="16"/>
        <v>0</v>
      </c>
      <c r="J80" s="124">
        <f t="shared" si="17"/>
        <v>0</v>
      </c>
      <c r="K80" s="177">
        <v>888</v>
      </c>
      <c r="L80" s="124">
        <f>+K80-K79</f>
        <v>0</v>
      </c>
      <c r="M80" s="177">
        <v>40</v>
      </c>
      <c r="N80" s="124">
        <f t="shared" si="18"/>
        <v>22.2</v>
      </c>
      <c r="O80" s="125">
        <f t="shared" si="14"/>
        <v>0</v>
      </c>
      <c r="P80" s="159">
        <v>0</v>
      </c>
      <c r="Q80" s="157">
        <v>10</v>
      </c>
      <c r="R80" s="125">
        <f t="shared" si="19"/>
        <v>0</v>
      </c>
      <c r="S80" s="180">
        <v>94217</v>
      </c>
      <c r="T80" s="125">
        <f t="shared" si="24"/>
        <v>0</v>
      </c>
      <c r="U80" s="125">
        <v>0</v>
      </c>
      <c r="V80" s="125">
        <f t="shared" si="20"/>
        <v>0</v>
      </c>
      <c r="W80" s="162"/>
      <c r="X80" s="125">
        <f t="shared" si="25"/>
        <v>0</v>
      </c>
      <c r="Y80" s="162"/>
      <c r="Z80" s="125">
        <f t="shared" si="26"/>
        <v>0</v>
      </c>
      <c r="AA80" s="165">
        <f t="shared" si="21"/>
        <v>0</v>
      </c>
      <c r="AB80" s="183">
        <f t="shared" si="22"/>
        <v>0</v>
      </c>
      <c r="AC80" s="268"/>
      <c r="AD80" s="269"/>
      <c r="AE80" s="269"/>
      <c r="AF80" s="269"/>
      <c r="AG80" s="269"/>
      <c r="AH80" s="269"/>
      <c r="AI80" s="270"/>
    </row>
    <row r="81" spans="1:35" ht="15" thickBot="1" x14ac:dyDescent="0.35">
      <c r="A81" s="150">
        <f>A80+1</f>
        <v>46108</v>
      </c>
      <c r="B81" s="91">
        <v>1</v>
      </c>
      <c r="C81" s="171">
        <v>351748</v>
      </c>
      <c r="D81" s="120">
        <f t="shared" si="27"/>
        <v>0</v>
      </c>
      <c r="E81" s="168">
        <v>0</v>
      </c>
      <c r="F81" s="168">
        <v>0</v>
      </c>
      <c r="G81" s="120">
        <f t="shared" si="15"/>
        <v>0</v>
      </c>
      <c r="H81" s="168">
        <v>0</v>
      </c>
      <c r="I81" s="120">
        <f t="shared" si="16"/>
        <v>0</v>
      </c>
      <c r="J81" s="120">
        <f t="shared" si="17"/>
        <v>0</v>
      </c>
      <c r="K81" s="175">
        <v>888</v>
      </c>
      <c r="L81" s="120">
        <f t="shared" si="23"/>
        <v>0</v>
      </c>
      <c r="M81" s="175">
        <v>40</v>
      </c>
      <c r="N81" s="120">
        <f t="shared" si="18"/>
        <v>22.2</v>
      </c>
      <c r="O81" s="121">
        <f t="shared" si="14"/>
        <v>0</v>
      </c>
      <c r="P81" s="157">
        <v>0</v>
      </c>
      <c r="Q81" s="157">
        <v>10</v>
      </c>
      <c r="R81" s="121">
        <f t="shared" si="19"/>
        <v>0</v>
      </c>
      <c r="S81" s="178">
        <v>94217</v>
      </c>
      <c r="T81" s="121">
        <f t="shared" si="24"/>
        <v>0</v>
      </c>
      <c r="U81" s="121">
        <v>0</v>
      </c>
      <c r="V81" s="121">
        <f t="shared" si="20"/>
        <v>0</v>
      </c>
      <c r="W81" s="160"/>
      <c r="X81" s="121">
        <f t="shared" si="25"/>
        <v>0</v>
      </c>
      <c r="Y81" s="160"/>
      <c r="Z81" s="121">
        <f t="shared" si="26"/>
        <v>0</v>
      </c>
      <c r="AA81" s="163">
        <f t="shared" si="21"/>
        <v>0</v>
      </c>
      <c r="AB81" s="181">
        <f t="shared" si="22"/>
        <v>0</v>
      </c>
      <c r="AC81" s="262"/>
      <c r="AD81" s="263"/>
      <c r="AE81" s="263"/>
      <c r="AF81" s="263"/>
      <c r="AG81" s="263"/>
      <c r="AH81" s="263"/>
      <c r="AI81" s="264"/>
    </row>
    <row r="82" spans="1:35" ht="15" thickBot="1" x14ac:dyDescent="0.35">
      <c r="A82" s="151">
        <f>A81</f>
        <v>46108</v>
      </c>
      <c r="B82" s="92">
        <v>2</v>
      </c>
      <c r="C82" s="172">
        <v>351750</v>
      </c>
      <c r="D82" s="122">
        <f t="shared" si="27"/>
        <v>2</v>
      </c>
      <c r="E82" s="169">
        <v>0</v>
      </c>
      <c r="F82" s="169">
        <v>0</v>
      </c>
      <c r="G82" s="122">
        <f t="shared" si="15"/>
        <v>0</v>
      </c>
      <c r="H82" s="169">
        <v>0</v>
      </c>
      <c r="I82" s="122">
        <f t="shared" si="16"/>
        <v>0</v>
      </c>
      <c r="J82" s="122">
        <f t="shared" si="17"/>
        <v>0</v>
      </c>
      <c r="K82" s="176">
        <v>888</v>
      </c>
      <c r="L82" s="122">
        <f t="shared" si="23"/>
        <v>0</v>
      </c>
      <c r="M82" s="176">
        <v>40</v>
      </c>
      <c r="N82" s="122">
        <f t="shared" si="18"/>
        <v>22.2</v>
      </c>
      <c r="O82" s="123">
        <f t="shared" si="14"/>
        <v>0</v>
      </c>
      <c r="P82" s="158">
        <v>0</v>
      </c>
      <c r="Q82" s="157">
        <v>10</v>
      </c>
      <c r="R82" s="123">
        <f t="shared" si="19"/>
        <v>0</v>
      </c>
      <c r="S82" s="179">
        <v>94217</v>
      </c>
      <c r="T82" s="123">
        <f t="shared" si="24"/>
        <v>0</v>
      </c>
      <c r="U82" s="123">
        <v>0</v>
      </c>
      <c r="V82" s="123">
        <f t="shared" si="20"/>
        <v>0</v>
      </c>
      <c r="W82" s="161"/>
      <c r="X82" s="123">
        <f t="shared" si="25"/>
        <v>0</v>
      </c>
      <c r="Y82" s="161"/>
      <c r="Z82" s="123">
        <f t="shared" si="26"/>
        <v>0</v>
      </c>
      <c r="AA82" s="164">
        <f t="shared" si="21"/>
        <v>0</v>
      </c>
      <c r="AB82" s="182">
        <f t="shared" si="22"/>
        <v>0</v>
      </c>
      <c r="AC82" s="265"/>
      <c r="AD82" s="266"/>
      <c r="AE82" s="266"/>
      <c r="AF82" s="266"/>
      <c r="AG82" s="266"/>
      <c r="AH82" s="266"/>
      <c r="AI82" s="267"/>
    </row>
    <row r="83" spans="1:35" ht="15" thickBot="1" x14ac:dyDescent="0.35">
      <c r="A83" s="152">
        <f>A82</f>
        <v>46108</v>
      </c>
      <c r="B83" s="90">
        <v>3</v>
      </c>
      <c r="C83" s="173">
        <v>351750</v>
      </c>
      <c r="D83" s="124">
        <f t="shared" si="27"/>
        <v>0</v>
      </c>
      <c r="E83" s="170">
        <v>0</v>
      </c>
      <c r="F83" s="170">
        <v>0</v>
      </c>
      <c r="G83" s="124">
        <f t="shared" si="15"/>
        <v>0</v>
      </c>
      <c r="H83" s="170">
        <v>0</v>
      </c>
      <c r="I83" s="124">
        <f t="shared" si="16"/>
        <v>0</v>
      </c>
      <c r="J83" s="124">
        <f t="shared" si="17"/>
        <v>0</v>
      </c>
      <c r="K83" s="177">
        <v>888</v>
      </c>
      <c r="L83" s="124">
        <f t="shared" si="23"/>
        <v>0</v>
      </c>
      <c r="M83" s="177">
        <v>40</v>
      </c>
      <c r="N83" s="124">
        <f t="shared" si="18"/>
        <v>22.2</v>
      </c>
      <c r="O83" s="125">
        <f t="shared" si="14"/>
        <v>0</v>
      </c>
      <c r="P83" s="159">
        <v>0</v>
      </c>
      <c r="Q83" s="157">
        <v>10</v>
      </c>
      <c r="R83" s="125">
        <f t="shared" si="19"/>
        <v>0</v>
      </c>
      <c r="S83" s="180">
        <v>94217</v>
      </c>
      <c r="T83" s="125">
        <f t="shared" si="24"/>
        <v>0</v>
      </c>
      <c r="U83" s="125">
        <v>0</v>
      </c>
      <c r="V83" s="125">
        <f t="shared" si="20"/>
        <v>0</v>
      </c>
      <c r="W83" s="162"/>
      <c r="X83" s="125">
        <f t="shared" si="25"/>
        <v>0</v>
      </c>
      <c r="Y83" s="162"/>
      <c r="Z83" s="125">
        <f t="shared" si="26"/>
        <v>0</v>
      </c>
      <c r="AA83" s="165">
        <f t="shared" si="21"/>
        <v>0</v>
      </c>
      <c r="AB83" s="183">
        <f t="shared" si="22"/>
        <v>0</v>
      </c>
      <c r="AC83" s="268"/>
      <c r="AD83" s="269"/>
      <c r="AE83" s="269"/>
      <c r="AF83" s="269"/>
      <c r="AG83" s="269"/>
      <c r="AH83" s="269"/>
      <c r="AI83" s="270"/>
    </row>
    <row r="84" spans="1:35" ht="15" thickBot="1" x14ac:dyDescent="0.35">
      <c r="A84" s="150">
        <f>A83+1</f>
        <v>46109</v>
      </c>
      <c r="B84" s="91">
        <v>1</v>
      </c>
      <c r="C84" s="171">
        <v>351750</v>
      </c>
      <c r="D84" s="120">
        <f t="shared" si="27"/>
        <v>0</v>
      </c>
      <c r="E84" s="168">
        <v>0</v>
      </c>
      <c r="F84" s="168">
        <v>0</v>
      </c>
      <c r="G84" s="120">
        <f t="shared" si="15"/>
        <v>0</v>
      </c>
      <c r="H84" s="168">
        <v>0</v>
      </c>
      <c r="I84" s="120">
        <f t="shared" si="16"/>
        <v>0</v>
      </c>
      <c r="J84" s="120">
        <f t="shared" si="17"/>
        <v>0</v>
      </c>
      <c r="K84" s="175">
        <v>888</v>
      </c>
      <c r="L84" s="120">
        <f t="shared" si="23"/>
        <v>0</v>
      </c>
      <c r="M84" s="175">
        <v>40</v>
      </c>
      <c r="N84" s="120">
        <f t="shared" si="18"/>
        <v>22.2</v>
      </c>
      <c r="O84" s="121">
        <f t="shared" si="14"/>
        <v>0</v>
      </c>
      <c r="P84" s="157">
        <v>0</v>
      </c>
      <c r="Q84" s="157">
        <v>10</v>
      </c>
      <c r="R84" s="121">
        <f t="shared" si="19"/>
        <v>0</v>
      </c>
      <c r="S84" s="178">
        <v>94217</v>
      </c>
      <c r="T84" s="121">
        <f t="shared" si="24"/>
        <v>0</v>
      </c>
      <c r="U84" s="121">
        <v>0</v>
      </c>
      <c r="V84" s="121">
        <f t="shared" si="20"/>
        <v>0</v>
      </c>
      <c r="W84" s="160"/>
      <c r="X84" s="121">
        <f t="shared" si="25"/>
        <v>0</v>
      </c>
      <c r="Y84" s="160"/>
      <c r="Z84" s="121">
        <f t="shared" si="26"/>
        <v>0</v>
      </c>
      <c r="AA84" s="163">
        <f t="shared" si="21"/>
        <v>0</v>
      </c>
      <c r="AB84" s="181">
        <f t="shared" si="22"/>
        <v>0</v>
      </c>
      <c r="AC84" s="262"/>
      <c r="AD84" s="263"/>
      <c r="AE84" s="263"/>
      <c r="AF84" s="263"/>
      <c r="AG84" s="263"/>
      <c r="AH84" s="263"/>
      <c r="AI84" s="264"/>
    </row>
    <row r="85" spans="1:35" ht="15" thickBot="1" x14ac:dyDescent="0.35">
      <c r="A85" s="151">
        <f>A84</f>
        <v>46109</v>
      </c>
      <c r="B85" s="92">
        <v>2</v>
      </c>
      <c r="C85" s="172">
        <v>351750</v>
      </c>
      <c r="D85" s="122">
        <f t="shared" si="27"/>
        <v>0</v>
      </c>
      <c r="E85" s="169">
        <v>0</v>
      </c>
      <c r="F85" s="169">
        <v>0</v>
      </c>
      <c r="G85" s="122">
        <f t="shared" si="15"/>
        <v>0</v>
      </c>
      <c r="H85" s="169">
        <v>0</v>
      </c>
      <c r="I85" s="122">
        <f t="shared" si="16"/>
        <v>0</v>
      </c>
      <c r="J85" s="122">
        <f t="shared" si="17"/>
        <v>0</v>
      </c>
      <c r="K85" s="176">
        <v>888</v>
      </c>
      <c r="L85" s="122">
        <f t="shared" si="23"/>
        <v>0</v>
      </c>
      <c r="M85" s="176">
        <v>40</v>
      </c>
      <c r="N85" s="122">
        <f t="shared" si="18"/>
        <v>22.2</v>
      </c>
      <c r="O85" s="123">
        <f t="shared" si="14"/>
        <v>0</v>
      </c>
      <c r="P85" s="158">
        <v>0</v>
      </c>
      <c r="Q85" s="157">
        <v>10</v>
      </c>
      <c r="R85" s="123">
        <f t="shared" si="19"/>
        <v>0</v>
      </c>
      <c r="S85" s="179">
        <v>94217</v>
      </c>
      <c r="T85" s="123">
        <f t="shared" si="24"/>
        <v>0</v>
      </c>
      <c r="U85" s="123">
        <v>0</v>
      </c>
      <c r="V85" s="123">
        <f t="shared" si="20"/>
        <v>0</v>
      </c>
      <c r="W85" s="161"/>
      <c r="X85" s="123">
        <f t="shared" si="25"/>
        <v>0</v>
      </c>
      <c r="Y85" s="161"/>
      <c r="Z85" s="123">
        <f t="shared" si="26"/>
        <v>0</v>
      </c>
      <c r="AA85" s="164">
        <f t="shared" si="21"/>
        <v>0</v>
      </c>
      <c r="AB85" s="182">
        <f t="shared" si="22"/>
        <v>0</v>
      </c>
      <c r="AC85" s="265"/>
      <c r="AD85" s="266"/>
      <c r="AE85" s="266"/>
      <c r="AF85" s="266"/>
      <c r="AG85" s="266"/>
      <c r="AH85" s="266"/>
      <c r="AI85" s="267"/>
    </row>
    <row r="86" spans="1:35" ht="15" thickBot="1" x14ac:dyDescent="0.35">
      <c r="A86" s="152">
        <f>A85</f>
        <v>46109</v>
      </c>
      <c r="B86" s="90">
        <v>3</v>
      </c>
      <c r="C86" s="173">
        <v>351750</v>
      </c>
      <c r="D86" s="124">
        <f t="shared" si="27"/>
        <v>0</v>
      </c>
      <c r="E86" s="170">
        <v>0</v>
      </c>
      <c r="F86" s="170">
        <v>0</v>
      </c>
      <c r="G86" s="124">
        <f t="shared" si="15"/>
        <v>0</v>
      </c>
      <c r="H86" s="170">
        <v>0</v>
      </c>
      <c r="I86" s="124">
        <f t="shared" si="16"/>
        <v>0</v>
      </c>
      <c r="J86" s="124">
        <f t="shared" si="17"/>
        <v>0</v>
      </c>
      <c r="K86" s="177">
        <v>888</v>
      </c>
      <c r="L86" s="124">
        <f t="shared" si="23"/>
        <v>0</v>
      </c>
      <c r="M86" s="177">
        <v>40</v>
      </c>
      <c r="N86" s="124">
        <f t="shared" si="18"/>
        <v>22.2</v>
      </c>
      <c r="O86" s="125">
        <f t="shared" si="14"/>
        <v>0</v>
      </c>
      <c r="P86" s="159">
        <v>0</v>
      </c>
      <c r="Q86" s="157">
        <v>10</v>
      </c>
      <c r="R86" s="125">
        <f t="shared" si="19"/>
        <v>0</v>
      </c>
      <c r="S86" s="180">
        <v>94217</v>
      </c>
      <c r="T86" s="125">
        <f t="shared" si="24"/>
        <v>0</v>
      </c>
      <c r="U86" s="125">
        <v>0</v>
      </c>
      <c r="V86" s="125">
        <f t="shared" si="20"/>
        <v>0</v>
      </c>
      <c r="W86" s="162"/>
      <c r="X86" s="125">
        <f t="shared" si="25"/>
        <v>0</v>
      </c>
      <c r="Y86" s="162"/>
      <c r="Z86" s="125">
        <f t="shared" si="26"/>
        <v>0</v>
      </c>
      <c r="AA86" s="165">
        <f t="shared" si="21"/>
        <v>0</v>
      </c>
      <c r="AB86" s="183">
        <f t="shared" si="22"/>
        <v>0</v>
      </c>
      <c r="AC86" s="268"/>
      <c r="AD86" s="269"/>
      <c r="AE86" s="269"/>
      <c r="AF86" s="269"/>
      <c r="AG86" s="269"/>
      <c r="AH86" s="269"/>
      <c r="AI86" s="270"/>
    </row>
    <row r="87" spans="1:35" ht="15" thickBot="1" x14ac:dyDescent="0.35">
      <c r="A87" s="150">
        <f>A86+1</f>
        <v>46110</v>
      </c>
      <c r="B87" s="91">
        <v>1</v>
      </c>
      <c r="C87" s="171">
        <v>351750</v>
      </c>
      <c r="D87" s="120">
        <f t="shared" si="27"/>
        <v>0</v>
      </c>
      <c r="E87" s="168">
        <v>0</v>
      </c>
      <c r="F87" s="168">
        <v>0</v>
      </c>
      <c r="G87" s="120">
        <f t="shared" si="15"/>
        <v>0</v>
      </c>
      <c r="H87" s="168">
        <v>0</v>
      </c>
      <c r="I87" s="120">
        <f t="shared" si="16"/>
        <v>0</v>
      </c>
      <c r="J87" s="120">
        <f t="shared" si="17"/>
        <v>0</v>
      </c>
      <c r="K87" s="175">
        <v>888</v>
      </c>
      <c r="L87" s="120">
        <f t="shared" si="23"/>
        <v>0</v>
      </c>
      <c r="M87" s="175">
        <v>40</v>
      </c>
      <c r="N87" s="120">
        <f t="shared" si="18"/>
        <v>22.2</v>
      </c>
      <c r="O87" s="121">
        <f t="shared" si="14"/>
        <v>0</v>
      </c>
      <c r="P87" s="157">
        <v>0</v>
      </c>
      <c r="Q87" s="157">
        <v>10</v>
      </c>
      <c r="R87" s="121">
        <f t="shared" si="19"/>
        <v>0</v>
      </c>
      <c r="S87" s="178">
        <v>94217</v>
      </c>
      <c r="T87" s="121">
        <f t="shared" si="24"/>
        <v>0</v>
      </c>
      <c r="U87" s="121">
        <v>0</v>
      </c>
      <c r="V87" s="121">
        <f t="shared" si="20"/>
        <v>0</v>
      </c>
      <c r="W87" s="160"/>
      <c r="X87" s="121">
        <f t="shared" si="25"/>
        <v>0</v>
      </c>
      <c r="Y87" s="160"/>
      <c r="Z87" s="121">
        <f t="shared" si="26"/>
        <v>0</v>
      </c>
      <c r="AA87" s="163">
        <f t="shared" si="21"/>
        <v>0</v>
      </c>
      <c r="AB87" s="181">
        <f t="shared" si="22"/>
        <v>0</v>
      </c>
      <c r="AC87" s="262"/>
      <c r="AD87" s="263"/>
      <c r="AE87" s="263"/>
      <c r="AF87" s="263"/>
      <c r="AG87" s="263"/>
      <c r="AH87" s="263"/>
      <c r="AI87" s="264"/>
    </row>
    <row r="88" spans="1:35" ht="15" thickBot="1" x14ac:dyDescent="0.35">
      <c r="A88" s="151">
        <f>A87</f>
        <v>46110</v>
      </c>
      <c r="B88" s="92">
        <v>2</v>
      </c>
      <c r="C88" s="172">
        <v>351750</v>
      </c>
      <c r="D88" s="122">
        <f t="shared" si="27"/>
        <v>0</v>
      </c>
      <c r="E88" s="169">
        <v>0</v>
      </c>
      <c r="F88" s="169">
        <v>0</v>
      </c>
      <c r="G88" s="122">
        <f t="shared" si="15"/>
        <v>0</v>
      </c>
      <c r="H88" s="169">
        <v>0</v>
      </c>
      <c r="I88" s="122">
        <f t="shared" si="16"/>
        <v>0</v>
      </c>
      <c r="J88" s="122">
        <f t="shared" si="17"/>
        <v>0</v>
      </c>
      <c r="K88" s="176">
        <v>888</v>
      </c>
      <c r="L88" s="122">
        <f t="shared" si="23"/>
        <v>0</v>
      </c>
      <c r="M88" s="176">
        <v>40</v>
      </c>
      <c r="N88" s="122">
        <f t="shared" si="18"/>
        <v>22.2</v>
      </c>
      <c r="O88" s="123">
        <f t="shared" si="14"/>
        <v>0</v>
      </c>
      <c r="P88" s="158">
        <v>0</v>
      </c>
      <c r="Q88" s="157">
        <v>10</v>
      </c>
      <c r="R88" s="123">
        <f t="shared" si="19"/>
        <v>0</v>
      </c>
      <c r="S88" s="179">
        <v>94217</v>
      </c>
      <c r="T88" s="123">
        <f t="shared" si="24"/>
        <v>0</v>
      </c>
      <c r="U88" s="123">
        <v>0</v>
      </c>
      <c r="V88" s="123">
        <f t="shared" si="20"/>
        <v>0</v>
      </c>
      <c r="W88" s="161"/>
      <c r="X88" s="123">
        <f t="shared" si="25"/>
        <v>0</v>
      </c>
      <c r="Y88" s="161"/>
      <c r="Z88" s="123">
        <f t="shared" si="26"/>
        <v>0</v>
      </c>
      <c r="AA88" s="164">
        <f t="shared" si="21"/>
        <v>0</v>
      </c>
      <c r="AB88" s="182">
        <f t="shared" si="22"/>
        <v>0</v>
      </c>
      <c r="AC88" s="265"/>
      <c r="AD88" s="266"/>
      <c r="AE88" s="266"/>
      <c r="AF88" s="266"/>
      <c r="AG88" s="266"/>
      <c r="AH88" s="266"/>
      <c r="AI88" s="267"/>
    </row>
    <row r="89" spans="1:35" ht="15" thickBot="1" x14ac:dyDescent="0.35">
      <c r="A89" s="152">
        <f>A88</f>
        <v>46110</v>
      </c>
      <c r="B89" s="90">
        <v>3</v>
      </c>
      <c r="C89" s="173">
        <v>351750</v>
      </c>
      <c r="D89" s="124">
        <f t="shared" si="27"/>
        <v>0</v>
      </c>
      <c r="E89" s="170">
        <v>0</v>
      </c>
      <c r="F89" s="170">
        <v>0</v>
      </c>
      <c r="G89" s="124">
        <f t="shared" si="15"/>
        <v>0</v>
      </c>
      <c r="H89" s="170">
        <v>0</v>
      </c>
      <c r="I89" s="124">
        <f t="shared" si="16"/>
        <v>0</v>
      </c>
      <c r="J89" s="124">
        <f t="shared" si="17"/>
        <v>0</v>
      </c>
      <c r="K89" s="177">
        <v>888</v>
      </c>
      <c r="L89" s="124">
        <f t="shared" si="23"/>
        <v>0</v>
      </c>
      <c r="M89" s="177">
        <v>40</v>
      </c>
      <c r="N89" s="124">
        <f t="shared" si="18"/>
        <v>22.2</v>
      </c>
      <c r="O89" s="125">
        <f t="shared" si="14"/>
        <v>0</v>
      </c>
      <c r="P89" s="159">
        <v>0</v>
      </c>
      <c r="Q89" s="157">
        <v>10</v>
      </c>
      <c r="R89" s="125">
        <f t="shared" si="19"/>
        <v>0</v>
      </c>
      <c r="S89" s="180">
        <v>94217</v>
      </c>
      <c r="T89" s="125">
        <f t="shared" si="24"/>
        <v>0</v>
      </c>
      <c r="U89" s="125">
        <v>0</v>
      </c>
      <c r="V89" s="125">
        <f t="shared" si="20"/>
        <v>0</v>
      </c>
      <c r="W89" s="162"/>
      <c r="X89" s="125">
        <f t="shared" si="25"/>
        <v>0</v>
      </c>
      <c r="Y89" s="162"/>
      <c r="Z89" s="125">
        <f t="shared" si="26"/>
        <v>0</v>
      </c>
      <c r="AA89" s="165">
        <f t="shared" si="21"/>
        <v>0</v>
      </c>
      <c r="AB89" s="183">
        <f t="shared" si="22"/>
        <v>0</v>
      </c>
      <c r="AC89" s="268"/>
      <c r="AD89" s="269"/>
      <c r="AE89" s="269"/>
      <c r="AF89" s="269"/>
      <c r="AG89" s="269"/>
      <c r="AH89" s="269"/>
      <c r="AI89" s="270"/>
    </row>
    <row r="90" spans="1:35" ht="15" thickBot="1" x14ac:dyDescent="0.35">
      <c r="A90" s="150">
        <f>A89+1</f>
        <v>46111</v>
      </c>
      <c r="B90" s="91">
        <v>1</v>
      </c>
      <c r="C90" s="171">
        <v>351750</v>
      </c>
      <c r="D90" s="120">
        <f t="shared" si="27"/>
        <v>0</v>
      </c>
      <c r="E90" s="168">
        <v>0</v>
      </c>
      <c r="F90" s="168">
        <v>0</v>
      </c>
      <c r="G90" s="120">
        <f t="shared" si="15"/>
        <v>0</v>
      </c>
      <c r="H90" s="168">
        <v>0</v>
      </c>
      <c r="I90" s="120">
        <f t="shared" si="16"/>
        <v>0</v>
      </c>
      <c r="J90" s="120">
        <f t="shared" si="17"/>
        <v>0</v>
      </c>
      <c r="K90" s="175">
        <v>888</v>
      </c>
      <c r="L90" s="120">
        <f t="shared" si="23"/>
        <v>0</v>
      </c>
      <c r="M90" s="175">
        <v>40</v>
      </c>
      <c r="N90" s="120">
        <f t="shared" si="18"/>
        <v>22.2</v>
      </c>
      <c r="O90" s="121">
        <f t="shared" si="14"/>
        <v>0</v>
      </c>
      <c r="P90" s="157">
        <v>0</v>
      </c>
      <c r="Q90" s="157">
        <v>10</v>
      </c>
      <c r="R90" s="121">
        <f t="shared" si="19"/>
        <v>0</v>
      </c>
      <c r="S90" s="178">
        <v>94217</v>
      </c>
      <c r="T90" s="121">
        <f t="shared" si="24"/>
        <v>0</v>
      </c>
      <c r="U90" s="121">
        <v>0</v>
      </c>
      <c r="V90" s="121">
        <f t="shared" si="20"/>
        <v>0</v>
      </c>
      <c r="W90" s="160"/>
      <c r="X90" s="121">
        <f t="shared" si="25"/>
        <v>0</v>
      </c>
      <c r="Y90" s="160"/>
      <c r="Z90" s="121">
        <f t="shared" si="26"/>
        <v>0</v>
      </c>
      <c r="AA90" s="163">
        <f t="shared" si="21"/>
        <v>0</v>
      </c>
      <c r="AB90" s="181">
        <f t="shared" si="22"/>
        <v>0</v>
      </c>
      <c r="AC90" s="262"/>
      <c r="AD90" s="263"/>
      <c r="AE90" s="263"/>
      <c r="AF90" s="263"/>
      <c r="AG90" s="263"/>
      <c r="AH90" s="263"/>
      <c r="AI90" s="264"/>
    </row>
    <row r="91" spans="1:35" ht="15" thickBot="1" x14ac:dyDescent="0.35">
      <c r="A91" s="151">
        <f>A90</f>
        <v>46111</v>
      </c>
      <c r="B91" s="92">
        <v>2</v>
      </c>
      <c r="C91" s="172">
        <v>351751</v>
      </c>
      <c r="D91" s="122">
        <f t="shared" si="27"/>
        <v>1</v>
      </c>
      <c r="E91" s="169">
        <v>0</v>
      </c>
      <c r="F91" s="169">
        <v>0</v>
      </c>
      <c r="G91" s="122">
        <f t="shared" si="15"/>
        <v>0</v>
      </c>
      <c r="H91" s="169">
        <v>0</v>
      </c>
      <c r="I91" s="122">
        <f t="shared" si="16"/>
        <v>0</v>
      </c>
      <c r="J91" s="122">
        <f t="shared" si="17"/>
        <v>0</v>
      </c>
      <c r="K91" s="176">
        <v>888</v>
      </c>
      <c r="L91" s="122">
        <f t="shared" si="23"/>
        <v>0</v>
      </c>
      <c r="M91" s="176">
        <v>40</v>
      </c>
      <c r="N91" s="122">
        <f t="shared" si="18"/>
        <v>22.2</v>
      </c>
      <c r="O91" s="123">
        <f t="shared" si="14"/>
        <v>0</v>
      </c>
      <c r="P91" s="158">
        <v>0</v>
      </c>
      <c r="Q91" s="157">
        <v>10</v>
      </c>
      <c r="R91" s="123">
        <f t="shared" si="19"/>
        <v>0</v>
      </c>
      <c r="S91" s="179">
        <v>94270</v>
      </c>
      <c r="T91" s="123">
        <f t="shared" si="24"/>
        <v>53</v>
      </c>
      <c r="U91" s="123">
        <v>53</v>
      </c>
      <c r="V91" s="123">
        <f t="shared" si="20"/>
        <v>0</v>
      </c>
      <c r="W91" s="161"/>
      <c r="X91" s="123">
        <f t="shared" si="25"/>
        <v>0</v>
      </c>
      <c r="Y91" s="161"/>
      <c r="Z91" s="123">
        <f t="shared" si="26"/>
        <v>0</v>
      </c>
      <c r="AA91" s="164">
        <f t="shared" si="21"/>
        <v>0</v>
      </c>
      <c r="AB91" s="182">
        <f t="shared" si="22"/>
        <v>0</v>
      </c>
      <c r="AC91" s="265"/>
      <c r="AD91" s="266"/>
      <c r="AE91" s="266"/>
      <c r="AF91" s="266"/>
      <c r="AG91" s="266"/>
      <c r="AH91" s="266"/>
      <c r="AI91" s="267"/>
    </row>
    <row r="92" spans="1:35" ht="15" thickBot="1" x14ac:dyDescent="0.35">
      <c r="A92" s="152">
        <f>A91</f>
        <v>46111</v>
      </c>
      <c r="B92" s="90">
        <v>3</v>
      </c>
      <c r="C92" s="173">
        <v>351751</v>
      </c>
      <c r="D92" s="124">
        <f t="shared" si="27"/>
        <v>0</v>
      </c>
      <c r="E92" s="170">
        <v>0</v>
      </c>
      <c r="F92" s="170">
        <v>0</v>
      </c>
      <c r="G92" s="124">
        <f t="shared" si="15"/>
        <v>0</v>
      </c>
      <c r="H92" s="170">
        <v>0</v>
      </c>
      <c r="I92" s="124">
        <f t="shared" si="16"/>
        <v>0</v>
      </c>
      <c r="J92" s="124">
        <f t="shared" si="17"/>
        <v>0</v>
      </c>
      <c r="K92" s="177">
        <v>888</v>
      </c>
      <c r="L92" s="124">
        <f t="shared" si="23"/>
        <v>0</v>
      </c>
      <c r="M92" s="177">
        <v>40</v>
      </c>
      <c r="N92" s="124">
        <f t="shared" si="18"/>
        <v>22.2</v>
      </c>
      <c r="O92" s="125">
        <f t="shared" si="14"/>
        <v>0</v>
      </c>
      <c r="P92" s="159">
        <v>0</v>
      </c>
      <c r="Q92" s="157">
        <v>10</v>
      </c>
      <c r="R92" s="125">
        <f t="shared" si="19"/>
        <v>0</v>
      </c>
      <c r="S92" s="180">
        <v>94270</v>
      </c>
      <c r="T92" s="125">
        <f t="shared" si="24"/>
        <v>0</v>
      </c>
      <c r="U92" s="125">
        <v>0</v>
      </c>
      <c r="V92" s="125">
        <f t="shared" si="20"/>
        <v>0</v>
      </c>
      <c r="W92" s="162"/>
      <c r="X92" s="125">
        <f t="shared" si="25"/>
        <v>0</v>
      </c>
      <c r="Y92" s="162"/>
      <c r="Z92" s="125">
        <f t="shared" si="26"/>
        <v>0</v>
      </c>
      <c r="AA92" s="165">
        <f t="shared" si="21"/>
        <v>0</v>
      </c>
      <c r="AB92" s="183">
        <f t="shared" si="22"/>
        <v>0</v>
      </c>
      <c r="AC92" s="268"/>
      <c r="AD92" s="269"/>
      <c r="AE92" s="269"/>
      <c r="AF92" s="269"/>
      <c r="AG92" s="269"/>
      <c r="AH92" s="269"/>
      <c r="AI92" s="270"/>
    </row>
    <row r="93" spans="1:35" ht="15" thickBot="1" x14ac:dyDescent="0.35">
      <c r="A93" s="150">
        <f>A92+1</f>
        <v>46112</v>
      </c>
      <c r="B93" s="91">
        <v>1</v>
      </c>
      <c r="C93" s="171">
        <v>351751</v>
      </c>
      <c r="D93" s="120">
        <f t="shared" si="27"/>
        <v>0</v>
      </c>
      <c r="E93" s="168">
        <v>0</v>
      </c>
      <c r="F93" s="168">
        <v>0</v>
      </c>
      <c r="G93" s="120">
        <f t="shared" si="15"/>
        <v>0</v>
      </c>
      <c r="H93" s="168">
        <v>0</v>
      </c>
      <c r="I93" s="120">
        <f t="shared" si="16"/>
        <v>0</v>
      </c>
      <c r="J93" s="120">
        <f t="shared" si="17"/>
        <v>0</v>
      </c>
      <c r="K93" s="175">
        <v>888</v>
      </c>
      <c r="L93" s="120">
        <f t="shared" si="23"/>
        <v>0</v>
      </c>
      <c r="M93" s="175">
        <v>40</v>
      </c>
      <c r="N93" s="120">
        <f t="shared" si="18"/>
        <v>22.2</v>
      </c>
      <c r="O93" s="121">
        <f t="shared" si="14"/>
        <v>0</v>
      </c>
      <c r="P93" s="157">
        <v>0</v>
      </c>
      <c r="Q93" s="157">
        <v>10</v>
      </c>
      <c r="R93" s="121">
        <f t="shared" si="19"/>
        <v>0</v>
      </c>
      <c r="S93" s="178">
        <v>94270</v>
      </c>
      <c r="T93" s="121">
        <f t="shared" si="24"/>
        <v>0</v>
      </c>
      <c r="U93" s="121">
        <v>0</v>
      </c>
      <c r="V93" s="121">
        <f t="shared" si="20"/>
        <v>0</v>
      </c>
      <c r="W93" s="160"/>
      <c r="X93" s="121">
        <f t="shared" si="25"/>
        <v>0</v>
      </c>
      <c r="Y93" s="160"/>
      <c r="Z93" s="121">
        <f t="shared" si="26"/>
        <v>0</v>
      </c>
      <c r="AA93" s="163">
        <f t="shared" si="21"/>
        <v>0</v>
      </c>
      <c r="AB93" s="181">
        <f t="shared" si="22"/>
        <v>0</v>
      </c>
      <c r="AC93" s="262"/>
      <c r="AD93" s="263"/>
      <c r="AE93" s="263"/>
      <c r="AF93" s="263"/>
      <c r="AG93" s="263"/>
      <c r="AH93" s="263"/>
      <c r="AI93" s="264"/>
    </row>
    <row r="94" spans="1:35" ht="15" thickBot="1" x14ac:dyDescent="0.35">
      <c r="A94" s="151">
        <f>A93</f>
        <v>46112</v>
      </c>
      <c r="B94" s="92">
        <v>2</v>
      </c>
      <c r="C94" s="172">
        <v>351754</v>
      </c>
      <c r="D94" s="122">
        <f t="shared" si="27"/>
        <v>3</v>
      </c>
      <c r="E94" s="169">
        <v>0</v>
      </c>
      <c r="F94" s="169">
        <v>0</v>
      </c>
      <c r="G94" s="122">
        <f t="shared" si="15"/>
        <v>0</v>
      </c>
      <c r="H94" s="169">
        <v>0</v>
      </c>
      <c r="I94" s="122">
        <f t="shared" si="16"/>
        <v>0</v>
      </c>
      <c r="J94" s="122">
        <f t="shared" si="17"/>
        <v>0</v>
      </c>
      <c r="K94" s="176">
        <v>888</v>
      </c>
      <c r="L94" s="122">
        <f t="shared" si="23"/>
        <v>0</v>
      </c>
      <c r="M94" s="176">
        <v>40</v>
      </c>
      <c r="N94" s="122">
        <f t="shared" si="18"/>
        <v>22.2</v>
      </c>
      <c r="O94" s="123">
        <f t="shared" si="14"/>
        <v>0</v>
      </c>
      <c r="P94" s="158">
        <v>0</v>
      </c>
      <c r="Q94" s="157">
        <v>10</v>
      </c>
      <c r="R94" s="123">
        <f t="shared" si="19"/>
        <v>0</v>
      </c>
      <c r="S94" s="179">
        <v>94293</v>
      </c>
      <c r="T94" s="123">
        <f t="shared" si="24"/>
        <v>23</v>
      </c>
      <c r="U94" s="123">
        <v>23</v>
      </c>
      <c r="V94" s="123">
        <f t="shared" si="20"/>
        <v>0</v>
      </c>
      <c r="W94" s="161"/>
      <c r="X94" s="123">
        <f t="shared" si="25"/>
        <v>0</v>
      </c>
      <c r="Y94" s="161"/>
      <c r="Z94" s="123">
        <f t="shared" si="26"/>
        <v>0</v>
      </c>
      <c r="AA94" s="164">
        <f t="shared" si="21"/>
        <v>0</v>
      </c>
      <c r="AB94" s="182">
        <f t="shared" si="22"/>
        <v>0</v>
      </c>
      <c r="AC94" s="265"/>
      <c r="AD94" s="266"/>
      <c r="AE94" s="266"/>
      <c r="AF94" s="266"/>
      <c r="AG94" s="266"/>
      <c r="AH94" s="266"/>
      <c r="AI94" s="267"/>
    </row>
    <row r="95" spans="1:35" ht="15" thickBot="1" x14ac:dyDescent="0.35">
      <c r="A95" s="152">
        <f>A94</f>
        <v>46112</v>
      </c>
      <c r="B95" s="90">
        <v>3</v>
      </c>
      <c r="C95" s="173">
        <v>351754</v>
      </c>
      <c r="D95" s="124">
        <f t="shared" si="27"/>
        <v>0</v>
      </c>
      <c r="E95" s="170">
        <v>0</v>
      </c>
      <c r="F95" s="170">
        <v>0</v>
      </c>
      <c r="G95" s="124">
        <f t="shared" si="15"/>
        <v>0</v>
      </c>
      <c r="H95" s="170">
        <v>0</v>
      </c>
      <c r="I95" s="124">
        <f>+H95*F95</f>
        <v>0</v>
      </c>
      <c r="J95" s="124">
        <f t="shared" si="17"/>
        <v>0</v>
      </c>
      <c r="K95" s="177">
        <v>888</v>
      </c>
      <c r="L95" s="124">
        <f t="shared" si="23"/>
        <v>0</v>
      </c>
      <c r="M95" s="177">
        <v>40</v>
      </c>
      <c r="N95" s="124">
        <f t="shared" si="18"/>
        <v>22.2</v>
      </c>
      <c r="O95" s="125">
        <v>0</v>
      </c>
      <c r="P95" s="159">
        <v>0</v>
      </c>
      <c r="Q95" s="157">
        <v>10</v>
      </c>
      <c r="R95" s="125">
        <f t="shared" si="19"/>
        <v>0</v>
      </c>
      <c r="S95" s="180">
        <v>94312</v>
      </c>
      <c r="T95" s="125">
        <f t="shared" si="24"/>
        <v>19</v>
      </c>
      <c r="U95" s="125">
        <v>19</v>
      </c>
      <c r="V95" s="125">
        <f t="shared" si="20"/>
        <v>0</v>
      </c>
      <c r="W95" s="162"/>
      <c r="X95" s="125">
        <f t="shared" si="25"/>
        <v>0</v>
      </c>
      <c r="Y95" s="162"/>
      <c r="Z95" s="125">
        <f t="shared" si="26"/>
        <v>0</v>
      </c>
      <c r="AA95" s="165">
        <f t="shared" si="21"/>
        <v>0</v>
      </c>
      <c r="AB95" s="183">
        <f t="shared" si="22"/>
        <v>0</v>
      </c>
      <c r="AC95" s="268"/>
      <c r="AD95" s="269"/>
      <c r="AE95" s="269"/>
      <c r="AF95" s="269"/>
      <c r="AG95" s="269"/>
      <c r="AH95" s="269"/>
      <c r="AI95" s="270"/>
    </row>
    <row r="96" spans="1:35" x14ac:dyDescent="0.3">
      <c r="Q96"/>
      <c r="U96" s="218"/>
      <c r="V96" s="218"/>
    </row>
    <row r="97" spans="17:22" x14ac:dyDescent="0.3">
      <c r="Q97"/>
    </row>
    <row r="98" spans="17:22" x14ac:dyDescent="0.3">
      <c r="Q98"/>
    </row>
    <row r="99" spans="17:22" x14ac:dyDescent="0.3">
      <c r="Q99"/>
    </row>
    <row r="100" spans="17:22" x14ac:dyDescent="0.3">
      <c r="Q100"/>
    </row>
    <row r="101" spans="17:22" x14ac:dyDescent="0.3">
      <c r="Q101"/>
    </row>
    <row r="102" spans="17:22" x14ac:dyDescent="0.3">
      <c r="Q102"/>
    </row>
    <row r="103" spans="17:22" x14ac:dyDescent="0.3">
      <c r="Q103"/>
    </row>
    <row r="104" spans="17:22" x14ac:dyDescent="0.3">
      <c r="Q104"/>
    </row>
    <row r="105" spans="17:22" x14ac:dyDescent="0.3">
      <c r="Q105"/>
      <c r="V105">
        <f>173-25</f>
        <v>148</v>
      </c>
    </row>
    <row r="106" spans="17:22" x14ac:dyDescent="0.3">
      <c r="Q106"/>
    </row>
    <row r="107" spans="17:22" x14ac:dyDescent="0.3">
      <c r="Q107"/>
    </row>
    <row r="108" spans="17:22" x14ac:dyDescent="0.3">
      <c r="Q108"/>
    </row>
    <row r="109" spans="17:22" x14ac:dyDescent="0.3">
      <c r="Q109"/>
    </row>
    <row r="110" spans="17:22" x14ac:dyDescent="0.3">
      <c r="Q110"/>
    </row>
    <row r="111" spans="17:22" x14ac:dyDescent="0.3">
      <c r="Q111"/>
    </row>
    <row r="112" spans="17:22" x14ac:dyDescent="0.3">
      <c r="Q112"/>
    </row>
    <row r="113" spans="9:22" x14ac:dyDescent="0.3">
      <c r="Q113"/>
      <c r="U113" s="239"/>
      <c r="V113" s="239"/>
    </row>
    <row r="114" spans="9:22" x14ac:dyDescent="0.3">
      <c r="Q114"/>
      <c r="U114" s="239"/>
      <c r="V114" s="239"/>
    </row>
    <row r="115" spans="9:22" x14ac:dyDescent="0.3">
      <c r="Q115"/>
    </row>
    <row r="116" spans="9:22" x14ac:dyDescent="0.3">
      <c r="Q116"/>
    </row>
    <row r="117" spans="9:22" x14ac:dyDescent="0.3">
      <c r="Q117"/>
    </row>
    <row r="118" spans="9:22" x14ac:dyDescent="0.3">
      <c r="Q118"/>
    </row>
    <row r="119" spans="9:22" x14ac:dyDescent="0.3">
      <c r="Q119"/>
    </row>
    <row r="120" spans="9:22" x14ac:dyDescent="0.3">
      <c r="Q120"/>
    </row>
    <row r="121" spans="9:22" x14ac:dyDescent="0.3">
      <c r="Q121"/>
    </row>
    <row r="122" spans="9:22" x14ac:dyDescent="0.3">
      <c r="Q122"/>
    </row>
    <row r="123" spans="9:22" x14ac:dyDescent="0.3">
      <c r="Q123"/>
    </row>
    <row r="124" spans="9:22" x14ac:dyDescent="0.3">
      <c r="Q124"/>
    </row>
    <row r="125" spans="9:22" x14ac:dyDescent="0.3">
      <c r="I125" s="197"/>
      <c r="Q125"/>
    </row>
    <row r="126" spans="9:22" x14ac:dyDescent="0.3">
      <c r="I126" s="198"/>
      <c r="Q126"/>
    </row>
    <row r="127" spans="9:22" x14ac:dyDescent="0.3">
      <c r="Q127"/>
    </row>
    <row r="128" spans="9:22" x14ac:dyDescent="0.3">
      <c r="Q128"/>
    </row>
    <row r="129" spans="17:17" x14ac:dyDescent="0.3">
      <c r="Q129"/>
    </row>
    <row r="130" spans="17:17" x14ac:dyDescent="0.3">
      <c r="Q130"/>
    </row>
    <row r="131" spans="17:17" x14ac:dyDescent="0.3">
      <c r="Q131"/>
    </row>
    <row r="132" spans="17:17" x14ac:dyDescent="0.3">
      <c r="Q132"/>
    </row>
    <row r="133" spans="17:17" x14ac:dyDescent="0.3">
      <c r="Q133"/>
    </row>
    <row r="134" spans="17:17" x14ac:dyDescent="0.3">
      <c r="Q134"/>
    </row>
    <row r="135" spans="17:17" x14ac:dyDescent="0.3">
      <c r="Q135"/>
    </row>
    <row r="136" spans="17:17" x14ac:dyDescent="0.3">
      <c r="Q136"/>
    </row>
    <row r="137" spans="17:17" x14ac:dyDescent="0.3">
      <c r="Q137"/>
    </row>
    <row r="138" spans="17:17" x14ac:dyDescent="0.3">
      <c r="Q138"/>
    </row>
    <row r="139" spans="17:17" x14ac:dyDescent="0.3">
      <c r="Q139"/>
    </row>
    <row r="140" spans="17:17" x14ac:dyDescent="0.3">
      <c r="Q140"/>
    </row>
    <row r="141" spans="17:17" x14ac:dyDescent="0.3">
      <c r="Q141"/>
    </row>
    <row r="142" spans="17:17" x14ac:dyDescent="0.3">
      <c r="Q142"/>
    </row>
    <row r="143" spans="17:17" x14ac:dyDescent="0.3">
      <c r="Q143"/>
    </row>
    <row r="144" spans="17:17" x14ac:dyDescent="0.3">
      <c r="Q144"/>
    </row>
    <row r="145" spans="17:17" x14ac:dyDescent="0.3">
      <c r="Q145"/>
    </row>
    <row r="146" spans="17:17" x14ac:dyDescent="0.3">
      <c r="Q146"/>
    </row>
    <row r="147" spans="17:17" x14ac:dyDescent="0.3">
      <c r="Q147"/>
    </row>
    <row r="148" spans="17:17" x14ac:dyDescent="0.3">
      <c r="Q148"/>
    </row>
    <row r="149" spans="17:17" x14ac:dyDescent="0.3">
      <c r="Q149"/>
    </row>
    <row r="150" spans="17:17" x14ac:dyDescent="0.3">
      <c r="Q150"/>
    </row>
    <row r="151" spans="17:17" x14ac:dyDescent="0.3">
      <c r="Q151"/>
    </row>
    <row r="152" spans="17:17" x14ac:dyDescent="0.3">
      <c r="Q152"/>
    </row>
    <row r="153" spans="17:17" x14ac:dyDescent="0.3">
      <c r="Q153"/>
    </row>
    <row r="154" spans="17:17" x14ac:dyDescent="0.3">
      <c r="Q154"/>
    </row>
    <row r="155" spans="17:17" x14ac:dyDescent="0.3">
      <c r="Q155"/>
    </row>
    <row r="156" spans="17:17" x14ac:dyDescent="0.3">
      <c r="Q156"/>
    </row>
    <row r="157" spans="17:17" x14ac:dyDescent="0.3">
      <c r="Q157"/>
    </row>
    <row r="158" spans="17:17" x14ac:dyDescent="0.3">
      <c r="Q158"/>
    </row>
    <row r="159" spans="17:17" x14ac:dyDescent="0.3">
      <c r="Q159"/>
    </row>
    <row r="160" spans="17:17" x14ac:dyDescent="0.3">
      <c r="Q160"/>
    </row>
    <row r="161" spans="17:17" x14ac:dyDescent="0.3">
      <c r="Q161"/>
    </row>
    <row r="162" spans="17:17" x14ac:dyDescent="0.3">
      <c r="Q162"/>
    </row>
    <row r="163" spans="17:17" x14ac:dyDescent="0.3">
      <c r="Q163"/>
    </row>
    <row r="164" spans="17:17" x14ac:dyDescent="0.3">
      <c r="Q164"/>
    </row>
    <row r="165" spans="17:17" x14ac:dyDescent="0.3">
      <c r="Q165"/>
    </row>
    <row r="166" spans="17:17" x14ac:dyDescent="0.3">
      <c r="Q166"/>
    </row>
    <row r="167" spans="17:17" x14ac:dyDescent="0.3">
      <c r="Q167"/>
    </row>
    <row r="168" spans="17:17" x14ac:dyDescent="0.3">
      <c r="Q168"/>
    </row>
    <row r="169" spans="17:17" x14ac:dyDescent="0.3">
      <c r="Q169"/>
    </row>
    <row r="170" spans="17:17" x14ac:dyDescent="0.3">
      <c r="Q170"/>
    </row>
    <row r="171" spans="17:17" x14ac:dyDescent="0.3">
      <c r="Q171"/>
    </row>
    <row r="172" spans="17:17" x14ac:dyDescent="0.3">
      <c r="Q172"/>
    </row>
    <row r="173" spans="17:17" x14ac:dyDescent="0.3">
      <c r="Q173"/>
    </row>
    <row r="174" spans="17:17" x14ac:dyDescent="0.3">
      <c r="Q174"/>
    </row>
    <row r="175" spans="17:17" x14ac:dyDescent="0.3">
      <c r="Q175"/>
    </row>
    <row r="176" spans="17:17" x14ac:dyDescent="0.3">
      <c r="Q176"/>
    </row>
    <row r="177" spans="17:17" x14ac:dyDescent="0.3">
      <c r="Q177"/>
    </row>
    <row r="178" spans="17:17" x14ac:dyDescent="0.3">
      <c r="Q178"/>
    </row>
    <row r="179" spans="17:17" x14ac:dyDescent="0.3">
      <c r="Q179"/>
    </row>
    <row r="180" spans="17:17" x14ac:dyDescent="0.3">
      <c r="Q180"/>
    </row>
    <row r="181" spans="17:17" x14ac:dyDescent="0.3">
      <c r="Q181"/>
    </row>
    <row r="182" spans="17:17" x14ac:dyDescent="0.3">
      <c r="Q182"/>
    </row>
    <row r="183" spans="17:17" x14ac:dyDescent="0.3">
      <c r="Q183"/>
    </row>
    <row r="184" spans="17:17" x14ac:dyDescent="0.3">
      <c r="Q184"/>
    </row>
    <row r="185" spans="17:17" x14ac:dyDescent="0.3">
      <c r="Q185"/>
    </row>
    <row r="186" spans="17:17" x14ac:dyDescent="0.3">
      <c r="Q186"/>
    </row>
    <row r="187" spans="17:17" x14ac:dyDescent="0.3">
      <c r="Q187"/>
    </row>
    <row r="188" spans="17:17" x14ac:dyDescent="0.3">
      <c r="Q188"/>
    </row>
    <row r="189" spans="17:17" x14ac:dyDescent="0.3">
      <c r="Q189"/>
    </row>
    <row r="190" spans="17:17" x14ac:dyDescent="0.3">
      <c r="Q190"/>
    </row>
    <row r="191" spans="17:17" x14ac:dyDescent="0.3">
      <c r="Q191"/>
    </row>
    <row r="192" spans="17:17" x14ac:dyDescent="0.3">
      <c r="Q192"/>
    </row>
    <row r="193" spans="17:17" x14ac:dyDescent="0.3">
      <c r="Q193"/>
    </row>
    <row r="194" spans="17:17" x14ac:dyDescent="0.3">
      <c r="Q194"/>
    </row>
    <row r="195" spans="17:17" x14ac:dyDescent="0.3">
      <c r="Q195"/>
    </row>
    <row r="196" spans="17:17" x14ac:dyDescent="0.3">
      <c r="Q196"/>
    </row>
    <row r="197" spans="17:17" x14ac:dyDescent="0.3">
      <c r="Q197"/>
    </row>
    <row r="198" spans="17:17" x14ac:dyDescent="0.3">
      <c r="Q198"/>
    </row>
    <row r="199" spans="17:17" x14ac:dyDescent="0.3">
      <c r="Q199"/>
    </row>
    <row r="200" spans="17:17" x14ac:dyDescent="0.3">
      <c r="Q200"/>
    </row>
    <row r="201" spans="17:17" x14ac:dyDescent="0.3">
      <c r="Q201"/>
    </row>
    <row r="202" spans="17:17" x14ac:dyDescent="0.3">
      <c r="Q202"/>
    </row>
    <row r="203" spans="17:17" x14ac:dyDescent="0.3">
      <c r="Q203"/>
    </row>
    <row r="204" spans="17:17" x14ac:dyDescent="0.3">
      <c r="Q204"/>
    </row>
    <row r="205" spans="17:17" x14ac:dyDescent="0.3">
      <c r="Q205"/>
    </row>
    <row r="206" spans="17:17" x14ac:dyDescent="0.3">
      <c r="Q206"/>
    </row>
    <row r="207" spans="17:17" x14ac:dyDescent="0.3">
      <c r="Q207"/>
    </row>
    <row r="208" spans="17:17" x14ac:dyDescent="0.3">
      <c r="Q208"/>
    </row>
    <row r="209" spans="17:17" x14ac:dyDescent="0.3">
      <c r="Q209"/>
    </row>
    <row r="210" spans="17:17" x14ac:dyDescent="0.3">
      <c r="Q210"/>
    </row>
    <row r="211" spans="17:17" x14ac:dyDescent="0.3">
      <c r="Q211"/>
    </row>
    <row r="212" spans="17:17" x14ac:dyDescent="0.3">
      <c r="Q212"/>
    </row>
    <row r="213" spans="17:17" x14ac:dyDescent="0.3">
      <c r="Q213"/>
    </row>
    <row r="214" spans="17:17" x14ac:dyDescent="0.3">
      <c r="Q214"/>
    </row>
    <row r="215" spans="17:17" x14ac:dyDescent="0.3">
      <c r="Q215"/>
    </row>
    <row r="216" spans="17:17" x14ac:dyDescent="0.3">
      <c r="Q216"/>
    </row>
    <row r="217" spans="17:17" x14ac:dyDescent="0.3">
      <c r="Q217"/>
    </row>
    <row r="218" spans="17:17" x14ac:dyDescent="0.3">
      <c r="Q218"/>
    </row>
    <row r="219" spans="17:17" x14ac:dyDescent="0.3">
      <c r="Q219"/>
    </row>
    <row r="220" spans="17:17" x14ac:dyDescent="0.3">
      <c r="Q220"/>
    </row>
    <row r="221" spans="17:17" x14ac:dyDescent="0.3">
      <c r="Q221"/>
    </row>
    <row r="222" spans="17:17" x14ac:dyDescent="0.3">
      <c r="Q222"/>
    </row>
    <row r="223" spans="17:17" x14ac:dyDescent="0.3">
      <c r="Q223"/>
    </row>
    <row r="224" spans="17:17" x14ac:dyDescent="0.3">
      <c r="Q224"/>
    </row>
    <row r="225" spans="17:17" x14ac:dyDescent="0.3">
      <c r="Q225"/>
    </row>
    <row r="226" spans="17:17" x14ac:dyDescent="0.3">
      <c r="Q226"/>
    </row>
    <row r="227" spans="17:17" x14ac:dyDescent="0.3">
      <c r="Q227"/>
    </row>
    <row r="228" spans="17:17" x14ac:dyDescent="0.3">
      <c r="Q228"/>
    </row>
    <row r="229" spans="17:17" x14ac:dyDescent="0.3">
      <c r="Q229"/>
    </row>
    <row r="230" spans="17:17" x14ac:dyDescent="0.3">
      <c r="Q230"/>
    </row>
    <row r="231" spans="17:17" x14ac:dyDescent="0.3">
      <c r="Q231"/>
    </row>
    <row r="232" spans="17:17" x14ac:dyDescent="0.3">
      <c r="Q232"/>
    </row>
    <row r="233" spans="17:17" x14ac:dyDescent="0.3">
      <c r="Q233"/>
    </row>
    <row r="234" spans="17:17" x14ac:dyDescent="0.3">
      <c r="Q234"/>
    </row>
    <row r="235" spans="17:17" x14ac:dyDescent="0.3">
      <c r="Q235"/>
    </row>
    <row r="236" spans="17:17" x14ac:dyDescent="0.3">
      <c r="Q236"/>
    </row>
    <row r="237" spans="17:17" x14ac:dyDescent="0.3">
      <c r="Q237"/>
    </row>
    <row r="238" spans="17:17" x14ac:dyDescent="0.3">
      <c r="Q238"/>
    </row>
    <row r="239" spans="17:17" x14ac:dyDescent="0.3">
      <c r="Q239"/>
    </row>
    <row r="240" spans="17:17" x14ac:dyDescent="0.3">
      <c r="Q240"/>
    </row>
    <row r="241" spans="17:17" x14ac:dyDescent="0.3">
      <c r="Q241"/>
    </row>
    <row r="242" spans="17:17" x14ac:dyDescent="0.3">
      <c r="Q242"/>
    </row>
    <row r="243" spans="17:17" x14ac:dyDescent="0.3">
      <c r="Q243"/>
    </row>
    <row r="244" spans="17:17" x14ac:dyDescent="0.3">
      <c r="Q244"/>
    </row>
    <row r="245" spans="17:17" x14ac:dyDescent="0.3">
      <c r="Q245"/>
    </row>
    <row r="246" spans="17:17" x14ac:dyDescent="0.3">
      <c r="Q246"/>
    </row>
    <row r="247" spans="17:17" x14ac:dyDescent="0.3">
      <c r="Q247"/>
    </row>
    <row r="248" spans="17:17" x14ac:dyDescent="0.3">
      <c r="Q248"/>
    </row>
    <row r="249" spans="17:17" x14ac:dyDescent="0.3">
      <c r="Q249"/>
    </row>
    <row r="250" spans="17:17" x14ac:dyDescent="0.3">
      <c r="Q250"/>
    </row>
    <row r="251" spans="17:17" x14ac:dyDescent="0.3">
      <c r="Q251"/>
    </row>
    <row r="252" spans="17:17" x14ac:dyDescent="0.3">
      <c r="Q252"/>
    </row>
    <row r="253" spans="17:17" x14ac:dyDescent="0.3">
      <c r="Q253"/>
    </row>
    <row r="254" spans="17:17" x14ac:dyDescent="0.3">
      <c r="Q254"/>
    </row>
    <row r="255" spans="17:17" x14ac:dyDescent="0.3">
      <c r="Q255"/>
    </row>
    <row r="256" spans="17:17" x14ac:dyDescent="0.3">
      <c r="Q256"/>
    </row>
    <row r="257" spans="17:17" x14ac:dyDescent="0.3">
      <c r="Q257"/>
    </row>
    <row r="258" spans="17:17" x14ac:dyDescent="0.3">
      <c r="Q258"/>
    </row>
    <row r="259" spans="17:17" x14ac:dyDescent="0.3">
      <c r="Q259"/>
    </row>
    <row r="260" spans="17:17" x14ac:dyDescent="0.3">
      <c r="Q260"/>
    </row>
    <row r="261" spans="17:17" x14ac:dyDescent="0.3">
      <c r="Q261"/>
    </row>
    <row r="262" spans="17:17" x14ac:dyDescent="0.3">
      <c r="Q262"/>
    </row>
    <row r="263" spans="17:17" x14ac:dyDescent="0.3">
      <c r="Q263"/>
    </row>
    <row r="264" spans="17:17" x14ac:dyDescent="0.3">
      <c r="Q264"/>
    </row>
    <row r="265" spans="17:17" x14ac:dyDescent="0.3">
      <c r="Q265"/>
    </row>
    <row r="266" spans="17:17" x14ac:dyDescent="0.3">
      <c r="Q266"/>
    </row>
    <row r="267" spans="17:17" x14ac:dyDescent="0.3">
      <c r="Q267"/>
    </row>
    <row r="268" spans="17:17" x14ac:dyDescent="0.3">
      <c r="Q268"/>
    </row>
    <row r="269" spans="17:17" x14ac:dyDescent="0.3">
      <c r="Q269"/>
    </row>
    <row r="270" spans="17:17" x14ac:dyDescent="0.3">
      <c r="Q270"/>
    </row>
    <row r="271" spans="17:17" x14ac:dyDescent="0.3">
      <c r="Q271"/>
    </row>
    <row r="272" spans="17:17" x14ac:dyDescent="0.3">
      <c r="Q272"/>
    </row>
    <row r="273" spans="17:17" x14ac:dyDescent="0.3">
      <c r="Q273"/>
    </row>
    <row r="274" spans="17:17" x14ac:dyDescent="0.3">
      <c r="Q274"/>
    </row>
    <row r="275" spans="17:17" x14ac:dyDescent="0.3">
      <c r="Q275"/>
    </row>
    <row r="276" spans="17:17" x14ac:dyDescent="0.3">
      <c r="Q276"/>
    </row>
    <row r="277" spans="17:17" x14ac:dyDescent="0.3">
      <c r="Q277"/>
    </row>
    <row r="278" spans="17:17" x14ac:dyDescent="0.3">
      <c r="Q278"/>
    </row>
    <row r="279" spans="17:17" x14ac:dyDescent="0.3">
      <c r="Q279"/>
    </row>
    <row r="280" spans="17:17" x14ac:dyDescent="0.3">
      <c r="Q280"/>
    </row>
    <row r="281" spans="17:17" x14ac:dyDescent="0.3">
      <c r="Q281"/>
    </row>
    <row r="282" spans="17:17" x14ac:dyDescent="0.3">
      <c r="Q282"/>
    </row>
    <row r="283" spans="17:17" x14ac:dyDescent="0.3">
      <c r="Q283"/>
    </row>
    <row r="284" spans="17:17" x14ac:dyDescent="0.3">
      <c r="Q284"/>
    </row>
    <row r="285" spans="17:17" x14ac:dyDescent="0.3">
      <c r="Q285"/>
    </row>
    <row r="286" spans="17:17" x14ac:dyDescent="0.3">
      <c r="Q286"/>
    </row>
    <row r="287" spans="17:17" x14ac:dyDescent="0.3">
      <c r="Q287"/>
    </row>
    <row r="288" spans="17:17" x14ac:dyDescent="0.3">
      <c r="Q288"/>
    </row>
    <row r="289" spans="17:17" x14ac:dyDescent="0.3">
      <c r="Q289"/>
    </row>
    <row r="290" spans="17:17" x14ac:dyDescent="0.3">
      <c r="Q290"/>
    </row>
    <row r="291" spans="17:17" x14ac:dyDescent="0.3">
      <c r="Q291"/>
    </row>
    <row r="292" spans="17:17" x14ac:dyDescent="0.3">
      <c r="Q292"/>
    </row>
    <row r="293" spans="17:17" x14ac:dyDescent="0.3">
      <c r="Q293"/>
    </row>
    <row r="294" spans="17:17" x14ac:dyDescent="0.3">
      <c r="Q294"/>
    </row>
    <row r="295" spans="17:17" x14ac:dyDescent="0.3">
      <c r="Q295"/>
    </row>
    <row r="296" spans="17:17" x14ac:dyDescent="0.3">
      <c r="Q296"/>
    </row>
    <row r="297" spans="17:17" x14ac:dyDescent="0.3">
      <c r="Q297"/>
    </row>
    <row r="298" spans="17:17" x14ac:dyDescent="0.3">
      <c r="Q298"/>
    </row>
    <row r="299" spans="17:17" x14ac:dyDescent="0.3">
      <c r="Q299"/>
    </row>
    <row r="300" spans="17:17" x14ac:dyDescent="0.3">
      <c r="Q300"/>
    </row>
    <row r="301" spans="17:17" x14ac:dyDescent="0.3">
      <c r="Q301"/>
    </row>
    <row r="302" spans="17:17" x14ac:dyDescent="0.3">
      <c r="Q302"/>
    </row>
    <row r="303" spans="17:17" x14ac:dyDescent="0.3">
      <c r="Q303"/>
    </row>
    <row r="304" spans="17:17" x14ac:dyDescent="0.3">
      <c r="Q304"/>
    </row>
    <row r="305" spans="17:17" x14ac:dyDescent="0.3">
      <c r="Q305"/>
    </row>
    <row r="306" spans="17:17" x14ac:dyDescent="0.3">
      <c r="Q306"/>
    </row>
    <row r="307" spans="17:17" x14ac:dyDescent="0.3">
      <c r="Q307"/>
    </row>
    <row r="308" spans="17:17" x14ac:dyDescent="0.3">
      <c r="Q308"/>
    </row>
    <row r="309" spans="17:17" x14ac:dyDescent="0.3">
      <c r="Q309"/>
    </row>
    <row r="310" spans="17:17" x14ac:dyDescent="0.3">
      <c r="Q310"/>
    </row>
    <row r="311" spans="17:17" x14ac:dyDescent="0.3">
      <c r="Q311"/>
    </row>
    <row r="312" spans="17:17" x14ac:dyDescent="0.3">
      <c r="Q312"/>
    </row>
    <row r="313" spans="17:17" x14ac:dyDescent="0.3">
      <c r="Q313"/>
    </row>
    <row r="314" spans="17:17" x14ac:dyDescent="0.3">
      <c r="Q314"/>
    </row>
    <row r="315" spans="17:17" x14ac:dyDescent="0.3">
      <c r="Q315"/>
    </row>
    <row r="316" spans="17:17" x14ac:dyDescent="0.3">
      <c r="Q316"/>
    </row>
    <row r="317" spans="17:17" x14ac:dyDescent="0.3">
      <c r="Q317"/>
    </row>
    <row r="318" spans="17:17" x14ac:dyDescent="0.3">
      <c r="Q318"/>
    </row>
    <row r="319" spans="17:17" x14ac:dyDescent="0.3">
      <c r="Q319"/>
    </row>
    <row r="320" spans="17:17" x14ac:dyDescent="0.3">
      <c r="Q320"/>
    </row>
    <row r="321" spans="17:17" x14ac:dyDescent="0.3">
      <c r="Q321"/>
    </row>
    <row r="322" spans="17:17" x14ac:dyDescent="0.3">
      <c r="Q322"/>
    </row>
    <row r="323" spans="17:17" x14ac:dyDescent="0.3">
      <c r="Q323"/>
    </row>
    <row r="324" spans="17:17" x14ac:dyDescent="0.3">
      <c r="Q324"/>
    </row>
    <row r="325" spans="17:17" x14ac:dyDescent="0.3">
      <c r="Q325"/>
    </row>
    <row r="326" spans="17:17" x14ac:dyDescent="0.3">
      <c r="Q326"/>
    </row>
    <row r="327" spans="17:17" x14ac:dyDescent="0.3">
      <c r="Q327"/>
    </row>
    <row r="328" spans="17:17" x14ac:dyDescent="0.3">
      <c r="Q328"/>
    </row>
    <row r="329" spans="17:17" x14ac:dyDescent="0.3">
      <c r="Q329"/>
    </row>
    <row r="330" spans="17:17" x14ac:dyDescent="0.3">
      <c r="Q330"/>
    </row>
    <row r="331" spans="17:17" x14ac:dyDescent="0.3">
      <c r="Q331"/>
    </row>
    <row r="332" spans="17:17" x14ac:dyDescent="0.3">
      <c r="Q332"/>
    </row>
    <row r="333" spans="17:17" x14ac:dyDescent="0.3">
      <c r="Q333"/>
    </row>
    <row r="334" spans="17:17" x14ac:dyDescent="0.3">
      <c r="Q334"/>
    </row>
    <row r="335" spans="17:17" x14ac:dyDescent="0.3">
      <c r="Q335"/>
    </row>
    <row r="336" spans="17:17" x14ac:dyDescent="0.3">
      <c r="Q336"/>
    </row>
    <row r="337" spans="17:17" x14ac:dyDescent="0.3">
      <c r="Q337"/>
    </row>
    <row r="338" spans="17:17" x14ac:dyDescent="0.3">
      <c r="Q338"/>
    </row>
    <row r="339" spans="17:17" x14ac:dyDescent="0.3">
      <c r="Q339"/>
    </row>
    <row r="340" spans="17:17" x14ac:dyDescent="0.3">
      <c r="Q340"/>
    </row>
    <row r="341" spans="17:17" x14ac:dyDescent="0.3">
      <c r="Q341"/>
    </row>
    <row r="342" spans="17:17" x14ac:dyDescent="0.3">
      <c r="Q342"/>
    </row>
    <row r="343" spans="17:17" x14ac:dyDescent="0.3">
      <c r="Q343"/>
    </row>
    <row r="344" spans="17:17" x14ac:dyDescent="0.3">
      <c r="Q344"/>
    </row>
    <row r="345" spans="17:17" x14ac:dyDescent="0.3">
      <c r="Q345"/>
    </row>
    <row r="346" spans="17:17" x14ac:dyDescent="0.3">
      <c r="Q346"/>
    </row>
    <row r="347" spans="17:17" x14ac:dyDescent="0.3">
      <c r="Q347"/>
    </row>
    <row r="348" spans="17:17" x14ac:dyDescent="0.3">
      <c r="Q348"/>
    </row>
    <row r="349" spans="17:17" x14ac:dyDescent="0.3">
      <c r="Q349"/>
    </row>
    <row r="350" spans="17:17" x14ac:dyDescent="0.3">
      <c r="Q350"/>
    </row>
    <row r="351" spans="17:17" x14ac:dyDescent="0.3">
      <c r="Q351"/>
    </row>
    <row r="352" spans="17:17" x14ac:dyDescent="0.3">
      <c r="Q352"/>
    </row>
    <row r="353" spans="17:17" x14ac:dyDescent="0.3">
      <c r="Q353"/>
    </row>
    <row r="354" spans="17:17" x14ac:dyDescent="0.3">
      <c r="Q354"/>
    </row>
    <row r="355" spans="17:17" x14ac:dyDescent="0.3">
      <c r="Q355"/>
    </row>
    <row r="356" spans="17:17" x14ac:dyDescent="0.3">
      <c r="Q356"/>
    </row>
    <row r="357" spans="17:17" x14ac:dyDescent="0.3">
      <c r="Q357"/>
    </row>
    <row r="358" spans="17:17" x14ac:dyDescent="0.3">
      <c r="Q358"/>
    </row>
    <row r="359" spans="17:17" x14ac:dyDescent="0.3">
      <c r="Q359"/>
    </row>
    <row r="360" spans="17:17" x14ac:dyDescent="0.3">
      <c r="Q360"/>
    </row>
    <row r="361" spans="17:17" x14ac:dyDescent="0.3">
      <c r="Q361"/>
    </row>
    <row r="362" spans="17:17" x14ac:dyDescent="0.3">
      <c r="Q362"/>
    </row>
    <row r="363" spans="17:17" x14ac:dyDescent="0.3">
      <c r="Q363"/>
    </row>
    <row r="364" spans="17:17" x14ac:dyDescent="0.3">
      <c r="Q364"/>
    </row>
    <row r="365" spans="17:17" x14ac:dyDescent="0.3">
      <c r="Q365"/>
    </row>
    <row r="366" spans="17:17" x14ac:dyDescent="0.3">
      <c r="Q366"/>
    </row>
    <row r="367" spans="17:17" x14ac:dyDescent="0.3">
      <c r="Q367"/>
    </row>
    <row r="368" spans="17:17" x14ac:dyDescent="0.3">
      <c r="Q368"/>
    </row>
    <row r="369" spans="17:17" x14ac:dyDescent="0.3">
      <c r="Q369"/>
    </row>
    <row r="370" spans="17:17" x14ac:dyDescent="0.3">
      <c r="Q370"/>
    </row>
    <row r="371" spans="17:17" x14ac:dyDescent="0.3">
      <c r="Q371"/>
    </row>
    <row r="372" spans="17:17" x14ac:dyDescent="0.3">
      <c r="Q372"/>
    </row>
    <row r="373" spans="17:17" x14ac:dyDescent="0.3">
      <c r="Q373"/>
    </row>
  </sheetData>
  <mergeCells count="99">
    <mergeCell ref="AC79:AI79"/>
    <mergeCell ref="AC80:AI80"/>
    <mergeCell ref="AC81:AI81"/>
    <mergeCell ref="AC82:AI82"/>
    <mergeCell ref="AC83:AI83"/>
    <mergeCell ref="AC74:AI74"/>
    <mergeCell ref="AC75:AI75"/>
    <mergeCell ref="AC76:AI76"/>
    <mergeCell ref="AC77:AI77"/>
    <mergeCell ref="AC78:AI78"/>
    <mergeCell ref="AC69:AI69"/>
    <mergeCell ref="AC70:AI70"/>
    <mergeCell ref="AC71:AI71"/>
    <mergeCell ref="AC72:AI72"/>
    <mergeCell ref="AC73:AI73"/>
    <mergeCell ref="AC64:AI64"/>
    <mergeCell ref="AC65:AI65"/>
    <mergeCell ref="AC66:AI66"/>
    <mergeCell ref="AC67:AI67"/>
    <mergeCell ref="AC68:AI68"/>
    <mergeCell ref="AC59:AI59"/>
    <mergeCell ref="AC60:AI60"/>
    <mergeCell ref="AC61:AI61"/>
    <mergeCell ref="AC62:AI62"/>
    <mergeCell ref="AC63:AI63"/>
    <mergeCell ref="AC58:AI58"/>
    <mergeCell ref="AC51:AI51"/>
    <mergeCell ref="AC52:AI52"/>
    <mergeCell ref="AC54:AI54"/>
    <mergeCell ref="AC53:AI53"/>
    <mergeCell ref="AC56:AI56"/>
    <mergeCell ref="AC57:AI57"/>
    <mergeCell ref="AC55:AI55"/>
    <mergeCell ref="AC37:AI37"/>
    <mergeCell ref="AC38:AI38"/>
    <mergeCell ref="AC39:AI39"/>
    <mergeCell ref="AC40:AI40"/>
    <mergeCell ref="AC41:AI41"/>
    <mergeCell ref="AC46:AI46"/>
    <mergeCell ref="AC47:AI47"/>
    <mergeCell ref="AC42:AI42"/>
    <mergeCell ref="AC43:AI43"/>
    <mergeCell ref="AC44:AI44"/>
    <mergeCell ref="AC45:AI45"/>
    <mergeCell ref="AC32:AI32"/>
    <mergeCell ref="AC33:AI33"/>
    <mergeCell ref="AC34:AI34"/>
    <mergeCell ref="AC35:AI35"/>
    <mergeCell ref="AC36:AI36"/>
    <mergeCell ref="AC27:AI27"/>
    <mergeCell ref="AC28:AI28"/>
    <mergeCell ref="AC29:AI29"/>
    <mergeCell ref="AC30:AI30"/>
    <mergeCell ref="AC31:AI31"/>
    <mergeCell ref="AC23:AI23"/>
    <mergeCell ref="AC24:AI24"/>
    <mergeCell ref="AC21:AI21"/>
    <mergeCell ref="AC25:AI25"/>
    <mergeCell ref="AC26:AI26"/>
    <mergeCell ref="AC2:AI2"/>
    <mergeCell ref="AC3:AI3"/>
    <mergeCell ref="C1:D1"/>
    <mergeCell ref="E1:J1"/>
    <mergeCell ref="K1:O1"/>
    <mergeCell ref="P1:R1"/>
    <mergeCell ref="S1:X1"/>
    <mergeCell ref="AC4:AI4"/>
    <mergeCell ref="AC5:AI5"/>
    <mergeCell ref="AC6:AI6"/>
    <mergeCell ref="AC7:AI7"/>
    <mergeCell ref="AC8:AI8"/>
    <mergeCell ref="AC9:AI9"/>
    <mergeCell ref="AC10:AI10"/>
    <mergeCell ref="AC48:AI48"/>
    <mergeCell ref="AC49:AI49"/>
    <mergeCell ref="AC50:AI50"/>
    <mergeCell ref="AC11:AI11"/>
    <mergeCell ref="AC12:AI12"/>
    <mergeCell ref="AC13:AI13"/>
    <mergeCell ref="AC14:AI14"/>
    <mergeCell ref="AC15:AI15"/>
    <mergeCell ref="AC16:AI16"/>
    <mergeCell ref="AC17:AI17"/>
    <mergeCell ref="AC18:AI18"/>
    <mergeCell ref="AC19:AI19"/>
    <mergeCell ref="AC20:AI20"/>
    <mergeCell ref="AC22:AI22"/>
    <mergeCell ref="AC94:AI94"/>
    <mergeCell ref="AC95:AI95"/>
    <mergeCell ref="AC89:AI89"/>
    <mergeCell ref="AC90:AI90"/>
    <mergeCell ref="AC91:AI91"/>
    <mergeCell ref="AC92:AI92"/>
    <mergeCell ref="AC93:AI93"/>
    <mergeCell ref="AC84:AI84"/>
    <mergeCell ref="AC85:AI85"/>
    <mergeCell ref="AC86:AI86"/>
    <mergeCell ref="AC87:AI87"/>
    <mergeCell ref="AC88:AI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 BH</vt:lpstr>
      <vt:lpstr>BALANCE</vt:lpstr>
      <vt:lpstr>REGISTRO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Nicolas Rodriguez</dc:creator>
  <cp:lastModifiedBy>Luna Sofia Osorio Parra</cp:lastModifiedBy>
  <cp:lastPrinted>2023-05-15T09:05:46Z</cp:lastPrinted>
  <dcterms:created xsi:type="dcterms:W3CDTF">2022-04-29T21:42:55Z</dcterms:created>
  <dcterms:modified xsi:type="dcterms:W3CDTF">2026-04-13T22:27:34Z</dcterms:modified>
</cp:coreProperties>
</file>