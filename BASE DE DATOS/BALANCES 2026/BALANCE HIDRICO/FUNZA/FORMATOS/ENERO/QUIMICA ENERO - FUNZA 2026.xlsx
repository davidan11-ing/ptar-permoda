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UNZA\FORMATOS\ENERO\"/>
    </mc:Choice>
  </mc:AlternateContent>
  <xr:revisionPtr revIDLastSave="0" documentId="13_ncr:1_{7DC60D02-A351-437C-B881-0F07E218802B}" xr6:coauthVersionLast="47" xr6:coauthVersionMax="47" xr10:uidLastSave="{00000000-0000-0000-0000-000000000000}"/>
  <bookViews>
    <workbookView xWindow="-108" yWindow="-108" windowWidth="19416" windowHeight="10296" tabRatio="768" activeTab="1" xr2:uid="{E6F4B368-D079-49CA-BD04-88FCAF32A55F}"/>
  </bookViews>
  <sheets>
    <sheet name="PTAP INVENTARIO" sheetId="13" r:id="rId1"/>
    <sheet name="DB QUIMICA" sheetId="14" r:id="rId2"/>
    <sheet name="CONSUMO QUÍMICA-CAUDALES GEM  " sheetId="16" r:id="rId3"/>
    <sheet name="INVENTARIO INSUMOS QUÍMICOS GEM" sheetId="6" r:id="rId4"/>
  </sheets>
  <definedNames>
    <definedName name="SegmentaciónDeDatos_FECHA">#N/A</definedName>
    <definedName name="SegmentaciónDeDatos_FECHA1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3" l="1"/>
  <c r="H12" i="13" s="1"/>
  <c r="H13" i="13" s="1"/>
  <c r="F11" i="13"/>
  <c r="F12" i="13" s="1"/>
  <c r="F13" i="13" s="1"/>
  <c r="H10" i="13"/>
  <c r="F10" i="13"/>
  <c r="H5" i="13"/>
  <c r="G5" i="13"/>
  <c r="F5" i="13"/>
  <c r="B55" i="14"/>
  <c r="F84" i="13" l="1"/>
  <c r="F68" i="13"/>
  <c r="F67" i="13"/>
  <c r="G68" i="13"/>
  <c r="G67" i="13"/>
  <c r="H67" i="13"/>
  <c r="H66" i="13"/>
  <c r="H14" i="13"/>
  <c r="H15" i="13" s="1"/>
  <c r="H16" i="13" s="1"/>
  <c r="H17" i="13" s="1"/>
  <c r="H18" i="13" s="1"/>
  <c r="H19" i="13" s="1"/>
  <c r="F14" i="13"/>
  <c r="F15" i="13" s="1"/>
  <c r="F16" i="13" s="1"/>
  <c r="H4" i="13"/>
  <c r="H3" i="13"/>
  <c r="F4" i="13"/>
  <c r="F3" i="13"/>
  <c r="N38" i="13" l="1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35" i="13"/>
  <c r="N36" i="13"/>
  <c r="N37" i="13"/>
  <c r="N11" i="13"/>
  <c r="N12" i="13"/>
  <c r="N13" i="13"/>
  <c r="L92" i="13" l="1"/>
  <c r="L93" i="13"/>
  <c r="L94" i="13"/>
  <c r="N3" i="13" l="1"/>
  <c r="N2" i="13"/>
  <c r="M2" i="13"/>
  <c r="M3" i="13"/>
  <c r="L29" i="13" l="1"/>
  <c r="L71" i="13" l="1"/>
  <c r="L72" i="13"/>
  <c r="L73" i="13"/>
  <c r="L74" i="13"/>
  <c r="L75" i="13"/>
  <c r="L76" i="13"/>
  <c r="L77" i="13"/>
  <c r="L78" i="13"/>
  <c r="L79" i="13"/>
  <c r="M71" i="13"/>
  <c r="M72" i="13"/>
  <c r="M73" i="13"/>
  <c r="M74" i="13"/>
  <c r="M75" i="13"/>
  <c r="M76" i="13"/>
  <c r="M77" i="13"/>
  <c r="M78" i="13"/>
  <c r="M79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M11" i="13"/>
  <c r="M12" i="13"/>
  <c r="M13" i="13"/>
  <c r="L11" i="13"/>
  <c r="L12" i="13"/>
  <c r="L13" i="13"/>
  <c r="N9" i="13" l="1"/>
  <c r="L4" i="13"/>
  <c r="L37" i="13" l="1"/>
  <c r="M86" i="13"/>
  <c r="L55" i="13"/>
  <c r="M85" i="13" l="1"/>
  <c r="L54" i="13"/>
  <c r="M91" i="13" l="1"/>
  <c r="M88" i="13"/>
  <c r="L86" i="13"/>
  <c r="M83" i="13"/>
  <c r="L82" i="13"/>
  <c r="M4" i="13"/>
  <c r="M5" i="13"/>
  <c r="M6" i="13"/>
  <c r="M7" i="13"/>
  <c r="M8" i="13"/>
  <c r="M9" i="13"/>
  <c r="M10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80" i="13"/>
  <c r="M81" i="13"/>
  <c r="M82" i="13"/>
  <c r="M92" i="13"/>
  <c r="M93" i="13"/>
  <c r="M94" i="13"/>
  <c r="L18" i="13"/>
  <c r="L19" i="13"/>
  <c r="L38" i="13"/>
  <c r="L39" i="13"/>
  <c r="L80" i="13"/>
  <c r="L81" i="13"/>
  <c r="L83" i="13"/>
  <c r="L91" i="13"/>
  <c r="M90" i="13" l="1"/>
  <c r="L90" i="13"/>
  <c r="L89" i="13"/>
  <c r="M89" i="13"/>
  <c r="L88" i="13"/>
  <c r="M87" i="13"/>
  <c r="L87" i="13"/>
  <c r="L85" i="13"/>
  <c r="L84" i="13"/>
  <c r="M84" i="13"/>
  <c r="L56" i="13"/>
  <c r="L40" i="13"/>
  <c r="L61" i="13"/>
  <c r="L60" i="13"/>
  <c r="L59" i="13"/>
  <c r="L21" i="13"/>
  <c r="L20" i="13"/>
  <c r="L58" i="13" l="1"/>
  <c r="L62" i="13"/>
  <c r="L5" i="13"/>
  <c r="L22" i="13"/>
  <c r="L14" i="13"/>
  <c r="L15" i="13"/>
  <c r="N4" i="13"/>
  <c r="N5" i="13"/>
  <c r="N6" i="13"/>
  <c r="N7" i="13"/>
  <c r="N8" i="13"/>
  <c r="N10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L57" i="13" l="1"/>
  <c r="L7" i="13"/>
  <c r="L6" i="13"/>
  <c r="L23" i="13"/>
  <c r="L17" i="13"/>
  <c r="L63" i="13" l="1"/>
  <c r="L8" i="13"/>
  <c r="L24" i="13"/>
  <c r="L16" i="13"/>
  <c r="L65" i="13" l="1"/>
  <c r="L66" i="13"/>
  <c r="L64" i="13"/>
  <c r="L9" i="13"/>
  <c r="L25" i="13"/>
  <c r="L67" i="13" l="1"/>
  <c r="L10" i="13"/>
  <c r="L26" i="13"/>
  <c r="L68" i="13" l="1"/>
  <c r="L27" i="13"/>
  <c r="L28" i="13" l="1"/>
  <c r="L69" i="13" l="1"/>
  <c r="R86" i="13"/>
  <c r="AH86" i="13" s="1"/>
  <c r="O86" i="13"/>
  <c r="S86" i="13" s="1"/>
  <c r="P86" i="13"/>
  <c r="AF86" i="13" s="1"/>
  <c r="Q86" i="13"/>
  <c r="AG86" i="13" s="1"/>
  <c r="P87" i="13"/>
  <c r="Q87" i="13"/>
  <c r="R87" i="13"/>
  <c r="O87" i="13"/>
  <c r="S87" i="13" s="1"/>
  <c r="P88" i="13"/>
  <c r="R88" i="13"/>
  <c r="AH88" i="13" s="1"/>
  <c r="O88" i="13"/>
  <c r="S88" i="13" s="1"/>
  <c r="AI88" i="13" s="1"/>
  <c r="Q88" i="13"/>
  <c r="AG88" i="13" s="1"/>
  <c r="P89" i="13"/>
  <c r="Q89" i="13"/>
  <c r="R89" i="13"/>
  <c r="O89" i="13"/>
  <c r="S89" i="13" s="1"/>
  <c r="P90" i="13"/>
  <c r="AF90" i="13" s="1"/>
  <c r="Q90" i="13"/>
  <c r="AG90" i="13" s="1"/>
  <c r="R90" i="13"/>
  <c r="AH90" i="13" s="1"/>
  <c r="O90" i="13"/>
  <c r="S90" i="13" s="1"/>
  <c r="P91" i="13"/>
  <c r="Q91" i="13"/>
  <c r="R91" i="13"/>
  <c r="O91" i="13"/>
  <c r="S91" i="13" s="1"/>
  <c r="P92" i="13"/>
  <c r="Q92" i="13"/>
  <c r="R92" i="13"/>
  <c r="O92" i="13"/>
  <c r="S92" i="13" s="1"/>
  <c r="P93" i="13"/>
  <c r="Q93" i="13"/>
  <c r="R93" i="13"/>
  <c r="O93" i="13"/>
  <c r="S93" i="13" s="1"/>
  <c r="P94" i="13"/>
  <c r="AF94" i="13" s="1"/>
  <c r="Q94" i="13"/>
  <c r="AG94" i="13" s="1"/>
  <c r="R94" i="13"/>
  <c r="AH94" i="13" s="1"/>
  <c r="O94" i="13"/>
  <c r="S94" i="13" s="1"/>
  <c r="AI94" i="13" s="1"/>
  <c r="L70" i="13" l="1"/>
  <c r="L30" i="13"/>
  <c r="U91" i="13"/>
  <c r="T91" i="13"/>
  <c r="U93" i="13"/>
  <c r="T89" i="13"/>
  <c r="T93" i="13"/>
  <c r="AI92" i="13"/>
  <c r="W92" i="13"/>
  <c r="AH92" i="13"/>
  <c r="V92" i="13"/>
  <c r="AG92" i="13"/>
  <c r="U92" i="13"/>
  <c r="T94" i="13"/>
  <c r="AI90" i="13"/>
  <c r="AJ90" i="13" s="1"/>
  <c r="AL90" i="13" s="1"/>
  <c r="W90" i="13"/>
  <c r="AI86" i="13"/>
  <c r="AJ86" i="13" s="1"/>
  <c r="AF92" i="13"/>
  <c r="T92" i="13"/>
  <c r="AF88" i="13"/>
  <c r="AJ88" i="13" s="1"/>
  <c r="V90" i="13"/>
  <c r="AJ94" i="13"/>
  <c r="AL94" i="13" s="1"/>
  <c r="T90" i="13"/>
  <c r="U89" i="13"/>
  <c r="U90" i="13"/>
  <c r="W94" i="13"/>
  <c r="U94" i="13"/>
  <c r="V94" i="13"/>
  <c r="W89" i="13"/>
  <c r="AI89" i="13"/>
  <c r="V93" i="13"/>
  <c r="AH93" i="13"/>
  <c r="V89" i="13"/>
  <c r="AH89" i="13"/>
  <c r="W93" i="13"/>
  <c r="AI93" i="13"/>
  <c r="W91" i="13"/>
  <c r="AI91" i="13"/>
  <c r="AI87" i="13"/>
  <c r="AH87" i="13"/>
  <c r="V91" i="13"/>
  <c r="AH91" i="13"/>
  <c r="AG93" i="13"/>
  <c r="AG91" i="13"/>
  <c r="AG89" i="13"/>
  <c r="AG87" i="13"/>
  <c r="AF93" i="13"/>
  <c r="AF91" i="13"/>
  <c r="AF89" i="13"/>
  <c r="AF87" i="13"/>
  <c r="L31" i="13" l="1"/>
  <c r="AJ89" i="13"/>
  <c r="AL89" i="13" s="1"/>
  <c r="AJ92" i="13"/>
  <c r="AL92" i="13" s="1"/>
  <c r="AJ93" i="13"/>
  <c r="AL93" i="13" s="1"/>
  <c r="AJ91" i="13"/>
  <c r="AL91" i="13" s="1"/>
  <c r="AJ87" i="13"/>
  <c r="L53" i="13" l="1"/>
  <c r="L32" i="13"/>
  <c r="E6" i="6"/>
  <c r="L33" i="13" l="1"/>
  <c r="L34" i="13" l="1"/>
  <c r="L35" i="13"/>
  <c r="L36" i="13"/>
  <c r="U86" i="13"/>
  <c r="W86" i="13"/>
  <c r="T86" i="13"/>
  <c r="V86" i="13"/>
  <c r="AL86" i="13"/>
  <c r="V88" i="13"/>
  <c r="W88" i="13"/>
  <c r="U88" i="13"/>
  <c r="T88" i="13"/>
  <c r="AL88" i="13"/>
  <c r="V87" i="13"/>
  <c r="W87" i="13"/>
  <c r="T87" i="13"/>
  <c r="U87" i="13"/>
  <c r="AL87" i="13"/>
  <c r="Q2" i="13"/>
  <c r="E4" i="6"/>
  <c r="H17" i="6"/>
  <c r="H16" i="6"/>
  <c r="H15" i="6"/>
  <c r="H14" i="6"/>
  <c r="F17" i="6"/>
  <c r="F16" i="6"/>
  <c r="F15" i="6"/>
  <c r="F14" i="6"/>
  <c r="G4" i="6"/>
  <c r="F7" i="6"/>
  <c r="F4" i="6"/>
  <c r="G7" i="6"/>
  <c r="Q55" i="13" l="1"/>
  <c r="P39" i="13"/>
  <c r="P37" i="13"/>
  <c r="Q8" i="13"/>
  <c r="R74" i="13"/>
  <c r="P33" i="13"/>
  <c r="P11" i="13"/>
  <c r="P28" i="13"/>
  <c r="P10" i="13"/>
  <c r="P25" i="13"/>
  <c r="P9" i="13"/>
  <c r="P24" i="13"/>
  <c r="P6" i="13"/>
  <c r="Q10" i="13"/>
  <c r="Q9" i="13"/>
  <c r="Q7" i="13"/>
  <c r="Q6" i="13"/>
  <c r="P27" i="13"/>
  <c r="P13" i="13"/>
  <c r="P26" i="13"/>
  <c r="P12" i="13"/>
  <c r="Q13" i="13"/>
  <c r="P32" i="13"/>
  <c r="P20" i="13"/>
  <c r="P8" i="13"/>
  <c r="P31" i="13"/>
  <c r="P19" i="13"/>
  <c r="P7" i="13"/>
  <c r="P30" i="13"/>
  <c r="P29" i="13"/>
  <c r="P5" i="13"/>
  <c r="Q5" i="13"/>
  <c r="R5" i="13"/>
  <c r="O5" i="13"/>
  <c r="S5" i="13" s="1"/>
  <c r="R6" i="13"/>
  <c r="O6" i="13"/>
  <c r="S6" i="13" s="1"/>
  <c r="R7" i="13"/>
  <c r="O7" i="13"/>
  <c r="S7" i="13" s="1"/>
  <c r="R8" i="13"/>
  <c r="O8" i="13"/>
  <c r="S8" i="13" s="1"/>
  <c r="R9" i="13"/>
  <c r="O9" i="13"/>
  <c r="S9" i="13" s="1"/>
  <c r="R10" i="13"/>
  <c r="O10" i="13"/>
  <c r="S10" i="13" s="1"/>
  <c r="R11" i="13"/>
  <c r="O11" i="13"/>
  <c r="S11" i="13" s="1"/>
  <c r="R12" i="13"/>
  <c r="O12" i="13"/>
  <c r="S12" i="13" s="1"/>
  <c r="R13" i="13"/>
  <c r="O13" i="13"/>
  <c r="S13" i="13" s="1"/>
  <c r="P14" i="13"/>
  <c r="Q14" i="13"/>
  <c r="R14" i="13"/>
  <c r="O14" i="13"/>
  <c r="S14" i="13" s="1"/>
  <c r="P15" i="13"/>
  <c r="Q15" i="13"/>
  <c r="R15" i="13"/>
  <c r="O15" i="13"/>
  <c r="S15" i="13" s="1"/>
  <c r="P16" i="13"/>
  <c r="Q16" i="13"/>
  <c r="R16" i="13"/>
  <c r="O16" i="13"/>
  <c r="S16" i="13" s="1"/>
  <c r="P17" i="13"/>
  <c r="Q17" i="13"/>
  <c r="R17" i="13"/>
  <c r="O17" i="13"/>
  <c r="S17" i="13" s="1"/>
  <c r="P18" i="13"/>
  <c r="Q18" i="13"/>
  <c r="R18" i="13"/>
  <c r="O18" i="13"/>
  <c r="S18" i="13" s="1"/>
  <c r="R19" i="13"/>
  <c r="O19" i="13"/>
  <c r="S19" i="13" s="1"/>
  <c r="R20" i="13"/>
  <c r="O20" i="13"/>
  <c r="S20" i="13" s="1"/>
  <c r="P21" i="13"/>
  <c r="R21" i="13"/>
  <c r="O21" i="13"/>
  <c r="S21" i="13" s="1"/>
  <c r="P22" i="13"/>
  <c r="R22" i="13"/>
  <c r="O22" i="13"/>
  <c r="S22" i="13" s="1"/>
  <c r="P23" i="13"/>
  <c r="R23" i="13"/>
  <c r="O23" i="13"/>
  <c r="S23" i="13" s="1"/>
  <c r="R24" i="13"/>
  <c r="O24" i="13"/>
  <c r="S24" i="13" s="1"/>
  <c r="R25" i="13"/>
  <c r="O25" i="13"/>
  <c r="S25" i="13" s="1"/>
  <c r="R26" i="13"/>
  <c r="O26" i="13"/>
  <c r="S26" i="13" s="1"/>
  <c r="R27" i="13"/>
  <c r="O27" i="13"/>
  <c r="S27" i="13" s="1"/>
  <c r="R28" i="13"/>
  <c r="O28" i="13"/>
  <c r="S28" i="13" s="1"/>
  <c r="R29" i="13"/>
  <c r="O29" i="13"/>
  <c r="S29" i="13" s="1"/>
  <c r="R30" i="13"/>
  <c r="O30" i="13"/>
  <c r="S30" i="13" s="1"/>
  <c r="R31" i="13"/>
  <c r="O31" i="13"/>
  <c r="S31" i="13" s="1"/>
  <c r="R32" i="13"/>
  <c r="O32" i="13"/>
  <c r="S32" i="13" s="1"/>
  <c r="R33" i="13"/>
  <c r="O33" i="13"/>
  <c r="S33" i="13" s="1"/>
  <c r="P34" i="13"/>
  <c r="Q34" i="13"/>
  <c r="R34" i="13"/>
  <c r="O34" i="13"/>
  <c r="S34" i="13" s="1"/>
  <c r="P35" i="13"/>
  <c r="Q35" i="13"/>
  <c r="R35" i="13"/>
  <c r="O35" i="13"/>
  <c r="S35" i="13" s="1"/>
  <c r="P36" i="13"/>
  <c r="Q36" i="13"/>
  <c r="O36" i="13"/>
  <c r="S36" i="13" s="1"/>
  <c r="S37" i="13"/>
  <c r="O38" i="13"/>
  <c r="S38" i="13" s="1"/>
  <c r="O39" i="13"/>
  <c r="S39" i="13" s="1"/>
  <c r="O40" i="13"/>
  <c r="S40" i="13" s="1"/>
  <c r="O41" i="13"/>
  <c r="S41" i="13" s="1"/>
  <c r="O42" i="13"/>
  <c r="S42" i="13" s="1"/>
  <c r="O43" i="13"/>
  <c r="S43" i="13" s="1"/>
  <c r="O44" i="13"/>
  <c r="S44" i="13" s="1"/>
  <c r="O45" i="13"/>
  <c r="S45" i="13" s="1"/>
  <c r="O46" i="13"/>
  <c r="S46" i="13" s="1"/>
  <c r="O47" i="13"/>
  <c r="S47" i="13" s="1"/>
  <c r="O48" i="13"/>
  <c r="S48" i="13" s="1"/>
  <c r="O49" i="13"/>
  <c r="S49" i="13" s="1"/>
  <c r="O50" i="13"/>
  <c r="S50" i="13" s="1"/>
  <c r="O51" i="13"/>
  <c r="S51" i="13" s="1"/>
  <c r="O52" i="13"/>
  <c r="S52" i="13" s="1"/>
  <c r="O53" i="13"/>
  <c r="S53" i="13" s="1"/>
  <c r="O54" i="13"/>
  <c r="S54" i="13" s="1"/>
  <c r="P55" i="13"/>
  <c r="O55" i="13"/>
  <c r="S55" i="13" s="1"/>
  <c r="P56" i="13"/>
  <c r="O56" i="13"/>
  <c r="S56" i="13" s="1"/>
  <c r="P57" i="13"/>
  <c r="O57" i="13"/>
  <c r="S57" i="13" s="1"/>
  <c r="O58" i="13"/>
  <c r="S58" i="13" s="1"/>
  <c r="O59" i="13"/>
  <c r="S59" i="13" s="1"/>
  <c r="O60" i="13"/>
  <c r="S60" i="13" s="1"/>
  <c r="O61" i="13"/>
  <c r="S61" i="13" s="1"/>
  <c r="O62" i="13"/>
  <c r="S62" i="13" s="1"/>
  <c r="O63" i="13"/>
  <c r="S63" i="13" s="1"/>
  <c r="O64" i="13"/>
  <c r="S64" i="13" s="1"/>
  <c r="O65" i="13"/>
  <c r="S65" i="13" s="1"/>
  <c r="O66" i="13"/>
  <c r="S66" i="13" s="1"/>
  <c r="O67" i="13"/>
  <c r="S67" i="13" s="1"/>
  <c r="O68" i="13"/>
  <c r="S68" i="13" s="1"/>
  <c r="O69" i="13"/>
  <c r="S69" i="13" s="1"/>
  <c r="O70" i="13"/>
  <c r="S70" i="13" s="1"/>
  <c r="O71" i="13"/>
  <c r="S71" i="13" s="1"/>
  <c r="O72" i="13"/>
  <c r="S72" i="13" s="1"/>
  <c r="O73" i="13"/>
  <c r="S73" i="13" s="1"/>
  <c r="O74" i="13"/>
  <c r="S74" i="13" s="1"/>
  <c r="R75" i="13"/>
  <c r="O75" i="13"/>
  <c r="S75" i="13" s="1"/>
  <c r="P76" i="13"/>
  <c r="R76" i="13"/>
  <c r="O76" i="13"/>
  <c r="S76" i="13" s="1"/>
  <c r="P77" i="13"/>
  <c r="R77" i="13"/>
  <c r="O77" i="13"/>
  <c r="S77" i="13" s="1"/>
  <c r="P78" i="13"/>
  <c r="R78" i="13"/>
  <c r="O78" i="13"/>
  <c r="S78" i="13" s="1"/>
  <c r="P79" i="13"/>
  <c r="R79" i="13"/>
  <c r="O79" i="13"/>
  <c r="S79" i="13" s="1"/>
  <c r="P80" i="13"/>
  <c r="R80" i="13"/>
  <c r="O80" i="13"/>
  <c r="S80" i="13" s="1"/>
  <c r="P81" i="13"/>
  <c r="R81" i="13"/>
  <c r="O81" i="13"/>
  <c r="S81" i="13" s="1"/>
  <c r="P82" i="13"/>
  <c r="R82" i="13"/>
  <c r="O82" i="13"/>
  <c r="S82" i="13" s="1"/>
  <c r="P83" i="13"/>
  <c r="R83" i="13"/>
  <c r="O83" i="13"/>
  <c r="S83" i="13" s="1"/>
  <c r="P84" i="13"/>
  <c r="R84" i="13"/>
  <c r="O84" i="13"/>
  <c r="S84" i="13" s="1"/>
  <c r="P85" i="13"/>
  <c r="R85" i="13"/>
  <c r="O85" i="13"/>
  <c r="S85" i="13" s="1"/>
  <c r="S2" i="13"/>
  <c r="O3" i="13"/>
  <c r="O4" i="13"/>
  <c r="S4" i="13" s="1"/>
  <c r="R2" i="13"/>
  <c r="R3" i="13"/>
  <c r="R4" i="13"/>
  <c r="P2" i="13"/>
  <c r="P3" i="13"/>
  <c r="P4" i="13"/>
  <c r="D17" i="6"/>
  <c r="D16" i="6"/>
  <c r="D15" i="6"/>
  <c r="D14" i="6"/>
  <c r="Q3" i="13"/>
  <c r="Q4" i="13"/>
  <c r="S3" i="13" l="1"/>
  <c r="S95" i="13" s="1"/>
  <c r="Q56" i="13"/>
  <c r="R72" i="13"/>
  <c r="Q11" i="13"/>
  <c r="R71" i="13"/>
  <c r="R70" i="13"/>
  <c r="R73" i="13"/>
  <c r="R69" i="13"/>
  <c r="P38" i="13"/>
  <c r="R53" i="13"/>
  <c r="R49" i="13"/>
  <c r="R45" i="13"/>
  <c r="R41" i="13"/>
  <c r="R65" i="13"/>
  <c r="R61" i="13"/>
  <c r="R57" i="13"/>
  <c r="R55" i="13"/>
  <c r="R52" i="13"/>
  <c r="R48" i="13"/>
  <c r="R44" i="13"/>
  <c r="R40" i="13"/>
  <c r="R37" i="13"/>
  <c r="R39" i="13"/>
  <c r="R58" i="13"/>
  <c r="R64" i="13"/>
  <c r="R47" i="13"/>
  <c r="R36" i="13"/>
  <c r="R68" i="13"/>
  <c r="R67" i="13"/>
  <c r="R60" i="13"/>
  <c r="R51" i="13"/>
  <c r="R66" i="13"/>
  <c r="R63" i="13"/>
  <c r="R59" i="13"/>
  <c r="R56" i="13"/>
  <c r="R54" i="13"/>
  <c r="R50" i="13"/>
  <c r="R46" i="13"/>
  <c r="R42" i="13"/>
  <c r="R62" i="13"/>
  <c r="R43" i="13"/>
  <c r="R38" i="13"/>
  <c r="P41" i="13"/>
  <c r="P40" i="13"/>
  <c r="H5" i="6"/>
  <c r="H6" i="6"/>
  <c r="H7" i="6"/>
  <c r="H4" i="6"/>
  <c r="W3" i="13"/>
  <c r="W4" i="13"/>
  <c r="W5" i="13"/>
  <c r="Q12" i="13" l="1"/>
  <c r="W2" i="13"/>
  <c r="V5" i="13"/>
  <c r="Q57" i="13" l="1"/>
  <c r="Q20" i="13"/>
  <c r="Q19" i="13"/>
  <c r="P43" i="13"/>
  <c r="P42" i="13"/>
  <c r="B2" i="13"/>
  <c r="G6" i="6"/>
  <c r="F5" i="6"/>
  <c r="F6" i="6"/>
  <c r="G5" i="6"/>
  <c r="P44" i="13" l="1"/>
  <c r="Q21" i="13" l="1"/>
  <c r="P45" i="13"/>
  <c r="AH5" i="13"/>
  <c r="AH6" i="13"/>
  <c r="AH7" i="13"/>
  <c r="AH8" i="13"/>
  <c r="AH9" i="13"/>
  <c r="AH10" i="13"/>
  <c r="AH11" i="13"/>
  <c r="AH1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81" i="13"/>
  <c r="AH82" i="13"/>
  <c r="AH83" i="13"/>
  <c r="AH84" i="13"/>
  <c r="AH85" i="13"/>
  <c r="Q23" i="13" l="1"/>
  <c r="Q22" i="13"/>
  <c r="P46" i="13"/>
  <c r="AH28" i="13"/>
  <c r="AH13" i="13"/>
  <c r="AG19" i="13"/>
  <c r="AF19" i="13"/>
  <c r="Q24" i="13" l="1"/>
  <c r="P47" i="13"/>
  <c r="AH29" i="13"/>
  <c r="AH14" i="13"/>
  <c r="Q25" i="13" l="1"/>
  <c r="P48" i="13"/>
  <c r="AH30" i="13"/>
  <c r="AH16" i="13"/>
  <c r="AH15" i="13"/>
  <c r="P49" i="13" l="1"/>
  <c r="AF49" i="13" s="1"/>
  <c r="AH31" i="13"/>
  <c r="AH17" i="13"/>
  <c r="V44" i="13"/>
  <c r="V45" i="13"/>
  <c r="V52" i="13"/>
  <c r="V54" i="13"/>
  <c r="V55" i="13"/>
  <c r="V63" i="13"/>
  <c r="V68" i="13"/>
  <c r="V69" i="13"/>
  <c r="V75" i="13"/>
  <c r="V76" i="13"/>
  <c r="V15" i="13"/>
  <c r="AF85" i="13"/>
  <c r="AF84" i="13"/>
  <c r="AF83" i="13"/>
  <c r="AF82" i="13"/>
  <c r="AF81" i="13"/>
  <c r="AF80" i="13"/>
  <c r="AF79" i="13"/>
  <c r="AF78" i="13"/>
  <c r="AF77" i="13"/>
  <c r="AF76" i="13"/>
  <c r="AG57" i="13"/>
  <c r="AF57" i="13"/>
  <c r="AG56" i="13"/>
  <c r="AF56" i="13"/>
  <c r="AG55" i="13"/>
  <c r="AF55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G36" i="13"/>
  <c r="AF36" i="13"/>
  <c r="AG35" i="13"/>
  <c r="AF35" i="13"/>
  <c r="AG34" i="13"/>
  <c r="AF34" i="13"/>
  <c r="AF33" i="13"/>
  <c r="AF32" i="13"/>
  <c r="AF31" i="13"/>
  <c r="AF30" i="13"/>
  <c r="AF29" i="13"/>
  <c r="AF28" i="13"/>
  <c r="AF27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F20" i="13"/>
  <c r="AG18" i="13"/>
  <c r="AF18" i="13"/>
  <c r="AG17" i="13"/>
  <c r="AF17" i="13"/>
  <c r="AG16" i="13"/>
  <c r="AF16" i="13"/>
  <c r="AG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I3" i="13"/>
  <c r="A3" i="13"/>
  <c r="AI2" i="13"/>
  <c r="U2" i="13"/>
  <c r="Q27" i="13" l="1"/>
  <c r="AG27" i="13" s="1"/>
  <c r="Q26" i="13"/>
  <c r="AG26" i="13" s="1"/>
  <c r="P50" i="13"/>
  <c r="AF2" i="13"/>
  <c r="T2" i="13"/>
  <c r="AH4" i="13"/>
  <c r="V4" i="13"/>
  <c r="AF5" i="13"/>
  <c r="T5" i="13"/>
  <c r="AH3" i="13"/>
  <c r="V3" i="13"/>
  <c r="AF4" i="13"/>
  <c r="T4" i="13"/>
  <c r="AF3" i="13"/>
  <c r="T3" i="13"/>
  <c r="AG3" i="13"/>
  <c r="U3" i="13"/>
  <c r="AG5" i="13"/>
  <c r="U5" i="13"/>
  <c r="AH2" i="13"/>
  <c r="V2" i="13"/>
  <c r="AG4" i="13"/>
  <c r="U4" i="13"/>
  <c r="AH32" i="13"/>
  <c r="V67" i="13"/>
  <c r="V66" i="13"/>
  <c r="V65" i="13"/>
  <c r="A4" i="13"/>
  <c r="B3" i="13"/>
  <c r="AG2" i="13"/>
  <c r="V31" i="13"/>
  <c r="V28" i="13"/>
  <c r="T12" i="13"/>
  <c r="T9" i="13"/>
  <c r="U9" i="13"/>
  <c r="U56" i="13"/>
  <c r="T47" i="13"/>
  <c r="U12" i="13"/>
  <c r="T27" i="13"/>
  <c r="T41" i="13"/>
  <c r="T81" i="13"/>
  <c r="T11" i="13"/>
  <c r="T35" i="13"/>
  <c r="T49" i="13"/>
  <c r="U11" i="13"/>
  <c r="T29" i="13"/>
  <c r="T32" i="13"/>
  <c r="U35" i="13"/>
  <c r="T43" i="13"/>
  <c r="T46" i="13"/>
  <c r="T57" i="13"/>
  <c r="T83" i="13"/>
  <c r="T33" i="13"/>
  <c r="T40" i="13"/>
  <c r="T80" i="13"/>
  <c r="T10" i="13"/>
  <c r="T37" i="13"/>
  <c r="T34" i="13"/>
  <c r="T48" i="13"/>
  <c r="T13" i="13"/>
  <c r="U34" i="13"/>
  <c r="T42" i="13"/>
  <c r="T56" i="13"/>
  <c r="T82" i="13"/>
  <c r="T85" i="13"/>
  <c r="T77" i="13"/>
  <c r="U15" i="13"/>
  <c r="T28" i="13"/>
  <c r="T45" i="13"/>
  <c r="V58" i="13"/>
  <c r="T7" i="13"/>
  <c r="U7" i="13"/>
  <c r="T14" i="13"/>
  <c r="T30" i="13"/>
  <c r="U36" i="13"/>
  <c r="T44" i="13"/>
  <c r="T76" i="13"/>
  <c r="T84" i="13"/>
  <c r="T6" i="13"/>
  <c r="U14" i="13"/>
  <c r="U22" i="13"/>
  <c r="T38" i="13"/>
  <c r="U6" i="13"/>
  <c r="T78" i="13"/>
  <c r="U55" i="13"/>
  <c r="T8" i="13"/>
  <c r="T23" i="13"/>
  <c r="U8" i="13"/>
  <c r="T31" i="13"/>
  <c r="T39" i="13"/>
  <c r="V72" i="13"/>
  <c r="V64" i="13"/>
  <c r="V56" i="13"/>
  <c r="V48" i="13"/>
  <c r="V8" i="13"/>
  <c r="T36" i="13"/>
  <c r="V51" i="13"/>
  <c r="V30" i="13"/>
  <c r="V14" i="13"/>
  <c r="V6" i="13"/>
  <c r="T16" i="13"/>
  <c r="T79" i="13"/>
  <c r="V82" i="13"/>
  <c r="V85" i="13"/>
  <c r="V61" i="13"/>
  <c r="V53" i="13"/>
  <c r="V29" i="13"/>
  <c r="T55" i="13"/>
  <c r="U10" i="13"/>
  <c r="U57" i="13"/>
  <c r="U13" i="13"/>
  <c r="V71" i="13"/>
  <c r="V47" i="13"/>
  <c r="V7" i="13"/>
  <c r="T18" i="13"/>
  <c r="V70" i="13"/>
  <c r="V62" i="13"/>
  <c r="V46" i="13"/>
  <c r="V13" i="13"/>
  <c r="V84" i="13"/>
  <c r="V60" i="13"/>
  <c r="V12" i="13"/>
  <c r="U23" i="13"/>
  <c r="V83" i="13"/>
  <c r="V59" i="13"/>
  <c r="V43" i="13"/>
  <c r="V11" i="13"/>
  <c r="V74" i="13"/>
  <c r="V50" i="13"/>
  <c r="V10" i="13"/>
  <c r="V81" i="13"/>
  <c r="V73" i="13"/>
  <c r="V57" i="13"/>
  <c r="V49" i="13"/>
  <c r="V9" i="13"/>
  <c r="T26" i="13"/>
  <c r="T25" i="13"/>
  <c r="T24" i="13"/>
  <c r="T21" i="13"/>
  <c r="U20" i="13"/>
  <c r="U16" i="13"/>
  <c r="T17" i="13"/>
  <c r="U25" i="13"/>
  <c r="U24" i="13"/>
  <c r="T22" i="13"/>
  <c r="T20" i="13"/>
  <c r="U21" i="13"/>
  <c r="U19" i="13"/>
  <c r="T19" i="13"/>
  <c r="U18" i="13"/>
  <c r="V17" i="13"/>
  <c r="U17" i="13"/>
  <c r="V16" i="13"/>
  <c r="U26" i="13" l="1"/>
  <c r="U27" i="13"/>
  <c r="Q28" i="13"/>
  <c r="AF50" i="13"/>
  <c r="T50" i="13"/>
  <c r="P51" i="13"/>
  <c r="AJ3" i="13"/>
  <c r="AL3" i="13" s="1"/>
  <c r="V32" i="13"/>
  <c r="A5" i="13"/>
  <c r="B4" i="13"/>
  <c r="V18" i="13"/>
  <c r="AH18" i="13"/>
  <c r="AJ2" i="13"/>
  <c r="T15" i="13"/>
  <c r="AF15" i="13"/>
  <c r="AG28" i="13" l="1"/>
  <c r="U28" i="13"/>
  <c r="Q29" i="13"/>
  <c r="AF51" i="13"/>
  <c r="T51" i="13"/>
  <c r="P52" i="13"/>
  <c r="AL2" i="13"/>
  <c r="A6" i="13"/>
  <c r="B5" i="13"/>
  <c r="J4" i="6"/>
  <c r="J5" i="6"/>
  <c r="AG29" i="13" l="1"/>
  <c r="U29" i="13"/>
  <c r="Q30" i="13"/>
  <c r="AF52" i="13"/>
  <c r="T52" i="13"/>
  <c r="P53" i="13"/>
  <c r="AH33" i="13"/>
  <c r="V33" i="13"/>
  <c r="AH34" i="13"/>
  <c r="V34" i="13"/>
  <c r="A7" i="13"/>
  <c r="B6" i="13"/>
  <c r="V20" i="13"/>
  <c r="V19" i="13"/>
  <c r="AH19" i="13"/>
  <c r="AG30" i="13" l="1"/>
  <c r="U30" i="13"/>
  <c r="Q31" i="13"/>
  <c r="P54" i="13"/>
  <c r="AF53" i="13"/>
  <c r="T53" i="13"/>
  <c r="A8" i="13"/>
  <c r="B7" i="13"/>
  <c r="AH20" i="13"/>
  <c r="V21" i="13"/>
  <c r="AH21" i="13"/>
  <c r="Q32" i="13" l="1"/>
  <c r="AG31" i="13"/>
  <c r="U31" i="13"/>
  <c r="AF54" i="13"/>
  <c r="T54" i="13"/>
  <c r="P59" i="13"/>
  <c r="P58" i="13"/>
  <c r="Q59" i="13"/>
  <c r="Q58" i="13"/>
  <c r="AH35" i="13"/>
  <c r="V35" i="13"/>
  <c r="AH36" i="13"/>
  <c r="V36" i="13"/>
  <c r="A9" i="13"/>
  <c r="B8" i="13"/>
  <c r="AH22" i="13"/>
  <c r="AG32" i="13" l="1"/>
  <c r="U32" i="13"/>
  <c r="Q33" i="13"/>
  <c r="AG59" i="13"/>
  <c r="U59" i="13"/>
  <c r="Q60" i="13"/>
  <c r="AF59" i="13"/>
  <c r="T59" i="13"/>
  <c r="AG58" i="13"/>
  <c r="U58" i="13"/>
  <c r="AF58" i="13"/>
  <c r="T58" i="13"/>
  <c r="P60" i="13"/>
  <c r="A10" i="13"/>
  <c r="B9" i="13"/>
  <c r="V22" i="13"/>
  <c r="Q37" i="13" l="1"/>
  <c r="Q38" i="13"/>
  <c r="AG33" i="13"/>
  <c r="U33" i="13"/>
  <c r="AF60" i="13"/>
  <c r="T60" i="13"/>
  <c r="P61" i="13"/>
  <c r="AG60" i="13"/>
  <c r="U60" i="13"/>
  <c r="Q61" i="13"/>
  <c r="AH37" i="13"/>
  <c r="V37" i="13"/>
  <c r="AH38" i="13"/>
  <c r="V38" i="13"/>
  <c r="A11" i="13"/>
  <c r="B10" i="13"/>
  <c r="V23" i="13"/>
  <c r="AH23" i="13"/>
  <c r="J7" i="6"/>
  <c r="AG38" i="13" l="1"/>
  <c r="U38" i="13"/>
  <c r="AG37" i="13"/>
  <c r="U37" i="13"/>
  <c r="Q39" i="13"/>
  <c r="AG61" i="13"/>
  <c r="U61" i="13"/>
  <c r="Q62" i="13"/>
  <c r="AF61" i="13"/>
  <c r="T61" i="13"/>
  <c r="AH39" i="13"/>
  <c r="V39" i="13"/>
  <c r="A12" i="13"/>
  <c r="B11" i="13"/>
  <c r="V25" i="13"/>
  <c r="AH25" i="13"/>
  <c r="V24" i="13"/>
  <c r="AH24" i="13"/>
  <c r="AG39" i="13" l="1"/>
  <c r="U39" i="13"/>
  <c r="Q40" i="13"/>
  <c r="P62" i="13"/>
  <c r="AG62" i="13"/>
  <c r="U62" i="13"/>
  <c r="AH40" i="13"/>
  <c r="V40" i="13"/>
  <c r="A13" i="13"/>
  <c r="B12" i="13"/>
  <c r="P64" i="13" l="1"/>
  <c r="AF64" i="13" s="1"/>
  <c r="AG40" i="13"/>
  <c r="U40" i="13"/>
  <c r="Q41" i="13"/>
  <c r="Q64" i="13"/>
  <c r="AG64" i="13" s="1"/>
  <c r="Q63" i="13"/>
  <c r="P63" i="13"/>
  <c r="AF62" i="13"/>
  <c r="T62" i="13"/>
  <c r="AH42" i="13"/>
  <c r="V42" i="13"/>
  <c r="A14" i="13"/>
  <c r="B13" i="13"/>
  <c r="V27" i="13"/>
  <c r="AH27" i="13"/>
  <c r="V26" i="13"/>
  <c r="AH26" i="13"/>
  <c r="T64" i="13" l="1"/>
  <c r="AG41" i="13"/>
  <c r="U41" i="13"/>
  <c r="Q42" i="13"/>
  <c r="P65" i="13"/>
  <c r="U64" i="13"/>
  <c r="Q65" i="13"/>
  <c r="AG63" i="13"/>
  <c r="U63" i="13"/>
  <c r="AF63" i="13"/>
  <c r="T63" i="13"/>
  <c r="AH41" i="13"/>
  <c r="V41" i="13"/>
  <c r="A15" i="13"/>
  <c r="B14" i="13"/>
  <c r="J6" i="6"/>
  <c r="AF65" i="13" l="1"/>
  <c r="T65" i="13"/>
  <c r="P66" i="13"/>
  <c r="AG42" i="13"/>
  <c r="U42" i="13"/>
  <c r="Q43" i="13"/>
  <c r="AG65" i="13"/>
  <c r="U65" i="13"/>
  <c r="Q66" i="13"/>
  <c r="A16" i="13"/>
  <c r="B15" i="13"/>
  <c r="AG43" i="13" l="1"/>
  <c r="U43" i="13"/>
  <c r="Q44" i="13"/>
  <c r="AF66" i="13"/>
  <c r="T66" i="13"/>
  <c r="P67" i="13"/>
  <c r="AG66" i="13"/>
  <c r="U66" i="13"/>
  <c r="Q67" i="13"/>
  <c r="A17" i="13"/>
  <c r="B16" i="13"/>
  <c r="AF67" i="13" l="1"/>
  <c r="T67" i="13"/>
  <c r="P68" i="13"/>
  <c r="AG44" i="13"/>
  <c r="U44" i="13"/>
  <c r="AG67" i="13"/>
  <c r="U67" i="13"/>
  <c r="Q68" i="13"/>
  <c r="A18" i="13"/>
  <c r="B17" i="13"/>
  <c r="Q46" i="13" l="1"/>
  <c r="Q45" i="13"/>
  <c r="AF68" i="13"/>
  <c r="T68" i="13"/>
  <c r="P69" i="13"/>
  <c r="AG68" i="13"/>
  <c r="U68" i="13"/>
  <c r="Q69" i="13"/>
  <c r="A19" i="13"/>
  <c r="B18" i="13"/>
  <c r="W25" i="6"/>
  <c r="W24" i="6"/>
  <c r="W23" i="6"/>
  <c r="W22" i="6"/>
  <c r="T25" i="6"/>
  <c r="T24" i="6"/>
  <c r="T23" i="6"/>
  <c r="T22" i="6"/>
  <c r="Q25" i="6"/>
  <c r="Q24" i="6"/>
  <c r="Q23" i="6"/>
  <c r="Q22" i="6"/>
  <c r="N25" i="6"/>
  <c r="N24" i="6"/>
  <c r="N23" i="6"/>
  <c r="N22" i="6"/>
  <c r="K25" i="6"/>
  <c r="K24" i="6"/>
  <c r="K23" i="6"/>
  <c r="K22" i="6"/>
  <c r="H25" i="6"/>
  <c r="H24" i="6"/>
  <c r="H23" i="6"/>
  <c r="H22" i="6"/>
  <c r="AF69" i="13" l="1"/>
  <c r="T69" i="13"/>
  <c r="P70" i="13"/>
  <c r="AG45" i="13"/>
  <c r="U45" i="13"/>
  <c r="AG46" i="13"/>
  <c r="U46" i="13"/>
  <c r="Q47" i="13"/>
  <c r="AG69" i="13"/>
  <c r="U69" i="13"/>
  <c r="Q70" i="13"/>
  <c r="A20" i="13"/>
  <c r="B19" i="13"/>
  <c r="AG47" i="13" l="1"/>
  <c r="U47" i="13"/>
  <c r="Q48" i="13"/>
  <c r="AF70" i="13"/>
  <c r="T70" i="13"/>
  <c r="P71" i="13"/>
  <c r="AG70" i="13"/>
  <c r="U70" i="13"/>
  <c r="Q71" i="13"/>
  <c r="A21" i="13"/>
  <c r="B20" i="13"/>
  <c r="AF71" i="13" l="1"/>
  <c r="T71" i="13"/>
  <c r="P72" i="13"/>
  <c r="AG48" i="13"/>
  <c r="U48" i="13"/>
  <c r="Q49" i="13"/>
  <c r="AG71" i="13"/>
  <c r="U71" i="13"/>
  <c r="Q72" i="13"/>
  <c r="A22" i="13"/>
  <c r="B21" i="13"/>
  <c r="AG49" i="13" l="1"/>
  <c r="U49" i="13"/>
  <c r="Q50" i="13"/>
  <c r="AF72" i="13"/>
  <c r="T72" i="13"/>
  <c r="P73" i="13"/>
  <c r="AG72" i="13"/>
  <c r="U72" i="13"/>
  <c r="Q73" i="13"/>
  <c r="A23" i="13"/>
  <c r="B22" i="13"/>
  <c r="AF73" i="13" l="1"/>
  <c r="T73" i="13"/>
  <c r="P75" i="13"/>
  <c r="P74" i="13"/>
  <c r="Q52" i="13"/>
  <c r="Q51" i="13"/>
  <c r="AG50" i="13"/>
  <c r="U50" i="13"/>
  <c r="AG73" i="13"/>
  <c r="U73" i="13"/>
  <c r="Q74" i="13"/>
  <c r="A24" i="13"/>
  <c r="B23" i="13"/>
  <c r="AG51" i="13" l="1"/>
  <c r="U51" i="13"/>
  <c r="AG52" i="13"/>
  <c r="U52" i="13"/>
  <c r="Q53" i="13"/>
  <c r="Q54" i="13"/>
  <c r="AF74" i="13"/>
  <c r="T74" i="13"/>
  <c r="AF75" i="13"/>
  <c r="T75" i="13"/>
  <c r="AG74" i="13"/>
  <c r="U74" i="13"/>
  <c r="Q75" i="13"/>
  <c r="A25" i="13"/>
  <c r="B24" i="13"/>
  <c r="U54" i="13" l="1"/>
  <c r="AG54" i="13"/>
  <c r="U53" i="13"/>
  <c r="AG53" i="13"/>
  <c r="Q76" i="13"/>
  <c r="AG75" i="13"/>
  <c r="U75" i="13"/>
  <c r="A26" i="13"/>
  <c r="B25" i="13"/>
  <c r="AG76" i="13" l="1"/>
  <c r="U76" i="13"/>
  <c r="Q77" i="13"/>
  <c r="A27" i="13"/>
  <c r="B26" i="13"/>
  <c r="AG77" i="13" l="1"/>
  <c r="U77" i="13"/>
  <c r="Q78" i="13"/>
  <c r="A28" i="13"/>
  <c r="B27" i="13"/>
  <c r="AG78" i="13" l="1"/>
  <c r="U78" i="13"/>
  <c r="Q79" i="13"/>
  <c r="A29" i="13"/>
  <c r="B28" i="13"/>
  <c r="E25" i="6"/>
  <c r="E24" i="6"/>
  <c r="E23" i="6"/>
  <c r="E22" i="6"/>
  <c r="AG79" i="13" l="1"/>
  <c r="U79" i="13"/>
  <c r="Q80" i="13"/>
  <c r="A30" i="13"/>
  <c r="B29" i="13"/>
  <c r="AG80" i="13" l="1"/>
  <c r="U80" i="13"/>
  <c r="Q81" i="13"/>
  <c r="A31" i="13"/>
  <c r="B30" i="13"/>
  <c r="AG81" i="13" l="1"/>
  <c r="U81" i="13"/>
  <c r="Q82" i="13"/>
  <c r="A32" i="13"/>
  <c r="B31" i="13"/>
  <c r="AG82" i="13" l="1"/>
  <c r="U82" i="13"/>
  <c r="A33" i="13"/>
  <c r="B32" i="13"/>
  <c r="Q83" i="13" l="1"/>
  <c r="A34" i="13"/>
  <c r="B33" i="13"/>
  <c r="Q85" i="13" l="1"/>
  <c r="AG83" i="13"/>
  <c r="U83" i="13"/>
  <c r="Q84" i="13"/>
  <c r="A35" i="13"/>
  <c r="B34" i="13"/>
  <c r="AG85" i="13" l="1"/>
  <c r="U85" i="13"/>
  <c r="AG84" i="13"/>
  <c r="U84" i="13"/>
  <c r="A36" i="13"/>
  <c r="B35" i="13"/>
  <c r="A37" i="13" l="1"/>
  <c r="B36" i="13"/>
  <c r="A38" i="13" l="1"/>
  <c r="B37" i="13"/>
  <c r="A39" i="13" l="1"/>
  <c r="B38" i="13"/>
  <c r="A40" i="13" l="1"/>
  <c r="B39" i="13"/>
  <c r="A41" i="13" l="1"/>
  <c r="B40" i="13"/>
  <c r="A42" i="13" l="1"/>
  <c r="B41" i="13"/>
  <c r="A43" i="13" l="1"/>
  <c r="B42" i="13"/>
  <c r="I4" i="6"/>
  <c r="I5" i="6"/>
  <c r="M4" i="6"/>
  <c r="M7" i="6"/>
  <c r="M5" i="6"/>
  <c r="M6" i="6"/>
  <c r="I6" i="6"/>
  <c r="I7" i="6"/>
  <c r="E5" i="6"/>
  <c r="E7" i="6"/>
  <c r="A44" i="13" l="1"/>
  <c r="B43" i="13"/>
  <c r="N7" i="6"/>
  <c r="O7" i="6" s="1"/>
  <c r="K7" i="6"/>
  <c r="N6" i="6"/>
  <c r="O6" i="6" s="1"/>
  <c r="K6" i="6"/>
  <c r="O4" i="6"/>
  <c r="K4" i="6"/>
  <c r="K5" i="6"/>
  <c r="N5" i="6"/>
  <c r="O5" i="6" s="1"/>
  <c r="A45" i="13" l="1"/>
  <c r="B44" i="13"/>
  <c r="A46" i="13" l="1"/>
  <c r="B45" i="13"/>
  <c r="A47" i="13" l="1"/>
  <c r="B46" i="13"/>
  <c r="A48" i="13" l="1"/>
  <c r="B47" i="13"/>
  <c r="A49" i="13" l="1"/>
  <c r="B48" i="13"/>
  <c r="A50" i="13" l="1"/>
  <c r="B49" i="13"/>
  <c r="A51" i="13" l="1"/>
  <c r="B50" i="13"/>
  <c r="A52" i="13" l="1"/>
  <c r="B51" i="13"/>
  <c r="A53" i="13" l="1"/>
  <c r="B52" i="13"/>
  <c r="A54" i="13" l="1"/>
  <c r="B53" i="13"/>
  <c r="A55" i="13" l="1"/>
  <c r="B54" i="13"/>
  <c r="A56" i="13" l="1"/>
  <c r="B55" i="13"/>
  <c r="A57" i="13" l="1"/>
  <c r="B56" i="13"/>
  <c r="A58" i="13" l="1"/>
  <c r="B57" i="13"/>
  <c r="A59" i="13" l="1"/>
  <c r="B58" i="13"/>
  <c r="A60" i="13" l="1"/>
  <c r="B59" i="13"/>
  <c r="A61" i="13" l="1"/>
  <c r="B60" i="13"/>
  <c r="A62" i="13" l="1"/>
  <c r="B61" i="13"/>
  <c r="A63" i="13" l="1"/>
  <c r="B62" i="13"/>
  <c r="A64" i="13" l="1"/>
  <c r="B63" i="13"/>
  <c r="A65" i="13" l="1"/>
  <c r="B64" i="13"/>
  <c r="A66" i="13" l="1"/>
  <c r="B65" i="13"/>
  <c r="A67" i="13" l="1"/>
  <c r="B66" i="13"/>
  <c r="A68" i="13" l="1"/>
  <c r="B67" i="13"/>
  <c r="A69" i="13" l="1"/>
  <c r="B68" i="13"/>
  <c r="A70" i="13" l="1"/>
  <c r="B69" i="13"/>
  <c r="A71" i="13" l="1"/>
  <c r="B70" i="13"/>
  <c r="A72" i="13" l="1"/>
  <c r="B71" i="13"/>
  <c r="A73" i="13" l="1"/>
  <c r="B72" i="13"/>
  <c r="A74" i="13" l="1"/>
  <c r="B73" i="13"/>
  <c r="A75" i="13" l="1"/>
  <c r="B74" i="13"/>
  <c r="A76" i="13" l="1"/>
  <c r="B75" i="13"/>
  <c r="A77" i="13" l="1"/>
  <c r="B76" i="13"/>
  <c r="A78" i="13" l="1"/>
  <c r="B77" i="13"/>
  <c r="A79" i="13" l="1"/>
  <c r="B78" i="13"/>
  <c r="A80" i="13" l="1"/>
  <c r="B79" i="13"/>
  <c r="A81" i="13" l="1"/>
  <c r="B80" i="13"/>
  <c r="A82" i="13" l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B81" i="13"/>
  <c r="A93" i="13" l="1"/>
  <c r="B92" i="13"/>
  <c r="B82" i="13"/>
  <c r="A94" i="13" l="1"/>
  <c r="B94" i="13" s="1"/>
  <c r="B93" i="13"/>
  <c r="B83" i="13"/>
  <c r="B84" i="13" l="1"/>
  <c r="B85" i="13" l="1"/>
  <c r="B86" i="13" l="1"/>
  <c r="B87" i="13" l="1"/>
  <c r="B88" i="13" l="1"/>
  <c r="B89" i="13" l="1"/>
  <c r="B90" i="13" l="1"/>
  <c r="B91" i="13" l="1"/>
  <c r="V78" i="13" l="1"/>
  <c r="AH80" i="13"/>
  <c r="AH78" i="13" l="1"/>
  <c r="V80" i="13"/>
  <c r="AH77" i="13"/>
  <c r="V77" i="13"/>
  <c r="AH79" i="13"/>
  <c r="V79" i="13"/>
  <c r="AI16" i="13" l="1"/>
  <c r="AJ16" i="13" s="1"/>
  <c r="AL16" i="13" s="1"/>
  <c r="W16" i="13"/>
  <c r="AI8" i="13"/>
  <c r="AJ8" i="13" s="1"/>
  <c r="AL8" i="13" s="1"/>
  <c r="W8" i="13"/>
  <c r="AI12" i="13"/>
  <c r="AJ12" i="13" s="1"/>
  <c r="AL12" i="13" s="1"/>
  <c r="W12" i="13"/>
  <c r="AI77" i="13"/>
  <c r="AJ77" i="13" s="1"/>
  <c r="AL77" i="13" s="1"/>
  <c r="W77" i="13"/>
  <c r="AI5" i="13"/>
  <c r="AJ5" i="13" s="1"/>
  <c r="AL5" i="13" s="1"/>
  <c r="AI79" i="13"/>
  <c r="AJ79" i="13" s="1"/>
  <c r="AL79" i="13" s="1"/>
  <c r="W79" i="13"/>
  <c r="AI50" i="13"/>
  <c r="AJ50" i="13" s="1"/>
  <c r="AL50" i="13" s="1"/>
  <c r="W50" i="13"/>
  <c r="AI58" i="13"/>
  <c r="AJ58" i="13" s="1"/>
  <c r="AL58" i="13" s="1"/>
  <c r="W58" i="13"/>
  <c r="AI70" i="13"/>
  <c r="AJ70" i="13" s="1"/>
  <c r="AL70" i="13" s="1"/>
  <c r="W70" i="13"/>
  <c r="AI80" i="13"/>
  <c r="AJ80" i="13" s="1"/>
  <c r="AL80" i="13" s="1"/>
  <c r="W80" i="13"/>
  <c r="AI43" i="13"/>
  <c r="AJ43" i="13" s="1"/>
  <c r="AL43" i="13" s="1"/>
  <c r="W43" i="13"/>
  <c r="AI55" i="13"/>
  <c r="AJ55" i="13" s="1"/>
  <c r="AL55" i="13" s="1"/>
  <c r="W55" i="13"/>
  <c r="AI67" i="13"/>
  <c r="AJ67" i="13" s="1"/>
  <c r="AL67" i="13" s="1"/>
  <c r="W67" i="13"/>
  <c r="AI81" i="13"/>
  <c r="AJ81" i="13" s="1"/>
  <c r="AL81" i="13" s="1"/>
  <c r="W81" i="13"/>
  <c r="AI52" i="13"/>
  <c r="AJ52" i="13" s="1"/>
  <c r="AL52" i="13" s="1"/>
  <c r="W52" i="13"/>
  <c r="AI64" i="13"/>
  <c r="AJ64" i="13" s="1"/>
  <c r="AL64" i="13" s="1"/>
  <c r="W64" i="13"/>
  <c r="AI76" i="13"/>
  <c r="AJ76" i="13" s="1"/>
  <c r="AL76" i="13" s="1"/>
  <c r="W76" i="13"/>
  <c r="AI13" i="13"/>
  <c r="AJ13" i="13" s="1"/>
  <c r="AL13" i="13" s="1"/>
  <c r="W13" i="13"/>
  <c r="AI45" i="13"/>
  <c r="AJ45" i="13" s="1"/>
  <c r="AL45" i="13" s="1"/>
  <c r="W45" i="13"/>
  <c r="AI49" i="13"/>
  <c r="AJ49" i="13" s="1"/>
  <c r="AL49" i="13" s="1"/>
  <c r="W49" i="13"/>
  <c r="AI53" i="13"/>
  <c r="AJ53" i="13" s="1"/>
  <c r="AL53" i="13" s="1"/>
  <c r="W53" i="13"/>
  <c r="AI57" i="13"/>
  <c r="AJ57" i="13" s="1"/>
  <c r="AL57" i="13" s="1"/>
  <c r="W57" i="13"/>
  <c r="AI61" i="13"/>
  <c r="AJ61" i="13" s="1"/>
  <c r="AL61" i="13" s="1"/>
  <c r="W61" i="13"/>
  <c r="AI65" i="13"/>
  <c r="AJ65" i="13" s="1"/>
  <c r="AL65" i="13" s="1"/>
  <c r="W65" i="13"/>
  <c r="AI69" i="13"/>
  <c r="AJ69" i="13" s="1"/>
  <c r="AL69" i="13" s="1"/>
  <c r="W69" i="13"/>
  <c r="AI73" i="13"/>
  <c r="AJ73" i="13" s="1"/>
  <c r="AL73" i="13" s="1"/>
  <c r="W73" i="13"/>
  <c r="AI78" i="13"/>
  <c r="AJ78" i="13" s="1"/>
  <c r="AL78" i="13" s="1"/>
  <c r="W78" i="13"/>
  <c r="AI83" i="13"/>
  <c r="AJ83" i="13" s="1"/>
  <c r="AL83" i="13" s="1"/>
  <c r="W83" i="13"/>
  <c r="AI9" i="13"/>
  <c r="AJ9" i="13" s="1"/>
  <c r="AL9" i="13" s="1"/>
  <c r="W9" i="13"/>
  <c r="AI14" i="13"/>
  <c r="AJ14" i="13" s="1"/>
  <c r="AL14" i="13" s="1"/>
  <c r="W14" i="13"/>
  <c r="AI42" i="13"/>
  <c r="AJ42" i="13" s="1"/>
  <c r="AL42" i="13" s="1"/>
  <c r="W42" i="13"/>
  <c r="AI46" i="13"/>
  <c r="AJ46" i="13" s="1"/>
  <c r="AL46" i="13" s="1"/>
  <c r="W46" i="13"/>
  <c r="AI54" i="13"/>
  <c r="AJ54" i="13" s="1"/>
  <c r="AL54" i="13" s="1"/>
  <c r="W54" i="13"/>
  <c r="AI62" i="13"/>
  <c r="AJ62" i="13" s="1"/>
  <c r="AL62" i="13" s="1"/>
  <c r="W62" i="13"/>
  <c r="AI66" i="13"/>
  <c r="AJ66" i="13" s="1"/>
  <c r="AL66" i="13" s="1"/>
  <c r="W66" i="13"/>
  <c r="AI74" i="13"/>
  <c r="AJ74" i="13" s="1"/>
  <c r="AL74" i="13" s="1"/>
  <c r="W74" i="13"/>
  <c r="AI84" i="13"/>
  <c r="AJ84" i="13" s="1"/>
  <c r="AL84" i="13" s="1"/>
  <c r="W84" i="13"/>
  <c r="AI47" i="13"/>
  <c r="AJ47" i="13" s="1"/>
  <c r="AL47" i="13" s="1"/>
  <c r="W47" i="13"/>
  <c r="AI59" i="13"/>
  <c r="AJ59" i="13" s="1"/>
  <c r="AL59" i="13" s="1"/>
  <c r="W59" i="13"/>
  <c r="AI71" i="13"/>
  <c r="AJ71" i="13" s="1"/>
  <c r="AL71" i="13" s="1"/>
  <c r="W71" i="13"/>
  <c r="AI85" i="13"/>
  <c r="AJ85" i="13" s="1"/>
  <c r="AL85" i="13" s="1"/>
  <c r="W85" i="13"/>
  <c r="AI7" i="13"/>
  <c r="AJ7" i="13" s="1"/>
  <c r="AL7" i="13" s="1"/>
  <c r="W7" i="13"/>
  <c r="AI44" i="13"/>
  <c r="AJ44" i="13" s="1"/>
  <c r="AL44" i="13" s="1"/>
  <c r="W44" i="13"/>
  <c r="AI56" i="13"/>
  <c r="AJ56" i="13" s="1"/>
  <c r="AL56" i="13" s="1"/>
  <c r="W56" i="13"/>
  <c r="AI68" i="13"/>
  <c r="AJ68" i="13" s="1"/>
  <c r="AL68" i="13" s="1"/>
  <c r="W68" i="13"/>
  <c r="AI82" i="13"/>
  <c r="AJ82" i="13" s="1"/>
  <c r="AL82" i="13" s="1"/>
  <c r="W82" i="13"/>
  <c r="AI6" i="13"/>
  <c r="AJ6" i="13" s="1"/>
  <c r="AL6" i="13" s="1"/>
  <c r="W6" i="13"/>
  <c r="AI10" i="13"/>
  <c r="AJ10" i="13" s="1"/>
  <c r="AL10" i="13" s="1"/>
  <c r="W10" i="13"/>
  <c r="AI51" i="13"/>
  <c r="AJ51" i="13" s="1"/>
  <c r="AL51" i="13" s="1"/>
  <c r="W51" i="13"/>
  <c r="AI63" i="13"/>
  <c r="AJ63" i="13" s="1"/>
  <c r="AL63" i="13" s="1"/>
  <c r="W63" i="13"/>
  <c r="AI75" i="13"/>
  <c r="AJ75" i="13" s="1"/>
  <c r="AL75" i="13" s="1"/>
  <c r="W75" i="13"/>
  <c r="AI11" i="13"/>
  <c r="AJ11" i="13" s="1"/>
  <c r="AL11" i="13" s="1"/>
  <c r="W11" i="13"/>
  <c r="AI48" i="13"/>
  <c r="AJ48" i="13" s="1"/>
  <c r="AL48" i="13" s="1"/>
  <c r="W48" i="13"/>
  <c r="AI60" i="13"/>
  <c r="AJ60" i="13" s="1"/>
  <c r="AL60" i="13" s="1"/>
  <c r="W60" i="13"/>
  <c r="AI72" i="13"/>
  <c r="AJ72" i="13" s="1"/>
  <c r="AL72" i="13" s="1"/>
  <c r="W72" i="13"/>
  <c r="AI4" i="13"/>
  <c r="AJ4" i="13" s="1"/>
  <c r="AI17" i="13"/>
  <c r="AJ17" i="13" s="1"/>
  <c r="AL17" i="13" s="1"/>
  <c r="W17" i="13"/>
  <c r="AI18" i="13"/>
  <c r="AJ18" i="13" s="1"/>
  <c r="AL18" i="13" s="1"/>
  <c r="W18" i="13"/>
  <c r="AI20" i="13"/>
  <c r="AJ20" i="13" s="1"/>
  <c r="AL20" i="13" s="1"/>
  <c r="W20" i="13"/>
  <c r="AI21" i="13"/>
  <c r="AJ21" i="13" s="1"/>
  <c r="AL21" i="13" s="1"/>
  <c r="W21" i="13"/>
  <c r="AI19" i="13"/>
  <c r="AJ19" i="13" s="1"/>
  <c r="AL19" i="13" s="1"/>
  <c r="W19" i="13"/>
  <c r="AI15" i="13"/>
  <c r="AJ15" i="13" s="1"/>
  <c r="AL15" i="13" s="1"/>
  <c r="W15" i="13"/>
  <c r="AI22" i="13"/>
  <c r="AJ22" i="13" s="1"/>
  <c r="AL22" i="13" s="1"/>
  <c r="W22" i="13"/>
  <c r="AI23" i="13"/>
  <c r="AJ23" i="13" s="1"/>
  <c r="AL23" i="13" s="1"/>
  <c r="W23" i="13"/>
  <c r="W24" i="13"/>
  <c r="AI24" i="13"/>
  <c r="AJ24" i="13" s="1"/>
  <c r="AL24" i="13" s="1"/>
  <c r="W25" i="13"/>
  <c r="AI25" i="13"/>
  <c r="AJ25" i="13" s="1"/>
  <c r="AL25" i="13" s="1"/>
  <c r="W26" i="13"/>
  <c r="AI26" i="13"/>
  <c r="AJ26" i="13" s="1"/>
  <c r="AL26" i="13" s="1"/>
  <c r="W27" i="13"/>
  <c r="AI27" i="13"/>
  <c r="AJ27" i="13" s="1"/>
  <c r="AL27" i="13" s="1"/>
  <c r="W28" i="13"/>
  <c r="AI28" i="13"/>
  <c r="AJ28" i="13" s="1"/>
  <c r="AL28" i="13" s="1"/>
  <c r="AI29" i="13"/>
  <c r="AJ29" i="13" s="1"/>
  <c r="AL29" i="13" s="1"/>
  <c r="W29" i="13"/>
  <c r="W30" i="13"/>
  <c r="AI30" i="13"/>
  <c r="AJ30" i="13" s="1"/>
  <c r="AL30" i="13" s="1"/>
  <c r="W31" i="13"/>
  <c r="AI31" i="13"/>
  <c r="AJ31" i="13" s="1"/>
  <c r="AL31" i="13" s="1"/>
  <c r="AI32" i="13"/>
  <c r="AJ32" i="13" s="1"/>
  <c r="AL32" i="13" s="1"/>
  <c r="W32" i="13"/>
  <c r="AI33" i="13"/>
  <c r="AJ33" i="13" s="1"/>
  <c r="AL33" i="13" s="1"/>
  <c r="W33" i="13"/>
  <c r="AI34" i="13"/>
  <c r="AJ34" i="13" s="1"/>
  <c r="AL34" i="13" s="1"/>
  <c r="W34" i="13"/>
  <c r="W35" i="13"/>
  <c r="AI35" i="13"/>
  <c r="AJ35" i="13" s="1"/>
  <c r="AL35" i="13" s="1"/>
  <c r="AI36" i="13"/>
  <c r="AJ36" i="13" s="1"/>
  <c r="AL36" i="13" s="1"/>
  <c r="W36" i="13"/>
  <c r="W37" i="13"/>
  <c r="AI37" i="13"/>
  <c r="AJ37" i="13" s="1"/>
  <c r="AL37" i="13" s="1"/>
  <c r="AI38" i="13"/>
  <c r="AJ38" i="13" s="1"/>
  <c r="AL38" i="13" s="1"/>
  <c r="W38" i="13"/>
  <c r="AI39" i="13"/>
  <c r="AJ39" i="13" s="1"/>
  <c r="AL39" i="13" s="1"/>
  <c r="W39" i="13"/>
  <c r="AI41" i="13"/>
  <c r="AJ41" i="13" s="1"/>
  <c r="AL41" i="13" s="1"/>
  <c r="W41" i="13"/>
  <c r="AI40" i="13"/>
  <c r="AJ40" i="13" s="1"/>
  <c r="AL40" i="13" s="1"/>
  <c r="W40" i="13"/>
  <c r="C55" i="14" l="1"/>
  <c r="AL4" i="13"/>
  <c r="D55" i="14" l="1"/>
  <c r="D5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tc={9764B4BE-0BF7-4407-A4AD-DF903FF26D4D}</author>
  </authors>
  <commentList>
    <comment ref="AA2" authorId="0" shapeId="0" xr:uid="{3CDA15D9-4F97-458F-8680-4A1EA6B3DC91}">
      <text>
        <r>
          <rPr>
            <b/>
            <sz val="9"/>
            <color indexed="81"/>
            <rFont val="Tahoma"/>
            <family val="2"/>
          </rPr>
          <t xml:space="preserve">CTE. DENSIDAD Y DOLUCIÓN.
</t>
        </r>
      </text>
    </comment>
    <comment ref="T9" authorId="1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C19" authorId="0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sharedStrings.xml><?xml version="1.0" encoding="utf-8"?>
<sst xmlns="http://schemas.openxmlformats.org/spreadsheetml/2006/main" count="367" uniqueCount="104">
  <si>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</si>
  <si>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</si>
  <si>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</si>
  <si>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</si>
  <si>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</si>
  <si>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</si>
  <si>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</si>
  <si>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</si>
  <si>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</si>
  <si>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</si>
  <si>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</si>
  <si>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</si>
  <si>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</si>
  <si>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>CONSOLIDADO DOSIFICACIÓN QUÍMICA PPM (mg/L)</t>
  </si>
  <si>
    <t>ENTREGAS DE INSUMOS QUÍMICOS PROVEEEDOR COFAI (FECHA)</t>
  </si>
  <si>
    <t>TOTAL SUMINISTRO QUÍMICOS (PROVEEDOR)</t>
  </si>
  <si>
    <t>REGISTRO DENSIDADES DE INSUMOS QUÍMICOS PROVEEEDOR COFAI (FECHA)</t>
  </si>
  <si>
    <t>FECHA</t>
  </si>
  <si>
    <t>1 (NOCHE)</t>
  </si>
  <si>
    <t>2 (MAÑANA)</t>
  </si>
  <si>
    <t>3(TARDE)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</si>
  <si>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</si>
  <si>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</si>
  <si>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</si>
  <si>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</si>
  <si>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</si>
  <si>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</si>
  <si>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POL ANIONICO (KG)</t>
  </si>
  <si>
    <t>DENSIDAD COAGULANTE</t>
  </si>
  <si>
    <t>DENSIDAD ANIONICO</t>
  </si>
  <si>
    <t>DENSIDAD ACIDO</t>
  </si>
  <si>
    <t xml:space="preserve">PPM ACIDO </t>
  </si>
  <si>
    <t xml:space="preserve">PPM COAGULANTE </t>
  </si>
  <si>
    <t>KG ACIDO</t>
  </si>
  <si>
    <t xml:space="preserve">KG POL ANIONICO </t>
  </si>
  <si>
    <t>KG COAGULANTE</t>
  </si>
  <si>
    <t xml:space="preserve">PPM POL ANIONICO </t>
  </si>
  <si>
    <t>PRECIO (KG) ACIDO</t>
  </si>
  <si>
    <t>PRECIO (KG) COAGULANTE</t>
  </si>
  <si>
    <t>PRECIO (KG) ANIONICO</t>
  </si>
  <si>
    <t>COSTO OPERATIVO ACIDO</t>
  </si>
  <si>
    <t>COSTO OPERATIVO COAGULANTE</t>
  </si>
  <si>
    <t>COSTO OPERATIVO ANIONICO</t>
  </si>
  <si>
    <t>$ m3</t>
  </si>
  <si>
    <t>Total general</t>
  </si>
  <si>
    <t>LIMITE INDICADOR M3</t>
  </si>
  <si>
    <t>FINAL TURNO 3</t>
  </si>
  <si>
    <t>FINAL TURNO 2</t>
  </si>
  <si>
    <t>FINAL TURNO 1</t>
  </si>
  <si>
    <t>DIA</t>
  </si>
  <si>
    <t>DIAS</t>
  </si>
  <si>
    <t>PRODUCTOS QUÍMICOS</t>
  </si>
  <si>
    <t>COF 280 ACIDO (L)</t>
  </si>
  <si>
    <t>COF 235 COAGULANTE (L)</t>
  </si>
  <si>
    <t>COF 440 POL ANIONICO (KG)</t>
  </si>
  <si>
    <t>COF 280 - KG ACIDO</t>
  </si>
  <si>
    <t>COF 235 - KG COAGULANTE</t>
  </si>
  <si>
    <t xml:space="preserve">COF 440 - KG POL ANIONICO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</si>
  <si>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</si>
  <si>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</si>
  <si>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</si>
  <si>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</si>
  <si>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</si>
  <si>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CONSUMO DE QUIMICO</t>
  </si>
  <si>
    <t>$m3</t>
  </si>
  <si>
    <t># TURNO</t>
  </si>
  <si>
    <t>TABLA GRAFICA 1 Y 2 . CONSUMO QUIMICO DETALLADO</t>
  </si>
  <si>
    <t>ANALISIS TURNO</t>
  </si>
  <si>
    <t>DILIGENCIAR BITACORA</t>
  </si>
  <si>
    <t xml:space="preserve"> COF 235 - PPM COAGULANTE </t>
  </si>
  <si>
    <t>COF 280 - PPM ACIDO</t>
  </si>
  <si>
    <t xml:space="preserve"> COF 440 - PPM POL ANIONICO</t>
  </si>
  <si>
    <t xml:space="preserve"> COF 494 - PPM POL CATIONICO</t>
  </si>
  <si>
    <t xml:space="preserve"> LIMITE INDICADOR M3</t>
  </si>
  <si>
    <t>TABLA GRAFICA 2. COSTO CONSUMO QUIMICO VS $M3</t>
  </si>
  <si>
    <t>CONSUMO QUIMICO PPM</t>
  </si>
  <si>
    <t>OXIDANTE</t>
  </si>
  <si>
    <t>Lectura Medidor de flujo pozo profundo</t>
  </si>
  <si>
    <t>CONSUMO OXIDANTE SOLUCIÓN(L)</t>
  </si>
  <si>
    <t>KG OXIDANTE</t>
  </si>
  <si>
    <t>INV FINAL ACIDO (L)</t>
  </si>
  <si>
    <t>INV  FINAL COAGULANTE (L)</t>
  </si>
  <si>
    <t>INV FINAL POL ANIONICO (KG)</t>
  </si>
  <si>
    <t>CONSUMO SOLUCIÓN OXIDANTE (L)</t>
  </si>
  <si>
    <t>PPM POL OXIDANTE</t>
  </si>
  <si>
    <t>DENSIDAD OXIDANTE</t>
  </si>
  <si>
    <t>PRECIO (KG) OXIDANTE</t>
  </si>
  <si>
    <t>COSTO OPERATIVO OXIDANTE</t>
  </si>
  <si>
    <t xml:space="preserve">COSTO QUIMICA TOTAL CAUDAL TRATADO </t>
  </si>
  <si>
    <t>OXIDANTE SOLUCIÓN(L)</t>
  </si>
  <si>
    <t xml:space="preserve">KG OXIDANTE </t>
  </si>
  <si>
    <t xml:space="preserve">INDICADOR $M3. </t>
  </si>
  <si>
    <t xml:space="preserve">ACUMULADO CAUDAL TRATADO </t>
  </si>
  <si>
    <t xml:space="preserve">TOTAL CAUDAL TRATADO </t>
  </si>
  <si>
    <t>CAUDAL TOTAL ENVIADO PTAP</t>
  </si>
  <si>
    <t>2 (NOCHE)</t>
  </si>
  <si>
    <t>3 (MAÑANA)</t>
  </si>
  <si>
    <t>COSTO TTO - CAUDAL TRATADO PTAP FUNZA Vs $M3</t>
  </si>
  <si>
    <t>PTAP-PTAR FUNZA</t>
  </si>
  <si>
    <t>0</t>
  </si>
  <si>
    <t>92468</t>
  </si>
  <si>
    <t>CONSOLIDADO COSTO TTO - CAUDAL TRATADO PTAP Vs $M3</t>
  </si>
  <si>
    <t>s</t>
  </si>
  <si>
    <t xml:space="preserve">CAUDAL TOTAL TRATADO PTAP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</si>
</sst>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40A]\ #,##0"/>
    <numFmt numFmtId="165" formatCode="&quot;$&quot;\ #,##0"/>
    <numFmt numFmtId="166" formatCode="#,##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9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top"/>
    </xf>
    <xf numFmtId="3" fontId="3" fillId="0" borderId="4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1" borderId="15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top"/>
    </xf>
    <xf numFmtId="3" fontId="3" fillId="0" borderId="30" xfId="0" applyNumberFormat="1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top"/>
    </xf>
    <xf numFmtId="3" fontId="3" fillId="0" borderId="32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top"/>
    </xf>
    <xf numFmtId="3" fontId="3" fillId="0" borderId="34" xfId="0" applyNumberFormat="1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3" fontId="3" fillId="0" borderId="47" xfId="0" applyNumberFormat="1" applyFont="1" applyBorder="1" applyAlignment="1">
      <alignment horizontal="center" vertical="center" wrapText="1"/>
    </xf>
    <xf numFmtId="3" fontId="3" fillId="0" borderId="23" xfId="0" applyNumberFormat="1" applyFont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left" vertical="top"/>
    </xf>
    <xf numFmtId="0" fontId="2" fillId="0" borderId="62" xfId="0" applyFont="1" applyBorder="1" applyAlignment="1">
      <alignment horizontal="left" vertical="top"/>
    </xf>
    <xf numFmtId="0" fontId="2" fillId="0" borderId="60" xfId="0" applyFont="1" applyBorder="1" applyAlignment="1">
      <alignment horizontal="left" vertical="top"/>
    </xf>
    <xf numFmtId="0" fontId="2" fillId="18" borderId="47" xfId="0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0" xfId="0" applyFill="1"/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14" fontId="0" fillId="6" borderId="20" xfId="0" applyNumberFormat="1" applyFill="1" applyBorder="1" applyAlignment="1">
      <alignment horizontal="left"/>
    </xf>
    <xf numFmtId="14" fontId="0" fillId="6" borderId="52" xfId="0" applyNumberFormat="1" applyFill="1" applyBorder="1" applyAlignment="1">
      <alignment horizontal="left"/>
    </xf>
    <xf numFmtId="14" fontId="0" fillId="6" borderId="51" xfId="0" applyNumberFormat="1" applyFill="1" applyBorder="1" applyAlignment="1">
      <alignment horizontal="left"/>
    </xf>
    <xf numFmtId="4" fontId="3" fillId="0" borderId="32" xfId="0" applyNumberFormat="1" applyFont="1" applyBorder="1" applyAlignment="1">
      <alignment horizontal="center" vertical="center" wrapText="1"/>
    </xf>
    <xf numFmtId="4" fontId="3" fillId="0" borderId="30" xfId="0" applyNumberFormat="1" applyFont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vertical="center" wrapText="1"/>
    </xf>
    <xf numFmtId="0" fontId="2" fillId="14" borderId="45" xfId="0" applyFont="1" applyFill="1" applyBorder="1" applyAlignment="1">
      <alignment horizontal="center" vertical="center" wrapText="1"/>
    </xf>
    <xf numFmtId="0" fontId="2" fillId="14" borderId="46" xfId="0" applyFont="1" applyFill="1" applyBorder="1" applyAlignment="1">
      <alignment horizontal="center" vertical="center" wrapText="1"/>
    </xf>
    <xf numFmtId="3" fontId="3" fillId="0" borderId="28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18" borderId="0" xfId="0" applyFill="1"/>
    <xf numFmtId="164" fontId="0" fillId="18" borderId="0" xfId="0" applyNumberFormat="1" applyFill="1"/>
    <xf numFmtId="3" fontId="4" fillId="18" borderId="33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11" fillId="6" borderId="11" xfId="0" applyNumberFormat="1" applyFont="1" applyFill="1" applyBorder="1"/>
    <xf numFmtId="164" fontId="11" fillId="6" borderId="12" xfId="0" applyNumberFormat="1" applyFont="1" applyFill="1" applyBorder="1"/>
    <xf numFmtId="164" fontId="11" fillId="6" borderId="17" xfId="0" applyNumberFormat="1" applyFont="1" applyFill="1" applyBorder="1"/>
    <xf numFmtId="164" fontId="11" fillId="6" borderId="13" xfId="0" applyNumberFormat="1" applyFont="1" applyFill="1" applyBorder="1"/>
    <xf numFmtId="164" fontId="11" fillId="6" borderId="10" xfId="0" applyNumberFormat="1" applyFont="1" applyFill="1" applyBorder="1"/>
    <xf numFmtId="164" fontId="11" fillId="6" borderId="18" xfId="0" applyNumberFormat="1" applyFont="1" applyFill="1" applyBorder="1"/>
    <xf numFmtId="164" fontId="11" fillId="6" borderId="15" xfId="0" applyNumberFormat="1" applyFont="1" applyFill="1" applyBorder="1"/>
    <xf numFmtId="164" fontId="11" fillId="6" borderId="19" xfId="0" applyNumberFormat="1" applyFont="1" applyFill="1" applyBorder="1"/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7" xfId="0" applyNumberFormat="1" applyFont="1" applyFill="1" applyBorder="1"/>
    <xf numFmtId="3" fontId="0" fillId="15" borderId="27" xfId="0" applyNumberFormat="1" applyFill="1" applyBorder="1"/>
    <xf numFmtId="3" fontId="0" fillId="18" borderId="25" xfId="0" applyNumberFormat="1" applyFill="1" applyBorder="1"/>
    <xf numFmtId="3" fontId="11" fillId="6" borderId="13" xfId="0" applyNumberFormat="1" applyFont="1" applyFill="1" applyBorder="1"/>
    <xf numFmtId="3" fontId="11" fillId="6" borderId="10" xfId="0" applyNumberFormat="1" applyFont="1" applyFill="1" applyBorder="1"/>
    <xf numFmtId="3" fontId="11" fillId="6" borderId="18" xfId="0" applyNumberFormat="1" applyFont="1" applyFill="1" applyBorder="1"/>
    <xf numFmtId="3" fontId="0" fillId="5" borderId="26" xfId="0" applyNumberFormat="1" applyFill="1" applyBorder="1"/>
    <xf numFmtId="3" fontId="11" fillId="6" borderId="15" xfId="0" applyNumberFormat="1" applyFont="1" applyFill="1" applyBorder="1"/>
    <xf numFmtId="3" fontId="11" fillId="6" borderId="19" xfId="0" applyNumberFormat="1" applyFont="1" applyFill="1" applyBorder="1"/>
    <xf numFmtId="3" fontId="0" fillId="15" borderId="20" xfId="0" applyNumberFormat="1" applyFill="1" applyBorder="1"/>
    <xf numFmtId="3" fontId="0" fillId="18" borderId="21" xfId="0" applyNumberFormat="1" applyFill="1" applyBorder="1"/>
    <xf numFmtId="3" fontId="0" fillId="5" borderId="22" xfId="0" applyNumberFormat="1" applyFill="1" applyBorder="1"/>
    <xf numFmtId="3" fontId="0" fillId="5" borderId="67" xfId="0" applyNumberFormat="1" applyFill="1" applyBorder="1"/>
    <xf numFmtId="3" fontId="0" fillId="15" borderId="11" xfId="0" applyNumberFormat="1" applyFill="1" applyBorder="1"/>
    <xf numFmtId="3" fontId="0" fillId="18" borderId="13" xfId="0" applyNumberFormat="1" applyFill="1" applyBorder="1"/>
    <xf numFmtId="3" fontId="0" fillId="5" borderId="14" xfId="0" applyNumberFormat="1" applyFill="1" applyBorder="1"/>
    <xf numFmtId="3" fontId="0" fillId="15" borderId="27" xfId="0" applyNumberFormat="1" applyFill="1" applyBorder="1" applyAlignment="1">
      <alignment horizontal="center"/>
    </xf>
    <xf numFmtId="3" fontId="0" fillId="18" borderId="25" xfId="0" applyNumberFormat="1" applyFill="1" applyBorder="1" applyAlignment="1">
      <alignment horizontal="center"/>
    </xf>
    <xf numFmtId="3" fontId="0" fillId="5" borderId="26" xfId="0" applyNumberFormat="1" applyFill="1" applyBorder="1" applyAlignment="1">
      <alignment horizont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1" fontId="0" fillId="6" borderId="27" xfId="0" applyNumberFormat="1" applyFill="1" applyBorder="1" applyAlignment="1">
      <alignment horizontal="left"/>
    </xf>
    <xf numFmtId="1" fontId="0" fillId="6" borderId="9" xfId="0" applyNumberFormat="1" applyFill="1" applyBorder="1" applyAlignment="1">
      <alignment horizontal="left"/>
    </xf>
    <xf numFmtId="3" fontId="0" fillId="0" borderId="4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5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18" borderId="14" xfId="0" applyNumberFormat="1" applyFill="1" applyBorder="1" applyAlignment="1">
      <alignment horizontal="center"/>
    </xf>
    <xf numFmtId="3" fontId="0" fillId="18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49" xfId="0" applyNumberFormat="1" applyBorder="1" applyAlignment="1">
      <alignment horizontal="center"/>
    </xf>
    <xf numFmtId="0" fontId="1" fillId="6" borderId="21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3" fontId="1" fillId="21" borderId="68" xfId="0" applyNumberFormat="1" applyFont="1" applyFill="1" applyBorder="1" applyAlignment="1">
      <alignment horizontal="center" vertical="center" wrapText="1"/>
    </xf>
    <xf numFmtId="3" fontId="0" fillId="18" borderId="6" xfId="0" applyNumberFormat="1" applyFill="1" applyBorder="1" applyAlignment="1">
      <alignment horizontal="center"/>
    </xf>
    <xf numFmtId="3" fontId="0" fillId="18" borderId="1" xfId="0" applyNumberFormat="1" applyFill="1" applyBorder="1" applyAlignment="1">
      <alignment horizontal="center"/>
    </xf>
    <xf numFmtId="3" fontId="0" fillId="18" borderId="7" xfId="0" applyNumberFormat="1" applyFill="1" applyBorder="1" applyAlignment="1">
      <alignment horizontal="center"/>
    </xf>
    <xf numFmtId="3" fontId="0" fillId="18" borderId="19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5" borderId="68" xfId="0" applyFill="1" applyBorder="1"/>
    <xf numFmtId="0" fontId="0" fillId="15" borderId="6" xfId="0" applyFill="1" applyBorder="1"/>
    <xf numFmtId="0" fontId="0" fillId="15" borderId="1" xfId="0" applyFill="1" applyBorder="1"/>
    <xf numFmtId="0" fontId="0" fillId="15" borderId="7" xfId="0" applyFill="1" applyBorder="1"/>
    <xf numFmtId="1" fontId="0" fillId="15" borderId="6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" fontId="0" fillId="15" borderId="7" xfId="0" applyNumberFormat="1" applyFill="1" applyBorder="1" applyAlignment="1">
      <alignment horizontal="center"/>
    </xf>
    <xf numFmtId="1" fontId="0" fillId="15" borderId="68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0" fillId="15" borderId="68" xfId="0" applyFill="1" applyBorder="1" applyAlignment="1">
      <alignment horizontal="center"/>
    </xf>
    <xf numFmtId="0" fontId="0" fillId="18" borderId="68" xfId="0" applyFill="1" applyBorder="1" applyAlignment="1">
      <alignment horizontal="center" vertical="top"/>
    </xf>
    <xf numFmtId="3" fontId="0" fillId="12" borderId="4" xfId="0" applyNumberFormat="1" applyFill="1" applyBorder="1" applyAlignment="1">
      <alignment horizontal="center"/>
    </xf>
    <xf numFmtId="3" fontId="0" fillId="12" borderId="39" xfId="0" applyNumberFormat="1" applyFill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3" fontId="1" fillId="12" borderId="3" xfId="0" applyNumberFormat="1" applyFont="1" applyFill="1" applyBorder="1" applyAlignment="1">
      <alignment horizontal="center" vertical="center" wrapText="1"/>
    </xf>
    <xf numFmtId="3" fontId="0" fillId="12" borderId="42" xfId="0" applyNumberFormat="1" applyFill="1" applyBorder="1" applyAlignment="1">
      <alignment horizontal="center"/>
    </xf>
    <xf numFmtId="3" fontId="0" fillId="12" borderId="11" xfId="0" applyNumberFormat="1" applyFill="1" applyBorder="1" applyAlignment="1">
      <alignment horizontal="center"/>
    </xf>
    <xf numFmtId="3" fontId="0" fillId="12" borderId="12" xfId="0" applyNumberFormat="1" applyFill="1" applyBorder="1" applyAlignment="1">
      <alignment horizontal="center"/>
    </xf>
    <xf numFmtId="3" fontId="0" fillId="12" borderId="17" xfId="0" applyNumberFormat="1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3" fontId="0" fillId="5" borderId="42" xfId="0" applyNumberFormat="1" applyFill="1" applyBorder="1"/>
    <xf numFmtId="3" fontId="0" fillId="5" borderId="4" xfId="0" applyNumberFormat="1" applyFill="1" applyBorder="1"/>
    <xf numFmtId="3" fontId="0" fillId="5" borderId="39" xfId="0" applyNumberFormat="1" applyFill="1" applyBorder="1"/>
    <xf numFmtId="3" fontId="0" fillId="5" borderId="11" xfId="0" applyNumberFormat="1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3" fontId="0" fillId="5" borderId="17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1" fontId="0" fillId="0" borderId="27" xfId="0" applyNumberFormat="1" applyBorder="1" applyAlignment="1">
      <alignment horizontal="left"/>
    </xf>
    <xf numFmtId="164" fontId="0" fillId="0" borderId="0" xfId="0" applyNumberFormat="1"/>
    <xf numFmtId="164" fontId="11" fillId="0" borderId="11" xfId="0" applyNumberFormat="1" applyFont="1" applyBorder="1"/>
    <xf numFmtId="164" fontId="11" fillId="0" borderId="12" xfId="0" applyNumberFormat="1" applyFont="1" applyBorder="1"/>
    <xf numFmtId="164" fontId="11" fillId="0" borderId="17" xfId="0" applyNumberFormat="1" applyFont="1" applyBorder="1"/>
    <xf numFmtId="164" fontId="11" fillId="0" borderId="13" xfId="0" applyNumberFormat="1" applyFont="1" applyBorder="1"/>
    <xf numFmtId="164" fontId="11" fillId="0" borderId="10" xfId="0" applyNumberFormat="1" applyFont="1" applyBorder="1"/>
    <xf numFmtId="164" fontId="11" fillId="0" borderId="18" xfId="0" applyNumberFormat="1" applyFont="1" applyBorder="1"/>
    <xf numFmtId="1" fontId="0" fillId="0" borderId="9" xfId="0" applyNumberFormat="1" applyBorder="1" applyAlignment="1">
      <alignment horizontal="left"/>
    </xf>
    <xf numFmtId="164" fontId="11" fillId="0" borderId="15" xfId="0" applyNumberFormat="1" applyFont="1" applyBorder="1"/>
    <xf numFmtId="164" fontId="11" fillId="0" borderId="19" xfId="0" applyNumberFormat="1" applyFont="1" applyBorder="1"/>
    <xf numFmtId="0" fontId="0" fillId="4" borderId="0" xfId="0" applyFill="1"/>
    <xf numFmtId="0" fontId="0" fillId="19" borderId="0" xfId="0" applyFill="1"/>
    <xf numFmtId="0" fontId="0" fillId="19" borderId="0" xfId="0" applyFill="1" applyAlignment="1">
      <alignment horizontal="center"/>
    </xf>
    <xf numFmtId="44" fontId="0" fillId="19" borderId="0" xfId="2" applyFont="1" applyFill="1" applyAlignment="1">
      <alignment horizontal="center"/>
    </xf>
    <xf numFmtId="0" fontId="0" fillId="6" borderId="10" xfId="0" applyFill="1" applyBorder="1" applyAlignment="1">
      <alignment horizontal="center"/>
    </xf>
    <xf numFmtId="3" fontId="0" fillId="6" borderId="10" xfId="0" applyNumberForma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0" fontId="8" fillId="4" borderId="0" xfId="0" applyFont="1" applyFill="1" applyAlignment="1">
      <alignment vertical="center"/>
    </xf>
    <xf numFmtId="3" fontId="17" fillId="6" borderId="1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164" fontId="17" fillId="6" borderId="10" xfId="0" applyNumberFormat="1" applyFont="1" applyFill="1" applyBorder="1" applyAlignment="1">
      <alignment horizontal="right"/>
    </xf>
    <xf numFmtId="14" fontId="0" fillId="6" borderId="10" xfId="0" applyNumberForma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164" fontId="0" fillId="4" borderId="0" xfId="0" applyNumberFormat="1" applyFill="1"/>
    <xf numFmtId="3" fontId="0" fillId="15" borderId="20" xfId="0" applyNumberFormat="1" applyFill="1" applyBorder="1" applyAlignment="1">
      <alignment horizontal="center"/>
    </xf>
    <xf numFmtId="3" fontId="0" fillId="18" borderId="21" xfId="0" applyNumberFormat="1" applyFill="1" applyBorder="1" applyAlignment="1">
      <alignment horizontal="center"/>
    </xf>
    <xf numFmtId="3" fontId="0" fillId="5" borderId="22" xfId="0" applyNumberFormat="1" applyFill="1" applyBorder="1" applyAlignment="1">
      <alignment horizontal="center"/>
    </xf>
    <xf numFmtId="3" fontId="0" fillId="15" borderId="52" xfId="0" applyNumberFormat="1" applyFill="1" applyBorder="1" applyAlignment="1">
      <alignment horizontal="center"/>
    </xf>
    <xf numFmtId="3" fontId="0" fillId="9" borderId="10" xfId="0" applyNumberForma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0" fillId="23" borderId="10" xfId="0" applyFill="1" applyBorder="1" applyAlignment="1">
      <alignment horizontal="center" wrapText="1"/>
    </xf>
    <xf numFmtId="3" fontId="3" fillId="6" borderId="28" xfId="0" applyNumberFormat="1" applyFont="1" applyFill="1" applyBorder="1" applyAlignment="1">
      <alignment horizontal="center" vertical="center" wrapText="1"/>
    </xf>
    <xf numFmtId="3" fontId="3" fillId="6" borderId="29" xfId="0" applyNumberFormat="1" applyFont="1" applyFill="1" applyBorder="1" applyAlignment="1">
      <alignment horizontal="center" vertical="center" wrapText="1"/>
    </xf>
    <xf numFmtId="3" fontId="3" fillId="6" borderId="32" xfId="0" applyNumberFormat="1" applyFont="1" applyFill="1" applyBorder="1" applyAlignment="1">
      <alignment horizontal="center" vertical="center" wrapText="1"/>
    </xf>
    <xf numFmtId="3" fontId="3" fillId="6" borderId="31" xfId="0" applyNumberFormat="1" applyFont="1" applyFill="1" applyBorder="1" applyAlignment="1">
      <alignment horizontal="center" vertical="center" wrapText="1"/>
    </xf>
    <xf numFmtId="3" fontId="3" fillId="6" borderId="34" xfId="0" applyNumberFormat="1" applyFont="1" applyFill="1" applyBorder="1" applyAlignment="1">
      <alignment horizontal="center" vertical="center" wrapText="1"/>
    </xf>
    <xf numFmtId="3" fontId="3" fillId="6" borderId="44" xfId="0" applyNumberFormat="1" applyFont="1" applyFill="1" applyBorder="1" applyAlignment="1">
      <alignment horizontal="center" vertical="center" wrapText="1"/>
    </xf>
    <xf numFmtId="3" fontId="11" fillId="24" borderId="13" xfId="0" applyNumberFormat="1" applyFont="1" applyFill="1" applyBorder="1"/>
    <xf numFmtId="3" fontId="11" fillId="24" borderId="10" xfId="0" applyNumberFormat="1" applyFont="1" applyFill="1" applyBorder="1"/>
    <xf numFmtId="3" fontId="11" fillId="24" borderId="15" xfId="0" applyNumberFormat="1" applyFont="1" applyFill="1" applyBorder="1"/>
    <xf numFmtId="3" fontId="11" fillId="24" borderId="12" xfId="0" applyNumberFormat="1" applyFont="1" applyFill="1" applyBorder="1"/>
    <xf numFmtId="3" fontId="11" fillId="24" borderId="18" xfId="0" applyNumberFormat="1" applyFont="1" applyFill="1" applyBorder="1"/>
    <xf numFmtId="3" fontId="4" fillId="24" borderId="33" xfId="0" applyNumberFormat="1" applyFont="1" applyFill="1" applyBorder="1" applyAlignment="1">
      <alignment horizontal="center" vertical="center" wrapText="1"/>
    </xf>
    <xf numFmtId="164" fontId="0" fillId="24" borderId="0" xfId="0" applyNumberFormat="1" applyFill="1"/>
    <xf numFmtId="164" fontId="11" fillId="24" borderId="13" xfId="0" applyNumberFormat="1" applyFont="1" applyFill="1" applyBorder="1"/>
    <xf numFmtId="164" fontId="11" fillId="24" borderId="10" xfId="0" applyNumberFormat="1" applyFont="1" applyFill="1" applyBorder="1"/>
    <xf numFmtId="164" fontId="11" fillId="24" borderId="18" xfId="0" applyNumberFormat="1" applyFont="1" applyFill="1" applyBorder="1"/>
    <xf numFmtId="0" fontId="0" fillId="24" borderId="0" xfId="0" applyFill="1"/>
    <xf numFmtId="3" fontId="11" fillId="24" borderId="19" xfId="0" applyNumberFormat="1" applyFont="1" applyFill="1" applyBorder="1"/>
    <xf numFmtId="164" fontId="11" fillId="24" borderId="15" xfId="0" applyNumberFormat="1" applyFont="1" applyFill="1" applyBorder="1"/>
    <xf numFmtId="164" fontId="11" fillId="24" borderId="19" xfId="0" applyNumberFormat="1" applyFont="1" applyFill="1" applyBorder="1"/>
    <xf numFmtId="3" fontId="11" fillId="24" borderId="11" xfId="0" applyNumberFormat="1" applyFont="1" applyFill="1" applyBorder="1"/>
    <xf numFmtId="3" fontId="11" fillId="24" borderId="17" xfId="0" applyNumberFormat="1" applyFont="1" applyFill="1" applyBorder="1"/>
    <xf numFmtId="164" fontId="11" fillId="24" borderId="11" xfId="0" applyNumberFormat="1" applyFont="1" applyFill="1" applyBorder="1"/>
    <xf numFmtId="164" fontId="11" fillId="24" borderId="12" xfId="0" applyNumberFormat="1" applyFont="1" applyFill="1" applyBorder="1"/>
    <xf numFmtId="164" fontId="11" fillId="24" borderId="17" xfId="0" applyNumberFormat="1" applyFont="1" applyFill="1" applyBorder="1"/>
    <xf numFmtId="3" fontId="11" fillId="5" borderId="11" xfId="0" applyNumberFormat="1" applyFont="1" applyFill="1" applyBorder="1" applyAlignment="1">
      <alignment horizontal="right"/>
    </xf>
    <xf numFmtId="3" fontId="11" fillId="5" borderId="12" xfId="0" applyNumberFormat="1" applyFont="1" applyFill="1" applyBorder="1" applyAlignment="1">
      <alignment horizontal="right"/>
    </xf>
    <xf numFmtId="3" fontId="11" fillId="6" borderId="20" xfId="0" applyNumberFormat="1" applyFont="1" applyFill="1" applyBorder="1" applyAlignment="1">
      <alignment horizontal="center"/>
    </xf>
    <xf numFmtId="3" fontId="11" fillId="6" borderId="21" xfId="0" applyNumberFormat="1" applyFont="1" applyFill="1" applyBorder="1" applyAlignment="1">
      <alignment horizontal="center"/>
    </xf>
    <xf numFmtId="3" fontId="11" fillId="6" borderId="22" xfId="0" applyNumberFormat="1" applyFont="1" applyFill="1" applyBorder="1" applyAlignment="1">
      <alignment horizontal="center"/>
    </xf>
    <xf numFmtId="3" fontId="11" fillId="5" borderId="13" xfId="0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11" fillId="4" borderId="56" xfId="0" applyNumberFormat="1" applyFont="1" applyFill="1" applyBorder="1" applyAlignment="1">
      <alignment horizontal="center" vertical="center"/>
    </xf>
    <xf numFmtId="3" fontId="11" fillId="4" borderId="24" xfId="0" applyNumberFormat="1" applyFont="1" applyFill="1" applyBorder="1" applyAlignment="1">
      <alignment horizontal="center" vertical="center"/>
    </xf>
    <xf numFmtId="3" fontId="3" fillId="3" borderId="30" xfId="0" applyNumberFormat="1" applyFont="1" applyFill="1" applyBorder="1" applyAlignment="1">
      <alignment horizontal="center" vertical="center" wrapText="1"/>
    </xf>
    <xf numFmtId="166" fontId="4" fillId="18" borderId="35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4" fontId="11" fillId="5" borderId="12" xfId="0" applyNumberFormat="1" applyFont="1" applyFill="1" applyBorder="1" applyAlignment="1">
      <alignment horizontal="right"/>
    </xf>
    <xf numFmtId="4" fontId="11" fillId="5" borderId="10" xfId="0" applyNumberFormat="1" applyFont="1" applyFill="1" applyBorder="1" applyAlignment="1">
      <alignment horizontal="right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49" fontId="18" fillId="17" borderId="6" xfId="0" applyNumberFormat="1" applyFont="1" applyFill="1" applyBorder="1" applyAlignment="1">
      <alignment horizontal="center" vertical="center" wrapText="1"/>
    </xf>
    <xf numFmtId="49" fontId="18" fillId="17" borderId="54" xfId="0" applyNumberFormat="1" applyFont="1" applyFill="1" applyBorder="1" applyAlignment="1">
      <alignment horizontal="center" vertical="center" wrapText="1"/>
    </xf>
    <xf numFmtId="0" fontId="19" fillId="2" borderId="64" xfId="0" applyFont="1" applyFill="1" applyBorder="1" applyAlignment="1">
      <alignment horizontal="center" vertical="center" wrapText="1"/>
    </xf>
    <xf numFmtId="49" fontId="18" fillId="5" borderId="48" xfId="0" applyNumberFormat="1" applyFont="1" applyFill="1" applyBorder="1" applyAlignment="1">
      <alignment horizontal="center" vertical="center" wrapText="1"/>
    </xf>
    <xf numFmtId="49" fontId="18" fillId="5" borderId="50" xfId="0" applyNumberFormat="1" applyFont="1" applyFill="1" applyBorder="1" applyAlignment="1">
      <alignment horizontal="center" vertical="center" wrapText="1"/>
    </xf>
    <xf numFmtId="49" fontId="18" fillId="3" borderId="55" xfId="0" applyNumberFormat="1" applyFont="1" applyFill="1" applyBorder="1" applyAlignment="1">
      <alignment horizontal="center" vertical="center" wrapText="1"/>
    </xf>
    <xf numFmtId="49" fontId="18" fillId="3" borderId="65" xfId="0" applyNumberFormat="1" applyFont="1" applyFill="1" applyBorder="1" applyAlignment="1">
      <alignment horizontal="center" vertical="center" wrapText="1"/>
    </xf>
    <xf numFmtId="49" fontId="18" fillId="3" borderId="66" xfId="0" applyNumberFormat="1" applyFont="1" applyFill="1" applyBorder="1" applyAlignment="1">
      <alignment horizontal="center" vertical="center" wrapText="1"/>
    </xf>
    <xf numFmtId="49" fontId="18" fillId="20" borderId="70" xfId="0" applyNumberFormat="1" applyFont="1" applyFill="1" applyBorder="1" applyAlignment="1">
      <alignment horizontal="center" vertical="center" wrapText="1"/>
    </xf>
    <xf numFmtId="49" fontId="18" fillId="20" borderId="65" xfId="0" applyNumberFormat="1" applyFont="1" applyFill="1" applyBorder="1" applyAlignment="1">
      <alignment horizontal="center" vertical="center" wrapText="1"/>
    </xf>
    <xf numFmtId="49" fontId="18" fillId="20" borderId="66" xfId="0" applyNumberFormat="1" applyFont="1" applyFill="1" applyBorder="1" applyAlignment="1">
      <alignment horizontal="center" vertical="center" wrapText="1"/>
    </xf>
    <xf numFmtId="0" fontId="18" fillId="18" borderId="69" xfId="0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49" fontId="18" fillId="18" borderId="70" xfId="0" applyNumberFormat="1" applyFont="1" applyFill="1" applyBorder="1" applyAlignment="1">
      <alignment horizontal="center" vertical="center" wrapText="1"/>
    </xf>
    <xf numFmtId="49" fontId="18" fillId="18" borderId="65" xfId="0" applyNumberFormat="1" applyFont="1" applyFill="1" applyBorder="1" applyAlignment="1">
      <alignment horizontal="center" vertical="center" wrapText="1"/>
    </xf>
    <xf numFmtId="49" fontId="18" fillId="18" borderId="66" xfId="0" applyNumberFormat="1" applyFont="1" applyFill="1" applyBorder="1" applyAlignment="1">
      <alignment horizontal="center" vertical="center" wrapText="1"/>
    </xf>
    <xf numFmtId="0" fontId="18" fillId="2" borderId="64" xfId="0" applyFont="1" applyFill="1" applyBorder="1" applyAlignment="1">
      <alignment horizontal="center" vertical="center" wrapText="1"/>
    </xf>
    <xf numFmtId="165" fontId="18" fillId="2" borderId="66" xfId="0" applyNumberFormat="1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 vertical="center" wrapText="1"/>
    </xf>
    <xf numFmtId="4" fontId="11" fillId="6" borderId="22" xfId="0" applyNumberFormat="1" applyFont="1" applyFill="1" applyBorder="1" applyAlignment="1">
      <alignment horizontal="center"/>
    </xf>
    <xf numFmtId="4" fontId="11" fillId="6" borderId="20" xfId="0" applyNumberFormat="1" applyFont="1" applyFill="1" applyBorder="1" applyAlignment="1">
      <alignment horizontal="center"/>
    </xf>
    <xf numFmtId="4" fontId="11" fillId="6" borderId="21" xfId="0" applyNumberFormat="1" applyFont="1" applyFill="1" applyBorder="1" applyAlignment="1">
      <alignment horizontal="center"/>
    </xf>
    <xf numFmtId="3" fontId="11" fillId="6" borderId="14" xfId="0" applyNumberFormat="1" applyFont="1" applyFill="1" applyBorder="1"/>
    <xf numFmtId="3" fontId="0" fillId="0" borderId="0" xfId="0" applyNumberFormat="1" applyAlignment="1">
      <alignment horizontal="right"/>
    </xf>
    <xf numFmtId="3" fontId="11" fillId="5" borderId="14" xfId="0" applyNumberFormat="1" applyFont="1" applyFill="1" applyBorder="1" applyAlignment="1">
      <alignment horizontal="right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17" fillId="22" borderId="10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top"/>
    </xf>
    <xf numFmtId="0" fontId="1" fillId="12" borderId="4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7" borderId="4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14" fontId="2" fillId="18" borderId="6" xfId="0" applyNumberFormat="1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14" fontId="2" fillId="18" borderId="7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14" fontId="2" fillId="8" borderId="38" xfId="0" applyNumberFormat="1" applyFont="1" applyFill="1" applyBorder="1" applyAlignment="1">
      <alignment horizontal="center" vertical="center" wrapText="1"/>
    </xf>
    <xf numFmtId="14" fontId="2" fillId="8" borderId="36" xfId="0" applyNumberFormat="1" applyFont="1" applyFill="1" applyBorder="1" applyAlignment="1">
      <alignment horizontal="center" vertical="center" wrapText="1"/>
    </xf>
    <xf numFmtId="14" fontId="2" fillId="14" borderId="38" xfId="0" applyNumberFormat="1" applyFont="1" applyFill="1" applyBorder="1" applyAlignment="1">
      <alignment horizontal="center" vertical="center" wrapText="1"/>
    </xf>
    <xf numFmtId="14" fontId="2" fillId="14" borderId="36" xfId="0" applyNumberFormat="1" applyFont="1" applyFill="1" applyBorder="1" applyAlignment="1">
      <alignment horizontal="center" vertical="center" wrapText="1"/>
    </xf>
    <xf numFmtId="0" fontId="2" fillId="18" borderId="63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center" vertical="center" wrapText="1"/>
    </xf>
    <xf numFmtId="0" fontId="2" fillId="11" borderId="40" xfId="0" applyFont="1" applyFill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0" borderId="40" xfId="0" applyFont="1" applyFill="1" applyBorder="1" applyAlignment="1">
      <alignment horizontal="center" vertical="center" wrapText="1"/>
    </xf>
    <xf numFmtId="0" fontId="2" fillId="10" borderId="59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6" borderId="40" xfId="0" applyFont="1" applyFill="1" applyBorder="1" applyAlignment="1">
      <alignment horizontal="center" vertical="center" wrapText="1"/>
    </xf>
    <xf numFmtId="0" fontId="2" fillId="16" borderId="59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center"/>
    </xf>
    <xf numFmtId="0" fontId="0" fillId="12" borderId="20" xfId="0" applyFill="1" applyBorder="1" applyAlignment="1"/>
    <xf numFmtId="0" fontId="0" fillId="0" borderId="4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49" xfId="0" applyNumberFormat="1" applyBorder="1" applyAlignment="1">
      <alignment horizontal="center"/>
    </xf>
    <xf numFmtId="0" fontId="0" fillId="18" borderId="68" xfId="0" applyFill="1" applyBorder="1" applyAlignment="1"/>
    <xf numFmtId="0" fontId="1" fillId="0" borderId="20" xfId="0" applyFont="1" applyFill="1" applyBorder="1" applyAlignment="1">
      <alignment horizontal="left" vertical="top" wrapText="1"/>
    </xf>
  </cellXfs>
  <cellStyles count="3">
    <cellStyle name="Moneda" xfId="2" builtinId="4"/>
    <cellStyle name="Normal" xfId="0" builtinId="0"/>
    <cellStyle name="Porcentaje 2" xfId="1" xr:uid="{9BABFD08-0A55-4FCC-BE37-D74FD39BB202}"/>
  </cellStyles>
  <dxfs count="589"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top"/>
    </dxf>
    <dxf>
      <numFmt numFmtId="3" formatCode="#,##0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ill>
        <patternFill>
          <f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general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alignment horizontal="center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ill>
        <patternFill patternType="solid">
          <fgColor indexed="64"/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font>
        <b/>
      </font>
      <alignment horizontal="left"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/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alignment wrapText="1"/>
    </dxf>
    <dxf>
      <fill>
        <patternFill>
          <bgColor theme="8" tint="0.79998168889431442"/>
        </patternFill>
      </fill>
    </dxf>
    <dxf>
      <fill>
        <patternFill>
          <fgColor theme="4" tint="0.79998168889431442"/>
        </patternFill>
      </fill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165" formatCode="&quot;$&quot;\ #,##0"/>
    </dxf>
    <dxf>
      <numFmt numFmtId="165" formatCode="&quot;$&quot;\ #,##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top"/>
    </dxf>
    <dxf>
      <numFmt numFmtId="3" formatCode="#,##0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ill>
        <patternFill>
          <f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general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alignment horizontal="center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ill>
        <patternFill patternType="solid">
          <fgColor indexed="64"/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font>
        <b/>
      </font>
      <alignment horizontal="left"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/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alignment wrapText="1"/>
    </dxf>
    <dxf>
      <fill>
        <patternFill>
          <bgColor theme="8" tint="0.79998168889431442"/>
        </patternFill>
      </fill>
    </dxf>
    <dxf>
      <fill>
        <patternFill>
          <fgColor theme="4" tint="0.79998168889431442"/>
        </patternFill>
      </fill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</border>
    </dxf>
    <dxf>
      <font>
        <color auto="1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[QUIMICA ENERO - FUNZA 2026.xlsx]DB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accent6"/>
            </a:solidFill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</c:strCache>
            </c:strRef>
          </c:cat>
          <c:val>
            <c:numRef>
              <c:f>'DB QUIMICA'!$M$5:$M$36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ser>
          <c:idx val="1"/>
          <c:order val="1"/>
          <c:tx>
            <c:strRef>
              <c:f>'DB QUIMICA'!$N$4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</c:strCache>
            </c:strRef>
          </c:cat>
          <c:val>
            <c:numRef>
              <c:f>'DB QUIMICA'!$N$5:$N$36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</c:strCache>
            </c:strRef>
          </c:cat>
          <c:val>
            <c:numRef>
              <c:f>'DB QUIMICA'!$O$5:$O$36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</c:strCache>
            </c:strRef>
          </c:cat>
          <c:val>
            <c:numRef>
              <c:f>'DB QUIMICA'!$P$5:$P$36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412712504"/>
        <c:axId val="412709984"/>
      </c:barChart>
      <c:valAx>
        <c:axId val="41270998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2712504"/>
        <c:crosses val="max"/>
        <c:crossBetween val="between"/>
      </c:valAx>
      <c:catAx>
        <c:axId val="412712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2709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[QUIMICA ENERO - FUNZA 2026.xlsx]DB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$M3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6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7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145826023391812"/>
          <c:y val="0.15395972222222223"/>
          <c:w val="0.81107383040935677"/>
          <c:h val="0.6064813888888889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'DB QUIMICA'!$X$4</c:f>
              <c:strCache>
                <c:ptCount val="1"/>
                <c:pt idx="0">
                  <c:v>CAUDAL TOTAL TRATADO PTAP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QUIMICA'!$X$5:$X$36</c:f>
              <c:numCache>
                <c:formatCode>#,##0</c:formatCode>
                <c:ptCount val="31"/>
                <c:pt idx="0">
                  <c:v>0</c:v>
                </c:pt>
                <c:pt idx="1">
                  <c:v>18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</c:v>
                </c:pt>
                <c:pt idx="21">
                  <c:v>135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98-4FC0-982A-FE82766E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140408"/>
        <c:axId val="553145448"/>
      </c:barChart>
      <c:lineChart>
        <c:grouping val="standar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7-4092-AD31-9ECEE75EC072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7-4092-AD31-9ECEE75EC072}"/>
              </c:ext>
            </c:extLst>
          </c:dPt>
          <c:dPt>
            <c:idx val="1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57-4092-AD31-9ECEE75EC072}"/>
              </c:ext>
            </c:extLst>
          </c:dPt>
          <c:dPt>
            <c:idx val="1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E2-454F-8043-557F087BBCC0}"/>
              </c:ext>
            </c:extLst>
          </c:dPt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QUIMICA'!$V$5:$V$36</c:f>
              <c:numCache>
                <c:formatCode>#,##0</c:formatCode>
                <c:ptCount val="31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2500</c:v>
                </c:pt>
                <c:pt idx="25">
                  <c:v>2500</c:v>
                </c:pt>
                <c:pt idx="26">
                  <c:v>2500</c:v>
                </c:pt>
                <c:pt idx="27">
                  <c:v>2500</c:v>
                </c:pt>
                <c:pt idx="28">
                  <c:v>2500</c:v>
                </c:pt>
                <c:pt idx="29">
                  <c:v>2500</c:v>
                </c:pt>
                <c:pt idx="30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ser>
          <c:idx val="1"/>
          <c:order val="1"/>
          <c:tx>
            <c:strRef>
              <c:f>'DB QUIMICA'!$W$4</c:f>
              <c:strCache>
                <c:ptCount val="1"/>
                <c:pt idx="0">
                  <c:v>INDICADOR $M3.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E2-454F-8043-557F087BBCC0}"/>
              </c:ext>
            </c:extLst>
          </c:dPt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QUIMICA'!$W$5:$W$36</c:f>
              <c:numCache>
                <c:formatCode>#,##0</c:formatCode>
                <c:ptCount val="31"/>
                <c:pt idx="0">
                  <c:v>0</c:v>
                </c:pt>
                <c:pt idx="1">
                  <c:v>2549.3199999999883</c:v>
                </c:pt>
                <c:pt idx="2">
                  <c:v>2609.4026666666632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2889.5370769230785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2528.3157647058829</c:v>
                </c:pt>
                <c:pt idx="21">
                  <c:v>2549.2525925925925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93071"/>
        <c:axId val="229891151"/>
      </c:lineChart>
      <c:valAx>
        <c:axId val="553145448"/>
        <c:scaling>
          <c:orientation val="minMax"/>
          <c:max val="4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3140408"/>
        <c:crosses val="max"/>
        <c:crossBetween val="between"/>
      </c:valAx>
      <c:catAx>
        <c:axId val="553140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145448"/>
        <c:crosses val="autoZero"/>
        <c:auto val="1"/>
        <c:lblAlgn val="ctr"/>
        <c:lblOffset val="100"/>
        <c:noMultiLvlLbl val="0"/>
      </c:catAx>
      <c:valAx>
        <c:axId val="229891151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893071"/>
        <c:crosses val="autoZero"/>
        <c:crossBetween val="between"/>
      </c:valAx>
      <c:catAx>
        <c:axId val="22989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8911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2154060</xdr:colOff>
      <xdr:row>14</xdr:row>
      <xdr:rowOff>144684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2573349</xdr:colOff>
      <xdr:row>28</xdr:row>
      <xdr:rowOff>131590</xdr:rowOff>
    </xdr:from>
    <xdr:to>
      <xdr:col>5</xdr:col>
      <xdr:colOff>81643</xdr:colOff>
      <xdr:row>48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324411</xdr:colOff>
      <xdr:row>30</xdr:row>
      <xdr:rowOff>109098</xdr:rowOff>
    </xdr:from>
    <xdr:to>
      <xdr:col>0</xdr:col>
      <xdr:colOff>2143051</xdr:colOff>
      <xdr:row>43</xdr:row>
      <xdr:rowOff>161803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411" y="6708562"/>
              <a:ext cx="1832610" cy="252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0.12821</cdr:x>
      <cdr:y>0.29307</cdr:y>
    </cdr:from>
    <cdr:to>
      <cdr:x>0.1917</cdr:x>
      <cdr:y>0.35881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748445" y="1062077"/>
          <a:ext cx="865832" cy="2382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$2,500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699625694448" createdVersion="8" refreshedVersion="8" minRefreshableVersion="3" recordCount="93" xr:uid="{C3C8AE66-DB41-4ED1-9375-F4773019D99D}">
  <cacheSource type="worksheet">
    <worksheetSource name="Tabla1"/>
  </cacheSource>
  <cacheFields count="46">
    <cacheField name="FECHA" numFmtId="14">
      <sharedItems containsSemiMixedTypes="0" containsNonDate="0" containsDate="1" containsString="0" minDate="2024-09-01T00:00:00" maxDate="2026-02-01T00:00:00" count="488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6"/>
    </cacheField>
    <cacheField name="DILIGENCIAR BITACORA" numFmtId="3">
      <sharedItems/>
    </cacheField>
    <cacheField name="INV FINAL ACIDO (L)" numFmtId="3">
      <sharedItems containsSemiMixedTypes="0" containsString="0" containsNumber="1" containsInteger="1" minValue="1232" maxValue="1351"/>
    </cacheField>
    <cacheField name="INV  FINAL COAGULANTE (L)" numFmtId="3">
      <sharedItems containsSemiMixedTypes="0" containsString="0" containsNumber="1" containsInteger="1" minValue="1655" maxValue="1800"/>
    </cacheField>
    <cacheField name="INV FINAL POL ANIONICO (KG)" numFmtId="4">
      <sharedItems containsSemiMixedTypes="0" containsString="0" containsNumber="1" minValue="92.77" maxValue="93.538999999999987"/>
    </cacheField>
    <cacheField name="CONSUMO SOLUCIÓN OXIDANTE (L)" numFmtId="3">
      <sharedItems containsMixedTypes="1" containsNumber="1" containsInteger="1" minValue="0" maxValue="24"/>
    </cacheField>
    <cacheField name="Lectura Medidor de flujo pozo profundo" numFmtId="3">
      <sharedItems containsMixedTypes="1" containsNumber="1" containsInteger="1" minValue="92468" maxValue="92826"/>
    </cacheField>
    <cacheField name="CAUDAL TOTAL ENVIADO PTAP" numFmtId="3">
      <sharedItems containsSemiMixedTypes="0" containsString="0" containsNumber="1" containsInteger="1" minValue="0" maxValue="85"/>
    </cacheField>
    <cacheField name="CONSUMO LITROS ACIDO (L)" numFmtId="3">
      <sharedItems containsSemiMixedTypes="0" containsString="0" containsNumber="1" containsInteger="1" minValue="0" maxValue="1232"/>
    </cacheField>
    <cacheField name="CONSUMO LITROS COAGULANTE (L)" numFmtId="3">
      <sharedItems containsSemiMixedTypes="0" containsString="0" containsNumber="1" containsInteger="1" minValue="0" maxValue="1655"/>
    </cacheField>
    <cacheField name="CONSUMO POL ANIONICO (KG)" numFmtId="4">
      <sharedItems containsSemiMixedTypes="0" containsString="0" containsNumber="1" minValue="0" maxValue="92.77"/>
    </cacheField>
    <cacheField name="CONSUMO OXIDANTE SOLUCIÓN(L)" numFmtId="3">
      <sharedItems containsSemiMixedTypes="0" containsString="0" containsNumber="1" containsInteger="1" minValue="0" maxValue="24"/>
    </cacheField>
    <cacheField name="KG ACIDO" numFmtId="3">
      <sharedItems containsSemiMixedTypes="0" containsString="0" containsNumber="1" minValue="0" maxValue="1527.68"/>
    </cacheField>
    <cacheField name="KG COAGULANTE" numFmtId="3">
      <sharedItems containsSemiMixedTypes="0" containsString="0" containsNumber="1" minValue="0" maxValue="2192.875"/>
    </cacheField>
    <cacheField name="KG POL ANIONICO " numFmtId="3">
      <sharedItems containsSemiMixedTypes="0" containsString="0" containsNumber="1" minValue="0" maxValue="92.77"/>
    </cacheField>
    <cacheField name="KG OXIDANTE" numFmtId="3">
      <sharedItems containsSemiMixedTypes="0" containsString="0" containsNumber="1" minValue="0" maxValue="1.008"/>
    </cacheField>
    <cacheField name="PPM ACIDO " numFmtId="3">
      <sharedItems containsMixedTypes="1" containsNumber="1" minValue="0" maxValue="563.63636363636363"/>
    </cacheField>
    <cacheField name="PPM COAGULANTE " numFmtId="3">
      <sharedItems containsMixedTypes="1" containsNumber="1" minValue="0" maxValue="604.38596491228066"/>
    </cacheField>
    <cacheField name="PPM POL ANIONICO " numFmtId="3">
      <sharedItems containsMixedTypes="1" containsNumber="1" minValue="0" maxValue="3.1249999999998224"/>
    </cacheField>
    <cacheField name="PPM POL OXIDANTE" numFmtId="3">
      <sharedItems containsMixedTypes="1" containsNumber="1" minValue="0" maxValue="12.526315789473687"/>
    </cacheField>
    <cacheField name="DENSIDAD ACIDO" numFmtId="3">
      <sharedItems containsSemiMixedTypes="0" containsString="0" containsNumber="1" containsInteger="1" minValue="1240000" maxValue="1240000"/>
    </cacheField>
    <cacheField name="DENSIDAD COAGULANTE" numFmtId="3">
      <sharedItems containsSemiMixedTypes="0" containsString="0" containsNumber="1" containsInteger="1" minValue="1325000" maxValue="1325000"/>
    </cacheField>
    <cacheField name="DENSIDAD ANIONICO" numFmtId="3">
      <sharedItems containsSemiMixedTypes="0" containsString="0" containsNumber="1" containsInteger="1" minValue="2500" maxValue="2500"/>
    </cacheField>
    <cacheField name="DENSIDAD OXIDANTE" numFmtId="166">
      <sharedItems containsSemiMixedTypes="0" containsString="0" containsNumber="1" minValue="4.2000000000000003E-2" maxValue="4.2000000000000003E-2"/>
    </cacheField>
    <cacheField name="PRECIO (KG) ACIDO" numFmtId="164">
      <sharedItems containsSemiMixedTypes="0" containsString="0" containsNumber="1" containsInteger="1" minValue="2446" maxValue="2446"/>
    </cacheField>
    <cacheField name="PRECIO (KG) COAGULANTE" numFmtId="164">
      <sharedItems containsSemiMixedTypes="0" containsString="0" containsNumber="1" containsInteger="1" minValue="2498" maxValue="2498"/>
    </cacheField>
    <cacheField name="PRECIO (KG) ANIONICO" numFmtId="164">
      <sharedItems containsSemiMixedTypes="0" containsString="0" containsNumber="1" containsInteger="1" minValue="23800" maxValue="23800"/>
    </cacheField>
    <cacheField name="PRECIO (KG) OXIDANTE" numFmtId="164">
      <sharedItems containsSemiMixedTypes="0" containsString="0" containsNumber="1" containsInteger="1" minValue="3010" maxValue="3010"/>
    </cacheField>
    <cacheField name="COSTO OPERATIVO ACIDO" numFmtId="164">
      <sharedItems containsSemiMixedTypes="0" containsString="0" containsNumber="1" minValue="0" maxValue="3736705.2800000003"/>
    </cacheField>
    <cacheField name="COSTO OPERATIVO COAGULANTE" numFmtId="164">
      <sharedItems containsSemiMixedTypes="0" containsString="0" containsNumber="1" minValue="0" maxValue="5477801.75"/>
    </cacheField>
    <cacheField name="COSTO OPERATIVO ANIONICO" numFmtId="164">
      <sharedItems containsSemiMixedTypes="0" containsString="0" containsNumber="1" minValue="0" maxValue="2207926"/>
    </cacheField>
    <cacheField name="COSTO OPERATIVO OXIDANTE" numFmtId="164">
      <sharedItems containsSemiMixedTypes="0" containsString="0" containsNumber="1" minValue="0" maxValue="3034.08"/>
    </cacheField>
    <cacheField name="COSTO QUIMICA TOTAL CAUDAL TRATADO " numFmtId="164">
      <sharedItems containsSemiMixedTypes="0" containsString="0" containsNumber="1" minValue="0" maxValue="11422433.030000001"/>
    </cacheField>
    <cacheField name="LIMITE INDICADOR M3" numFmtId="164">
      <sharedItems containsSemiMixedTypes="0" containsString="0" containsNumber="1" containsInteger="1" minValue="2500" maxValue="2500"/>
    </cacheField>
    <cacheField name="$ m3" numFmtId="164">
      <sharedItems containsMixedTypes="1" containsNumber="1" minValue="0" maxValue="2989.7312121212185"/>
    </cacheField>
    <cacheField name="INDICADOR" numFmtId="0" formula="(#NAME? /#NAME?)" databaseField="0"/>
    <cacheField name="INDICADOR $m3" numFmtId="0" formula=" (#NAME?/#NAME?)" databaseField="0"/>
    <cacheField name="ppm diario acido" numFmtId="0" formula="('KG ACIDO'*1000)/#NAME?" databaseField="0"/>
    <cacheField name="COF 235 - PPM COAGULANTE " numFmtId="0" formula=" ('KG COAGULANTE'*1000)/#NAME?" databaseField="0"/>
    <cacheField name="COF 255 - PPM DECOLORANTE" numFmtId="0" formula="(#NAME?*1000)/#NAME?" databaseField="0"/>
    <cacheField name="COF 440 - PPM POL ANIONICO" numFmtId="0" formula="('KG POL ANIONICO '*1000)/#NAME?" databaseField="0"/>
    <cacheField name="COF 494 - PPM POL CATIONICO" numFmtId="0" formula="(#NAME?*1000)/#NAME?" databaseField="0"/>
    <cacheField name="INDICADOR $M3." numFmtId="0" formula="'COSTO QUIMICA TOTAL CAUDAL TRATADO '/'CAUDAL TOTAL ENVIADO PTAP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1351"/>
    <n v="1800"/>
    <n v="93.538999999999987"/>
    <s v="0"/>
    <s v="924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2 (MAÑANA)"/>
    <n v="2"/>
    <s v="FINAL TURNO 1"/>
    <n v="1351"/>
    <n v="1800"/>
    <n v="93.538999999999987"/>
    <n v="0"/>
    <n v="924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3(TARDE)"/>
    <n v="3"/>
    <s v="FINAL TURNO 2"/>
    <n v="1351"/>
    <n v="1800"/>
    <n v="93.538999999999987"/>
    <n v="0"/>
    <n v="924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1 (NOCHE)"/>
    <n v="1"/>
    <s v="FINAL TURNO 3"/>
    <n v="1351"/>
    <n v="1800"/>
    <n v="93.538999999999987"/>
    <n v="6"/>
    <n v="92468"/>
    <n v="0"/>
    <n v="6"/>
    <n v="8"/>
    <n v="1.8999999999991246E-2"/>
    <n v="6"/>
    <n v="7.44"/>
    <n v="10.6"/>
    <n v="1.8999999999991246E-2"/>
    <n v="0.252"/>
    <e v="#DIV/0!"/>
    <e v="#DIV/0!"/>
    <e v="#DIV/0!"/>
    <e v="#DIV/0!"/>
    <n v="1240000"/>
    <n v="1325000"/>
    <n v="2500"/>
    <n v="4.2000000000000003E-2"/>
    <n v="2446"/>
    <n v="2498"/>
    <n v="23800"/>
    <n v="3010"/>
    <n v="18198.240000000002"/>
    <n v="26478.799999999999"/>
    <n v="452.19999999979166"/>
    <n v="758.52"/>
    <n v="45887.759999999791"/>
    <n v="2500"/>
    <e v="#DIV/0!"/>
  </r>
  <r>
    <x v="1"/>
    <x v="1"/>
    <s v="2 (MAÑANA)"/>
    <n v="2"/>
    <s v="FINAL TURNO 1"/>
    <n v="1345"/>
    <n v="1792"/>
    <n v="93.52"/>
    <n v="0"/>
    <n v="924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3(TARDE)"/>
    <n v="3"/>
    <s v="FINAL TURNO 2"/>
    <n v="1345"/>
    <n v="1792"/>
    <n v="93.52"/>
    <n v="0"/>
    <n v="92468"/>
    <n v="1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"/>
    <x v="2"/>
    <s v="1 (NOCHE)"/>
    <n v="1"/>
    <s v="FINAL TURNO 3"/>
    <n v="1345"/>
    <n v="1792"/>
    <n v="93.52"/>
    <n v="9"/>
    <n v="92486"/>
    <n v="0"/>
    <n v="10"/>
    <n v="14"/>
    <n v="1.9999999999996021E-2"/>
    <n v="9"/>
    <n v="12.4"/>
    <n v="18.55"/>
    <n v="1.9999999999996021E-2"/>
    <n v="0.378"/>
    <e v="#DIV/0!"/>
    <e v="#DIV/0!"/>
    <e v="#DIV/0!"/>
    <e v="#DIV/0!"/>
    <n v="1240000"/>
    <n v="1325000"/>
    <n v="2500"/>
    <n v="4.2000000000000003E-2"/>
    <n v="2446"/>
    <n v="2498"/>
    <n v="23800"/>
    <n v="3010"/>
    <n v="30330.400000000001"/>
    <n v="46337.9"/>
    <n v="475.9999999999053"/>
    <n v="1137.78"/>
    <n v="78282.0799999999"/>
    <n v="2500"/>
    <e v="#DIV/0!"/>
  </r>
  <r>
    <x v="2"/>
    <x v="2"/>
    <s v="2 (MAÑANA)"/>
    <n v="2"/>
    <s v="FINAL TURNO 1"/>
    <n v="1335"/>
    <n v="1778"/>
    <n v="93.5"/>
    <n v="0"/>
    <n v="9248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3(TARDE)"/>
    <n v="3"/>
    <s v="FINAL TURNO 2"/>
    <n v="1335"/>
    <n v="1778"/>
    <n v="93.5"/>
    <n v="0"/>
    <n v="92486"/>
    <n v="30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3"/>
    <x v="3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3(TARDE)"/>
    <n v="3"/>
    <s v="FINAL TURNO 2"/>
    <n v="1335"/>
    <n v="1778"/>
    <n v="93.5"/>
    <n v="0"/>
    <n v="92516"/>
    <n v="0"/>
    <n v="0"/>
    <n v="0"/>
    <n v="0"/>
    <n v="10"/>
    <n v="0"/>
    <n v="0"/>
    <n v="0"/>
    <n v="0.42000000000000004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1264.2"/>
    <n v="1264.2"/>
    <n v="2500"/>
    <e v="#DIV/0!"/>
  </r>
  <r>
    <x v="12"/>
    <x v="12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2 (MAÑANA)"/>
    <n v="2"/>
    <s v="FINAL TURNO 1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3(TARDE)"/>
    <n v="3"/>
    <s v="FINAL TURNO 2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1 (NOCHE)"/>
    <n v="1"/>
    <s v="FINAL TURNO 3"/>
    <n v="1335"/>
    <n v="1778"/>
    <n v="93.5"/>
    <n v="0"/>
    <n v="9251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2 (MAÑANA)"/>
    <n v="2"/>
    <s v="FINAL TURNO 1"/>
    <n v="1335"/>
    <n v="1778"/>
    <n v="93.5"/>
    <n v="8"/>
    <n v="92548"/>
    <n v="32"/>
    <n v="13"/>
    <n v="14"/>
    <n v="9.9999999999994316E-2"/>
    <n v="8"/>
    <n v="16.12"/>
    <n v="18.55"/>
    <n v="9.9999999999994316E-2"/>
    <n v="0.33600000000000002"/>
    <n v="503.75000000000006"/>
    <n v="579.6875"/>
    <n v="3.1249999999998224"/>
    <n v="10.5"/>
    <n v="1240000"/>
    <n v="1325000"/>
    <n v="2500"/>
    <n v="4.2000000000000003E-2"/>
    <n v="2446"/>
    <n v="2498"/>
    <n v="23800"/>
    <n v="3010"/>
    <n v="39429.520000000004"/>
    <n v="46337.9"/>
    <n v="2379.9999999998645"/>
    <n v="1011.36"/>
    <n v="89158.779999999882"/>
    <n v="2500"/>
    <n v="2786.2118749999963"/>
  </r>
  <r>
    <x v="15"/>
    <x v="15"/>
    <s v="3(TARDE)"/>
    <n v="3"/>
    <s v="FINAL TURNO 2"/>
    <n v="1322"/>
    <n v="1764"/>
    <n v="93.4"/>
    <n v="9"/>
    <n v="92581"/>
    <n v="33"/>
    <n v="15"/>
    <n v="15"/>
    <n v="0.10000000000000853"/>
    <n v="9"/>
    <n v="18.600000000000001"/>
    <n v="19.875"/>
    <n v="0.10000000000000853"/>
    <n v="0.378"/>
    <n v="563.63636363636363"/>
    <n v="602.27272727272725"/>
    <n v="3.0303030303032887"/>
    <n v="11.454545454545455"/>
    <n v="1240000"/>
    <n v="1325000"/>
    <n v="2500"/>
    <n v="4.2000000000000003E-2"/>
    <n v="2446"/>
    <n v="2498"/>
    <n v="23800"/>
    <n v="3010"/>
    <n v="45495.600000000006"/>
    <n v="49647.75"/>
    <n v="2380.0000000002028"/>
    <n v="1137.78"/>
    <n v="98661.130000000208"/>
    <n v="2500"/>
    <n v="2989.7312121212185"/>
  </r>
  <r>
    <x v="16"/>
    <x v="16"/>
    <s v="1 (NOCHE)"/>
    <n v="1"/>
    <s v="FINAL TURNO 3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2 (MAÑANA)"/>
    <n v="2"/>
    <s v="FINAL TURNO 1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3(TARDE)"/>
    <n v="3"/>
    <s v="FINAL TURNO 2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1 (NOCHE)"/>
    <n v="1"/>
    <s v="FINAL TURNO 3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2 (MAÑANA)"/>
    <n v="2"/>
    <s v="FINAL TURNO 1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3(TARDE)"/>
    <n v="3"/>
    <s v="FINAL TURNO 2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1 (NOCHE)"/>
    <n v="1"/>
    <s v="FINAL TURNO 3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2 (MAÑANA)"/>
    <n v="2"/>
    <s v="FINAL TURNO 1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3(TARDE)"/>
    <n v="3"/>
    <s v="FINAL TURNO 2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9"/>
    <x v="19"/>
    <s v="1 (NOCHE)"/>
    <n v="1"/>
    <s v="FINAL TURNO 3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9"/>
    <x v="19"/>
    <s v="2 (MAÑANA)"/>
    <n v="2"/>
    <s v="FINAL TURNO 1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9"/>
    <x v="19"/>
    <s v="3(TARDE)"/>
    <n v="3"/>
    <s v="FINAL TURNO 2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1 (NOCHE)"/>
    <n v="1"/>
    <s v="FINAL TURNO 3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2 (MAÑANA)"/>
    <n v="2"/>
    <s v="FINAL TURNO 1"/>
    <n v="1307"/>
    <n v="1749"/>
    <n v="93.3"/>
    <n v="0"/>
    <n v="9258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3(TARDE)"/>
    <n v="3"/>
    <s v="FINAL TURNO 2"/>
    <n v="1307"/>
    <n v="1749"/>
    <n v="93.3"/>
    <n v="24"/>
    <n v="92666"/>
    <n v="85"/>
    <n v="29"/>
    <n v="36"/>
    <n v="0.20000000000000284"/>
    <n v="24"/>
    <n v="35.96"/>
    <n v="47.7"/>
    <n v="0.20000000000000284"/>
    <n v="1.008"/>
    <n v="423.05882352941177"/>
    <n v="561.17647058823525"/>
    <n v="2.3529411764706216"/>
    <n v="11.858823529411765"/>
    <n v="1240000"/>
    <n v="1325000"/>
    <n v="2500"/>
    <n v="4.2000000000000003E-2"/>
    <n v="2446"/>
    <n v="2498"/>
    <n v="23800"/>
    <n v="3010"/>
    <n v="87958.16"/>
    <n v="119154.6"/>
    <n v="4760.0000000000673"/>
    <n v="3034.08"/>
    <n v="214906.84000000005"/>
    <n v="2500"/>
    <n v="2528.3157647058829"/>
  </r>
  <r>
    <x v="21"/>
    <x v="21"/>
    <s v="1 (NOCHE)"/>
    <n v="1"/>
    <s v="FINAL TURNO 3"/>
    <n v="1278"/>
    <n v="1713"/>
    <n v="93.1"/>
    <n v="0"/>
    <n v="92666"/>
    <n v="0"/>
    <n v="0"/>
    <n v="0"/>
    <n v="0.18999999999999773"/>
    <n v="0"/>
    <n v="0"/>
    <n v="0"/>
    <n v="0.1899999999999977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4521.9999999999454"/>
    <n v="0"/>
    <n v="4521.9999999999454"/>
    <n v="2500"/>
    <e v="#DIV/0!"/>
  </r>
  <r>
    <x v="21"/>
    <x v="21"/>
    <s v="2 (MAÑANA)"/>
    <n v="2"/>
    <s v="FINAL TURNO 1"/>
    <n v="1278"/>
    <n v="1713"/>
    <n v="92.91"/>
    <n v="21"/>
    <n v="92744"/>
    <n v="78"/>
    <n v="26"/>
    <n v="32"/>
    <n v="0.14000000000000057"/>
    <n v="21"/>
    <n v="32.24"/>
    <n v="42.4"/>
    <n v="0.14000000000000057"/>
    <n v="0.88200000000000001"/>
    <n v="413.33333333333337"/>
    <n v="543.58974358974353"/>
    <n v="1.7948717948718023"/>
    <n v="11.307692307692308"/>
    <n v="1240000"/>
    <n v="1325000"/>
    <n v="2500"/>
    <n v="4.2000000000000003E-2"/>
    <n v="2446"/>
    <n v="2498"/>
    <n v="23800"/>
    <n v="3010"/>
    <n v="78859.040000000008"/>
    <n v="105915.2"/>
    <n v="3332.0000000000136"/>
    <n v="2654.82"/>
    <n v="190761.06"/>
    <n v="2500"/>
    <n v="2445.6546153846152"/>
  </r>
  <r>
    <x v="21"/>
    <x v="21"/>
    <s v="3(TARDE)"/>
    <n v="3"/>
    <s v="FINAL TURNO 2"/>
    <n v="1252"/>
    <n v="1681"/>
    <n v="92.77"/>
    <n v="17"/>
    <n v="92801"/>
    <n v="57"/>
    <n v="20"/>
    <n v="26"/>
    <n v="0"/>
    <n v="17"/>
    <n v="24.8"/>
    <n v="34.450000000000003"/>
    <n v="0"/>
    <n v="0.71400000000000008"/>
    <n v="435.08771929824559"/>
    <n v="604.38596491228066"/>
    <n v="0"/>
    <n v="12.526315789473687"/>
    <n v="1240000"/>
    <n v="1325000"/>
    <n v="2500"/>
    <n v="4.2000000000000003E-2"/>
    <n v="2446"/>
    <n v="2498"/>
    <n v="23800"/>
    <n v="3010"/>
    <n v="60660.800000000003"/>
    <n v="86056.1"/>
    <n v="0"/>
    <n v="2149.1400000000003"/>
    <n v="148866.04000000004"/>
    <n v="2500"/>
    <n v="2611.6849122807025"/>
  </r>
  <r>
    <x v="22"/>
    <x v="22"/>
    <s v="1 (NOCHE)"/>
    <n v="1"/>
    <s v="FINAL TURNO 3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2 (MAÑANA)"/>
    <n v="2"/>
    <s v="FINAL TURNO 1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3(TARDE)"/>
    <n v="3"/>
    <s v="FINAL TURNO 2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1 (NOCHE)"/>
    <n v="1"/>
    <s v="FINAL TURNO 3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2 (MAÑANA)"/>
    <n v="2"/>
    <s v="FINAL TURNO 1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3(TARDE)"/>
    <n v="3"/>
    <s v="FINAL TURNO 2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1 (NOCHE)"/>
    <n v="1"/>
    <s v="FINAL TURNO 3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2 (MAÑANA)"/>
    <n v="2"/>
    <s v="FINAL TURNO 1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3(TARDE)"/>
    <n v="3"/>
    <s v="FINAL TURNO 2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1 (NOCHE)"/>
    <n v="1"/>
    <s v="FINAL TURNO 3"/>
    <n v="1232"/>
    <n v="1655"/>
    <n v="92.77"/>
    <n v="0"/>
    <n v="9280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2 (MAÑANA)"/>
    <n v="2"/>
    <s v="FINAL TURNO 1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3(TARDE)"/>
    <n v="3"/>
    <s v="FINAL TURNO 2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1 (NOCHE)"/>
    <n v="1"/>
    <s v="FINAL TURNO 3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2 (MAÑANA)"/>
    <n v="2"/>
    <s v="FINAL TURNO 1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3(TARDE)"/>
    <n v="3"/>
    <s v="FINAL TURNO 2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1 (NOCHE)"/>
    <n v="1"/>
    <s v="FINAL TURNO 3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2 (MAÑANA)"/>
    <n v="2"/>
    <s v="FINAL TURNO 1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3(TARDE)"/>
    <n v="3"/>
    <s v="FINAL TURNO 2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1 (NOCHE)"/>
    <n v="1"/>
    <s v="FINAL TURNO 3"/>
    <n v="1232"/>
    <n v="1655"/>
    <n v="92.77"/>
    <n v="0"/>
    <n v="9280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2 (NOCHE)"/>
    <n v="4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3 (MAÑANA)"/>
    <n v="5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3(TARDE)"/>
    <n v="6"/>
    <s v="FINAL TURNO 2"/>
    <n v="1232"/>
    <n v="1655"/>
    <n v="92.77"/>
    <n v="0"/>
    <n v="92826"/>
    <n v="0"/>
    <n v="1232"/>
    <n v="1655"/>
    <n v="92.77"/>
    <n v="0"/>
    <n v="1527.68"/>
    <n v="2192.875"/>
    <n v="92.77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3736705.2800000003"/>
    <n v="5477801.75"/>
    <n v="2207926"/>
    <n v="0"/>
    <n v="11422433.030000001"/>
    <n v="2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13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79" rowHeaderCaption="DIA">
  <location ref="U4:X36" firstHeaderRow="0" firstDataRow="1" firstDataCol="1"/>
  <pivotFields count="46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LIMITE INDICADOR M3" fld="36" subtotal="min" baseField="0" baseItem="0" numFmtId="3"/>
    <dataField name="INDICADOR $M3. " fld="45" baseField="0" baseItem="0"/>
    <dataField name="CAUDAL TOTAL TRATADO PTAP " fld="10" baseField="0" baseItem="0" numFmtId="3"/>
  </dataFields>
  <formats count="30">
    <format dxfId="514">
      <pivotArea outline="0" collapsedLevelsAreSubtotals="1" fieldPosition="0"/>
    </format>
    <format dxfId="515">
      <pivotArea outline="0" collapsedLevelsAreSubtotals="1" fieldPosition="0"/>
    </format>
    <format dxfId="5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8">
      <pivotArea type="all" dataOnly="0" outline="0" fieldPosition="0"/>
    </format>
    <format dxfId="519">
      <pivotArea outline="0" collapsedLevelsAreSubtotals="1" fieldPosition="0"/>
    </format>
    <format dxfId="520">
      <pivotArea field="1" type="button" dataOnly="0" labelOnly="1" outline="0" axis="axisRow" fieldPosition="0"/>
    </format>
    <format dxfId="52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22">
      <pivotArea dataOnly="0" labelOnly="1" grandRow="1" outline="0" fieldPosition="0"/>
    </format>
    <format dxfId="5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4">
      <pivotArea type="all" dataOnly="0" outline="0" fieldPosition="0"/>
    </format>
    <format dxfId="525">
      <pivotArea outline="0" collapsedLevelsAreSubtotals="1" fieldPosition="0"/>
    </format>
    <format dxfId="526">
      <pivotArea field="1" type="button" dataOnly="0" labelOnly="1" outline="0" axis="axisRow" fieldPosition="0"/>
    </format>
    <format dxfId="52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28">
      <pivotArea dataOnly="0" labelOnly="1" grandRow="1" outline="0" fieldPosition="0"/>
    </format>
    <format dxfId="5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0">
      <pivotArea type="all" dataOnly="0" outline="0" fieldPosition="0"/>
    </format>
    <format dxfId="531">
      <pivotArea outline="0" collapsedLevelsAreSubtotals="1" fieldPosition="0"/>
    </format>
    <format dxfId="53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33">
      <pivotArea dataOnly="0" labelOnly="1" grandRow="1" outline="0" fieldPosition="0"/>
    </format>
    <format dxfId="534">
      <pivotArea field="1" type="button" dataOnly="0" labelOnly="1" outline="0" axis="axisRow" fieldPosition="0"/>
    </format>
    <format dxfId="5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6">
      <pivotArea type="all" dataOnly="0" outline="0" fieldPosition="0"/>
    </format>
    <format dxfId="537">
      <pivotArea outline="0" collapsedLevelsAreSubtotals="1" fieldPosition="0"/>
    </format>
    <format dxfId="538">
      <pivotArea field="1" type="button" dataOnly="0" labelOnly="1" outline="0" axis="axisRow" fieldPosition="0"/>
    </format>
    <format dxfId="53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40">
      <pivotArea dataOnly="0" labelOnly="1" grandRow="1" outline="0" fieldPosition="0"/>
    </format>
    <format dxfId="5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3" format="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3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3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3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3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3" format="6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73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73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73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4" format="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1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6" rowHeaderCaption="FECHA">
  <location ref="L4:P36" firstHeaderRow="0" firstDataRow="1" firstDataCol="1"/>
  <pivotFields count="46">
    <pivotField axis="axisRow" showAll="0">
      <items count="489"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2"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COF 235 - PPM COAGULANTE " fld="41" baseField="0" baseItem="0"/>
    <dataField name="COF 280 - PPM ACIDO" fld="40" baseField="0" baseItem="0"/>
    <dataField name=" COF 440 - PPM POL ANIONICO" fld="43" baseField="0" baseItem="0"/>
    <dataField name=" COF 494 - PPM POL CATIONICO" fld="44" baseField="0" baseItem="0"/>
  </dataFields>
  <formats count="24">
    <format dxfId="490">
      <pivotArea type="all" dataOnly="0" outline="0" fieldPosition="0"/>
    </format>
    <format dxfId="491">
      <pivotArea outline="0" collapsedLevelsAreSubtotals="1" fieldPosition="0"/>
    </format>
    <format dxfId="492">
      <pivotArea field="0" type="button" dataOnly="0" labelOnly="1" outline="0" axis="axisRow" fieldPosition="0"/>
    </format>
    <format dxfId="493">
      <pivotArea dataOnly="0" labelOnly="1" fieldPosition="0">
        <references count="1">
          <reference field="0" count="0"/>
        </references>
      </pivotArea>
    </format>
    <format dxfId="494">
      <pivotArea dataOnly="0" labelOnly="1" grandRow="1" outline="0" fieldPosition="0"/>
    </format>
    <format dxfId="495">
      <pivotArea type="all" dataOnly="0" outline="0" fieldPosition="0"/>
    </format>
    <format dxfId="496">
      <pivotArea outline="0" collapsedLevelsAreSubtotals="1" fieldPosition="0"/>
    </format>
    <format dxfId="497">
      <pivotArea field="0" type="button" dataOnly="0" labelOnly="1" outline="0" axis="axisRow" fieldPosition="0"/>
    </format>
    <format dxfId="498">
      <pivotArea dataOnly="0" labelOnly="1" fieldPosition="0">
        <references count="1">
          <reference field="0" count="0"/>
        </references>
      </pivotArea>
    </format>
    <format dxfId="499">
      <pivotArea dataOnly="0" labelOnly="1" grandRow="1" outline="0" fieldPosition="0"/>
    </format>
    <format dxfId="500">
      <pivotArea type="all" dataOnly="0" outline="0" fieldPosition="0"/>
    </format>
    <format dxfId="501">
      <pivotArea outline="0" collapsedLevelsAreSubtotals="1" fieldPosition="0"/>
    </format>
    <format dxfId="502">
      <pivotArea field="0" type="button" dataOnly="0" labelOnly="1" outline="0" axis="axisRow" fieldPosition="0"/>
    </format>
    <format dxfId="503">
      <pivotArea dataOnly="0" labelOnly="1" fieldPosition="0">
        <references count="1">
          <reference field="0" count="0"/>
        </references>
      </pivotArea>
    </format>
    <format dxfId="504">
      <pivotArea dataOnly="0" labelOnly="1" grandRow="1" outline="0" fieldPosition="0"/>
    </format>
    <format dxfId="505">
      <pivotArea type="all" dataOnly="0" outline="0" fieldPosition="0"/>
    </format>
    <format dxfId="506">
      <pivotArea outline="0" collapsedLevelsAreSubtotals="1" fieldPosition="0"/>
    </format>
    <format dxfId="507">
      <pivotArea dataOnly="0" labelOnly="1" fieldPosition="0">
        <references count="1">
          <reference field="0" count="0"/>
        </references>
      </pivotArea>
    </format>
    <format dxfId="508">
      <pivotArea dataOnly="0" labelOnly="1" grandRow="1" outline="0" fieldPosition="0"/>
    </format>
    <format dxfId="509">
      <pivotArea field="0" type="button" dataOnly="0" labelOnly="1" outline="0" axis="axisRow" fieldPosition="0"/>
    </format>
    <format dxfId="510">
      <pivotArea outline="0" collapsedLevelsAreSubtotals="1" fieldPosition="0"/>
    </format>
    <format dxfId="5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5"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13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F26" firstHeaderRow="1" firstDataRow="2" firstDataCol="1"/>
  <pivotFields count="46">
    <pivotField showAll="0">
      <items count="489"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5">
    <dataField name="COF 280 - PPM ACIDO  " fld="40" baseField="0" baseItem="0" numFmtId="3"/>
    <dataField name="COF 235 - PPM COAGULANTE  " fld="41" baseField="0" baseItem="0" numFmtId="3"/>
    <dataField name="COF 255 - PPM DECOLORANTE  " fld="42" baseField="0" baseItem="0" numFmtId="3"/>
    <dataField name="COF 440 - PPM POL ANIONICO " fld="43" baseField="0" baseItem="0"/>
    <dataField name="COF 494 - PPM POL CATIONICO " fld="44" baseField="0" baseItem="0"/>
  </dataFields>
  <formats count="52">
    <format dxfId="438">
      <pivotArea field="0" type="button" dataOnly="0" labelOnly="1" outline="0"/>
    </format>
    <format dxfId="439">
      <pivotArea field="0" type="button" dataOnly="0" labelOnly="1" outline="0"/>
    </format>
    <format dxfId="440">
      <pivotArea field="0" type="button" dataOnly="0" labelOnly="1" outline="0"/>
    </format>
    <format dxfId="441">
      <pivotArea field="0" type="button" dataOnly="0" labelOnly="1" outline="0"/>
    </format>
    <format dxfId="442">
      <pivotArea type="all" dataOnly="0" outline="0" fieldPosition="0"/>
    </format>
    <format dxfId="443">
      <pivotArea outline="0" collapsedLevelsAreSubtotals="1" fieldPosition="0"/>
    </format>
    <format dxfId="444">
      <pivotArea field="0" type="button" dataOnly="0" labelOnly="1" outline="0"/>
    </format>
    <format dxfId="445">
      <pivotArea dataOnly="0" labelOnly="1" grandRow="1" outline="0" fieldPosition="0"/>
    </format>
    <format dxfId="446">
      <pivotArea field="0" type="button" dataOnly="0" labelOnly="1" outline="0"/>
    </format>
    <format dxfId="447">
      <pivotArea field="0" type="button" dataOnly="0" labelOnly="1" outline="0"/>
    </format>
    <format dxfId="448">
      <pivotArea field="0" type="button" dataOnly="0" labelOnly="1" outline="0"/>
    </format>
    <format dxfId="449">
      <pivotArea field="0" type="button" dataOnly="0" labelOnly="1" outline="0"/>
    </format>
    <format dxfId="450">
      <pivotArea outline="0" collapsedLevelsAreSubtotals="1" fieldPosition="0"/>
    </format>
    <format dxfId="451">
      <pivotArea field="0" type="button" dataOnly="0" labelOnly="1" outline="0"/>
    </format>
    <format dxfId="452">
      <pivotArea type="all" dataOnly="0" outline="0" fieldPosition="0"/>
    </format>
    <format dxfId="453">
      <pivotArea field="0" type="button" dataOnly="0" labelOnly="1" outline="0"/>
    </format>
    <format dxfId="454">
      <pivotArea dataOnly="0" labelOnly="1" grandRow="1" outline="0" fieldPosition="0"/>
    </format>
    <format dxfId="455">
      <pivotArea type="origin" dataOnly="0" labelOnly="1" outline="0" fieldPosition="0"/>
    </format>
    <format dxfId="456">
      <pivotArea type="origin" dataOnly="0" labelOnly="1" outline="0" fieldPosition="0"/>
    </format>
    <format dxfId="457">
      <pivotArea field="1" type="button" dataOnly="0" labelOnly="1" outline="0" axis="axisCol" fieldPosition="0"/>
    </format>
    <format dxfId="4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9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60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461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462">
      <pivotArea outline="0" collapsedLevelsAreSubtotals="1" fieldPosition="0">
        <references count="1">
          <reference field="1" count="0" selected="0"/>
        </references>
      </pivotArea>
    </format>
    <format dxfId="463">
      <pivotArea field="1" type="button" dataOnly="0" labelOnly="1" outline="0" axis="axisCol" fieldPosition="0"/>
    </format>
    <format dxfId="464">
      <pivotArea type="topRight" dataOnly="0" labelOnly="1" outline="0" fieldPosition="0"/>
    </format>
    <format dxfId="465">
      <pivotArea dataOnly="0" labelOnly="1" fieldPosition="0">
        <references count="1">
          <reference field="1" count="0"/>
        </references>
      </pivotArea>
    </format>
    <format dxfId="4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9">
      <pivotArea type="all" dataOnly="0" outline="0" fieldPosition="0"/>
    </format>
    <format dxfId="470">
      <pivotArea type="origin" dataOnly="0" labelOnly="1" outline="0" fieldPosition="0"/>
    </format>
    <format dxfId="471">
      <pivotArea field="-2" type="button" dataOnly="0" labelOnly="1" outline="0" axis="axisRow" fieldPosition="0"/>
    </format>
    <format dxfId="472">
      <pivotArea dataOnly="0" labelOnly="1" fieldPosition="0">
        <references count="1">
          <reference field="1" count="0"/>
        </references>
      </pivotArea>
    </format>
    <format dxfId="473">
      <pivotArea dataOnly="0" labelOnly="1" grandCol="1" outline="0" fieldPosition="0"/>
    </format>
    <format dxfId="474">
      <pivotArea outline="0" collapsedLevelsAreSubtotals="1" fieldPosition="0"/>
    </format>
    <format dxfId="4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76">
      <pivotArea type="origin" dataOnly="0" labelOnly="1" outline="0" fieldPosition="0"/>
    </format>
    <format dxfId="477">
      <pivotArea field="-2" type="button" dataOnly="0" labelOnly="1" outline="0" axis="axisRow" fieldPosition="0"/>
    </format>
    <format dxfId="478">
      <pivotArea field="1" type="button" dataOnly="0" labelOnly="1" outline="0" axis="axisCol" fieldPosition="0"/>
    </format>
    <format dxfId="479">
      <pivotArea type="topRight" dataOnly="0" labelOnly="1" outline="0" fieldPosition="0"/>
    </format>
    <format dxfId="480">
      <pivotArea field="1" type="button" dataOnly="0" labelOnly="1" outline="0" axis="axisCol" fieldPosition="0"/>
    </format>
    <format dxfId="481">
      <pivotArea type="topRight" dataOnly="0" labelOnly="1" outline="0" fieldPosition="0"/>
    </format>
    <format dxfId="482">
      <pivotArea dataOnly="0" labelOnly="1" fieldPosition="0">
        <references count="1">
          <reference field="1" count="0"/>
        </references>
      </pivotArea>
    </format>
    <format dxfId="483">
      <pivotArea dataOnly="0" labelOnly="1" grandCol="1" outline="0" fieldPosition="0"/>
    </format>
    <format dxfId="484">
      <pivotArea field="1" type="button" dataOnly="0" labelOnly="1" outline="0" axis="axisCol" fieldPosition="0"/>
    </format>
    <format dxfId="485">
      <pivotArea type="topRight" dataOnly="0" labelOnly="1" outline="0" fieldPosition="0"/>
    </format>
    <format dxfId="486">
      <pivotArea dataOnly="0" labelOnly="1" fieldPosition="0">
        <references count="1">
          <reference field="1" count="0"/>
        </references>
      </pivotArea>
    </format>
    <format dxfId="487">
      <pivotArea dataOnly="0" labelOnly="1" grandCol="1" outline="0" fieldPosition="0"/>
    </format>
    <format dxfId="488">
      <pivotArea type="origin" dataOnly="0" labelOnly="1" outline="0" fieldPosition="0"/>
    </format>
    <format dxfId="489">
      <pivotArea field="-2" type="button" dataOnly="0" labelOnly="1" outline="0" axis="axisRow" fieldPosition="0"/>
    </format>
  </formats>
  <conditionalFormats count="3"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13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F30" firstHeaderRow="1" firstDataRow="2" firstDataCol="0"/>
  <pivotFields count="46">
    <pivotField showAll="0">
      <items count="489"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formats count="33">
    <format dxfId="405">
      <pivotArea field="0" type="button" dataOnly="0" labelOnly="1" outline="0"/>
    </format>
    <format dxfId="406">
      <pivotArea field="0" type="button" dataOnly="0" labelOnly="1" outline="0"/>
    </format>
    <format dxfId="407">
      <pivotArea outline="0" collapsedLevelsAreSubtotals="1" fieldPosition="0"/>
    </format>
    <format dxfId="408">
      <pivotArea field="1" type="button" dataOnly="0" labelOnly="1" outline="0" axis="axisCol" fieldPosition="0"/>
    </format>
    <format dxfId="409">
      <pivotArea type="origin" dataOnly="0" labelOnly="1" outline="0" fieldPosition="0"/>
    </format>
    <format dxfId="410">
      <pivotArea outline="0" collapsedLevelsAreSubtotals="1" fieldPosition="0"/>
    </format>
    <format dxfId="411">
      <pivotArea outline="0" collapsedLevelsAreSubtotals="1" fieldPosition="0"/>
    </format>
    <format dxfId="412">
      <pivotArea type="origin" dataOnly="0" labelOnly="1" outline="0" fieldPosition="0"/>
    </format>
    <format dxfId="413">
      <pivotArea field="-2" type="button" dataOnly="0" labelOnly="1" outline="0"/>
    </format>
    <format dxfId="414">
      <pivotArea type="origin" dataOnly="0" labelOnly="1" outline="0" fieldPosition="0"/>
    </format>
    <format dxfId="415">
      <pivotArea field="-2" type="button" dataOnly="0" labelOnly="1" outline="0"/>
    </format>
    <format dxfId="416">
      <pivotArea outline="0" collapsedLevelsAreSubtotals="1" fieldPosition="0">
        <references count="1">
          <reference field="1" count="0" selected="0"/>
        </references>
      </pivotArea>
    </format>
    <format dxfId="417">
      <pivotArea field="1" type="button" dataOnly="0" labelOnly="1" outline="0" axis="axisCol" fieldPosition="0"/>
    </format>
    <format dxfId="418">
      <pivotArea type="topRight" dataOnly="0" labelOnly="1" outline="0" fieldPosition="0"/>
    </format>
    <format dxfId="419">
      <pivotArea dataOnly="0" labelOnly="1" fieldPosition="0">
        <references count="1">
          <reference field="1" count="0"/>
        </references>
      </pivotArea>
    </format>
    <format dxfId="420">
      <pivotArea outline="0" collapsedLevelsAreSubtotals="1" fieldPosition="0"/>
    </format>
    <format dxfId="421">
      <pivotArea dataOnly="0" labelOnly="1" fieldPosition="0">
        <references count="1">
          <reference field="1" count="0"/>
        </references>
      </pivotArea>
    </format>
    <format dxfId="422">
      <pivotArea dataOnly="0" labelOnly="1" grandCol="1" outline="0" fieldPosition="0"/>
    </format>
    <format dxfId="423">
      <pivotArea outline="0" collapsedLevelsAreSubtotals="1" fieldPosition="0"/>
    </format>
    <format dxfId="424">
      <pivotArea dataOnly="0" labelOnly="1" fieldPosition="0">
        <references count="1">
          <reference field="1" count="0"/>
        </references>
      </pivotArea>
    </format>
    <format dxfId="425">
      <pivotArea dataOnly="0" labelOnly="1" grandCol="1" outline="0" fieldPosition="0"/>
    </format>
    <format dxfId="426">
      <pivotArea outline="0" collapsedLevelsAreSubtotals="1" fieldPosition="0"/>
    </format>
    <format dxfId="427">
      <pivotArea field="1" type="button" dataOnly="0" labelOnly="1" outline="0" axis="axisCol" fieldPosition="0"/>
    </format>
    <format dxfId="428">
      <pivotArea type="topRight" dataOnly="0" labelOnly="1" outline="0" fieldPosition="0"/>
    </format>
    <format dxfId="429">
      <pivotArea dataOnly="0" labelOnly="1" fieldPosition="0">
        <references count="1">
          <reference field="1" count="0"/>
        </references>
      </pivotArea>
    </format>
    <format dxfId="430">
      <pivotArea dataOnly="0" labelOnly="1" grandCol="1" outline="0" fieldPosition="0"/>
    </format>
    <format dxfId="431">
      <pivotArea outline="0" collapsedLevelsAreSubtotals="1" fieldPosition="0"/>
    </format>
    <format dxfId="432">
      <pivotArea type="origin" dataOnly="0" labelOnly="1" outline="0" fieldPosition="0"/>
    </format>
    <format dxfId="433">
      <pivotArea field="-2" type="button" dataOnly="0" labelOnly="1" outline="0"/>
    </format>
    <format dxfId="434">
      <pivotArea field="1" type="button" dataOnly="0" labelOnly="1" outline="0" axis="axisCol" fieldPosition="0"/>
    </format>
    <format dxfId="435">
      <pivotArea type="topRight" dataOnly="0" labelOnly="1" outline="0" fieldPosition="0"/>
    </format>
    <format dxfId="436">
      <pivotArea dataOnly="0" labelOnly="1" fieldPosition="0">
        <references count="1">
          <reference field="1" count="0"/>
        </references>
      </pivotArea>
    </format>
    <format dxfId="437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13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G7" firstHeaderRow="1" firstDataRow="2" firstDataCol="1"/>
  <pivotFields count="46">
    <pivotField showAll="0"/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4">
    <dataField name="COF 280 ACIDO (L)" fld="11" baseField="0" baseItem="0"/>
    <dataField name="COF 235 COAGULANTE (L)" fld="12" baseField="0" baseItem="0"/>
    <dataField name="COF 440 POL ANIONICO (KG)" fld="13" baseField="0" baseItem="0"/>
    <dataField name="OXIDANTE SOLUCIÓN(L)" fld="14" baseField="0" baseItem="0" numFmtId="3"/>
  </dataFields>
  <formats count="28">
    <format dxfId="377">
      <pivotArea type="all" dataOnly="0" outline="0" fieldPosition="0"/>
    </format>
    <format dxfId="378">
      <pivotArea outline="0" collapsedLevelsAreSubtotals="1" fieldPosition="0"/>
    </format>
    <format dxfId="379">
      <pivotArea field="1" type="button" dataOnly="0" labelOnly="1" outline="0" axis="axisCol" fieldPosition="0"/>
    </format>
    <format dxfId="380">
      <pivotArea type="topRight" dataOnly="0" labelOnly="1" outline="0" fieldPosition="0"/>
    </format>
    <format dxfId="3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2">
      <pivotArea dataOnly="0" labelOnly="1" fieldPosition="0">
        <references count="1">
          <reference field="1" count="0"/>
        </references>
      </pivotArea>
    </format>
    <format dxfId="383">
      <pivotArea dataOnly="0" labelOnly="1" grandCol="1" outline="0" fieldPosition="0"/>
    </format>
    <format dxfId="384">
      <pivotArea outline="0" collapsedLevelsAreSubtotals="1" fieldPosition="0"/>
    </format>
    <format dxfId="3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6">
      <pivotArea dataOnly="0" labelOnly="1" fieldPosition="0">
        <references count="1">
          <reference field="1" count="0"/>
        </references>
      </pivotArea>
    </format>
    <format dxfId="387">
      <pivotArea dataOnly="0" labelOnly="1" grandCol="1" outline="0" fieldPosition="0"/>
    </format>
    <format dxfId="388">
      <pivotArea type="origin" dataOnly="0" labelOnly="1" outline="0" fieldPosition="0"/>
    </format>
    <format dxfId="389">
      <pivotArea field="-2" type="button" dataOnly="0" labelOnly="1" outline="0" axis="axisRow" fieldPosition="0"/>
    </format>
    <format dxfId="390">
      <pivotArea type="origin" dataOnly="0" labelOnly="1" outline="0" fieldPosition="0"/>
    </format>
    <format dxfId="391">
      <pivotArea field="-2" type="button" dataOnly="0" labelOnly="1" outline="0" axis="axisRow" fieldPosition="0"/>
    </format>
    <format dxfId="392">
      <pivotArea field="1" type="button" dataOnly="0" labelOnly="1" outline="0" axis="axisCol" fieldPosition="0"/>
    </format>
    <format dxfId="393">
      <pivotArea type="topRight" dataOnly="0" labelOnly="1" outline="0" fieldPosition="0"/>
    </format>
    <format dxfId="394">
      <pivotArea dataOnly="0" labelOnly="1" fieldPosition="0">
        <references count="1">
          <reference field="1" count="0"/>
        </references>
      </pivotArea>
    </format>
    <format dxfId="395">
      <pivotArea dataOnly="0" labelOnly="1" grandCol="1" outline="0" fieldPosition="0"/>
    </format>
    <format dxfId="396">
      <pivotArea outline="0" collapsedLevelsAreSubtotals="1" fieldPosition="0"/>
    </format>
    <format dxfId="397">
      <pivotArea dataOnly="0" labelOnly="1" fieldPosition="0">
        <references count="1">
          <reference field="1" count="0"/>
        </references>
      </pivotArea>
    </format>
    <format dxfId="398">
      <pivotArea dataOnly="0" labelOnly="1" grandCol="1" outline="0" fieldPosition="0"/>
    </format>
    <format dxfId="399">
      <pivotArea dataOnly="0" labelOnly="1" fieldPosition="0">
        <references count="1">
          <reference field="1" count="0"/>
        </references>
      </pivotArea>
    </format>
    <format dxfId="400">
      <pivotArea dataOnly="0" labelOnly="1" grandCol="1" outline="0" fieldPosition="0"/>
    </format>
    <format dxfId="4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2">
      <pivotArea field="-2" type="button" dataOnly="0" labelOnly="1" outline="0" axis="axisRow" fieldPosition="0"/>
    </format>
    <format dxfId="40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13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G16" firstHeaderRow="1" firstDataRow="2" firstDataCol="1"/>
  <pivotFields count="46">
    <pivotField showAll="0">
      <items count="489"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dataField="1" numFmtId="3" showAll="0"/>
    <pivotField dataField="1" numFmtId="3" showAll="0"/>
    <pivotField dataField="1"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4">
    <dataField name="COF 280 - KG ACIDO" fld="15" baseField="0" baseItem="0" numFmtId="3"/>
    <dataField name="COF 235 - KG COAGULANTE" fld="16" baseField="0" baseItem="0"/>
    <dataField name="COF 440 - KG POL ANIONICO " fld="17" baseField="0" baseItem="0"/>
    <dataField name="KG OXIDANTE " fld="18" baseField="0" baseItem="0" numFmtId="3"/>
  </dataFields>
  <formats count="62">
    <format dxfId="315">
      <pivotArea field="0" type="button" dataOnly="0" labelOnly="1" outline="0"/>
    </format>
    <format dxfId="316">
      <pivotArea field="0" type="button" dataOnly="0" labelOnly="1" outline="0"/>
    </format>
    <format dxfId="317">
      <pivotArea field="0" type="button" dataOnly="0" labelOnly="1" outline="0"/>
    </format>
    <format dxfId="3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1">
      <pivotArea field="0" type="button" dataOnly="0" labelOnly="1" outline="0"/>
    </format>
    <format dxfId="3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3">
      <pivotArea type="all" dataOnly="0" outline="0" fieldPosition="0"/>
    </format>
    <format dxfId="324">
      <pivotArea outline="0" collapsedLevelsAreSubtotals="1" fieldPosition="0"/>
    </format>
    <format dxfId="325">
      <pivotArea field="0" type="button" dataOnly="0" labelOnly="1" outline="0"/>
    </format>
    <format dxfId="326">
      <pivotArea dataOnly="0" labelOnly="1" grandRow="1" outline="0" fieldPosition="0"/>
    </format>
    <format dxfId="3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8">
      <pivotArea field="0" type="button" dataOnly="0" labelOnly="1" outline="0"/>
    </format>
    <format dxfId="3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0">
      <pivotArea field="0" type="button" dataOnly="0" labelOnly="1" outline="0"/>
    </format>
    <format dxfId="3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2">
      <pivotArea outline="0" collapsedLevelsAreSubtotals="1" fieldPosition="0"/>
    </format>
    <format dxfId="333">
      <pivotArea dataOnly="0" labelOnly="1" grandRow="1" outline="0" fieldPosition="0"/>
    </format>
    <format dxfId="334">
      <pivotArea field="-2" type="button" dataOnly="0" labelOnly="1" outline="0" axis="axisRow" fieldPosition="0"/>
    </format>
    <format dxfId="335">
      <pivotArea type="origin" dataOnly="0" labelOnly="1" outline="0" fieldPosition="0"/>
    </format>
    <format dxfId="336">
      <pivotArea type="origin" dataOnly="0" labelOnly="1" outline="0" fieldPosition="0"/>
    </format>
    <format dxfId="337">
      <pivotArea field="-2" type="button" dataOnly="0" labelOnly="1" outline="0" axis="axisRow" fieldPosition="0"/>
    </format>
    <format dxfId="338">
      <pivotArea field="-2" type="button" dataOnly="0" labelOnly="1" outline="0" axis="axisRow" fieldPosition="0"/>
    </format>
    <format dxfId="339">
      <pivotArea outline="0" fieldPosition="0">
        <references count="1">
          <reference field="4294967294" count="1">
            <x v="0"/>
          </reference>
        </references>
      </pivotArea>
    </format>
    <format dxfId="340">
      <pivotArea field="1" type="button" dataOnly="0" labelOnly="1" outline="0" axis="axisCol" fieldPosition="0"/>
    </format>
    <format dxfId="3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2">
      <pivotArea field="1" type="button" dataOnly="0" labelOnly="1" outline="0" axis="axisCol" fieldPosition="0"/>
    </format>
    <format dxfId="343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44">
      <pivotArea outline="0" collapsedLevelsAreSubtotals="1" fieldPosition="0">
        <references count="1">
          <reference field="1" count="0" selected="0"/>
        </references>
      </pivotArea>
    </format>
    <format dxfId="345">
      <pivotArea field="1" type="button" dataOnly="0" labelOnly="1" outline="0" axis="axisCol" fieldPosition="0"/>
    </format>
    <format dxfId="346">
      <pivotArea type="topRight" dataOnly="0" labelOnly="1" outline="0" fieldPosition="0"/>
    </format>
    <format dxfId="347">
      <pivotArea dataOnly="0" labelOnly="1" fieldPosition="0">
        <references count="1">
          <reference field="1" count="0"/>
        </references>
      </pivotArea>
    </format>
    <format dxfId="348">
      <pivotArea type="origin" dataOnly="0" labelOnly="1" outline="0" fieldPosition="0"/>
    </format>
    <format dxfId="349">
      <pivotArea field="-2" type="button" dataOnly="0" labelOnly="1" outline="0" axis="axisRow" fieldPosition="0"/>
    </format>
    <format dxfId="3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5">
      <pivotArea type="origin" dataOnly="0" labelOnly="1" outline="0" fieldPosition="0"/>
    </format>
    <format dxfId="356">
      <pivotArea field="1" type="button" dataOnly="0" labelOnly="1" outline="0" axis="axisCol" fieldPosition="0"/>
    </format>
    <format dxfId="357">
      <pivotArea type="topRight" dataOnly="0" labelOnly="1" outline="0" fieldPosition="0"/>
    </format>
    <format dxfId="358">
      <pivotArea field="-2" type="button" dataOnly="0" labelOnly="1" outline="0" axis="axisRow" fieldPosition="0"/>
    </format>
    <format dxfId="359">
      <pivotArea dataOnly="0" labelOnly="1" fieldPosition="0">
        <references count="1">
          <reference field="1" count="0"/>
        </references>
      </pivotArea>
    </format>
    <format dxfId="360">
      <pivotArea dataOnly="0" labelOnly="1" grandCol="1" outline="0" fieldPosition="0"/>
    </format>
    <format dxfId="361">
      <pivotArea type="origin" dataOnly="0" labelOnly="1" outline="0" fieldPosition="0"/>
    </format>
    <format dxfId="362">
      <pivotArea field="1" type="button" dataOnly="0" labelOnly="1" outline="0" axis="axisCol" fieldPosition="0"/>
    </format>
    <format dxfId="363">
      <pivotArea type="topRight" dataOnly="0" labelOnly="1" outline="0" fieldPosition="0"/>
    </format>
    <format dxfId="364">
      <pivotArea field="-2" type="button" dataOnly="0" labelOnly="1" outline="0" axis="axisRow" fieldPosition="0"/>
    </format>
    <format dxfId="365">
      <pivotArea dataOnly="0" labelOnly="1" fieldPosition="0">
        <references count="1">
          <reference field="1" count="0"/>
        </references>
      </pivotArea>
    </format>
    <format dxfId="366">
      <pivotArea dataOnly="0" labelOnly="1" grandCol="1" outline="0" fieldPosition="0"/>
    </format>
    <format dxfId="367">
      <pivotArea dataOnly="0" labelOnly="1" fieldPosition="0">
        <references count="1">
          <reference field="1" count="0"/>
        </references>
      </pivotArea>
    </format>
    <format dxfId="368">
      <pivotArea dataOnly="0" labelOnly="1" grandCol="1" outline="0" fieldPosition="0"/>
    </format>
    <format dxfId="369">
      <pivotArea field="1" type="button" dataOnly="0" labelOnly="1" outline="0" axis="axisCol" fieldPosition="0"/>
    </format>
    <format dxfId="370">
      <pivotArea type="topRight" dataOnly="0" labelOnly="1" outline="0" fieldPosition="0"/>
    </format>
    <format dxfId="371">
      <pivotArea dataOnly="0" labelOnly="1" fieldPosition="0">
        <references count="1">
          <reference field="1" count="0"/>
        </references>
      </pivotArea>
    </format>
    <format dxfId="372">
      <pivotArea dataOnly="0" labelOnly="1" grandCol="1" outline="0" fieldPosition="0"/>
    </format>
    <format dxfId="373">
      <pivotArea outline="0" collapsedLevelsAreSubtotals="1" fieldPosition="0"/>
    </format>
    <format dxfId="374">
      <pivotArea type="origin" dataOnly="0" labelOnly="1" outline="0" fieldPosition="0"/>
    </format>
    <format dxfId="375">
      <pivotArea field="-2" type="button" dataOnly="0" labelOnly="1" outline="0" axis="axisRow" fieldPosition="0"/>
    </format>
    <format dxfId="37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48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48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artItem="27" style="SlicerStyleOther1" rowHeight="241300"/>
  <slicer name="FECHA 1" xr10:uid="{C0CF515C-C34C-4638-A3ED-0E3BB739B0C2}" cache="SegmentaciónDeDatos_FECHA1" caption="FECHA" startItem="2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L95" totalsRowCount="1" headerRowDxfId="588" dataDxfId="587">
  <autoFilter ref="A1:AL94" xr:uid="{106ED39B-8120-48D1-B96B-A8FB2CC5DC7B}"/>
  <tableColumns count="38">
    <tableColumn id="1" xr3:uid="{797BBFE9-7BD9-4895-8C65-B12AC56DBD23}" name="FECHA" dataDxfId="586"/>
    <tableColumn id="47" xr3:uid="{976FC6AF-EAA8-436A-9BA8-AC53AED0CB5E}" name="DIA" dataDxfId="585"/>
    <tableColumn id="2" xr3:uid="{ED62E89D-C3D6-46F0-9E1B-185F3DF1296E}" name="ANALISIS TURNO"/>
    <tableColumn id="3" xr3:uid="{BBA60A93-0254-41C3-A7CA-2EDB720B1050}" name="# TURNO" totalsRowDxfId="314"/>
    <tableColumn id="46" xr3:uid="{4F31C636-F8EB-4A95-8AED-141DEE9C8A6A}" name="DILIGENCIAR BITACORA" totalsRowDxfId="313"/>
    <tableColumn id="4" xr3:uid="{B73C29EE-3B1E-409E-B889-754B9082C27C}" name="INV FINAL ACIDO (L)" dataDxfId="584" totalsRowDxfId="312"/>
    <tableColumn id="5" xr3:uid="{85CF7F79-52E3-4C53-9B93-560644AE36E3}" name="INV  FINAL COAGULANTE (L)" dataDxfId="583" totalsRowDxfId="311"/>
    <tableColumn id="7" xr3:uid="{01D1223B-AFC9-473C-B53A-772ED6688370}" name="INV FINAL POL ANIONICO (KG)" dataDxfId="582" totalsRowDxfId="310"/>
    <tableColumn id="8" xr3:uid="{F3F3A222-444F-40CA-A3E4-91ADFB7EE17C}" name="CONSUMO SOLUCIÓN OXIDANTE (L)" dataDxfId="581" totalsRowDxfId="309"/>
    <tableColumn id="11" xr3:uid="{6CA64394-760F-47F1-A458-077D466340EA}" name="Lectura Medidor de flujo pozo profundo" dataDxfId="580" totalsRowDxfId="308"/>
    <tableColumn id="12" xr3:uid="{F9E9DE99-0964-4A63-8AB7-0B4C558EB128}" name="CAUDAL TOTAL ENVIADO PTAP" dataDxfId="579" totalsRowDxfId="307"/>
    <tableColumn id="13" xr3:uid="{DC31669B-5880-4278-AAEF-DEE832958168}" name="CONSUMO LITROS ACIDO (L)" dataDxfId="578" totalsRowDxfId="306">
      <calculatedColumnFormula>F2-F3</calculatedColumnFormula>
    </tableColumn>
    <tableColumn id="14" xr3:uid="{3F519DC6-C28D-400E-9BAE-FB58AEEC8615}" name="CONSUMO LITROS COAGULANTE (L)" dataDxfId="577" totalsRowDxfId="305">
      <calculatedColumnFormula>G2-G3</calculatedColumnFormula>
    </tableColumn>
    <tableColumn id="16" xr3:uid="{C474DBB7-9EDF-4C8A-8999-41B9946BC586}" name="CONSUMO POL ANIONICO (KG)" dataDxfId="576" totalsRowDxfId="304">
      <calculatedColumnFormula>H2-H3</calculatedColumnFormula>
    </tableColumn>
    <tableColumn id="17" xr3:uid="{1537DA41-65B8-4D8C-9F11-D2F984E6D1B1}" name="CONSUMO OXIDANTE SOLUCIÓN(L)" dataDxfId="575" totalsRowDxfId="303">
      <calculatedColumnFormula>Tabla1[[#This Row],[CONSUMO SOLUCIÓN OXIDANTE (L)]]</calculatedColumnFormula>
    </tableColumn>
    <tableColumn id="18" xr3:uid="{2A63BD78-FAED-4C1C-8047-CB39F8AFDCAC}" name="KG ACIDO" dataDxfId="574" totalsRowDxfId="302">
      <calculatedColumnFormula>(L2*$X$2)/1000000</calculatedColumnFormula>
    </tableColumn>
    <tableColumn id="19" xr3:uid="{3C33C774-6CF3-4B73-BF30-DBB9172996A9}" name="KG COAGULANTE" dataDxfId="573" totalsRowDxfId="301">
      <calculatedColumnFormula>(M2*$Y$2)/1000000</calculatedColumnFormula>
    </tableColumn>
    <tableColumn id="21" xr3:uid="{1458EF37-76ED-43B9-8AA8-9F80763A7696}" name="KG POL ANIONICO " dataDxfId="572" totalsRowDxfId="300">
      <calculatedColumnFormula>Tabla1[[#This Row],[CONSUMO POL ANIONICO (KG)]]</calculatedColumnFormula>
    </tableColumn>
    <tableColumn id="22" xr3:uid="{300A389A-14FF-4FB7-87C0-417DAACBFC6E}" name="KG OXIDANTE" totalsRowFunction="custom" dataDxfId="571" totalsRowDxfId="299">
      <calculatedColumnFormula>Tabla1[[#This Row],[CONSUMO OXIDANTE SOLUCIÓN(L)]]*Tabla1[[#This Row],[DENSIDAD OXIDANTE]]</calculatedColumnFormula>
      <totalsRowFormula>SUM(Tabla1[KG OXIDANTE])</totalsRowFormula>
    </tableColumn>
    <tableColumn id="23" xr3:uid="{0E4FFC5C-D7F2-468F-A1A3-EBC3233EC511}" name="PPM ACIDO " dataDxfId="570">
      <calculatedColumnFormula>(P2*1000)/K2</calculatedColumnFormula>
    </tableColumn>
    <tableColumn id="24" xr3:uid="{3F435E9F-2B10-453D-AA8A-0FC6772EB018}" name="PPM COAGULANTE " dataDxfId="569">
      <calculatedColumnFormula>(Q2*1000)/K2</calculatedColumnFormula>
    </tableColumn>
    <tableColumn id="26" xr3:uid="{39A5A5CD-B186-47FD-AE6C-D0DA41E39382}" name="PPM POL ANIONICO " dataDxfId="568">
      <calculatedColumnFormula>(R2*1000)/K2</calculatedColumnFormula>
    </tableColumn>
    <tableColumn id="27" xr3:uid="{F8AB9DCC-1003-4C35-9BE6-9E37DF927B08}" name="PPM POL OXIDANTE" dataDxfId="567">
      <calculatedColumnFormula>(S2*1000)/K2</calculatedColumnFormula>
    </tableColumn>
    <tableColumn id="28" xr3:uid="{CE609211-2FE1-46A8-AF6B-F6AAFA38AC6C}" name="DENSIDAD ACIDO" dataDxfId="566" totalsRowDxfId="298"/>
    <tableColumn id="29" xr3:uid="{26E48531-C8F5-4079-8037-57ED96A4A976}" name="DENSIDAD COAGULANTE" dataDxfId="565" totalsRowDxfId="297"/>
    <tableColumn id="31" xr3:uid="{213F817F-0E9B-47EF-9F76-E320E6B3052B}" name="DENSIDAD ANIONICO" dataDxfId="564" totalsRowDxfId="296"/>
    <tableColumn id="32" xr3:uid="{4BB0F123-E730-4842-BC86-E2064FC88FFF}" name="DENSIDAD OXIDANTE" dataDxfId="563" totalsRowDxfId="295"/>
    <tableColumn id="33" xr3:uid="{B2BD1E5E-CBC5-493D-B4B1-9DA910A0C1F1}" name="PRECIO (KG) ACIDO" dataDxfId="562" totalsRowDxfId="294"/>
    <tableColumn id="34" xr3:uid="{4972F7E0-8FD1-4EF3-B1FB-369777963AB1}" name="PRECIO (KG) COAGULANTE" dataDxfId="561" totalsRowDxfId="293"/>
    <tableColumn id="36" xr3:uid="{ECBD8F2B-41C8-484E-B81D-4DA820DAB619}" name="PRECIO (KG) ANIONICO" dataDxfId="560" totalsRowDxfId="292"/>
    <tableColumn id="37" xr3:uid="{8EACD521-2BF4-44D1-B345-3B0CA4AB45E0}" name="PRECIO (KG) OXIDANTE" dataDxfId="559" totalsRowDxfId="291"/>
    <tableColumn id="38" xr3:uid="{017EFE46-D96A-42E1-8707-878704C5E501}" name="COSTO OPERATIVO ACIDO" dataDxfId="558">
      <calculatedColumnFormula>P2*AB2</calculatedColumnFormula>
    </tableColumn>
    <tableColumn id="39" xr3:uid="{99F19967-E3ED-4C22-BFB3-6A96F4CA9289}" name="COSTO OPERATIVO COAGULANTE" dataDxfId="557">
      <calculatedColumnFormula>Q2*AC2</calculatedColumnFormula>
    </tableColumn>
    <tableColumn id="41" xr3:uid="{FB818BA1-8137-4F90-8B4E-4979316FAB5A}" name="COSTO OPERATIVO ANIONICO" dataDxfId="556">
      <calculatedColumnFormula>R2*AD2</calculatedColumnFormula>
    </tableColumn>
    <tableColumn id="42" xr3:uid="{C925CA67-4C0E-4B28-8CD9-B1CD4B61FBAB}" name="COSTO OPERATIVO OXIDANTE" dataDxfId="555">
      <calculatedColumnFormula>S2*AE2</calculatedColumnFormula>
    </tableColumn>
    <tableColumn id="43" xr3:uid="{AD7ED194-6217-4171-9A5E-722504A09916}" name="COSTO QUIMICA TOTAL CAUDAL TRATADO " dataDxfId="554">
      <calculatedColumnFormula>SUM(Tabla1[[#This Row],[COSTO OPERATIVO ACIDO]:[COSTO OPERATIVO OXIDANTE]])</calculatedColumnFormula>
    </tableColumn>
    <tableColumn id="45" xr3:uid="{917AA0D6-1159-42C0-BFE1-D283A0204659}" name="LIMITE INDICADOR M3" dataDxfId="553" totalsRowDxfId="290"/>
    <tableColumn id="44" xr3:uid="{F07AB979-76E5-4241-8726-8BD66150419C}" name="$ m3" dataDxfId="552" totalsRowDxfId="289">
      <calculatedColumnFormula>AJ2/K2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9" dT="2024-10-04T17:24:30.85" personId="{EE5C7DE3-FA37-4B1A-A8D2-FF232E6C14FC}" id="{9764B4BE-0BF7-4407-A4AD-DF903FF26D4D}">
    <text>Se alimento a reactores y se requirió bajar ph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L95"/>
  <sheetViews>
    <sheetView topLeftCell="L1" zoomScale="60" zoomScaleNormal="60" workbookViewId="0">
      <pane ySplit="1" topLeftCell="A69" activePane="bottomLeft" state="frozen"/>
      <selection pane="bottomLeft" activeCell="AJ2" sqref="AJ2:AJ93"/>
    </sheetView>
  </sheetViews>
  <sheetFormatPr baseColWidth="10" defaultRowHeight="14.4" x14ac:dyDescent="0.3"/>
  <cols>
    <col min="1" max="1" width="15.77734375" customWidth="1"/>
    <col min="2" max="2" width="11.44140625" hidden="1" customWidth="1"/>
    <col min="3" max="3" width="12.21875" customWidth="1"/>
    <col min="4" max="4" width="12.21875" style="58" hidden="1" customWidth="1"/>
    <col min="5" max="5" width="20.21875" style="58" bestFit="1" customWidth="1"/>
    <col min="6" max="6" width="10.77734375" style="224" customWidth="1"/>
    <col min="7" max="7" width="14.88671875" style="224" customWidth="1"/>
    <col min="8" max="8" width="16" style="224" customWidth="1"/>
    <col min="9" max="9" width="14.5546875" style="224" customWidth="1"/>
    <col min="10" max="10" width="16.21875" style="57" customWidth="1"/>
    <col min="11" max="11" width="22.44140625" style="1" bestFit="1" customWidth="1"/>
    <col min="12" max="12" width="14.44140625" customWidth="1"/>
    <col min="13" max="13" width="15.77734375" customWidth="1"/>
    <col min="14" max="14" width="14.77734375" customWidth="1"/>
    <col min="15" max="15" width="16.21875" customWidth="1"/>
    <col min="16" max="16" width="10.21875" customWidth="1"/>
    <col min="17" max="17" width="10.5546875" customWidth="1"/>
    <col min="18" max="18" width="11.21875" customWidth="1"/>
    <col min="19" max="19" width="13.77734375" customWidth="1"/>
    <col min="20" max="22" width="14.21875" customWidth="1"/>
    <col min="23" max="23" width="15.5546875" bestFit="1" customWidth="1"/>
    <col min="24" max="24" width="21" style="59" hidden="1" customWidth="1"/>
    <col min="25" max="25" width="17.77734375" style="59" hidden="1" customWidth="1"/>
    <col min="26" max="26" width="14.77734375" style="59" hidden="1" customWidth="1"/>
    <col min="27" max="27" width="15.5546875" style="59" hidden="1" customWidth="1"/>
    <col min="28" max="28" width="22.77734375" style="59" hidden="1" customWidth="1"/>
    <col min="29" max="29" width="17.77734375" style="59" hidden="1" customWidth="1"/>
    <col min="30" max="31" width="16.44140625" style="59" hidden="1" customWidth="1"/>
    <col min="32" max="32" width="13.21875" customWidth="1"/>
    <col min="33" max="33" width="15.77734375" customWidth="1"/>
    <col min="34" max="34" width="15.21875" customWidth="1"/>
    <col min="35" max="35" width="14.77734375" customWidth="1"/>
    <col min="36" max="36" width="16.77734375" customWidth="1"/>
    <col min="37" max="37" width="17.44140625" style="62" customWidth="1"/>
    <col min="38" max="38" width="11" style="62" customWidth="1"/>
  </cols>
  <sheetData>
    <row r="1" spans="1:38" s="92" customFormat="1" ht="60" customHeight="1" thickBot="1" x14ac:dyDescent="0.35">
      <c r="A1" s="232" t="s">
        <v>17</v>
      </c>
      <c r="B1" s="232" t="s">
        <v>49</v>
      </c>
      <c r="C1" s="233" t="s">
        <v>67</v>
      </c>
      <c r="D1" s="234" t="s">
        <v>65</v>
      </c>
      <c r="E1" s="233" t="s">
        <v>68</v>
      </c>
      <c r="F1" s="235" t="s">
        <v>80</v>
      </c>
      <c r="G1" s="236" t="s">
        <v>81</v>
      </c>
      <c r="H1" s="236" t="s">
        <v>82</v>
      </c>
      <c r="I1" s="236" t="s">
        <v>83</v>
      </c>
      <c r="J1" s="237" t="s">
        <v>77</v>
      </c>
      <c r="K1" s="253" t="s">
        <v>94</v>
      </c>
      <c r="L1" s="238" t="s">
        <v>25</v>
      </c>
      <c r="M1" s="238" t="s">
        <v>26</v>
      </c>
      <c r="N1" s="238" t="s">
        <v>27</v>
      </c>
      <c r="O1" s="239" t="s">
        <v>78</v>
      </c>
      <c r="P1" s="240" t="s">
        <v>33</v>
      </c>
      <c r="Q1" s="241" t="s">
        <v>35</v>
      </c>
      <c r="R1" s="241" t="s">
        <v>34</v>
      </c>
      <c r="S1" s="242" t="s">
        <v>79</v>
      </c>
      <c r="T1" s="243" t="s">
        <v>31</v>
      </c>
      <c r="U1" s="244" t="s">
        <v>32</v>
      </c>
      <c r="V1" s="244" t="s">
        <v>36</v>
      </c>
      <c r="W1" s="245" t="s">
        <v>84</v>
      </c>
      <c r="X1" s="246" t="s">
        <v>30</v>
      </c>
      <c r="Y1" s="247" t="s">
        <v>28</v>
      </c>
      <c r="Z1" s="247" t="s">
        <v>29</v>
      </c>
      <c r="AA1" s="247" t="s">
        <v>85</v>
      </c>
      <c r="AB1" s="246" t="s">
        <v>37</v>
      </c>
      <c r="AC1" s="247" t="s">
        <v>38</v>
      </c>
      <c r="AD1" s="247" t="s">
        <v>39</v>
      </c>
      <c r="AE1" s="247" t="s">
        <v>86</v>
      </c>
      <c r="AF1" s="248" t="s">
        <v>40</v>
      </c>
      <c r="AG1" s="249" t="s">
        <v>41</v>
      </c>
      <c r="AH1" s="249" t="s">
        <v>42</v>
      </c>
      <c r="AI1" s="250" t="s">
        <v>87</v>
      </c>
      <c r="AJ1" s="251" t="s">
        <v>88</v>
      </c>
      <c r="AK1" s="252" t="s">
        <v>45</v>
      </c>
      <c r="AL1" s="252" t="s">
        <v>43</v>
      </c>
    </row>
    <row r="2" spans="1:38" ht="15" thickBot="1" x14ac:dyDescent="0.35">
      <c r="A2" s="39">
        <v>46023</v>
      </c>
      <c r="B2" s="97">
        <f>DAY(Tabla1[[#This Row],[FECHA]])</f>
        <v>1</v>
      </c>
      <c r="C2" s="74" t="s">
        <v>18</v>
      </c>
      <c r="D2" s="89">
        <v>1</v>
      </c>
      <c r="E2" s="89" t="s">
        <v>46</v>
      </c>
      <c r="F2" s="217">
        <v>1351</v>
      </c>
      <c r="G2" s="218">
        <v>1800</v>
      </c>
      <c r="H2" s="230">
        <v>93.538999999999987</v>
      </c>
      <c r="I2" s="218" t="s">
        <v>99</v>
      </c>
      <c r="J2" s="217" t="s">
        <v>100</v>
      </c>
      <c r="K2" s="225">
        <v>0</v>
      </c>
      <c r="L2" s="219">
        <v>0</v>
      </c>
      <c r="M2" s="221">
        <f t="shared" ref="M2:M51" si="0">G2-G3</f>
        <v>0</v>
      </c>
      <c r="N2" s="254">
        <f t="shared" ref="N2:N4" si="1">H2-H3</f>
        <v>0</v>
      </c>
      <c r="O2" s="73">
        <v>0</v>
      </c>
      <c r="P2" s="71">
        <f>(L2*$X$2)/1000000</f>
        <v>0</v>
      </c>
      <c r="Q2" s="72">
        <f>(M2*$Y$2)/1000000</f>
        <v>0</v>
      </c>
      <c r="R2" s="72">
        <f>Tabla1[[#This Row],[CONSUMO POL ANIONICO (KG)]]</f>
        <v>0</v>
      </c>
      <c r="S2" s="73">
        <f>Tabla1[[#This Row],[CONSUMO OXIDANTE SOLUCIÓN(L)]]*Tabla1[[#This Row],[DENSIDAD OXIDANTE]]</f>
        <v>0</v>
      </c>
      <c r="T2" s="76" t="e">
        <f t="shared" ref="T2:T5" si="2">(P2*1000)/K2</f>
        <v>#DIV/0!</v>
      </c>
      <c r="U2" s="77" t="e">
        <f t="shared" ref="U2:U5" si="3">(Q2*1000)/K2</f>
        <v>#DIV/0!</v>
      </c>
      <c r="V2" s="77" t="e">
        <f t="shared" ref="V2:V5" si="4">(R2*1000)/K2</f>
        <v>#DIV/0!</v>
      </c>
      <c r="W2" s="78" t="e">
        <f t="shared" ref="W2:W5" si="5">(S2*1000)/K2</f>
        <v>#DIV/0!</v>
      </c>
      <c r="X2" s="61">
        <v>1240000</v>
      </c>
      <c r="Y2" s="61">
        <v>1325000</v>
      </c>
      <c r="Z2" s="61">
        <v>2500</v>
      </c>
      <c r="AA2" s="228">
        <v>4.2000000000000003E-2</v>
      </c>
      <c r="AB2" s="60">
        <v>2446</v>
      </c>
      <c r="AC2" s="60">
        <v>2498</v>
      </c>
      <c r="AD2" s="60">
        <v>23800</v>
      </c>
      <c r="AE2" s="60">
        <v>3010</v>
      </c>
      <c r="AF2" s="63">
        <f t="shared" ref="AF2:AF33" si="6">P2*AB2</f>
        <v>0</v>
      </c>
      <c r="AG2" s="64">
        <f t="shared" ref="AG2:AG33" si="7">Q2*AC2</f>
        <v>0</v>
      </c>
      <c r="AH2" s="64">
        <f t="shared" ref="AH2:AH33" si="8">R2*AD2</f>
        <v>0</v>
      </c>
      <c r="AI2" s="65">
        <f t="shared" ref="AI2:AI33" si="9">S2*AE2</f>
        <v>0</v>
      </c>
      <c r="AJ2" s="63">
        <f>SUM(Tabla1[[#This Row],[COSTO OPERATIVO ACIDO]:[COSTO OPERATIVO OXIDANTE]])</f>
        <v>0</v>
      </c>
      <c r="AK2" s="64">
        <v>2500</v>
      </c>
      <c r="AL2" s="64" t="e">
        <f>AJ2/K2</f>
        <v>#DIV/0!</v>
      </c>
    </row>
    <row r="3" spans="1:38" ht="15" thickBot="1" x14ac:dyDescent="0.35">
      <c r="A3" s="40">
        <f>A2</f>
        <v>46023</v>
      </c>
      <c r="B3" s="97">
        <f>DAY(Tabla1[[#This Row],[FECHA]])</f>
        <v>1</v>
      </c>
      <c r="C3" s="75" t="s">
        <v>19</v>
      </c>
      <c r="D3" s="90">
        <v>2</v>
      </c>
      <c r="E3" s="90" t="s">
        <v>48</v>
      </c>
      <c r="F3" s="222">
        <f t="shared" ref="F3:F8" si="10">F2</f>
        <v>1351</v>
      </c>
      <c r="G3" s="223">
        <v>1800</v>
      </c>
      <c r="H3" s="231">
        <f t="shared" ref="H3:H8" si="11">H2</f>
        <v>93.538999999999987</v>
      </c>
      <c r="I3" s="223">
        <v>0</v>
      </c>
      <c r="J3" s="222">
        <v>92468</v>
      </c>
      <c r="K3" s="226">
        <v>0</v>
      </c>
      <c r="L3" s="220">
        <v>0</v>
      </c>
      <c r="M3" s="221">
        <f t="shared" si="0"/>
        <v>0</v>
      </c>
      <c r="N3" s="254">
        <f t="shared" si="1"/>
        <v>0</v>
      </c>
      <c r="O3" s="78">
        <f>Tabla1[[#This Row],[CONSUMO SOLUCIÓN OXIDANTE (L)]]</f>
        <v>0</v>
      </c>
      <c r="P3" s="76">
        <f>(L3*$X$2)/1000000</f>
        <v>0</v>
      </c>
      <c r="Q3" s="77">
        <f>(M3*$Y$2)/1000000</f>
        <v>0</v>
      </c>
      <c r="R3" s="77">
        <f>Tabla1[[#This Row],[CONSUMO POL ANIONICO (KG)]]</f>
        <v>0</v>
      </c>
      <c r="S3" s="78">
        <f>Tabla1[[#This Row],[CONSUMO OXIDANTE SOLUCIÓN(L)]]*Tabla1[[#This Row],[DENSIDAD OXIDANTE]]</f>
        <v>0</v>
      </c>
      <c r="T3" s="76" t="e">
        <f t="shared" si="2"/>
        <v>#DIV/0!</v>
      </c>
      <c r="U3" s="77" t="e">
        <f t="shared" si="3"/>
        <v>#DIV/0!</v>
      </c>
      <c r="V3" s="77" t="e">
        <f t="shared" si="4"/>
        <v>#DIV/0!</v>
      </c>
      <c r="W3" s="78" t="e">
        <f t="shared" si="5"/>
        <v>#DIV/0!</v>
      </c>
      <c r="X3" s="61">
        <v>1240000</v>
      </c>
      <c r="Y3" s="61">
        <v>1325000</v>
      </c>
      <c r="Z3" s="61">
        <v>2500</v>
      </c>
      <c r="AA3" s="228">
        <v>4.2000000000000003E-2</v>
      </c>
      <c r="AB3" s="60">
        <v>2446</v>
      </c>
      <c r="AC3" s="60">
        <v>2498</v>
      </c>
      <c r="AD3" s="60">
        <v>23800</v>
      </c>
      <c r="AE3" s="60">
        <v>3010</v>
      </c>
      <c r="AF3" s="66">
        <f t="shared" si="6"/>
        <v>0</v>
      </c>
      <c r="AG3" s="67">
        <f t="shared" si="7"/>
        <v>0</v>
      </c>
      <c r="AH3" s="67">
        <f t="shared" si="8"/>
        <v>0</v>
      </c>
      <c r="AI3" s="68">
        <f t="shared" si="9"/>
        <v>0</v>
      </c>
      <c r="AJ3" s="66">
        <f>SUM(Tabla1[[#This Row],[COSTO OPERATIVO ACIDO]:[COSTO OPERATIVO OXIDANTE]])</f>
        <v>0</v>
      </c>
      <c r="AK3" s="64">
        <v>2500</v>
      </c>
      <c r="AL3" s="64" t="e">
        <f t="shared" ref="AL3:AL66" si="12">AJ3/K3</f>
        <v>#DIV/0!</v>
      </c>
    </row>
    <row r="4" spans="1:38" ht="15" thickBot="1" x14ac:dyDescent="0.35">
      <c r="A4" s="41">
        <f>A3</f>
        <v>46023</v>
      </c>
      <c r="B4" s="97">
        <f>DAY(Tabla1[[#This Row],[FECHA]])</f>
        <v>1</v>
      </c>
      <c r="C4" s="79" t="s">
        <v>20</v>
      </c>
      <c r="D4" s="91">
        <v>3</v>
      </c>
      <c r="E4" s="91" t="s">
        <v>47</v>
      </c>
      <c r="F4" s="222">
        <f t="shared" si="10"/>
        <v>1351</v>
      </c>
      <c r="G4" s="223">
        <v>1800</v>
      </c>
      <c r="H4" s="231">
        <f t="shared" si="11"/>
        <v>93.538999999999987</v>
      </c>
      <c r="I4" s="223">
        <v>0</v>
      </c>
      <c r="J4" s="259">
        <v>92468</v>
      </c>
      <c r="K4" s="226">
        <v>0</v>
      </c>
      <c r="L4" s="221">
        <f>F4-F5</f>
        <v>0</v>
      </c>
      <c r="M4" s="221">
        <f t="shared" si="0"/>
        <v>0</v>
      </c>
      <c r="N4" s="254">
        <f t="shared" si="1"/>
        <v>0</v>
      </c>
      <c r="O4" s="81">
        <f>Tabla1[[#This Row],[CONSUMO SOLUCIÓN OXIDANTE (L)]]</f>
        <v>0</v>
      </c>
      <c r="P4" s="76">
        <f>(L4*$X$2)/1000000</f>
        <v>0</v>
      </c>
      <c r="Q4" s="80">
        <f>(M4*$Y$2)/1000000</f>
        <v>0</v>
      </c>
      <c r="R4" s="80">
        <f>Tabla1[[#This Row],[CONSUMO POL ANIONICO (KG)]]</f>
        <v>0</v>
      </c>
      <c r="S4" s="81">
        <f>Tabla1[[#This Row],[CONSUMO OXIDANTE SOLUCIÓN(L)]]*Tabla1[[#This Row],[DENSIDAD OXIDANTE]]</f>
        <v>0</v>
      </c>
      <c r="T4" s="76" t="e">
        <f t="shared" si="2"/>
        <v>#DIV/0!</v>
      </c>
      <c r="U4" s="77" t="e">
        <f t="shared" si="3"/>
        <v>#DIV/0!</v>
      </c>
      <c r="V4" s="77" t="e">
        <f t="shared" si="4"/>
        <v>#DIV/0!</v>
      </c>
      <c r="W4" s="78" t="e">
        <f t="shared" si="5"/>
        <v>#DIV/0!</v>
      </c>
      <c r="X4" s="61">
        <v>1240000</v>
      </c>
      <c r="Y4" s="61">
        <v>1325000</v>
      </c>
      <c r="Z4" s="61">
        <v>2500</v>
      </c>
      <c r="AA4" s="228">
        <v>4.2000000000000003E-2</v>
      </c>
      <c r="AB4" s="60">
        <v>2446</v>
      </c>
      <c r="AC4" s="60">
        <v>2498</v>
      </c>
      <c r="AD4" s="60">
        <v>23800</v>
      </c>
      <c r="AE4" s="60">
        <v>3010</v>
      </c>
      <c r="AF4" s="66">
        <f t="shared" si="6"/>
        <v>0</v>
      </c>
      <c r="AG4" s="69">
        <f t="shared" si="7"/>
        <v>0</v>
      </c>
      <c r="AH4" s="69">
        <f t="shared" si="8"/>
        <v>0</v>
      </c>
      <c r="AI4" s="70">
        <f t="shared" si="9"/>
        <v>0</v>
      </c>
      <c r="AJ4" s="66">
        <f>SUM(Tabla1[[#This Row],[COSTO OPERATIVO ACIDO]:[COSTO OPERATIVO OXIDANTE]])</f>
        <v>0</v>
      </c>
      <c r="AK4" s="64">
        <v>2500</v>
      </c>
      <c r="AL4" s="64" t="e">
        <f t="shared" si="12"/>
        <v>#DIV/0!</v>
      </c>
    </row>
    <row r="5" spans="1:38" ht="15" thickBot="1" x14ac:dyDescent="0.35">
      <c r="A5" s="39">
        <f>A4+1</f>
        <v>46024</v>
      </c>
      <c r="B5" s="97">
        <f>DAY(Tabla1[[#This Row],[FECHA]])</f>
        <v>2</v>
      </c>
      <c r="C5" s="74" t="s">
        <v>18</v>
      </c>
      <c r="D5" s="89">
        <v>1</v>
      </c>
      <c r="E5" s="89" t="s">
        <v>46</v>
      </c>
      <c r="F5" s="217">
        <f t="shared" si="10"/>
        <v>1351</v>
      </c>
      <c r="G5" s="218">
        <f>G4</f>
        <v>1800</v>
      </c>
      <c r="H5" s="230">
        <f t="shared" si="11"/>
        <v>93.538999999999987</v>
      </c>
      <c r="I5" s="218">
        <v>6</v>
      </c>
      <c r="J5" s="217">
        <v>92468</v>
      </c>
      <c r="K5" s="226">
        <v>0</v>
      </c>
      <c r="L5" s="219">
        <f t="shared" ref="L5:L67" si="13">F5-F6</f>
        <v>6</v>
      </c>
      <c r="M5" s="219">
        <f t="shared" si="0"/>
        <v>8</v>
      </c>
      <c r="N5" s="255">
        <f t="shared" ref="N5:N68" si="14">H5-H6</f>
        <v>1.8999999999991246E-2</v>
      </c>
      <c r="O5" s="73">
        <f>Tabla1[[#This Row],[CONSUMO SOLUCIÓN OXIDANTE (L)]]</f>
        <v>6</v>
      </c>
      <c r="P5" s="71">
        <f t="shared" ref="P5:P68" si="15">(L5*$X$2)/1000000</f>
        <v>7.44</v>
      </c>
      <c r="Q5" s="72">
        <f t="shared" ref="Q5:Q68" si="16">(M5*$Y$2)/1000000</f>
        <v>10.6</v>
      </c>
      <c r="R5" s="72">
        <f>Tabla1[[#This Row],[CONSUMO POL ANIONICO (KG)]]</f>
        <v>1.8999999999991246E-2</v>
      </c>
      <c r="S5" s="73">
        <f>Tabla1[[#This Row],[CONSUMO OXIDANTE SOLUCIÓN(L)]]*Tabla1[[#This Row],[DENSIDAD OXIDANTE]]</f>
        <v>0.252</v>
      </c>
      <c r="T5" s="76" t="e">
        <f t="shared" si="2"/>
        <v>#DIV/0!</v>
      </c>
      <c r="U5" s="77" t="e">
        <f t="shared" si="3"/>
        <v>#DIV/0!</v>
      </c>
      <c r="V5" s="77" t="e">
        <f t="shared" si="4"/>
        <v>#DIV/0!</v>
      </c>
      <c r="W5" s="78" t="e">
        <f t="shared" si="5"/>
        <v>#DIV/0!</v>
      </c>
      <c r="X5" s="61">
        <v>1240000</v>
      </c>
      <c r="Y5" s="61">
        <v>1325000</v>
      </c>
      <c r="Z5" s="61">
        <v>2500</v>
      </c>
      <c r="AA5" s="228">
        <v>4.2000000000000003E-2</v>
      </c>
      <c r="AB5" s="60">
        <v>2446</v>
      </c>
      <c r="AC5" s="60">
        <v>2498</v>
      </c>
      <c r="AD5" s="60">
        <v>23800</v>
      </c>
      <c r="AE5" s="60">
        <v>3010</v>
      </c>
      <c r="AF5" s="63">
        <f t="shared" si="6"/>
        <v>18198.240000000002</v>
      </c>
      <c r="AG5" s="64">
        <f t="shared" si="7"/>
        <v>26478.799999999999</v>
      </c>
      <c r="AH5" s="64">
        <f t="shared" si="8"/>
        <v>452.19999999979166</v>
      </c>
      <c r="AI5" s="65">
        <f t="shared" si="9"/>
        <v>758.52</v>
      </c>
      <c r="AJ5" s="63">
        <f>SUM(Tabla1[[#This Row],[COSTO OPERATIVO ACIDO]:[COSTO OPERATIVO OXIDANTE]])</f>
        <v>45887.759999999791</v>
      </c>
      <c r="AK5" s="64">
        <v>2500</v>
      </c>
      <c r="AL5" s="64" t="e">
        <f t="shared" si="12"/>
        <v>#DIV/0!</v>
      </c>
    </row>
    <row r="6" spans="1:38" ht="15" thickBot="1" x14ac:dyDescent="0.35">
      <c r="A6" s="40">
        <f>A5</f>
        <v>46024</v>
      </c>
      <c r="B6" s="97">
        <f>DAY(Tabla1[[#This Row],[FECHA]])</f>
        <v>2</v>
      </c>
      <c r="C6" s="75" t="s">
        <v>19</v>
      </c>
      <c r="D6" s="90">
        <v>2</v>
      </c>
      <c r="E6" s="90" t="s">
        <v>48</v>
      </c>
      <c r="F6" s="222">
        <v>1345</v>
      </c>
      <c r="G6" s="223">
        <v>1792</v>
      </c>
      <c r="H6" s="231">
        <v>93.52</v>
      </c>
      <c r="I6" s="223">
        <v>0</v>
      </c>
      <c r="J6" s="222">
        <v>92468</v>
      </c>
      <c r="K6" s="226">
        <v>0</v>
      </c>
      <c r="L6" s="220">
        <f t="shared" si="13"/>
        <v>0</v>
      </c>
      <c r="M6" s="220">
        <f t="shared" si="0"/>
        <v>0</v>
      </c>
      <c r="N6" s="256">
        <f t="shared" si="14"/>
        <v>0</v>
      </c>
      <c r="O6" s="78">
        <f>Tabla1[[#This Row],[CONSUMO SOLUCIÓN OXIDANTE (L)]]</f>
        <v>0</v>
      </c>
      <c r="P6" s="76">
        <f t="shared" si="15"/>
        <v>0</v>
      </c>
      <c r="Q6" s="77">
        <f t="shared" si="16"/>
        <v>0</v>
      </c>
      <c r="R6" s="77">
        <f>Tabla1[[#This Row],[CONSUMO POL ANIONICO (KG)]]</f>
        <v>0</v>
      </c>
      <c r="S6" s="78">
        <f>Tabla1[[#This Row],[CONSUMO OXIDANTE SOLUCIÓN(L)]]*Tabla1[[#This Row],[DENSIDAD OXIDANTE]]</f>
        <v>0</v>
      </c>
      <c r="T6" s="76" t="e">
        <f t="shared" ref="T6:T37" si="17">(P6*1000)/K6</f>
        <v>#DIV/0!</v>
      </c>
      <c r="U6" s="77" t="e">
        <f t="shared" ref="U6:U37" si="18">(Q6*1000)/K6</f>
        <v>#DIV/0!</v>
      </c>
      <c r="V6" s="77" t="e">
        <f t="shared" ref="V6:V37" si="19">(R6*1000)/K6</f>
        <v>#DIV/0!</v>
      </c>
      <c r="W6" s="78" t="e">
        <f t="shared" ref="W6:W37" si="20">(S6*1000)/K6</f>
        <v>#DIV/0!</v>
      </c>
      <c r="X6" s="61">
        <v>1240000</v>
      </c>
      <c r="Y6" s="61">
        <v>1325000</v>
      </c>
      <c r="Z6" s="61">
        <v>2500</v>
      </c>
      <c r="AA6" s="228">
        <v>4.2000000000000003E-2</v>
      </c>
      <c r="AB6" s="60">
        <v>2446</v>
      </c>
      <c r="AC6" s="60">
        <v>2498</v>
      </c>
      <c r="AD6" s="60">
        <v>23800</v>
      </c>
      <c r="AE6" s="60">
        <v>3010</v>
      </c>
      <c r="AF6" s="66">
        <f t="shared" si="6"/>
        <v>0</v>
      </c>
      <c r="AG6" s="67">
        <f t="shared" si="7"/>
        <v>0</v>
      </c>
      <c r="AH6" s="67">
        <f t="shared" si="8"/>
        <v>0</v>
      </c>
      <c r="AI6" s="68">
        <f t="shared" si="9"/>
        <v>0</v>
      </c>
      <c r="AJ6" s="66">
        <f>SUM(Tabla1[[#This Row],[COSTO OPERATIVO ACIDO]:[COSTO OPERATIVO OXIDANTE]])</f>
        <v>0</v>
      </c>
      <c r="AK6" s="64">
        <v>2500</v>
      </c>
      <c r="AL6" s="64" t="e">
        <f t="shared" si="12"/>
        <v>#DIV/0!</v>
      </c>
    </row>
    <row r="7" spans="1:38" ht="15" thickBot="1" x14ac:dyDescent="0.35">
      <c r="A7" s="41">
        <f>A6</f>
        <v>46024</v>
      </c>
      <c r="B7" s="97">
        <f>DAY(Tabla1[[#This Row],[FECHA]])</f>
        <v>2</v>
      </c>
      <c r="C7" s="79" t="s">
        <v>20</v>
      </c>
      <c r="D7" s="91">
        <v>3</v>
      </c>
      <c r="E7" s="91" t="s">
        <v>47</v>
      </c>
      <c r="F7" s="222">
        <v>1345</v>
      </c>
      <c r="G7" s="223">
        <v>1792</v>
      </c>
      <c r="H7" s="231">
        <v>93.52</v>
      </c>
      <c r="I7" s="223">
        <v>0</v>
      </c>
      <c r="J7" s="259">
        <v>92468</v>
      </c>
      <c r="K7" s="226">
        <v>18</v>
      </c>
      <c r="L7" s="221">
        <f t="shared" si="13"/>
        <v>0</v>
      </c>
      <c r="M7" s="221">
        <f t="shared" si="0"/>
        <v>0</v>
      </c>
      <c r="N7" s="254">
        <f t="shared" si="14"/>
        <v>0</v>
      </c>
      <c r="O7" s="81">
        <f>Tabla1[[#This Row],[CONSUMO SOLUCIÓN OXIDANTE (L)]]</f>
        <v>0</v>
      </c>
      <c r="P7" s="76">
        <f t="shared" si="15"/>
        <v>0</v>
      </c>
      <c r="Q7" s="80">
        <f t="shared" si="16"/>
        <v>0</v>
      </c>
      <c r="R7" s="80">
        <f>Tabla1[[#This Row],[CONSUMO POL ANIONICO (KG)]]</f>
        <v>0</v>
      </c>
      <c r="S7" s="81">
        <f>Tabla1[[#This Row],[CONSUMO OXIDANTE SOLUCIÓN(L)]]*Tabla1[[#This Row],[DENSIDAD OXIDANTE]]</f>
        <v>0</v>
      </c>
      <c r="T7" s="76">
        <f t="shared" si="17"/>
        <v>0</v>
      </c>
      <c r="U7" s="80">
        <f t="shared" si="18"/>
        <v>0</v>
      </c>
      <c r="V7" s="80">
        <f t="shared" si="19"/>
        <v>0</v>
      </c>
      <c r="W7" s="81">
        <f t="shared" si="20"/>
        <v>0</v>
      </c>
      <c r="X7" s="61">
        <v>1240000</v>
      </c>
      <c r="Y7" s="61">
        <v>1325000</v>
      </c>
      <c r="Z7" s="61">
        <v>2500</v>
      </c>
      <c r="AA7" s="228">
        <v>4.2000000000000003E-2</v>
      </c>
      <c r="AB7" s="60">
        <v>2446</v>
      </c>
      <c r="AC7" s="60">
        <v>2498</v>
      </c>
      <c r="AD7" s="60">
        <v>23800</v>
      </c>
      <c r="AE7" s="60">
        <v>3010</v>
      </c>
      <c r="AF7" s="66">
        <f t="shared" si="6"/>
        <v>0</v>
      </c>
      <c r="AG7" s="69">
        <f t="shared" si="7"/>
        <v>0</v>
      </c>
      <c r="AH7" s="69">
        <f t="shared" si="8"/>
        <v>0</v>
      </c>
      <c r="AI7" s="70">
        <f t="shared" si="9"/>
        <v>0</v>
      </c>
      <c r="AJ7" s="66">
        <f>SUM(Tabla1[[#This Row],[COSTO OPERATIVO ACIDO]:[COSTO OPERATIVO OXIDANTE]])</f>
        <v>0</v>
      </c>
      <c r="AK7" s="64">
        <v>2500</v>
      </c>
      <c r="AL7" s="64">
        <f t="shared" si="12"/>
        <v>0</v>
      </c>
    </row>
    <row r="8" spans="1:38" ht="15" thickBot="1" x14ac:dyDescent="0.35">
      <c r="A8" s="39">
        <f>A7+1</f>
        <v>46025</v>
      </c>
      <c r="B8" s="97">
        <f>DAY(Tabla1[[#This Row],[FECHA]])</f>
        <v>3</v>
      </c>
      <c r="C8" s="74" t="s">
        <v>18</v>
      </c>
      <c r="D8" s="89">
        <v>1</v>
      </c>
      <c r="E8" s="89" t="s">
        <v>46</v>
      </c>
      <c r="F8" s="217">
        <v>1345</v>
      </c>
      <c r="G8" s="218">
        <v>1792</v>
      </c>
      <c r="H8" s="230">
        <v>93.52</v>
      </c>
      <c r="I8" s="218">
        <v>9</v>
      </c>
      <c r="J8" s="217">
        <v>92486</v>
      </c>
      <c r="K8" s="226">
        <v>0</v>
      </c>
      <c r="L8" s="219">
        <f t="shared" si="13"/>
        <v>10</v>
      </c>
      <c r="M8" s="219">
        <f t="shared" si="0"/>
        <v>14</v>
      </c>
      <c r="N8" s="255">
        <f t="shared" si="14"/>
        <v>1.9999999999996021E-2</v>
      </c>
      <c r="O8" s="73">
        <f>Tabla1[[#This Row],[CONSUMO SOLUCIÓN OXIDANTE (L)]]</f>
        <v>9</v>
      </c>
      <c r="P8" s="71">
        <f t="shared" si="15"/>
        <v>12.4</v>
      </c>
      <c r="Q8" s="72">
        <f t="shared" si="16"/>
        <v>18.55</v>
      </c>
      <c r="R8" s="72">
        <f>Tabla1[[#This Row],[CONSUMO POL ANIONICO (KG)]]</f>
        <v>1.9999999999996021E-2</v>
      </c>
      <c r="S8" s="73">
        <f>Tabla1[[#This Row],[CONSUMO OXIDANTE SOLUCIÓN(L)]]*Tabla1[[#This Row],[DENSIDAD OXIDANTE]]</f>
        <v>0.378</v>
      </c>
      <c r="T8" s="71" t="e">
        <f t="shared" si="17"/>
        <v>#DIV/0!</v>
      </c>
      <c r="U8" s="72" t="e">
        <f t="shared" si="18"/>
        <v>#DIV/0!</v>
      </c>
      <c r="V8" s="72" t="e">
        <f t="shared" si="19"/>
        <v>#DIV/0!</v>
      </c>
      <c r="W8" s="73" t="e">
        <f t="shared" si="20"/>
        <v>#DIV/0!</v>
      </c>
      <c r="X8" s="61">
        <v>1240000</v>
      </c>
      <c r="Y8" s="61">
        <v>1325000</v>
      </c>
      <c r="Z8" s="61">
        <v>2500</v>
      </c>
      <c r="AA8" s="228">
        <v>4.2000000000000003E-2</v>
      </c>
      <c r="AB8" s="60">
        <v>2446</v>
      </c>
      <c r="AC8" s="60">
        <v>2498</v>
      </c>
      <c r="AD8" s="60">
        <v>23800</v>
      </c>
      <c r="AE8" s="60">
        <v>3010</v>
      </c>
      <c r="AF8" s="63">
        <f t="shared" si="6"/>
        <v>30330.400000000001</v>
      </c>
      <c r="AG8" s="64">
        <f t="shared" si="7"/>
        <v>46337.9</v>
      </c>
      <c r="AH8" s="64">
        <f t="shared" si="8"/>
        <v>475.9999999999053</v>
      </c>
      <c r="AI8" s="65">
        <f t="shared" si="9"/>
        <v>1137.78</v>
      </c>
      <c r="AJ8" s="63">
        <f>SUM(Tabla1[[#This Row],[COSTO OPERATIVO ACIDO]:[COSTO OPERATIVO OXIDANTE]])</f>
        <v>78282.0799999999</v>
      </c>
      <c r="AK8" s="64">
        <v>2500</v>
      </c>
      <c r="AL8" s="64" t="e">
        <f t="shared" si="12"/>
        <v>#DIV/0!</v>
      </c>
    </row>
    <row r="9" spans="1:38" ht="15" thickBot="1" x14ac:dyDescent="0.35">
      <c r="A9" s="40">
        <f>A8</f>
        <v>46025</v>
      </c>
      <c r="B9" s="97">
        <f>DAY(Tabla1[[#This Row],[FECHA]])</f>
        <v>3</v>
      </c>
      <c r="C9" s="75" t="s">
        <v>19</v>
      </c>
      <c r="D9" s="90">
        <v>2</v>
      </c>
      <c r="E9" s="90" t="s">
        <v>48</v>
      </c>
      <c r="F9" s="222">
        <v>1335</v>
      </c>
      <c r="G9" s="223">
        <v>1778</v>
      </c>
      <c r="H9" s="231">
        <v>93.5</v>
      </c>
      <c r="I9" s="223">
        <v>0</v>
      </c>
      <c r="J9" s="222">
        <v>92486</v>
      </c>
      <c r="K9" s="226">
        <v>0</v>
      </c>
      <c r="L9" s="220">
        <f t="shared" si="13"/>
        <v>0</v>
      </c>
      <c r="M9" s="220">
        <f t="shared" si="0"/>
        <v>0</v>
      </c>
      <c r="N9" s="256">
        <f>H9-H10</f>
        <v>0</v>
      </c>
      <c r="O9" s="78">
        <f>Tabla1[[#This Row],[CONSUMO SOLUCIÓN OXIDANTE (L)]]</f>
        <v>0</v>
      </c>
      <c r="P9" s="76">
        <f t="shared" si="15"/>
        <v>0</v>
      </c>
      <c r="Q9" s="77">
        <f t="shared" si="16"/>
        <v>0</v>
      </c>
      <c r="R9" s="77">
        <f>Tabla1[[#This Row],[CONSUMO POL ANIONICO (KG)]]</f>
        <v>0</v>
      </c>
      <c r="S9" s="78">
        <f>Tabla1[[#This Row],[CONSUMO OXIDANTE SOLUCIÓN(L)]]*Tabla1[[#This Row],[DENSIDAD OXIDANTE]]</f>
        <v>0</v>
      </c>
      <c r="T9" s="76" t="e">
        <f t="shared" si="17"/>
        <v>#DIV/0!</v>
      </c>
      <c r="U9" s="77" t="e">
        <f t="shared" si="18"/>
        <v>#DIV/0!</v>
      </c>
      <c r="V9" s="77" t="e">
        <f t="shared" si="19"/>
        <v>#DIV/0!</v>
      </c>
      <c r="W9" s="78" t="e">
        <f t="shared" si="20"/>
        <v>#DIV/0!</v>
      </c>
      <c r="X9" s="61">
        <v>1240000</v>
      </c>
      <c r="Y9" s="61">
        <v>1325000</v>
      </c>
      <c r="Z9" s="61">
        <v>2500</v>
      </c>
      <c r="AA9" s="228">
        <v>4.2000000000000003E-2</v>
      </c>
      <c r="AB9" s="60">
        <v>2446</v>
      </c>
      <c r="AC9" s="60">
        <v>2498</v>
      </c>
      <c r="AD9" s="60">
        <v>23800</v>
      </c>
      <c r="AE9" s="60">
        <v>3010</v>
      </c>
      <c r="AF9" s="66">
        <f t="shared" si="6"/>
        <v>0</v>
      </c>
      <c r="AG9" s="67">
        <f t="shared" si="7"/>
        <v>0</v>
      </c>
      <c r="AH9" s="67">
        <f t="shared" si="8"/>
        <v>0</v>
      </c>
      <c r="AI9" s="68">
        <f t="shared" si="9"/>
        <v>0</v>
      </c>
      <c r="AJ9" s="66">
        <f>SUM(Tabla1[[#This Row],[COSTO OPERATIVO ACIDO]:[COSTO OPERATIVO OXIDANTE]])</f>
        <v>0</v>
      </c>
      <c r="AK9" s="64">
        <v>2500</v>
      </c>
      <c r="AL9" s="64" t="e">
        <f t="shared" si="12"/>
        <v>#DIV/0!</v>
      </c>
    </row>
    <row r="10" spans="1:38" ht="15" thickBot="1" x14ac:dyDescent="0.35">
      <c r="A10" s="41">
        <f>A9</f>
        <v>46025</v>
      </c>
      <c r="B10" s="97">
        <f>DAY(Tabla1[[#This Row],[FECHA]])</f>
        <v>3</v>
      </c>
      <c r="C10" s="79" t="s">
        <v>20</v>
      </c>
      <c r="D10" s="91">
        <v>3</v>
      </c>
      <c r="E10" s="91" t="s">
        <v>47</v>
      </c>
      <c r="F10" s="222">
        <f>F9</f>
        <v>1335</v>
      </c>
      <c r="G10" s="223">
        <v>1778</v>
      </c>
      <c r="H10" s="231">
        <f t="shared" ref="H10" si="21">H9</f>
        <v>93.5</v>
      </c>
      <c r="I10" s="223">
        <v>0</v>
      </c>
      <c r="J10" s="259">
        <v>92486</v>
      </c>
      <c r="K10" s="226">
        <v>30</v>
      </c>
      <c r="L10" s="221">
        <f t="shared" si="13"/>
        <v>0</v>
      </c>
      <c r="M10" s="221">
        <f t="shared" si="0"/>
        <v>0</v>
      </c>
      <c r="N10" s="254">
        <f t="shared" si="14"/>
        <v>0</v>
      </c>
      <c r="O10" s="81">
        <f>Tabla1[[#This Row],[CONSUMO SOLUCIÓN OXIDANTE (L)]]</f>
        <v>0</v>
      </c>
      <c r="P10" s="76">
        <f t="shared" si="15"/>
        <v>0</v>
      </c>
      <c r="Q10" s="80">
        <f t="shared" si="16"/>
        <v>0</v>
      </c>
      <c r="R10" s="80">
        <f>Tabla1[[#This Row],[CONSUMO POL ANIONICO (KG)]]</f>
        <v>0</v>
      </c>
      <c r="S10" s="81">
        <f>Tabla1[[#This Row],[CONSUMO OXIDANTE SOLUCIÓN(L)]]*Tabla1[[#This Row],[DENSIDAD OXIDANTE]]</f>
        <v>0</v>
      </c>
      <c r="T10" s="76">
        <f t="shared" si="17"/>
        <v>0</v>
      </c>
      <c r="U10" s="80">
        <f t="shared" si="18"/>
        <v>0</v>
      </c>
      <c r="V10" s="80">
        <f t="shared" si="19"/>
        <v>0</v>
      </c>
      <c r="W10" s="81">
        <f t="shared" si="20"/>
        <v>0</v>
      </c>
      <c r="X10" s="61">
        <v>1240000</v>
      </c>
      <c r="Y10" s="61">
        <v>1325000</v>
      </c>
      <c r="Z10" s="61">
        <v>2500</v>
      </c>
      <c r="AA10" s="228">
        <v>4.2000000000000003E-2</v>
      </c>
      <c r="AB10" s="60">
        <v>2446</v>
      </c>
      <c r="AC10" s="60">
        <v>2498</v>
      </c>
      <c r="AD10" s="60">
        <v>23800</v>
      </c>
      <c r="AE10" s="60">
        <v>3010</v>
      </c>
      <c r="AF10" s="66">
        <f t="shared" si="6"/>
        <v>0</v>
      </c>
      <c r="AG10" s="69">
        <f t="shared" si="7"/>
        <v>0</v>
      </c>
      <c r="AH10" s="69">
        <f t="shared" si="8"/>
        <v>0</v>
      </c>
      <c r="AI10" s="70">
        <f t="shared" si="9"/>
        <v>0</v>
      </c>
      <c r="AJ10" s="66">
        <f>SUM(Tabla1[[#This Row],[COSTO OPERATIVO ACIDO]:[COSTO OPERATIVO OXIDANTE]])</f>
        <v>0</v>
      </c>
      <c r="AK10" s="64">
        <v>2500</v>
      </c>
      <c r="AL10" s="64">
        <f t="shared" si="12"/>
        <v>0</v>
      </c>
    </row>
    <row r="11" spans="1:38" ht="15" thickBot="1" x14ac:dyDescent="0.35">
      <c r="A11" s="39">
        <f>A10+1</f>
        <v>46026</v>
      </c>
      <c r="B11" s="97">
        <f>DAY(Tabla1[[#This Row],[FECHA]])</f>
        <v>4</v>
      </c>
      <c r="C11" s="74" t="s">
        <v>18</v>
      </c>
      <c r="D11" s="89">
        <v>1</v>
      </c>
      <c r="E11" s="89" t="s">
        <v>46</v>
      </c>
      <c r="F11" s="217">
        <f>F10</f>
        <v>1335</v>
      </c>
      <c r="G11" s="218">
        <v>1778</v>
      </c>
      <c r="H11" s="230">
        <f t="shared" ref="H11:H19" si="22">H10</f>
        <v>93.5</v>
      </c>
      <c r="I11" s="218">
        <v>0</v>
      </c>
      <c r="J11" s="217">
        <v>92516</v>
      </c>
      <c r="K11" s="226">
        <v>0</v>
      </c>
      <c r="L11" s="219">
        <f t="shared" si="13"/>
        <v>0</v>
      </c>
      <c r="M11" s="219">
        <f t="shared" si="0"/>
        <v>0</v>
      </c>
      <c r="N11" s="255">
        <f t="shared" si="14"/>
        <v>0</v>
      </c>
      <c r="O11" s="73">
        <f>Tabla1[[#This Row],[CONSUMO SOLUCIÓN OXIDANTE (L)]]</f>
        <v>0</v>
      </c>
      <c r="P11" s="71">
        <f t="shared" si="15"/>
        <v>0</v>
      </c>
      <c r="Q11" s="72">
        <f t="shared" si="16"/>
        <v>0</v>
      </c>
      <c r="R11" s="72">
        <f>Tabla1[[#This Row],[CONSUMO POL ANIONICO (KG)]]</f>
        <v>0</v>
      </c>
      <c r="S11" s="73">
        <f>Tabla1[[#This Row],[CONSUMO OXIDANTE SOLUCIÓN(L)]]*Tabla1[[#This Row],[DENSIDAD OXIDANTE]]</f>
        <v>0</v>
      </c>
      <c r="T11" s="71" t="e">
        <f t="shared" si="17"/>
        <v>#DIV/0!</v>
      </c>
      <c r="U11" s="72" t="e">
        <f t="shared" si="18"/>
        <v>#DIV/0!</v>
      </c>
      <c r="V11" s="72" t="e">
        <f t="shared" si="19"/>
        <v>#DIV/0!</v>
      </c>
      <c r="W11" s="73" t="e">
        <f t="shared" si="20"/>
        <v>#DIV/0!</v>
      </c>
      <c r="X11" s="61">
        <v>1240000</v>
      </c>
      <c r="Y11" s="61">
        <v>1325000</v>
      </c>
      <c r="Z11" s="61">
        <v>2500</v>
      </c>
      <c r="AA11" s="228">
        <v>4.2000000000000003E-2</v>
      </c>
      <c r="AB11" s="60">
        <v>2446</v>
      </c>
      <c r="AC11" s="60">
        <v>2498</v>
      </c>
      <c r="AD11" s="60">
        <v>23800</v>
      </c>
      <c r="AE11" s="60">
        <v>3010</v>
      </c>
      <c r="AF11" s="63">
        <f t="shared" si="6"/>
        <v>0</v>
      </c>
      <c r="AG11" s="64">
        <f t="shared" si="7"/>
        <v>0</v>
      </c>
      <c r="AH11" s="64">
        <f t="shared" si="8"/>
        <v>0</v>
      </c>
      <c r="AI11" s="65">
        <f t="shared" si="9"/>
        <v>0</v>
      </c>
      <c r="AJ11" s="63">
        <f>SUM(Tabla1[[#This Row],[COSTO OPERATIVO ACIDO]:[COSTO OPERATIVO OXIDANTE]])</f>
        <v>0</v>
      </c>
      <c r="AK11" s="64">
        <v>2500</v>
      </c>
      <c r="AL11" s="64" t="e">
        <f t="shared" si="12"/>
        <v>#DIV/0!</v>
      </c>
    </row>
    <row r="12" spans="1:38" ht="15" thickBot="1" x14ac:dyDescent="0.35">
      <c r="A12" s="40">
        <f>A11</f>
        <v>46026</v>
      </c>
      <c r="B12" s="97">
        <f>DAY(Tabla1[[#This Row],[FECHA]])</f>
        <v>4</v>
      </c>
      <c r="C12" s="75" t="s">
        <v>19</v>
      </c>
      <c r="D12" s="90">
        <v>2</v>
      </c>
      <c r="E12" s="90" t="s">
        <v>48</v>
      </c>
      <c r="F12" s="222">
        <f>F11</f>
        <v>1335</v>
      </c>
      <c r="G12" s="223">
        <v>1778</v>
      </c>
      <c r="H12" s="231">
        <f t="shared" si="22"/>
        <v>93.5</v>
      </c>
      <c r="I12" s="223">
        <v>0</v>
      </c>
      <c r="J12" s="222">
        <v>92516</v>
      </c>
      <c r="K12" s="226">
        <v>0</v>
      </c>
      <c r="L12" s="220">
        <f t="shared" si="13"/>
        <v>0</v>
      </c>
      <c r="M12" s="220">
        <f t="shared" si="0"/>
        <v>0</v>
      </c>
      <c r="N12" s="256">
        <f>H12-H13</f>
        <v>0</v>
      </c>
      <c r="O12" s="78">
        <f>Tabla1[[#This Row],[CONSUMO SOLUCIÓN OXIDANTE (L)]]</f>
        <v>0</v>
      </c>
      <c r="P12" s="76">
        <f t="shared" si="15"/>
        <v>0</v>
      </c>
      <c r="Q12" s="77">
        <f t="shared" si="16"/>
        <v>0</v>
      </c>
      <c r="R12" s="77">
        <f>Tabla1[[#This Row],[CONSUMO POL ANIONICO (KG)]]</f>
        <v>0</v>
      </c>
      <c r="S12" s="78">
        <f>Tabla1[[#This Row],[CONSUMO OXIDANTE SOLUCIÓN(L)]]*Tabla1[[#This Row],[DENSIDAD OXIDANTE]]</f>
        <v>0</v>
      </c>
      <c r="T12" s="76" t="e">
        <f t="shared" si="17"/>
        <v>#DIV/0!</v>
      </c>
      <c r="U12" s="77" t="e">
        <f t="shared" si="18"/>
        <v>#DIV/0!</v>
      </c>
      <c r="V12" s="77" t="e">
        <f t="shared" si="19"/>
        <v>#DIV/0!</v>
      </c>
      <c r="W12" s="78" t="e">
        <f t="shared" si="20"/>
        <v>#DIV/0!</v>
      </c>
      <c r="X12" s="61">
        <v>1240000</v>
      </c>
      <c r="Y12" s="61">
        <v>1325000</v>
      </c>
      <c r="Z12" s="61">
        <v>2500</v>
      </c>
      <c r="AA12" s="228">
        <v>4.2000000000000003E-2</v>
      </c>
      <c r="AB12" s="60">
        <v>2446</v>
      </c>
      <c r="AC12" s="60">
        <v>2498</v>
      </c>
      <c r="AD12" s="60">
        <v>23800</v>
      </c>
      <c r="AE12" s="60">
        <v>3010</v>
      </c>
      <c r="AF12" s="66">
        <f t="shared" si="6"/>
        <v>0</v>
      </c>
      <c r="AG12" s="67">
        <f t="shared" si="7"/>
        <v>0</v>
      </c>
      <c r="AH12" s="67">
        <f t="shared" si="8"/>
        <v>0</v>
      </c>
      <c r="AI12" s="68">
        <f t="shared" si="9"/>
        <v>0</v>
      </c>
      <c r="AJ12" s="66">
        <f>SUM(Tabla1[[#This Row],[COSTO OPERATIVO ACIDO]:[COSTO OPERATIVO OXIDANTE]])</f>
        <v>0</v>
      </c>
      <c r="AK12" s="64">
        <v>2500</v>
      </c>
      <c r="AL12" s="64" t="e">
        <f t="shared" si="12"/>
        <v>#DIV/0!</v>
      </c>
    </row>
    <row r="13" spans="1:38" ht="15" thickBot="1" x14ac:dyDescent="0.35">
      <c r="A13" s="41">
        <f>A12</f>
        <v>46026</v>
      </c>
      <c r="B13" s="97">
        <f>DAY(Tabla1[[#This Row],[FECHA]])</f>
        <v>4</v>
      </c>
      <c r="C13" s="79" t="s">
        <v>20</v>
      </c>
      <c r="D13" s="91">
        <v>3</v>
      </c>
      <c r="E13" s="91" t="s">
        <v>47</v>
      </c>
      <c r="F13" s="222">
        <f>F12</f>
        <v>1335</v>
      </c>
      <c r="G13" s="223">
        <v>1778</v>
      </c>
      <c r="H13" s="231">
        <f t="shared" si="22"/>
        <v>93.5</v>
      </c>
      <c r="I13" s="223">
        <v>0</v>
      </c>
      <c r="J13" s="259">
        <v>92516</v>
      </c>
      <c r="K13" s="226">
        <v>0</v>
      </c>
      <c r="L13" s="221">
        <f t="shared" si="13"/>
        <v>0</v>
      </c>
      <c r="M13" s="221">
        <f t="shared" si="0"/>
        <v>0</v>
      </c>
      <c r="N13" s="254">
        <f t="shared" si="14"/>
        <v>0</v>
      </c>
      <c r="O13" s="81">
        <f>Tabla1[[#This Row],[CONSUMO SOLUCIÓN OXIDANTE (L)]]</f>
        <v>0</v>
      </c>
      <c r="P13" s="76">
        <f t="shared" si="15"/>
        <v>0</v>
      </c>
      <c r="Q13" s="80">
        <f t="shared" si="16"/>
        <v>0</v>
      </c>
      <c r="R13" s="80">
        <f>Tabla1[[#This Row],[CONSUMO POL ANIONICO (KG)]]</f>
        <v>0</v>
      </c>
      <c r="S13" s="81">
        <f>Tabla1[[#This Row],[CONSUMO OXIDANTE SOLUCIÓN(L)]]*Tabla1[[#This Row],[DENSIDAD OXIDANTE]]</f>
        <v>0</v>
      </c>
      <c r="T13" s="76" t="e">
        <f t="shared" si="17"/>
        <v>#DIV/0!</v>
      </c>
      <c r="U13" s="80" t="e">
        <f t="shared" si="18"/>
        <v>#DIV/0!</v>
      </c>
      <c r="V13" s="80" t="e">
        <f t="shared" si="19"/>
        <v>#DIV/0!</v>
      </c>
      <c r="W13" s="81" t="e">
        <f t="shared" si="20"/>
        <v>#DIV/0!</v>
      </c>
      <c r="X13" s="61">
        <v>1240000</v>
      </c>
      <c r="Y13" s="61">
        <v>1325000</v>
      </c>
      <c r="Z13" s="61">
        <v>2500</v>
      </c>
      <c r="AA13" s="228">
        <v>4.2000000000000003E-2</v>
      </c>
      <c r="AB13" s="60">
        <v>2446</v>
      </c>
      <c r="AC13" s="60">
        <v>2498</v>
      </c>
      <c r="AD13" s="60">
        <v>23800</v>
      </c>
      <c r="AE13" s="60">
        <v>3010</v>
      </c>
      <c r="AF13" s="66">
        <f t="shared" si="6"/>
        <v>0</v>
      </c>
      <c r="AG13" s="69">
        <f t="shared" si="7"/>
        <v>0</v>
      </c>
      <c r="AH13" s="69">
        <f t="shared" si="8"/>
        <v>0</v>
      </c>
      <c r="AI13" s="70">
        <f t="shared" si="9"/>
        <v>0</v>
      </c>
      <c r="AJ13" s="66">
        <f>SUM(Tabla1[[#This Row],[COSTO OPERATIVO ACIDO]:[COSTO OPERATIVO OXIDANTE]])</f>
        <v>0</v>
      </c>
      <c r="AK13" s="64">
        <v>2500</v>
      </c>
      <c r="AL13" s="64" t="e">
        <f t="shared" si="12"/>
        <v>#DIV/0!</v>
      </c>
    </row>
    <row r="14" spans="1:38" ht="15" thickBot="1" x14ac:dyDescent="0.35">
      <c r="A14" s="39">
        <f>A13+1</f>
        <v>46027</v>
      </c>
      <c r="B14" s="97">
        <f>DAY(Tabla1[[#This Row],[FECHA]])</f>
        <v>5</v>
      </c>
      <c r="C14" s="74" t="s">
        <v>18</v>
      </c>
      <c r="D14" s="89">
        <v>1</v>
      </c>
      <c r="E14" s="89" t="s">
        <v>46</v>
      </c>
      <c r="F14" s="217">
        <f>F13</f>
        <v>1335</v>
      </c>
      <c r="G14" s="218">
        <v>1778</v>
      </c>
      <c r="H14" s="230">
        <f t="shared" si="22"/>
        <v>93.5</v>
      </c>
      <c r="I14" s="218">
        <v>0</v>
      </c>
      <c r="J14" s="217">
        <v>92516</v>
      </c>
      <c r="K14" s="226">
        <v>0</v>
      </c>
      <c r="L14" s="219">
        <f t="shared" si="13"/>
        <v>0</v>
      </c>
      <c r="M14" s="219">
        <f t="shared" si="0"/>
        <v>0</v>
      </c>
      <c r="N14" s="255">
        <f t="shared" si="14"/>
        <v>0</v>
      </c>
      <c r="O14" s="73">
        <f>Tabla1[[#This Row],[CONSUMO SOLUCIÓN OXIDANTE (L)]]</f>
        <v>0</v>
      </c>
      <c r="P14" s="71">
        <f t="shared" si="15"/>
        <v>0</v>
      </c>
      <c r="Q14" s="72">
        <f t="shared" si="16"/>
        <v>0</v>
      </c>
      <c r="R14" s="72">
        <f>Tabla1[[#This Row],[CONSUMO POL ANIONICO (KG)]]</f>
        <v>0</v>
      </c>
      <c r="S14" s="73">
        <f>Tabla1[[#This Row],[CONSUMO OXIDANTE SOLUCIÓN(L)]]*Tabla1[[#This Row],[DENSIDAD OXIDANTE]]</f>
        <v>0</v>
      </c>
      <c r="T14" s="71" t="e">
        <f t="shared" si="17"/>
        <v>#DIV/0!</v>
      </c>
      <c r="U14" s="72" t="e">
        <f t="shared" si="18"/>
        <v>#DIV/0!</v>
      </c>
      <c r="V14" s="72" t="e">
        <f t="shared" si="19"/>
        <v>#DIV/0!</v>
      </c>
      <c r="W14" s="73" t="e">
        <f t="shared" si="20"/>
        <v>#DIV/0!</v>
      </c>
      <c r="X14" s="61">
        <v>1240000</v>
      </c>
      <c r="Y14" s="61">
        <v>1325000</v>
      </c>
      <c r="Z14" s="61">
        <v>2500</v>
      </c>
      <c r="AA14" s="228">
        <v>4.2000000000000003E-2</v>
      </c>
      <c r="AB14" s="60">
        <v>2446</v>
      </c>
      <c r="AC14" s="60">
        <v>2498</v>
      </c>
      <c r="AD14" s="60">
        <v>23800</v>
      </c>
      <c r="AE14" s="60">
        <v>3010</v>
      </c>
      <c r="AF14" s="63">
        <f t="shared" si="6"/>
        <v>0</v>
      </c>
      <c r="AG14" s="64">
        <f t="shared" si="7"/>
        <v>0</v>
      </c>
      <c r="AH14" s="64">
        <f t="shared" si="8"/>
        <v>0</v>
      </c>
      <c r="AI14" s="65">
        <f t="shared" si="9"/>
        <v>0</v>
      </c>
      <c r="AJ14" s="63">
        <f>SUM(Tabla1[[#This Row],[COSTO OPERATIVO ACIDO]:[COSTO OPERATIVO OXIDANTE]])</f>
        <v>0</v>
      </c>
      <c r="AK14" s="64">
        <v>2500</v>
      </c>
      <c r="AL14" s="64" t="e">
        <f t="shared" si="12"/>
        <v>#DIV/0!</v>
      </c>
    </row>
    <row r="15" spans="1:38" s="208" customFormat="1" ht="15" thickBot="1" x14ac:dyDescent="0.35">
      <c r="A15" s="40">
        <f>A14</f>
        <v>46027</v>
      </c>
      <c r="B15" s="97">
        <f>DAY(Tabla1[[#This Row],[FECHA]])</f>
        <v>5</v>
      </c>
      <c r="C15" s="75" t="s">
        <v>19</v>
      </c>
      <c r="D15" s="90">
        <v>2</v>
      </c>
      <c r="E15" s="90" t="s">
        <v>48</v>
      </c>
      <c r="F15" s="222">
        <f>F14</f>
        <v>1335</v>
      </c>
      <c r="G15" s="223">
        <v>1778</v>
      </c>
      <c r="H15" s="231">
        <f t="shared" si="22"/>
        <v>93.5</v>
      </c>
      <c r="I15" s="223">
        <v>0</v>
      </c>
      <c r="J15" s="222">
        <v>92516</v>
      </c>
      <c r="K15" s="226">
        <v>0</v>
      </c>
      <c r="L15" s="220">
        <f t="shared" si="13"/>
        <v>0</v>
      </c>
      <c r="M15" s="220">
        <f t="shared" si="0"/>
        <v>0</v>
      </c>
      <c r="N15" s="256">
        <f t="shared" si="14"/>
        <v>0</v>
      </c>
      <c r="O15" s="78">
        <f>Tabla1[[#This Row],[CONSUMO SOLUCIÓN OXIDANTE (L)]]</f>
        <v>0</v>
      </c>
      <c r="P15" s="76">
        <f t="shared" si="15"/>
        <v>0</v>
      </c>
      <c r="Q15" s="77">
        <f t="shared" si="16"/>
        <v>0</v>
      </c>
      <c r="R15" s="77">
        <f>Tabla1[[#This Row],[CONSUMO POL ANIONICO (KG)]]</f>
        <v>0</v>
      </c>
      <c r="S15" s="78">
        <f>Tabla1[[#This Row],[CONSUMO OXIDANTE SOLUCIÓN(L)]]*Tabla1[[#This Row],[DENSIDAD OXIDANTE]]</f>
        <v>0</v>
      </c>
      <c r="T15" s="198" t="e">
        <f t="shared" si="17"/>
        <v>#DIV/0!</v>
      </c>
      <c r="U15" s="199" t="e">
        <f t="shared" si="18"/>
        <v>#DIV/0!</v>
      </c>
      <c r="V15" s="199" t="e">
        <f t="shared" si="19"/>
        <v>#DIV/0!</v>
      </c>
      <c r="W15" s="202" t="e">
        <f t="shared" si="20"/>
        <v>#DIV/0!</v>
      </c>
      <c r="X15" s="203">
        <v>1240000</v>
      </c>
      <c r="Y15" s="203">
        <v>1325000</v>
      </c>
      <c r="Z15" s="203">
        <v>2500</v>
      </c>
      <c r="AA15" s="228">
        <v>4.2000000000000003E-2</v>
      </c>
      <c r="AB15" s="204">
        <v>2446</v>
      </c>
      <c r="AC15" s="204">
        <v>2498</v>
      </c>
      <c r="AD15" s="204">
        <v>23800</v>
      </c>
      <c r="AE15" s="60">
        <v>3010</v>
      </c>
      <c r="AF15" s="205">
        <f t="shared" si="6"/>
        <v>0</v>
      </c>
      <c r="AG15" s="206">
        <f t="shared" si="7"/>
        <v>0</v>
      </c>
      <c r="AH15" s="206">
        <f t="shared" si="8"/>
        <v>0</v>
      </c>
      <c r="AI15" s="207">
        <f t="shared" si="9"/>
        <v>0</v>
      </c>
      <c r="AJ15" s="205">
        <f>SUM(Tabla1[[#This Row],[COSTO OPERATIVO ACIDO]:[COSTO OPERATIVO OXIDANTE]])</f>
        <v>0</v>
      </c>
      <c r="AK15" s="64">
        <v>2500</v>
      </c>
      <c r="AL15" s="64" t="e">
        <f t="shared" si="12"/>
        <v>#DIV/0!</v>
      </c>
    </row>
    <row r="16" spans="1:38" s="208" customFormat="1" ht="15" thickBot="1" x14ac:dyDescent="0.35">
      <c r="A16" s="41">
        <f>A15</f>
        <v>46027</v>
      </c>
      <c r="B16" s="97">
        <f>DAY(Tabla1[[#This Row],[FECHA]])</f>
        <v>5</v>
      </c>
      <c r="C16" s="79" t="s">
        <v>20</v>
      </c>
      <c r="D16" s="91">
        <v>3</v>
      </c>
      <c r="E16" s="91" t="s">
        <v>47</v>
      </c>
      <c r="F16" s="222">
        <f>F15</f>
        <v>1335</v>
      </c>
      <c r="G16" s="223">
        <v>1778</v>
      </c>
      <c r="H16" s="231">
        <f t="shared" si="22"/>
        <v>93.5</v>
      </c>
      <c r="I16" s="223">
        <v>0</v>
      </c>
      <c r="J16" s="259">
        <v>92516</v>
      </c>
      <c r="K16" s="226">
        <v>0</v>
      </c>
      <c r="L16" s="221">
        <f t="shared" si="13"/>
        <v>0</v>
      </c>
      <c r="M16" s="221">
        <f t="shared" si="0"/>
        <v>0</v>
      </c>
      <c r="N16" s="254">
        <f t="shared" si="14"/>
        <v>0</v>
      </c>
      <c r="O16" s="81">
        <f>Tabla1[[#This Row],[CONSUMO SOLUCIÓN OXIDANTE (L)]]</f>
        <v>0</v>
      </c>
      <c r="P16" s="76">
        <f t="shared" si="15"/>
        <v>0</v>
      </c>
      <c r="Q16" s="80">
        <f t="shared" si="16"/>
        <v>0</v>
      </c>
      <c r="R16" s="80">
        <f>Tabla1[[#This Row],[CONSUMO POL ANIONICO (KG)]]</f>
        <v>0</v>
      </c>
      <c r="S16" s="81">
        <f>Tabla1[[#This Row],[CONSUMO OXIDANTE SOLUCIÓN(L)]]*Tabla1[[#This Row],[DENSIDAD OXIDANTE]]</f>
        <v>0</v>
      </c>
      <c r="T16" s="198" t="e">
        <f t="shared" si="17"/>
        <v>#DIV/0!</v>
      </c>
      <c r="U16" s="200" t="e">
        <f t="shared" si="18"/>
        <v>#DIV/0!</v>
      </c>
      <c r="V16" s="200" t="e">
        <f t="shared" si="19"/>
        <v>#DIV/0!</v>
      </c>
      <c r="W16" s="209" t="e">
        <f t="shared" si="20"/>
        <v>#DIV/0!</v>
      </c>
      <c r="X16" s="203">
        <v>1240000</v>
      </c>
      <c r="Y16" s="203">
        <v>1325000</v>
      </c>
      <c r="Z16" s="203">
        <v>2500</v>
      </c>
      <c r="AA16" s="228">
        <v>4.2000000000000003E-2</v>
      </c>
      <c r="AB16" s="204">
        <v>2446</v>
      </c>
      <c r="AC16" s="204">
        <v>2498</v>
      </c>
      <c r="AD16" s="204">
        <v>23800</v>
      </c>
      <c r="AE16" s="60">
        <v>3010</v>
      </c>
      <c r="AF16" s="205">
        <f t="shared" si="6"/>
        <v>0</v>
      </c>
      <c r="AG16" s="210">
        <f t="shared" si="7"/>
        <v>0</v>
      </c>
      <c r="AH16" s="210">
        <f t="shared" si="8"/>
        <v>0</v>
      </c>
      <c r="AI16" s="211">
        <f t="shared" si="9"/>
        <v>0</v>
      </c>
      <c r="AJ16" s="205">
        <f>SUM(Tabla1[[#This Row],[COSTO OPERATIVO ACIDO]:[COSTO OPERATIVO OXIDANTE]])</f>
        <v>0</v>
      </c>
      <c r="AK16" s="64">
        <v>2500</v>
      </c>
      <c r="AL16" s="64" t="e">
        <f t="shared" si="12"/>
        <v>#DIV/0!</v>
      </c>
    </row>
    <row r="17" spans="1:38" s="208" customFormat="1" ht="15" thickBot="1" x14ac:dyDescent="0.35">
      <c r="A17" s="39">
        <f>A16+1</f>
        <v>46028</v>
      </c>
      <c r="B17" s="97">
        <f>DAY(Tabla1[[#This Row],[FECHA]])</f>
        <v>6</v>
      </c>
      <c r="C17" s="74" t="s">
        <v>18</v>
      </c>
      <c r="D17" s="89">
        <v>1</v>
      </c>
      <c r="E17" s="89" t="s">
        <v>46</v>
      </c>
      <c r="F17" s="217">
        <v>1335</v>
      </c>
      <c r="G17" s="218">
        <v>1778</v>
      </c>
      <c r="H17" s="230">
        <f t="shared" si="22"/>
        <v>93.5</v>
      </c>
      <c r="I17" s="218">
        <v>0</v>
      </c>
      <c r="J17" s="217">
        <v>92516</v>
      </c>
      <c r="K17" s="226">
        <v>0</v>
      </c>
      <c r="L17" s="219">
        <f t="shared" si="13"/>
        <v>0</v>
      </c>
      <c r="M17" s="219">
        <f t="shared" si="0"/>
        <v>0</v>
      </c>
      <c r="N17" s="255">
        <f t="shared" si="14"/>
        <v>0</v>
      </c>
      <c r="O17" s="73">
        <f>Tabla1[[#This Row],[CONSUMO SOLUCIÓN OXIDANTE (L)]]</f>
        <v>0</v>
      </c>
      <c r="P17" s="71">
        <f t="shared" si="15"/>
        <v>0</v>
      </c>
      <c r="Q17" s="72">
        <f t="shared" si="16"/>
        <v>0</v>
      </c>
      <c r="R17" s="72">
        <f>Tabla1[[#This Row],[CONSUMO POL ANIONICO (KG)]]</f>
        <v>0</v>
      </c>
      <c r="S17" s="73">
        <f>Tabla1[[#This Row],[CONSUMO OXIDANTE SOLUCIÓN(L)]]*Tabla1[[#This Row],[DENSIDAD OXIDANTE]]</f>
        <v>0</v>
      </c>
      <c r="T17" s="212" t="e">
        <f t="shared" si="17"/>
        <v>#DIV/0!</v>
      </c>
      <c r="U17" s="201" t="e">
        <f t="shared" si="18"/>
        <v>#DIV/0!</v>
      </c>
      <c r="V17" s="201" t="e">
        <f t="shared" si="19"/>
        <v>#DIV/0!</v>
      </c>
      <c r="W17" s="213" t="e">
        <f t="shared" si="20"/>
        <v>#DIV/0!</v>
      </c>
      <c r="X17" s="203">
        <v>1240000</v>
      </c>
      <c r="Y17" s="203">
        <v>1325000</v>
      </c>
      <c r="Z17" s="203">
        <v>2500</v>
      </c>
      <c r="AA17" s="228">
        <v>4.2000000000000003E-2</v>
      </c>
      <c r="AB17" s="204">
        <v>2446</v>
      </c>
      <c r="AC17" s="204">
        <v>2498</v>
      </c>
      <c r="AD17" s="204">
        <v>23800</v>
      </c>
      <c r="AE17" s="60">
        <v>3010</v>
      </c>
      <c r="AF17" s="214">
        <f t="shared" si="6"/>
        <v>0</v>
      </c>
      <c r="AG17" s="215">
        <f t="shared" si="7"/>
        <v>0</v>
      </c>
      <c r="AH17" s="215">
        <f t="shared" si="8"/>
        <v>0</v>
      </c>
      <c r="AI17" s="216">
        <f t="shared" si="9"/>
        <v>0</v>
      </c>
      <c r="AJ17" s="214">
        <f>SUM(Tabla1[[#This Row],[COSTO OPERATIVO ACIDO]:[COSTO OPERATIVO OXIDANTE]])</f>
        <v>0</v>
      </c>
      <c r="AK17" s="64">
        <v>2500</v>
      </c>
      <c r="AL17" s="64" t="e">
        <f t="shared" si="12"/>
        <v>#DIV/0!</v>
      </c>
    </row>
    <row r="18" spans="1:38" s="208" customFormat="1" ht="15" thickBot="1" x14ac:dyDescent="0.35">
      <c r="A18" s="40">
        <f>A17</f>
        <v>46028</v>
      </c>
      <c r="B18" s="97">
        <f>DAY(Tabla1[[#This Row],[FECHA]])</f>
        <v>6</v>
      </c>
      <c r="C18" s="75" t="s">
        <v>19</v>
      </c>
      <c r="D18" s="90">
        <v>2</v>
      </c>
      <c r="E18" s="90" t="s">
        <v>48</v>
      </c>
      <c r="F18" s="222">
        <v>1335</v>
      </c>
      <c r="G18" s="223">
        <v>1778</v>
      </c>
      <c r="H18" s="231">
        <f t="shared" si="22"/>
        <v>93.5</v>
      </c>
      <c r="I18" s="223">
        <v>0</v>
      </c>
      <c r="J18" s="222">
        <v>92516</v>
      </c>
      <c r="K18" s="226">
        <v>0</v>
      </c>
      <c r="L18" s="220">
        <f t="shared" si="13"/>
        <v>0</v>
      </c>
      <c r="M18" s="220">
        <f t="shared" si="0"/>
        <v>0</v>
      </c>
      <c r="N18" s="256">
        <f t="shared" si="14"/>
        <v>0</v>
      </c>
      <c r="O18" s="78">
        <f>Tabla1[[#This Row],[CONSUMO SOLUCIÓN OXIDANTE (L)]]</f>
        <v>0</v>
      </c>
      <c r="P18" s="76">
        <f t="shared" si="15"/>
        <v>0</v>
      </c>
      <c r="Q18" s="77">
        <f t="shared" si="16"/>
        <v>0</v>
      </c>
      <c r="R18" s="77">
        <f>Tabla1[[#This Row],[CONSUMO POL ANIONICO (KG)]]</f>
        <v>0</v>
      </c>
      <c r="S18" s="78">
        <f>Tabla1[[#This Row],[CONSUMO OXIDANTE SOLUCIÓN(L)]]*Tabla1[[#This Row],[DENSIDAD OXIDANTE]]</f>
        <v>0</v>
      </c>
      <c r="T18" s="198" t="e">
        <f t="shared" si="17"/>
        <v>#DIV/0!</v>
      </c>
      <c r="U18" s="199" t="e">
        <f t="shared" si="18"/>
        <v>#DIV/0!</v>
      </c>
      <c r="V18" s="199" t="e">
        <f t="shared" si="19"/>
        <v>#DIV/0!</v>
      </c>
      <c r="W18" s="202" t="e">
        <f t="shared" si="20"/>
        <v>#DIV/0!</v>
      </c>
      <c r="X18" s="203">
        <v>1240000</v>
      </c>
      <c r="Y18" s="203">
        <v>1325000</v>
      </c>
      <c r="Z18" s="203">
        <v>2500</v>
      </c>
      <c r="AA18" s="228">
        <v>4.2000000000000003E-2</v>
      </c>
      <c r="AB18" s="204">
        <v>2446</v>
      </c>
      <c r="AC18" s="204">
        <v>2498</v>
      </c>
      <c r="AD18" s="204">
        <v>23800</v>
      </c>
      <c r="AE18" s="60">
        <v>3010</v>
      </c>
      <c r="AF18" s="205">
        <f t="shared" si="6"/>
        <v>0</v>
      </c>
      <c r="AG18" s="206">
        <f t="shared" si="7"/>
        <v>0</v>
      </c>
      <c r="AH18" s="206">
        <f t="shared" si="8"/>
        <v>0</v>
      </c>
      <c r="AI18" s="207">
        <f t="shared" si="9"/>
        <v>0</v>
      </c>
      <c r="AJ18" s="205">
        <f>SUM(Tabla1[[#This Row],[COSTO OPERATIVO ACIDO]:[COSTO OPERATIVO OXIDANTE]])</f>
        <v>0</v>
      </c>
      <c r="AK18" s="64">
        <v>2500</v>
      </c>
      <c r="AL18" s="64" t="e">
        <f t="shared" si="12"/>
        <v>#DIV/0!</v>
      </c>
    </row>
    <row r="19" spans="1:38" s="208" customFormat="1" ht="15" thickBot="1" x14ac:dyDescent="0.35">
      <c r="A19" s="41">
        <f>A18</f>
        <v>46028</v>
      </c>
      <c r="B19" s="97">
        <f>DAY(Tabla1[[#This Row],[FECHA]])</f>
        <v>6</v>
      </c>
      <c r="C19" s="79" t="s">
        <v>20</v>
      </c>
      <c r="D19" s="91">
        <v>3</v>
      </c>
      <c r="E19" s="91" t="s">
        <v>47</v>
      </c>
      <c r="F19" s="222">
        <v>1335</v>
      </c>
      <c r="G19" s="223">
        <v>1778</v>
      </c>
      <c r="H19" s="231">
        <f t="shared" si="22"/>
        <v>93.5</v>
      </c>
      <c r="I19" s="223">
        <v>0</v>
      </c>
      <c r="J19" s="259">
        <v>92516</v>
      </c>
      <c r="K19" s="226">
        <v>0</v>
      </c>
      <c r="L19" s="221">
        <f t="shared" si="13"/>
        <v>0</v>
      </c>
      <c r="M19" s="221">
        <f t="shared" si="0"/>
        <v>0</v>
      </c>
      <c r="N19" s="254">
        <f t="shared" si="14"/>
        <v>0</v>
      </c>
      <c r="O19" s="81">
        <f>Tabla1[[#This Row],[CONSUMO SOLUCIÓN OXIDANTE (L)]]</f>
        <v>0</v>
      </c>
      <c r="P19" s="76">
        <f t="shared" si="15"/>
        <v>0</v>
      </c>
      <c r="Q19" s="80">
        <f t="shared" si="16"/>
        <v>0</v>
      </c>
      <c r="R19" s="80">
        <f>Tabla1[[#This Row],[CONSUMO POL ANIONICO (KG)]]</f>
        <v>0</v>
      </c>
      <c r="S19" s="81">
        <f>Tabla1[[#This Row],[CONSUMO OXIDANTE SOLUCIÓN(L)]]*Tabla1[[#This Row],[DENSIDAD OXIDANTE]]</f>
        <v>0</v>
      </c>
      <c r="T19" s="198" t="e">
        <f t="shared" si="17"/>
        <v>#DIV/0!</v>
      </c>
      <c r="U19" s="200" t="e">
        <f t="shared" si="18"/>
        <v>#DIV/0!</v>
      </c>
      <c r="V19" s="200" t="e">
        <f t="shared" si="19"/>
        <v>#DIV/0!</v>
      </c>
      <c r="W19" s="209" t="e">
        <f t="shared" si="20"/>
        <v>#DIV/0!</v>
      </c>
      <c r="X19" s="203">
        <v>1240000</v>
      </c>
      <c r="Y19" s="203">
        <v>1325000</v>
      </c>
      <c r="Z19" s="203">
        <v>2500</v>
      </c>
      <c r="AA19" s="228">
        <v>4.2000000000000003E-2</v>
      </c>
      <c r="AB19" s="204">
        <v>2446</v>
      </c>
      <c r="AC19" s="204">
        <v>2498</v>
      </c>
      <c r="AD19" s="204">
        <v>23800</v>
      </c>
      <c r="AE19" s="60">
        <v>3010</v>
      </c>
      <c r="AF19" s="205">
        <f t="shared" si="6"/>
        <v>0</v>
      </c>
      <c r="AG19" s="210">
        <f t="shared" si="7"/>
        <v>0</v>
      </c>
      <c r="AH19" s="210">
        <f t="shared" si="8"/>
        <v>0</v>
      </c>
      <c r="AI19" s="211">
        <f t="shared" si="9"/>
        <v>0</v>
      </c>
      <c r="AJ19" s="205">
        <f>SUM(Tabla1[[#This Row],[COSTO OPERATIVO ACIDO]:[COSTO OPERATIVO OXIDANTE]])</f>
        <v>0</v>
      </c>
      <c r="AK19" s="64">
        <v>2500</v>
      </c>
      <c r="AL19" s="64" t="e">
        <f t="shared" si="12"/>
        <v>#DIV/0!</v>
      </c>
    </row>
    <row r="20" spans="1:38" ht="15" thickBot="1" x14ac:dyDescent="0.35">
      <c r="A20" s="39">
        <f>A19+1</f>
        <v>46029</v>
      </c>
      <c r="B20" s="97">
        <f>DAY(Tabla1[[#This Row],[FECHA]])</f>
        <v>7</v>
      </c>
      <c r="C20" s="74" t="s">
        <v>18</v>
      </c>
      <c r="D20" s="89">
        <v>1</v>
      </c>
      <c r="E20" s="89" t="s">
        <v>46</v>
      </c>
      <c r="F20" s="217">
        <v>1335</v>
      </c>
      <c r="G20" s="218">
        <v>1778</v>
      </c>
      <c r="H20" s="230">
        <v>93.5</v>
      </c>
      <c r="I20" s="218">
        <v>0</v>
      </c>
      <c r="J20" s="217">
        <v>92516</v>
      </c>
      <c r="K20" s="226">
        <v>0</v>
      </c>
      <c r="L20" s="219">
        <f t="shared" si="13"/>
        <v>0</v>
      </c>
      <c r="M20" s="219">
        <f t="shared" si="0"/>
        <v>0</v>
      </c>
      <c r="N20" s="255">
        <f t="shared" si="14"/>
        <v>0</v>
      </c>
      <c r="O20" s="73">
        <f>Tabla1[[#This Row],[CONSUMO SOLUCIÓN OXIDANTE (L)]]</f>
        <v>0</v>
      </c>
      <c r="P20" s="71">
        <f t="shared" si="15"/>
        <v>0</v>
      </c>
      <c r="Q20" s="72">
        <f t="shared" si="16"/>
        <v>0</v>
      </c>
      <c r="R20" s="72">
        <f>Tabla1[[#This Row],[CONSUMO POL ANIONICO (KG)]]</f>
        <v>0</v>
      </c>
      <c r="S20" s="73">
        <f>Tabla1[[#This Row],[CONSUMO OXIDANTE SOLUCIÓN(L)]]*Tabla1[[#This Row],[DENSIDAD OXIDANTE]]</f>
        <v>0</v>
      </c>
      <c r="T20" s="71" t="e">
        <f t="shared" si="17"/>
        <v>#DIV/0!</v>
      </c>
      <c r="U20" s="72" t="e">
        <f t="shared" si="18"/>
        <v>#DIV/0!</v>
      </c>
      <c r="V20" s="72" t="e">
        <f t="shared" si="19"/>
        <v>#DIV/0!</v>
      </c>
      <c r="W20" s="73" t="e">
        <f t="shared" si="20"/>
        <v>#DIV/0!</v>
      </c>
      <c r="X20" s="61">
        <v>1240000</v>
      </c>
      <c r="Y20" s="61">
        <v>1325000</v>
      </c>
      <c r="Z20" s="61">
        <v>2500</v>
      </c>
      <c r="AA20" s="228">
        <v>4.2000000000000003E-2</v>
      </c>
      <c r="AB20" s="60">
        <v>2446</v>
      </c>
      <c r="AC20" s="60">
        <v>2498</v>
      </c>
      <c r="AD20" s="60">
        <v>23800</v>
      </c>
      <c r="AE20" s="60">
        <v>3010</v>
      </c>
      <c r="AF20" s="63">
        <f t="shared" si="6"/>
        <v>0</v>
      </c>
      <c r="AG20" s="64">
        <f t="shared" si="7"/>
        <v>0</v>
      </c>
      <c r="AH20" s="64">
        <f t="shared" si="8"/>
        <v>0</v>
      </c>
      <c r="AI20" s="65">
        <f t="shared" si="9"/>
        <v>0</v>
      </c>
      <c r="AJ20" s="63">
        <f>SUM(Tabla1[[#This Row],[COSTO OPERATIVO ACIDO]:[COSTO OPERATIVO OXIDANTE]])</f>
        <v>0</v>
      </c>
      <c r="AK20" s="64">
        <v>2500</v>
      </c>
      <c r="AL20" s="64" t="e">
        <f t="shared" si="12"/>
        <v>#DIV/0!</v>
      </c>
    </row>
    <row r="21" spans="1:38" ht="15" thickBot="1" x14ac:dyDescent="0.35">
      <c r="A21" s="40">
        <f>A20</f>
        <v>46029</v>
      </c>
      <c r="B21" s="97">
        <f>DAY(Tabla1[[#This Row],[FECHA]])</f>
        <v>7</v>
      </c>
      <c r="C21" s="75" t="s">
        <v>19</v>
      </c>
      <c r="D21" s="90">
        <v>2</v>
      </c>
      <c r="E21" s="90" t="s">
        <v>48</v>
      </c>
      <c r="F21" s="222">
        <v>1335</v>
      </c>
      <c r="G21" s="223">
        <v>1778</v>
      </c>
      <c r="H21" s="231">
        <v>93.5</v>
      </c>
      <c r="I21" s="223">
        <v>0</v>
      </c>
      <c r="J21" s="222">
        <v>92516</v>
      </c>
      <c r="K21" s="226">
        <v>0</v>
      </c>
      <c r="L21" s="220">
        <f t="shared" si="13"/>
        <v>0</v>
      </c>
      <c r="M21" s="220">
        <f t="shared" si="0"/>
        <v>0</v>
      </c>
      <c r="N21" s="256">
        <f t="shared" si="14"/>
        <v>0</v>
      </c>
      <c r="O21" s="78">
        <f>Tabla1[[#This Row],[CONSUMO SOLUCIÓN OXIDANTE (L)]]</f>
        <v>0</v>
      </c>
      <c r="P21" s="76">
        <f t="shared" si="15"/>
        <v>0</v>
      </c>
      <c r="Q21" s="77">
        <f t="shared" si="16"/>
        <v>0</v>
      </c>
      <c r="R21" s="77">
        <f>Tabla1[[#This Row],[CONSUMO POL ANIONICO (KG)]]</f>
        <v>0</v>
      </c>
      <c r="S21" s="78">
        <f>Tabla1[[#This Row],[CONSUMO OXIDANTE SOLUCIÓN(L)]]*Tabla1[[#This Row],[DENSIDAD OXIDANTE]]</f>
        <v>0</v>
      </c>
      <c r="T21" s="76" t="e">
        <f t="shared" si="17"/>
        <v>#DIV/0!</v>
      </c>
      <c r="U21" s="77" t="e">
        <f t="shared" si="18"/>
        <v>#DIV/0!</v>
      </c>
      <c r="V21" s="77" t="e">
        <f t="shared" si="19"/>
        <v>#DIV/0!</v>
      </c>
      <c r="W21" s="78" t="e">
        <f t="shared" si="20"/>
        <v>#DIV/0!</v>
      </c>
      <c r="X21" s="61">
        <v>1240000</v>
      </c>
      <c r="Y21" s="61">
        <v>1325000</v>
      </c>
      <c r="Z21" s="61">
        <v>2500</v>
      </c>
      <c r="AA21" s="228">
        <v>4.2000000000000003E-2</v>
      </c>
      <c r="AB21" s="60">
        <v>2446</v>
      </c>
      <c r="AC21" s="60">
        <v>2498</v>
      </c>
      <c r="AD21" s="60">
        <v>23800</v>
      </c>
      <c r="AE21" s="60">
        <v>3010</v>
      </c>
      <c r="AF21" s="66">
        <f t="shared" si="6"/>
        <v>0</v>
      </c>
      <c r="AG21" s="67">
        <f t="shared" si="7"/>
        <v>0</v>
      </c>
      <c r="AH21" s="67">
        <f t="shared" si="8"/>
        <v>0</v>
      </c>
      <c r="AI21" s="68">
        <f t="shared" si="9"/>
        <v>0</v>
      </c>
      <c r="AJ21" s="66">
        <f>SUM(Tabla1[[#This Row],[COSTO OPERATIVO ACIDO]:[COSTO OPERATIVO OXIDANTE]])</f>
        <v>0</v>
      </c>
      <c r="AK21" s="64">
        <v>2500</v>
      </c>
      <c r="AL21" s="64" t="e">
        <f t="shared" si="12"/>
        <v>#DIV/0!</v>
      </c>
    </row>
    <row r="22" spans="1:38" ht="15" thickBot="1" x14ac:dyDescent="0.35">
      <c r="A22" s="41">
        <f>A21</f>
        <v>46029</v>
      </c>
      <c r="B22" s="98">
        <f>DAY(Tabla1[[#This Row],[FECHA]])</f>
        <v>7</v>
      </c>
      <c r="C22" s="79" t="s">
        <v>20</v>
      </c>
      <c r="D22" s="91">
        <v>3</v>
      </c>
      <c r="E22" s="91" t="s">
        <v>47</v>
      </c>
      <c r="F22" s="222">
        <v>1335</v>
      </c>
      <c r="G22" s="223">
        <v>1778</v>
      </c>
      <c r="H22" s="231">
        <v>93.5</v>
      </c>
      <c r="I22" s="223">
        <v>0</v>
      </c>
      <c r="J22" s="259">
        <v>92516</v>
      </c>
      <c r="K22" s="226">
        <v>0</v>
      </c>
      <c r="L22" s="221">
        <f t="shared" si="13"/>
        <v>0</v>
      </c>
      <c r="M22" s="221">
        <f t="shared" si="0"/>
        <v>0</v>
      </c>
      <c r="N22" s="254">
        <f t="shared" si="14"/>
        <v>0</v>
      </c>
      <c r="O22" s="81">
        <f>Tabla1[[#This Row],[CONSUMO SOLUCIÓN OXIDANTE (L)]]</f>
        <v>0</v>
      </c>
      <c r="P22" s="76">
        <f t="shared" si="15"/>
        <v>0</v>
      </c>
      <c r="Q22" s="80">
        <f t="shared" si="16"/>
        <v>0</v>
      </c>
      <c r="R22" s="80">
        <f>Tabla1[[#This Row],[CONSUMO POL ANIONICO (KG)]]</f>
        <v>0</v>
      </c>
      <c r="S22" s="81">
        <f>Tabla1[[#This Row],[CONSUMO OXIDANTE SOLUCIÓN(L)]]*Tabla1[[#This Row],[DENSIDAD OXIDANTE]]</f>
        <v>0</v>
      </c>
      <c r="T22" s="76" t="e">
        <f t="shared" si="17"/>
        <v>#DIV/0!</v>
      </c>
      <c r="U22" s="80" t="e">
        <f t="shared" si="18"/>
        <v>#DIV/0!</v>
      </c>
      <c r="V22" s="80" t="e">
        <f t="shared" si="19"/>
        <v>#DIV/0!</v>
      </c>
      <c r="W22" s="81" t="e">
        <f t="shared" si="20"/>
        <v>#DIV/0!</v>
      </c>
      <c r="X22" s="61">
        <v>1240000</v>
      </c>
      <c r="Y22" s="61">
        <v>1325000</v>
      </c>
      <c r="Z22" s="61">
        <v>2500</v>
      </c>
      <c r="AA22" s="228">
        <v>4.2000000000000003E-2</v>
      </c>
      <c r="AB22" s="60">
        <v>2446</v>
      </c>
      <c r="AC22" s="60">
        <v>2498</v>
      </c>
      <c r="AD22" s="60">
        <v>23800</v>
      </c>
      <c r="AE22" s="60">
        <v>3010</v>
      </c>
      <c r="AF22" s="66">
        <f t="shared" si="6"/>
        <v>0</v>
      </c>
      <c r="AG22" s="69">
        <f t="shared" si="7"/>
        <v>0</v>
      </c>
      <c r="AH22" s="69">
        <f t="shared" si="8"/>
        <v>0</v>
      </c>
      <c r="AI22" s="70">
        <f t="shared" si="9"/>
        <v>0</v>
      </c>
      <c r="AJ22" s="66">
        <f>SUM(Tabla1[[#This Row],[COSTO OPERATIVO ACIDO]:[COSTO OPERATIVO OXIDANTE]])</f>
        <v>0</v>
      </c>
      <c r="AK22" s="64">
        <v>2500</v>
      </c>
      <c r="AL22" s="64" t="e">
        <f t="shared" si="12"/>
        <v>#DIV/0!</v>
      </c>
    </row>
    <row r="23" spans="1:38" ht="15" thickBot="1" x14ac:dyDescent="0.35">
      <c r="A23" s="39">
        <f>A22+1</f>
        <v>46030</v>
      </c>
      <c r="B23" s="97">
        <f>DAY(Tabla1[[#This Row],[FECHA]])</f>
        <v>8</v>
      </c>
      <c r="C23" s="74" t="s">
        <v>18</v>
      </c>
      <c r="D23" s="89">
        <v>1</v>
      </c>
      <c r="E23" s="89" t="s">
        <v>46</v>
      </c>
      <c r="F23" s="217">
        <v>1335</v>
      </c>
      <c r="G23" s="218">
        <v>1778</v>
      </c>
      <c r="H23" s="230">
        <v>93.5</v>
      </c>
      <c r="I23" s="218">
        <v>0</v>
      </c>
      <c r="J23" s="217">
        <v>92516</v>
      </c>
      <c r="K23" s="226">
        <v>0</v>
      </c>
      <c r="L23" s="219">
        <f t="shared" si="13"/>
        <v>0</v>
      </c>
      <c r="M23" s="219">
        <f t="shared" si="0"/>
        <v>0</v>
      </c>
      <c r="N23" s="255">
        <f t="shared" si="14"/>
        <v>0</v>
      </c>
      <c r="O23" s="73">
        <f>Tabla1[[#This Row],[CONSUMO SOLUCIÓN OXIDANTE (L)]]</f>
        <v>0</v>
      </c>
      <c r="P23" s="71">
        <f t="shared" si="15"/>
        <v>0</v>
      </c>
      <c r="Q23" s="72">
        <f t="shared" si="16"/>
        <v>0</v>
      </c>
      <c r="R23" s="72">
        <f>Tabla1[[#This Row],[CONSUMO POL ANIONICO (KG)]]</f>
        <v>0</v>
      </c>
      <c r="S23" s="73">
        <f>Tabla1[[#This Row],[CONSUMO OXIDANTE SOLUCIÓN(L)]]*Tabla1[[#This Row],[DENSIDAD OXIDANTE]]</f>
        <v>0</v>
      </c>
      <c r="T23" s="71" t="e">
        <f t="shared" si="17"/>
        <v>#DIV/0!</v>
      </c>
      <c r="U23" s="72" t="e">
        <f t="shared" si="18"/>
        <v>#DIV/0!</v>
      </c>
      <c r="V23" s="72" t="e">
        <f t="shared" si="19"/>
        <v>#DIV/0!</v>
      </c>
      <c r="W23" s="73" t="e">
        <f t="shared" si="20"/>
        <v>#DIV/0!</v>
      </c>
      <c r="X23" s="61">
        <v>1240000</v>
      </c>
      <c r="Y23" s="61">
        <v>1325000</v>
      </c>
      <c r="Z23" s="61">
        <v>2500</v>
      </c>
      <c r="AA23" s="228">
        <v>4.2000000000000003E-2</v>
      </c>
      <c r="AB23" s="60">
        <v>2446</v>
      </c>
      <c r="AC23" s="60">
        <v>2498</v>
      </c>
      <c r="AD23" s="60">
        <v>23800</v>
      </c>
      <c r="AE23" s="60">
        <v>3010</v>
      </c>
      <c r="AF23" s="63">
        <f t="shared" si="6"/>
        <v>0</v>
      </c>
      <c r="AG23" s="64">
        <f t="shared" si="7"/>
        <v>0</v>
      </c>
      <c r="AH23" s="64">
        <f t="shared" si="8"/>
        <v>0</v>
      </c>
      <c r="AI23" s="65">
        <f t="shared" si="9"/>
        <v>0</v>
      </c>
      <c r="AJ23" s="63">
        <f>SUM(Tabla1[[#This Row],[COSTO OPERATIVO ACIDO]:[COSTO OPERATIVO OXIDANTE]])</f>
        <v>0</v>
      </c>
      <c r="AK23" s="64">
        <v>2500</v>
      </c>
      <c r="AL23" s="64" t="e">
        <f t="shared" si="12"/>
        <v>#DIV/0!</v>
      </c>
    </row>
    <row r="24" spans="1:38" ht="15" thickBot="1" x14ac:dyDescent="0.35">
      <c r="A24" s="40">
        <f>A23</f>
        <v>46030</v>
      </c>
      <c r="B24" s="97">
        <f>DAY(Tabla1[[#This Row],[FECHA]])</f>
        <v>8</v>
      </c>
      <c r="C24" s="75" t="s">
        <v>19</v>
      </c>
      <c r="D24" s="90">
        <v>2</v>
      </c>
      <c r="E24" s="90" t="s">
        <v>48</v>
      </c>
      <c r="F24" s="222">
        <v>1335</v>
      </c>
      <c r="G24" s="223">
        <v>1778</v>
      </c>
      <c r="H24" s="231">
        <v>93.5</v>
      </c>
      <c r="I24" s="223">
        <v>0</v>
      </c>
      <c r="J24" s="222">
        <v>92516</v>
      </c>
      <c r="K24" s="226">
        <v>0</v>
      </c>
      <c r="L24" s="220">
        <f t="shared" si="13"/>
        <v>0</v>
      </c>
      <c r="M24" s="220">
        <f t="shared" si="0"/>
        <v>0</v>
      </c>
      <c r="N24" s="256">
        <f t="shared" si="14"/>
        <v>0</v>
      </c>
      <c r="O24" s="78">
        <f>Tabla1[[#This Row],[CONSUMO SOLUCIÓN OXIDANTE (L)]]</f>
        <v>0</v>
      </c>
      <c r="P24" s="76">
        <f t="shared" si="15"/>
        <v>0</v>
      </c>
      <c r="Q24" s="77">
        <f t="shared" si="16"/>
        <v>0</v>
      </c>
      <c r="R24" s="77">
        <f>Tabla1[[#This Row],[CONSUMO POL ANIONICO (KG)]]</f>
        <v>0</v>
      </c>
      <c r="S24" s="78">
        <f>Tabla1[[#This Row],[CONSUMO OXIDANTE SOLUCIÓN(L)]]*Tabla1[[#This Row],[DENSIDAD OXIDANTE]]</f>
        <v>0</v>
      </c>
      <c r="T24" s="76" t="e">
        <f t="shared" si="17"/>
        <v>#DIV/0!</v>
      </c>
      <c r="U24" s="77" t="e">
        <f t="shared" si="18"/>
        <v>#DIV/0!</v>
      </c>
      <c r="V24" s="77" t="e">
        <f t="shared" si="19"/>
        <v>#DIV/0!</v>
      </c>
      <c r="W24" s="78" t="e">
        <f t="shared" si="20"/>
        <v>#DIV/0!</v>
      </c>
      <c r="X24" s="61">
        <v>1240000</v>
      </c>
      <c r="Y24" s="61">
        <v>1325000</v>
      </c>
      <c r="Z24" s="61">
        <v>2500</v>
      </c>
      <c r="AA24" s="228">
        <v>4.2000000000000003E-2</v>
      </c>
      <c r="AB24" s="60">
        <v>2446</v>
      </c>
      <c r="AC24" s="60">
        <v>2498</v>
      </c>
      <c r="AD24" s="60">
        <v>23800</v>
      </c>
      <c r="AE24" s="60">
        <v>3010</v>
      </c>
      <c r="AF24" s="66">
        <f t="shared" si="6"/>
        <v>0</v>
      </c>
      <c r="AG24" s="67">
        <f t="shared" si="7"/>
        <v>0</v>
      </c>
      <c r="AH24" s="67">
        <f t="shared" si="8"/>
        <v>0</v>
      </c>
      <c r="AI24" s="68">
        <f t="shared" si="9"/>
        <v>0</v>
      </c>
      <c r="AJ24" s="66">
        <f>SUM(Tabla1[[#This Row],[COSTO OPERATIVO ACIDO]:[COSTO OPERATIVO OXIDANTE]])</f>
        <v>0</v>
      </c>
      <c r="AK24" s="64">
        <v>2500</v>
      </c>
      <c r="AL24" s="64" t="e">
        <f t="shared" si="12"/>
        <v>#DIV/0!</v>
      </c>
    </row>
    <row r="25" spans="1:38" ht="15" thickBot="1" x14ac:dyDescent="0.35">
      <c r="A25" s="41">
        <f>A24</f>
        <v>46030</v>
      </c>
      <c r="B25" s="98">
        <f>DAY(Tabla1[[#This Row],[FECHA]])</f>
        <v>8</v>
      </c>
      <c r="C25" s="79" t="s">
        <v>20</v>
      </c>
      <c r="D25" s="91">
        <v>3</v>
      </c>
      <c r="E25" s="91" t="s">
        <v>47</v>
      </c>
      <c r="F25" s="222">
        <v>1335</v>
      </c>
      <c r="G25" s="223">
        <v>1778</v>
      </c>
      <c r="H25" s="231">
        <v>93.5</v>
      </c>
      <c r="I25" s="223">
        <v>0</v>
      </c>
      <c r="J25" s="259">
        <v>92516</v>
      </c>
      <c r="K25" s="226">
        <v>0</v>
      </c>
      <c r="L25" s="221">
        <f t="shared" si="13"/>
        <v>0</v>
      </c>
      <c r="M25" s="221">
        <f t="shared" si="0"/>
        <v>0</v>
      </c>
      <c r="N25" s="254">
        <f t="shared" si="14"/>
        <v>0</v>
      </c>
      <c r="O25" s="81">
        <f>Tabla1[[#This Row],[CONSUMO SOLUCIÓN OXIDANTE (L)]]</f>
        <v>0</v>
      </c>
      <c r="P25" s="76">
        <f t="shared" si="15"/>
        <v>0</v>
      </c>
      <c r="Q25" s="80">
        <f t="shared" si="16"/>
        <v>0</v>
      </c>
      <c r="R25" s="80">
        <f>Tabla1[[#This Row],[CONSUMO POL ANIONICO (KG)]]</f>
        <v>0</v>
      </c>
      <c r="S25" s="81">
        <f>Tabla1[[#This Row],[CONSUMO OXIDANTE SOLUCIÓN(L)]]*Tabla1[[#This Row],[DENSIDAD OXIDANTE]]</f>
        <v>0</v>
      </c>
      <c r="T25" s="76" t="e">
        <f t="shared" si="17"/>
        <v>#DIV/0!</v>
      </c>
      <c r="U25" s="80" t="e">
        <f t="shared" si="18"/>
        <v>#DIV/0!</v>
      </c>
      <c r="V25" s="80" t="e">
        <f t="shared" si="19"/>
        <v>#DIV/0!</v>
      </c>
      <c r="W25" s="81" t="e">
        <f t="shared" si="20"/>
        <v>#DIV/0!</v>
      </c>
      <c r="X25" s="61">
        <v>1240000</v>
      </c>
      <c r="Y25" s="61">
        <v>1325000</v>
      </c>
      <c r="Z25" s="61">
        <v>2500</v>
      </c>
      <c r="AA25" s="228">
        <v>4.2000000000000003E-2</v>
      </c>
      <c r="AB25" s="60">
        <v>2446</v>
      </c>
      <c r="AC25" s="60">
        <v>2498</v>
      </c>
      <c r="AD25" s="60">
        <v>23800</v>
      </c>
      <c r="AE25" s="60">
        <v>3010</v>
      </c>
      <c r="AF25" s="66">
        <f t="shared" si="6"/>
        <v>0</v>
      </c>
      <c r="AG25" s="69">
        <f t="shared" si="7"/>
        <v>0</v>
      </c>
      <c r="AH25" s="69">
        <f t="shared" si="8"/>
        <v>0</v>
      </c>
      <c r="AI25" s="70">
        <f t="shared" si="9"/>
        <v>0</v>
      </c>
      <c r="AJ25" s="66">
        <f>SUM(Tabla1[[#This Row],[COSTO OPERATIVO ACIDO]:[COSTO OPERATIVO OXIDANTE]])</f>
        <v>0</v>
      </c>
      <c r="AK25" s="64">
        <v>2500</v>
      </c>
      <c r="AL25" s="64" t="e">
        <f t="shared" si="12"/>
        <v>#DIV/0!</v>
      </c>
    </row>
    <row r="26" spans="1:38" ht="15" thickBot="1" x14ac:dyDescent="0.35">
      <c r="A26" s="39">
        <f>A25+1</f>
        <v>46031</v>
      </c>
      <c r="B26" s="97">
        <f>DAY(Tabla1[[#This Row],[FECHA]])</f>
        <v>9</v>
      </c>
      <c r="C26" s="74" t="s">
        <v>18</v>
      </c>
      <c r="D26" s="89">
        <v>1</v>
      </c>
      <c r="E26" s="89" t="s">
        <v>46</v>
      </c>
      <c r="F26" s="217">
        <v>1335</v>
      </c>
      <c r="G26" s="218">
        <v>1778</v>
      </c>
      <c r="H26" s="230">
        <v>93.5</v>
      </c>
      <c r="I26" s="218">
        <v>0</v>
      </c>
      <c r="J26" s="217">
        <v>92516</v>
      </c>
      <c r="K26" s="226">
        <v>0</v>
      </c>
      <c r="L26" s="219">
        <f t="shared" si="13"/>
        <v>0</v>
      </c>
      <c r="M26" s="219">
        <f t="shared" si="0"/>
        <v>0</v>
      </c>
      <c r="N26" s="255">
        <f t="shared" si="14"/>
        <v>0</v>
      </c>
      <c r="O26" s="73">
        <f>Tabla1[[#This Row],[CONSUMO SOLUCIÓN OXIDANTE (L)]]</f>
        <v>0</v>
      </c>
      <c r="P26" s="71">
        <f t="shared" si="15"/>
        <v>0</v>
      </c>
      <c r="Q26" s="72">
        <f t="shared" si="16"/>
        <v>0</v>
      </c>
      <c r="R26" s="72">
        <f>Tabla1[[#This Row],[CONSUMO POL ANIONICO (KG)]]</f>
        <v>0</v>
      </c>
      <c r="S26" s="73">
        <f>Tabla1[[#This Row],[CONSUMO OXIDANTE SOLUCIÓN(L)]]*Tabla1[[#This Row],[DENSIDAD OXIDANTE]]</f>
        <v>0</v>
      </c>
      <c r="T26" s="71" t="e">
        <f t="shared" si="17"/>
        <v>#DIV/0!</v>
      </c>
      <c r="U26" s="72" t="e">
        <f t="shared" si="18"/>
        <v>#DIV/0!</v>
      </c>
      <c r="V26" s="72" t="e">
        <f t="shared" si="19"/>
        <v>#DIV/0!</v>
      </c>
      <c r="W26" s="73" t="e">
        <f t="shared" si="20"/>
        <v>#DIV/0!</v>
      </c>
      <c r="X26" s="61">
        <v>1240000</v>
      </c>
      <c r="Y26" s="61">
        <v>1325000</v>
      </c>
      <c r="Z26" s="61">
        <v>2500</v>
      </c>
      <c r="AA26" s="228">
        <v>4.2000000000000003E-2</v>
      </c>
      <c r="AB26" s="60">
        <v>2446</v>
      </c>
      <c r="AC26" s="60">
        <v>2498</v>
      </c>
      <c r="AD26" s="60">
        <v>23800</v>
      </c>
      <c r="AE26" s="60">
        <v>3010</v>
      </c>
      <c r="AF26" s="63">
        <f t="shared" si="6"/>
        <v>0</v>
      </c>
      <c r="AG26" s="64">
        <f t="shared" si="7"/>
        <v>0</v>
      </c>
      <c r="AH26" s="64">
        <f t="shared" si="8"/>
        <v>0</v>
      </c>
      <c r="AI26" s="65">
        <f t="shared" si="9"/>
        <v>0</v>
      </c>
      <c r="AJ26" s="63">
        <f>SUM(Tabla1[[#This Row],[COSTO OPERATIVO ACIDO]:[COSTO OPERATIVO OXIDANTE]])</f>
        <v>0</v>
      </c>
      <c r="AK26" s="64">
        <v>2500</v>
      </c>
      <c r="AL26" s="64" t="e">
        <f t="shared" si="12"/>
        <v>#DIV/0!</v>
      </c>
    </row>
    <row r="27" spans="1:38" ht="15" thickBot="1" x14ac:dyDescent="0.35">
      <c r="A27" s="40">
        <f>A26</f>
        <v>46031</v>
      </c>
      <c r="B27" s="97">
        <f>DAY(Tabla1[[#This Row],[FECHA]])</f>
        <v>9</v>
      </c>
      <c r="C27" s="75" t="s">
        <v>19</v>
      </c>
      <c r="D27" s="90">
        <v>2</v>
      </c>
      <c r="E27" s="90" t="s">
        <v>48</v>
      </c>
      <c r="F27" s="222">
        <v>1335</v>
      </c>
      <c r="G27" s="223">
        <v>1778</v>
      </c>
      <c r="H27" s="231">
        <v>93.5</v>
      </c>
      <c r="I27" s="223">
        <v>0</v>
      </c>
      <c r="J27" s="222">
        <v>92516</v>
      </c>
      <c r="K27" s="226">
        <v>0</v>
      </c>
      <c r="L27" s="220">
        <f t="shared" si="13"/>
        <v>0</v>
      </c>
      <c r="M27" s="220">
        <f t="shared" si="0"/>
        <v>0</v>
      </c>
      <c r="N27" s="256">
        <f t="shared" si="14"/>
        <v>0</v>
      </c>
      <c r="O27" s="78">
        <f>Tabla1[[#This Row],[CONSUMO SOLUCIÓN OXIDANTE (L)]]</f>
        <v>0</v>
      </c>
      <c r="P27" s="76">
        <f t="shared" si="15"/>
        <v>0</v>
      </c>
      <c r="Q27" s="77">
        <f t="shared" si="16"/>
        <v>0</v>
      </c>
      <c r="R27" s="77">
        <f>Tabla1[[#This Row],[CONSUMO POL ANIONICO (KG)]]</f>
        <v>0</v>
      </c>
      <c r="S27" s="78">
        <f>Tabla1[[#This Row],[CONSUMO OXIDANTE SOLUCIÓN(L)]]*Tabla1[[#This Row],[DENSIDAD OXIDANTE]]</f>
        <v>0</v>
      </c>
      <c r="T27" s="76" t="e">
        <f t="shared" si="17"/>
        <v>#DIV/0!</v>
      </c>
      <c r="U27" s="77" t="e">
        <f t="shared" si="18"/>
        <v>#DIV/0!</v>
      </c>
      <c r="V27" s="77" t="e">
        <f t="shared" si="19"/>
        <v>#DIV/0!</v>
      </c>
      <c r="W27" s="78" t="e">
        <f t="shared" si="20"/>
        <v>#DIV/0!</v>
      </c>
      <c r="X27" s="61">
        <v>1240000</v>
      </c>
      <c r="Y27" s="61">
        <v>1325000</v>
      </c>
      <c r="Z27" s="61">
        <v>2500</v>
      </c>
      <c r="AA27" s="228">
        <v>4.2000000000000003E-2</v>
      </c>
      <c r="AB27" s="60">
        <v>2446</v>
      </c>
      <c r="AC27" s="60">
        <v>2498</v>
      </c>
      <c r="AD27" s="60">
        <v>23800</v>
      </c>
      <c r="AE27" s="60">
        <v>3010</v>
      </c>
      <c r="AF27" s="66">
        <f t="shared" si="6"/>
        <v>0</v>
      </c>
      <c r="AG27" s="67">
        <f t="shared" si="7"/>
        <v>0</v>
      </c>
      <c r="AH27" s="67">
        <f t="shared" si="8"/>
        <v>0</v>
      </c>
      <c r="AI27" s="68">
        <f t="shared" si="9"/>
        <v>0</v>
      </c>
      <c r="AJ27" s="66">
        <f>SUM(Tabla1[[#This Row],[COSTO OPERATIVO ACIDO]:[COSTO OPERATIVO OXIDANTE]])</f>
        <v>0</v>
      </c>
      <c r="AK27" s="64">
        <v>2500</v>
      </c>
      <c r="AL27" s="64" t="e">
        <f t="shared" si="12"/>
        <v>#DIV/0!</v>
      </c>
    </row>
    <row r="28" spans="1:38" ht="15" thickBot="1" x14ac:dyDescent="0.35">
      <c r="A28" s="41">
        <f>A27</f>
        <v>46031</v>
      </c>
      <c r="B28" s="98">
        <f>DAY(Tabla1[[#This Row],[FECHA]])</f>
        <v>9</v>
      </c>
      <c r="C28" s="79" t="s">
        <v>20</v>
      </c>
      <c r="D28" s="91">
        <v>3</v>
      </c>
      <c r="E28" s="91" t="s">
        <v>47</v>
      </c>
      <c r="F28" s="222">
        <v>1335</v>
      </c>
      <c r="G28" s="223">
        <v>1778</v>
      </c>
      <c r="H28" s="231">
        <v>93.5</v>
      </c>
      <c r="I28" s="223">
        <v>0</v>
      </c>
      <c r="J28" s="259">
        <v>92516</v>
      </c>
      <c r="K28" s="226">
        <v>0</v>
      </c>
      <c r="L28" s="221">
        <f t="shared" si="13"/>
        <v>0</v>
      </c>
      <c r="M28" s="221">
        <f t="shared" si="0"/>
        <v>0</v>
      </c>
      <c r="N28" s="254">
        <f t="shared" si="14"/>
        <v>0</v>
      </c>
      <c r="O28" s="81">
        <f>Tabla1[[#This Row],[CONSUMO SOLUCIÓN OXIDANTE (L)]]</f>
        <v>0</v>
      </c>
      <c r="P28" s="76">
        <f t="shared" si="15"/>
        <v>0</v>
      </c>
      <c r="Q28" s="80">
        <f t="shared" si="16"/>
        <v>0</v>
      </c>
      <c r="R28" s="80">
        <f>Tabla1[[#This Row],[CONSUMO POL ANIONICO (KG)]]</f>
        <v>0</v>
      </c>
      <c r="S28" s="81">
        <f>Tabla1[[#This Row],[CONSUMO OXIDANTE SOLUCIÓN(L)]]*Tabla1[[#This Row],[DENSIDAD OXIDANTE]]</f>
        <v>0</v>
      </c>
      <c r="T28" s="76" t="e">
        <f t="shared" si="17"/>
        <v>#DIV/0!</v>
      </c>
      <c r="U28" s="80" t="e">
        <f t="shared" si="18"/>
        <v>#DIV/0!</v>
      </c>
      <c r="V28" s="80" t="e">
        <f t="shared" si="19"/>
        <v>#DIV/0!</v>
      </c>
      <c r="W28" s="81" t="e">
        <f t="shared" si="20"/>
        <v>#DIV/0!</v>
      </c>
      <c r="X28" s="61">
        <v>1240000</v>
      </c>
      <c r="Y28" s="61">
        <v>1325000</v>
      </c>
      <c r="Z28" s="61">
        <v>2500</v>
      </c>
      <c r="AA28" s="228">
        <v>4.2000000000000003E-2</v>
      </c>
      <c r="AB28" s="60">
        <v>2446</v>
      </c>
      <c r="AC28" s="60">
        <v>2498</v>
      </c>
      <c r="AD28" s="60">
        <v>23800</v>
      </c>
      <c r="AE28" s="60">
        <v>3010</v>
      </c>
      <c r="AF28" s="66">
        <f t="shared" si="6"/>
        <v>0</v>
      </c>
      <c r="AG28" s="69">
        <f t="shared" si="7"/>
        <v>0</v>
      </c>
      <c r="AH28" s="69">
        <f t="shared" si="8"/>
        <v>0</v>
      </c>
      <c r="AI28" s="70">
        <f t="shared" si="9"/>
        <v>0</v>
      </c>
      <c r="AJ28" s="66">
        <f>SUM(Tabla1[[#This Row],[COSTO OPERATIVO ACIDO]:[COSTO OPERATIVO OXIDANTE]])</f>
        <v>0</v>
      </c>
      <c r="AK28" s="64">
        <v>2500</v>
      </c>
      <c r="AL28" s="64" t="e">
        <f t="shared" si="12"/>
        <v>#DIV/0!</v>
      </c>
    </row>
    <row r="29" spans="1:38" ht="15" thickBot="1" x14ac:dyDescent="0.35">
      <c r="A29" s="39">
        <f>A28+1</f>
        <v>46032</v>
      </c>
      <c r="B29" s="97">
        <f>DAY(Tabla1[[#This Row],[FECHA]])</f>
        <v>10</v>
      </c>
      <c r="C29" s="74" t="s">
        <v>18</v>
      </c>
      <c r="D29" s="89">
        <v>1</v>
      </c>
      <c r="E29" s="89" t="s">
        <v>46</v>
      </c>
      <c r="F29" s="217">
        <v>1335</v>
      </c>
      <c r="G29" s="218">
        <v>1778</v>
      </c>
      <c r="H29" s="230">
        <v>93.5</v>
      </c>
      <c r="I29" s="218">
        <v>0</v>
      </c>
      <c r="J29" s="217">
        <v>92516</v>
      </c>
      <c r="K29" s="226">
        <v>0</v>
      </c>
      <c r="L29" s="219">
        <f>F29-F30</f>
        <v>0</v>
      </c>
      <c r="M29" s="219">
        <f t="shared" si="0"/>
        <v>0</v>
      </c>
      <c r="N29" s="255">
        <f t="shared" si="14"/>
        <v>0</v>
      </c>
      <c r="O29" s="73">
        <f>Tabla1[[#This Row],[CONSUMO SOLUCIÓN OXIDANTE (L)]]</f>
        <v>0</v>
      </c>
      <c r="P29" s="71">
        <f t="shared" si="15"/>
        <v>0</v>
      </c>
      <c r="Q29" s="72">
        <f t="shared" si="16"/>
        <v>0</v>
      </c>
      <c r="R29" s="72">
        <f>Tabla1[[#This Row],[CONSUMO POL ANIONICO (KG)]]</f>
        <v>0</v>
      </c>
      <c r="S29" s="73">
        <f>Tabla1[[#This Row],[CONSUMO OXIDANTE SOLUCIÓN(L)]]*Tabla1[[#This Row],[DENSIDAD OXIDANTE]]</f>
        <v>0</v>
      </c>
      <c r="T29" s="71" t="e">
        <f t="shared" si="17"/>
        <v>#DIV/0!</v>
      </c>
      <c r="U29" s="72" t="e">
        <f t="shared" si="18"/>
        <v>#DIV/0!</v>
      </c>
      <c r="V29" s="72" t="e">
        <f t="shared" si="19"/>
        <v>#DIV/0!</v>
      </c>
      <c r="W29" s="73" t="e">
        <f t="shared" si="20"/>
        <v>#DIV/0!</v>
      </c>
      <c r="X29" s="61">
        <v>1240000</v>
      </c>
      <c r="Y29" s="61">
        <v>1325000</v>
      </c>
      <c r="Z29" s="61">
        <v>2500</v>
      </c>
      <c r="AA29" s="228">
        <v>4.2000000000000003E-2</v>
      </c>
      <c r="AB29" s="60">
        <v>2446</v>
      </c>
      <c r="AC29" s="60">
        <v>2498</v>
      </c>
      <c r="AD29" s="60">
        <v>23800</v>
      </c>
      <c r="AE29" s="60">
        <v>3010</v>
      </c>
      <c r="AF29" s="63">
        <f t="shared" si="6"/>
        <v>0</v>
      </c>
      <c r="AG29" s="64">
        <f t="shared" si="7"/>
        <v>0</v>
      </c>
      <c r="AH29" s="64">
        <f t="shared" si="8"/>
        <v>0</v>
      </c>
      <c r="AI29" s="65">
        <f t="shared" si="9"/>
        <v>0</v>
      </c>
      <c r="AJ29" s="63">
        <f>SUM(Tabla1[[#This Row],[COSTO OPERATIVO ACIDO]:[COSTO OPERATIVO OXIDANTE]])</f>
        <v>0</v>
      </c>
      <c r="AK29" s="64">
        <v>2500</v>
      </c>
      <c r="AL29" s="64" t="e">
        <f t="shared" si="12"/>
        <v>#DIV/0!</v>
      </c>
    </row>
    <row r="30" spans="1:38" ht="15" thickBot="1" x14ac:dyDescent="0.35">
      <c r="A30" s="40">
        <f>A29</f>
        <v>46032</v>
      </c>
      <c r="B30" s="97">
        <f>DAY(Tabla1[[#This Row],[FECHA]])</f>
        <v>10</v>
      </c>
      <c r="C30" s="75" t="s">
        <v>19</v>
      </c>
      <c r="D30" s="90">
        <v>2</v>
      </c>
      <c r="E30" s="90" t="s">
        <v>48</v>
      </c>
      <c r="F30" s="222">
        <v>1335</v>
      </c>
      <c r="G30" s="223">
        <v>1778</v>
      </c>
      <c r="H30" s="231">
        <v>93.5</v>
      </c>
      <c r="I30" s="223">
        <v>0</v>
      </c>
      <c r="J30" s="222">
        <v>92516</v>
      </c>
      <c r="K30" s="226">
        <v>0</v>
      </c>
      <c r="L30" s="220">
        <f t="shared" si="13"/>
        <v>0</v>
      </c>
      <c r="M30" s="220">
        <f t="shared" si="0"/>
        <v>0</v>
      </c>
      <c r="N30" s="256">
        <f t="shared" si="14"/>
        <v>0</v>
      </c>
      <c r="O30" s="78">
        <f>Tabla1[[#This Row],[CONSUMO SOLUCIÓN OXIDANTE (L)]]</f>
        <v>0</v>
      </c>
      <c r="P30" s="76">
        <f t="shared" si="15"/>
        <v>0</v>
      </c>
      <c r="Q30" s="77">
        <f t="shared" si="16"/>
        <v>0</v>
      </c>
      <c r="R30" s="77">
        <f>Tabla1[[#This Row],[CONSUMO POL ANIONICO (KG)]]</f>
        <v>0</v>
      </c>
      <c r="S30" s="78">
        <f>Tabla1[[#This Row],[CONSUMO OXIDANTE SOLUCIÓN(L)]]*Tabla1[[#This Row],[DENSIDAD OXIDANTE]]</f>
        <v>0</v>
      </c>
      <c r="T30" s="76" t="e">
        <f t="shared" si="17"/>
        <v>#DIV/0!</v>
      </c>
      <c r="U30" s="77" t="e">
        <f t="shared" si="18"/>
        <v>#DIV/0!</v>
      </c>
      <c r="V30" s="77" t="e">
        <f t="shared" si="19"/>
        <v>#DIV/0!</v>
      </c>
      <c r="W30" s="78" t="e">
        <f t="shared" si="20"/>
        <v>#DIV/0!</v>
      </c>
      <c r="X30" s="61">
        <v>1240000</v>
      </c>
      <c r="Y30" s="61">
        <v>1325000</v>
      </c>
      <c r="Z30" s="61">
        <v>2500</v>
      </c>
      <c r="AA30" s="228">
        <v>4.2000000000000003E-2</v>
      </c>
      <c r="AB30" s="60">
        <v>2446</v>
      </c>
      <c r="AC30" s="60">
        <v>2498</v>
      </c>
      <c r="AD30" s="60">
        <v>23800</v>
      </c>
      <c r="AE30" s="60">
        <v>3010</v>
      </c>
      <c r="AF30" s="66">
        <f t="shared" si="6"/>
        <v>0</v>
      </c>
      <c r="AG30" s="67">
        <f t="shared" si="7"/>
        <v>0</v>
      </c>
      <c r="AH30" s="67">
        <f t="shared" si="8"/>
        <v>0</v>
      </c>
      <c r="AI30" s="68">
        <f t="shared" si="9"/>
        <v>0</v>
      </c>
      <c r="AJ30" s="66">
        <f>SUM(Tabla1[[#This Row],[COSTO OPERATIVO ACIDO]:[COSTO OPERATIVO OXIDANTE]])</f>
        <v>0</v>
      </c>
      <c r="AK30" s="64">
        <v>2500</v>
      </c>
      <c r="AL30" s="64" t="e">
        <f t="shared" si="12"/>
        <v>#DIV/0!</v>
      </c>
    </row>
    <row r="31" spans="1:38" ht="15" thickBot="1" x14ac:dyDescent="0.35">
      <c r="A31" s="41">
        <f>A30</f>
        <v>46032</v>
      </c>
      <c r="B31" s="98">
        <f>DAY(Tabla1[[#This Row],[FECHA]])</f>
        <v>10</v>
      </c>
      <c r="C31" s="79" t="s">
        <v>20</v>
      </c>
      <c r="D31" s="91">
        <v>3</v>
      </c>
      <c r="E31" s="91" t="s">
        <v>47</v>
      </c>
      <c r="F31" s="222">
        <v>1335</v>
      </c>
      <c r="G31" s="223">
        <v>1778</v>
      </c>
      <c r="H31" s="231">
        <v>93.5</v>
      </c>
      <c r="I31" s="223">
        <v>0</v>
      </c>
      <c r="J31" s="259">
        <v>92516</v>
      </c>
      <c r="K31" s="226">
        <v>0</v>
      </c>
      <c r="L31" s="221">
        <f t="shared" si="13"/>
        <v>0</v>
      </c>
      <c r="M31" s="221">
        <f t="shared" si="0"/>
        <v>0</v>
      </c>
      <c r="N31" s="254">
        <f t="shared" si="14"/>
        <v>0</v>
      </c>
      <c r="O31" s="81">
        <f>Tabla1[[#This Row],[CONSUMO SOLUCIÓN OXIDANTE (L)]]</f>
        <v>0</v>
      </c>
      <c r="P31" s="76">
        <f t="shared" si="15"/>
        <v>0</v>
      </c>
      <c r="Q31" s="80">
        <f t="shared" si="16"/>
        <v>0</v>
      </c>
      <c r="R31" s="80">
        <f>Tabla1[[#This Row],[CONSUMO POL ANIONICO (KG)]]</f>
        <v>0</v>
      </c>
      <c r="S31" s="81">
        <f>Tabla1[[#This Row],[CONSUMO OXIDANTE SOLUCIÓN(L)]]*Tabla1[[#This Row],[DENSIDAD OXIDANTE]]</f>
        <v>0</v>
      </c>
      <c r="T31" s="76" t="e">
        <f t="shared" si="17"/>
        <v>#DIV/0!</v>
      </c>
      <c r="U31" s="80" t="e">
        <f t="shared" si="18"/>
        <v>#DIV/0!</v>
      </c>
      <c r="V31" s="80" t="e">
        <f t="shared" si="19"/>
        <v>#DIV/0!</v>
      </c>
      <c r="W31" s="81" t="e">
        <f t="shared" si="20"/>
        <v>#DIV/0!</v>
      </c>
      <c r="X31" s="61">
        <v>1240000</v>
      </c>
      <c r="Y31" s="61">
        <v>1325000</v>
      </c>
      <c r="Z31" s="61">
        <v>2500</v>
      </c>
      <c r="AA31" s="228">
        <v>4.2000000000000003E-2</v>
      </c>
      <c r="AB31" s="60">
        <v>2446</v>
      </c>
      <c r="AC31" s="60">
        <v>2498</v>
      </c>
      <c r="AD31" s="60">
        <v>23800</v>
      </c>
      <c r="AE31" s="60">
        <v>3010</v>
      </c>
      <c r="AF31" s="66">
        <f t="shared" si="6"/>
        <v>0</v>
      </c>
      <c r="AG31" s="69">
        <f t="shared" si="7"/>
        <v>0</v>
      </c>
      <c r="AH31" s="69">
        <f t="shared" si="8"/>
        <v>0</v>
      </c>
      <c r="AI31" s="70">
        <f t="shared" si="9"/>
        <v>0</v>
      </c>
      <c r="AJ31" s="66">
        <f>SUM(Tabla1[[#This Row],[COSTO OPERATIVO ACIDO]:[COSTO OPERATIVO OXIDANTE]])</f>
        <v>0</v>
      </c>
      <c r="AK31" s="64">
        <v>2500</v>
      </c>
      <c r="AL31" s="64" t="e">
        <f t="shared" si="12"/>
        <v>#DIV/0!</v>
      </c>
    </row>
    <row r="32" spans="1:38" ht="15" thickBot="1" x14ac:dyDescent="0.35">
      <c r="A32" s="39">
        <f>A31+1</f>
        <v>46033</v>
      </c>
      <c r="B32" s="97">
        <f>DAY(Tabla1[[#This Row],[FECHA]])</f>
        <v>11</v>
      </c>
      <c r="C32" s="74" t="s">
        <v>18</v>
      </c>
      <c r="D32" s="89">
        <v>1</v>
      </c>
      <c r="E32" s="89" t="s">
        <v>46</v>
      </c>
      <c r="F32" s="217">
        <v>1335</v>
      </c>
      <c r="G32" s="218">
        <v>1778</v>
      </c>
      <c r="H32" s="230">
        <v>93.5</v>
      </c>
      <c r="I32" s="218">
        <v>0</v>
      </c>
      <c r="J32" s="217">
        <v>92516</v>
      </c>
      <c r="K32" s="226">
        <v>0</v>
      </c>
      <c r="L32" s="219">
        <f t="shared" si="13"/>
        <v>0</v>
      </c>
      <c r="M32" s="219">
        <f t="shared" si="0"/>
        <v>0</v>
      </c>
      <c r="N32" s="255">
        <f t="shared" si="14"/>
        <v>0</v>
      </c>
      <c r="O32" s="73">
        <f>Tabla1[[#This Row],[CONSUMO SOLUCIÓN OXIDANTE (L)]]</f>
        <v>0</v>
      </c>
      <c r="P32" s="71">
        <f t="shared" si="15"/>
        <v>0</v>
      </c>
      <c r="Q32" s="72">
        <f t="shared" si="16"/>
        <v>0</v>
      </c>
      <c r="R32" s="72">
        <f>Tabla1[[#This Row],[CONSUMO POL ANIONICO (KG)]]</f>
        <v>0</v>
      </c>
      <c r="S32" s="73">
        <f>Tabla1[[#This Row],[CONSUMO OXIDANTE SOLUCIÓN(L)]]*Tabla1[[#This Row],[DENSIDAD OXIDANTE]]</f>
        <v>0</v>
      </c>
      <c r="T32" s="71" t="e">
        <f t="shared" si="17"/>
        <v>#DIV/0!</v>
      </c>
      <c r="U32" s="72" t="e">
        <f t="shared" si="18"/>
        <v>#DIV/0!</v>
      </c>
      <c r="V32" s="72" t="e">
        <f t="shared" si="19"/>
        <v>#DIV/0!</v>
      </c>
      <c r="W32" s="73" t="e">
        <f t="shared" si="20"/>
        <v>#DIV/0!</v>
      </c>
      <c r="X32" s="61">
        <v>1240000</v>
      </c>
      <c r="Y32" s="61">
        <v>1325000</v>
      </c>
      <c r="Z32" s="61">
        <v>2500</v>
      </c>
      <c r="AA32" s="228">
        <v>4.2000000000000003E-2</v>
      </c>
      <c r="AB32" s="60">
        <v>2446</v>
      </c>
      <c r="AC32" s="60">
        <v>2498</v>
      </c>
      <c r="AD32" s="60">
        <v>23800</v>
      </c>
      <c r="AE32" s="60">
        <v>3010</v>
      </c>
      <c r="AF32" s="63">
        <f t="shared" si="6"/>
        <v>0</v>
      </c>
      <c r="AG32" s="64">
        <f t="shared" si="7"/>
        <v>0</v>
      </c>
      <c r="AH32" s="64">
        <f t="shared" si="8"/>
        <v>0</v>
      </c>
      <c r="AI32" s="65">
        <f t="shared" si="9"/>
        <v>0</v>
      </c>
      <c r="AJ32" s="63">
        <f>SUM(Tabla1[[#This Row],[COSTO OPERATIVO ACIDO]:[COSTO OPERATIVO OXIDANTE]])</f>
        <v>0</v>
      </c>
      <c r="AK32" s="64">
        <v>2500</v>
      </c>
      <c r="AL32" s="64" t="e">
        <f t="shared" si="12"/>
        <v>#DIV/0!</v>
      </c>
    </row>
    <row r="33" spans="1:38" ht="15" thickBot="1" x14ac:dyDescent="0.35">
      <c r="A33" s="40">
        <f>A32</f>
        <v>46033</v>
      </c>
      <c r="B33" s="97">
        <f>DAY(Tabla1[[#This Row],[FECHA]])</f>
        <v>11</v>
      </c>
      <c r="C33" s="75" t="s">
        <v>19</v>
      </c>
      <c r="D33" s="90">
        <v>2</v>
      </c>
      <c r="E33" s="90" t="s">
        <v>48</v>
      </c>
      <c r="F33" s="222">
        <v>1335</v>
      </c>
      <c r="G33" s="223">
        <v>1778</v>
      </c>
      <c r="H33" s="231">
        <v>93.5</v>
      </c>
      <c r="I33" s="223">
        <v>0</v>
      </c>
      <c r="J33" s="222">
        <v>92516</v>
      </c>
      <c r="K33" s="226">
        <v>0</v>
      </c>
      <c r="L33" s="220">
        <f t="shared" si="13"/>
        <v>0</v>
      </c>
      <c r="M33" s="220">
        <f t="shared" si="0"/>
        <v>0</v>
      </c>
      <c r="N33" s="256">
        <f t="shared" si="14"/>
        <v>0</v>
      </c>
      <c r="O33" s="78">
        <f>Tabla1[[#This Row],[CONSUMO SOLUCIÓN OXIDANTE (L)]]</f>
        <v>0</v>
      </c>
      <c r="P33" s="76">
        <f t="shared" si="15"/>
        <v>0</v>
      </c>
      <c r="Q33" s="77">
        <f t="shared" si="16"/>
        <v>0</v>
      </c>
      <c r="R33" s="77">
        <f>Tabla1[[#This Row],[CONSUMO POL ANIONICO (KG)]]</f>
        <v>0</v>
      </c>
      <c r="S33" s="78">
        <f>Tabla1[[#This Row],[CONSUMO OXIDANTE SOLUCIÓN(L)]]*Tabla1[[#This Row],[DENSIDAD OXIDANTE]]</f>
        <v>0</v>
      </c>
      <c r="T33" s="76" t="e">
        <f t="shared" si="17"/>
        <v>#DIV/0!</v>
      </c>
      <c r="U33" s="77" t="e">
        <f t="shared" si="18"/>
        <v>#DIV/0!</v>
      </c>
      <c r="V33" s="77" t="e">
        <f t="shared" si="19"/>
        <v>#DIV/0!</v>
      </c>
      <c r="W33" s="78" t="e">
        <f t="shared" si="20"/>
        <v>#DIV/0!</v>
      </c>
      <c r="X33" s="61">
        <v>1240000</v>
      </c>
      <c r="Y33" s="61">
        <v>1325000</v>
      </c>
      <c r="Z33" s="61">
        <v>2500</v>
      </c>
      <c r="AA33" s="228">
        <v>4.2000000000000003E-2</v>
      </c>
      <c r="AB33" s="60">
        <v>2446</v>
      </c>
      <c r="AC33" s="60">
        <v>2498</v>
      </c>
      <c r="AD33" s="60">
        <v>23800</v>
      </c>
      <c r="AE33" s="60">
        <v>3010</v>
      </c>
      <c r="AF33" s="66">
        <f t="shared" si="6"/>
        <v>0</v>
      </c>
      <c r="AG33" s="67">
        <f t="shared" si="7"/>
        <v>0</v>
      </c>
      <c r="AH33" s="67">
        <f t="shared" si="8"/>
        <v>0</v>
      </c>
      <c r="AI33" s="68">
        <f t="shared" si="9"/>
        <v>0</v>
      </c>
      <c r="AJ33" s="66">
        <f>SUM(Tabla1[[#This Row],[COSTO OPERATIVO ACIDO]:[COSTO OPERATIVO OXIDANTE]])</f>
        <v>0</v>
      </c>
      <c r="AK33" s="64">
        <v>2500</v>
      </c>
      <c r="AL33" s="64" t="e">
        <f t="shared" si="12"/>
        <v>#DIV/0!</v>
      </c>
    </row>
    <row r="34" spans="1:38" ht="15" thickBot="1" x14ac:dyDescent="0.35">
      <c r="A34" s="41">
        <f>A33</f>
        <v>46033</v>
      </c>
      <c r="B34" s="98">
        <f>DAY(Tabla1[[#This Row],[FECHA]])</f>
        <v>11</v>
      </c>
      <c r="C34" s="79" t="s">
        <v>20</v>
      </c>
      <c r="D34" s="91">
        <v>3</v>
      </c>
      <c r="E34" s="91" t="s">
        <v>47</v>
      </c>
      <c r="F34" s="222">
        <v>1335</v>
      </c>
      <c r="G34" s="223">
        <v>1778</v>
      </c>
      <c r="H34" s="231">
        <v>93.5</v>
      </c>
      <c r="I34" s="223">
        <v>0</v>
      </c>
      <c r="J34" s="259">
        <v>92516</v>
      </c>
      <c r="K34" s="226">
        <v>0</v>
      </c>
      <c r="L34" s="221">
        <f t="shared" si="13"/>
        <v>0</v>
      </c>
      <c r="M34" s="221">
        <f t="shared" ref="M34:M65" si="23">G34-G35</f>
        <v>0</v>
      </c>
      <c r="N34" s="254">
        <f t="shared" si="14"/>
        <v>0</v>
      </c>
      <c r="O34" s="81">
        <f>Tabla1[[#This Row],[CONSUMO SOLUCIÓN OXIDANTE (L)]]</f>
        <v>0</v>
      </c>
      <c r="P34" s="76">
        <f t="shared" si="15"/>
        <v>0</v>
      </c>
      <c r="Q34" s="80">
        <f t="shared" si="16"/>
        <v>0</v>
      </c>
      <c r="R34" s="80">
        <f>Tabla1[[#This Row],[CONSUMO POL ANIONICO (KG)]]</f>
        <v>0</v>
      </c>
      <c r="S34" s="81">
        <f>Tabla1[[#This Row],[CONSUMO OXIDANTE SOLUCIÓN(L)]]*Tabla1[[#This Row],[DENSIDAD OXIDANTE]]</f>
        <v>0</v>
      </c>
      <c r="T34" s="76" t="e">
        <f t="shared" si="17"/>
        <v>#DIV/0!</v>
      </c>
      <c r="U34" s="80" t="e">
        <f t="shared" si="18"/>
        <v>#DIV/0!</v>
      </c>
      <c r="V34" s="80" t="e">
        <f t="shared" si="19"/>
        <v>#DIV/0!</v>
      </c>
      <c r="W34" s="81" t="e">
        <f t="shared" si="20"/>
        <v>#DIV/0!</v>
      </c>
      <c r="X34" s="61">
        <v>1240000</v>
      </c>
      <c r="Y34" s="61">
        <v>1325000</v>
      </c>
      <c r="Z34" s="61">
        <v>2500</v>
      </c>
      <c r="AA34" s="228">
        <v>4.2000000000000003E-2</v>
      </c>
      <c r="AB34" s="60">
        <v>2446</v>
      </c>
      <c r="AC34" s="60">
        <v>2498</v>
      </c>
      <c r="AD34" s="60">
        <v>23800</v>
      </c>
      <c r="AE34" s="60">
        <v>3010</v>
      </c>
      <c r="AF34" s="66">
        <f t="shared" ref="AF34:AF65" si="24">P34*AB34</f>
        <v>0</v>
      </c>
      <c r="AG34" s="69">
        <f t="shared" ref="AG34:AG65" si="25">Q34*AC34</f>
        <v>0</v>
      </c>
      <c r="AH34" s="69">
        <f t="shared" ref="AH34:AH65" si="26">R34*AD34</f>
        <v>0</v>
      </c>
      <c r="AI34" s="70">
        <f t="shared" ref="AI34:AI65" si="27">S34*AE34</f>
        <v>0</v>
      </c>
      <c r="AJ34" s="66">
        <f>SUM(Tabla1[[#This Row],[COSTO OPERATIVO ACIDO]:[COSTO OPERATIVO OXIDANTE]])</f>
        <v>0</v>
      </c>
      <c r="AK34" s="64">
        <v>2500</v>
      </c>
      <c r="AL34" s="64" t="e">
        <f t="shared" si="12"/>
        <v>#DIV/0!</v>
      </c>
    </row>
    <row r="35" spans="1:38" ht="15" thickBot="1" x14ac:dyDescent="0.35">
      <c r="A35" s="39">
        <f>A34+1</f>
        <v>46034</v>
      </c>
      <c r="B35" s="97">
        <f>DAY(Tabla1[[#This Row],[FECHA]])</f>
        <v>12</v>
      </c>
      <c r="C35" s="74" t="s">
        <v>18</v>
      </c>
      <c r="D35" s="89">
        <v>1</v>
      </c>
      <c r="E35" s="89" t="s">
        <v>46</v>
      </c>
      <c r="F35" s="217">
        <v>1335</v>
      </c>
      <c r="G35" s="218">
        <v>1778</v>
      </c>
      <c r="H35" s="230">
        <v>93.5</v>
      </c>
      <c r="I35" s="218">
        <v>0</v>
      </c>
      <c r="J35" s="217">
        <v>92516</v>
      </c>
      <c r="K35" s="226">
        <v>0</v>
      </c>
      <c r="L35" s="219">
        <f t="shared" si="13"/>
        <v>0</v>
      </c>
      <c r="M35" s="219">
        <f t="shared" si="0"/>
        <v>0</v>
      </c>
      <c r="N35" s="255">
        <f t="shared" si="14"/>
        <v>0</v>
      </c>
      <c r="O35" s="73">
        <f>Tabla1[[#This Row],[CONSUMO SOLUCIÓN OXIDANTE (L)]]</f>
        <v>0</v>
      </c>
      <c r="P35" s="71">
        <f t="shared" si="15"/>
        <v>0</v>
      </c>
      <c r="Q35" s="72">
        <f t="shared" si="16"/>
        <v>0</v>
      </c>
      <c r="R35" s="72">
        <f>Tabla1[[#This Row],[CONSUMO POL ANIONICO (KG)]]</f>
        <v>0</v>
      </c>
      <c r="S35" s="73">
        <f>Tabla1[[#This Row],[CONSUMO OXIDANTE SOLUCIÓN(L)]]*Tabla1[[#This Row],[DENSIDAD OXIDANTE]]</f>
        <v>0</v>
      </c>
      <c r="T35" s="71" t="e">
        <f t="shared" si="17"/>
        <v>#DIV/0!</v>
      </c>
      <c r="U35" s="72" t="e">
        <f t="shared" si="18"/>
        <v>#DIV/0!</v>
      </c>
      <c r="V35" s="72" t="e">
        <f t="shared" si="19"/>
        <v>#DIV/0!</v>
      </c>
      <c r="W35" s="73" t="e">
        <f t="shared" si="20"/>
        <v>#DIV/0!</v>
      </c>
      <c r="X35" s="61">
        <v>1240000</v>
      </c>
      <c r="Y35" s="61">
        <v>1325000</v>
      </c>
      <c r="Z35" s="61">
        <v>2500</v>
      </c>
      <c r="AA35" s="228">
        <v>4.2000000000000003E-2</v>
      </c>
      <c r="AB35" s="60">
        <v>2446</v>
      </c>
      <c r="AC35" s="60">
        <v>2498</v>
      </c>
      <c r="AD35" s="60">
        <v>23800</v>
      </c>
      <c r="AE35" s="60">
        <v>3010</v>
      </c>
      <c r="AF35" s="63">
        <f t="shared" si="24"/>
        <v>0</v>
      </c>
      <c r="AG35" s="64">
        <f t="shared" si="25"/>
        <v>0</v>
      </c>
      <c r="AH35" s="64">
        <f t="shared" si="26"/>
        <v>0</v>
      </c>
      <c r="AI35" s="65">
        <f t="shared" si="27"/>
        <v>0</v>
      </c>
      <c r="AJ35" s="63">
        <f>SUM(Tabla1[[#This Row],[COSTO OPERATIVO ACIDO]:[COSTO OPERATIVO OXIDANTE]])</f>
        <v>0</v>
      </c>
      <c r="AK35" s="64">
        <v>2500</v>
      </c>
      <c r="AL35" s="64" t="e">
        <f t="shared" si="12"/>
        <v>#DIV/0!</v>
      </c>
    </row>
    <row r="36" spans="1:38" ht="15" thickBot="1" x14ac:dyDescent="0.35">
      <c r="A36" s="40">
        <f>A35</f>
        <v>46034</v>
      </c>
      <c r="B36" s="97">
        <f>DAY(Tabla1[[#This Row],[FECHA]])</f>
        <v>12</v>
      </c>
      <c r="C36" s="75" t="s">
        <v>19</v>
      </c>
      <c r="D36" s="90">
        <v>2</v>
      </c>
      <c r="E36" s="90" t="s">
        <v>48</v>
      </c>
      <c r="F36" s="222">
        <v>1335</v>
      </c>
      <c r="G36" s="223">
        <v>1778</v>
      </c>
      <c r="H36" s="231">
        <v>93.5</v>
      </c>
      <c r="I36" s="223">
        <v>0</v>
      </c>
      <c r="J36" s="222">
        <v>92516</v>
      </c>
      <c r="K36" s="226">
        <v>0</v>
      </c>
      <c r="L36" s="220">
        <f t="shared" si="13"/>
        <v>0</v>
      </c>
      <c r="M36" s="220">
        <f t="shared" si="0"/>
        <v>0</v>
      </c>
      <c r="N36" s="256">
        <f t="shared" si="14"/>
        <v>0</v>
      </c>
      <c r="O36" s="78">
        <f>Tabla1[[#This Row],[CONSUMO SOLUCIÓN OXIDANTE (L)]]</f>
        <v>0</v>
      </c>
      <c r="P36" s="76">
        <f t="shared" si="15"/>
        <v>0</v>
      </c>
      <c r="Q36" s="77">
        <f t="shared" si="16"/>
        <v>0</v>
      </c>
      <c r="R36" s="77">
        <f>Tabla1[[#This Row],[CONSUMO POL ANIONICO (KG)]]</f>
        <v>0</v>
      </c>
      <c r="S36" s="78">
        <f>Tabla1[[#This Row],[CONSUMO OXIDANTE SOLUCIÓN(L)]]*Tabla1[[#This Row],[DENSIDAD OXIDANTE]]</f>
        <v>0</v>
      </c>
      <c r="T36" s="76" t="e">
        <f t="shared" si="17"/>
        <v>#DIV/0!</v>
      </c>
      <c r="U36" s="77" t="e">
        <f t="shared" si="18"/>
        <v>#DIV/0!</v>
      </c>
      <c r="V36" s="77" t="e">
        <f t="shared" si="19"/>
        <v>#DIV/0!</v>
      </c>
      <c r="W36" s="78" t="e">
        <f t="shared" si="20"/>
        <v>#DIV/0!</v>
      </c>
      <c r="X36" s="61">
        <v>1240000</v>
      </c>
      <c r="Y36" s="61">
        <v>1325000</v>
      </c>
      <c r="Z36" s="61">
        <v>2500</v>
      </c>
      <c r="AA36" s="228">
        <v>4.2000000000000003E-2</v>
      </c>
      <c r="AB36" s="60">
        <v>2446</v>
      </c>
      <c r="AC36" s="60">
        <v>2498</v>
      </c>
      <c r="AD36" s="60">
        <v>23800</v>
      </c>
      <c r="AE36" s="60">
        <v>3010</v>
      </c>
      <c r="AF36" s="66">
        <f t="shared" si="24"/>
        <v>0</v>
      </c>
      <c r="AG36" s="67">
        <f t="shared" si="25"/>
        <v>0</v>
      </c>
      <c r="AH36" s="67">
        <f t="shared" si="26"/>
        <v>0</v>
      </c>
      <c r="AI36" s="68">
        <f t="shared" si="27"/>
        <v>0</v>
      </c>
      <c r="AJ36" s="66">
        <f>SUM(Tabla1[[#This Row],[COSTO OPERATIVO ACIDO]:[COSTO OPERATIVO OXIDANTE]])</f>
        <v>0</v>
      </c>
      <c r="AK36" s="64">
        <v>2500</v>
      </c>
      <c r="AL36" s="64" t="e">
        <f t="shared" si="12"/>
        <v>#DIV/0!</v>
      </c>
    </row>
    <row r="37" spans="1:38" ht="15" thickBot="1" x14ac:dyDescent="0.35">
      <c r="A37" s="41">
        <f>A36</f>
        <v>46034</v>
      </c>
      <c r="B37" s="98">
        <f>DAY(Tabla1[[#This Row],[FECHA]])</f>
        <v>12</v>
      </c>
      <c r="C37" s="79" t="s">
        <v>20</v>
      </c>
      <c r="D37" s="91">
        <v>3</v>
      </c>
      <c r="E37" s="91" t="s">
        <v>47</v>
      </c>
      <c r="F37" s="222">
        <v>1335</v>
      </c>
      <c r="G37" s="223">
        <v>1778</v>
      </c>
      <c r="H37" s="231">
        <v>93.5</v>
      </c>
      <c r="I37" s="223">
        <v>0</v>
      </c>
      <c r="J37" s="259">
        <v>92516</v>
      </c>
      <c r="K37" s="226">
        <v>0</v>
      </c>
      <c r="L37" s="220">
        <f t="shared" si="13"/>
        <v>0</v>
      </c>
      <c r="M37" s="221">
        <f t="shared" si="23"/>
        <v>0</v>
      </c>
      <c r="N37" s="254">
        <f t="shared" si="14"/>
        <v>0</v>
      </c>
      <c r="O37" s="81">
        <v>10</v>
      </c>
      <c r="P37" s="76">
        <f t="shared" si="15"/>
        <v>0</v>
      </c>
      <c r="Q37" s="80">
        <f t="shared" si="16"/>
        <v>0</v>
      </c>
      <c r="R37" s="80">
        <f>Tabla1[[#This Row],[CONSUMO POL ANIONICO (KG)]]</f>
        <v>0</v>
      </c>
      <c r="S37" s="81">
        <f>Tabla1[[#This Row],[CONSUMO OXIDANTE SOLUCIÓN(L)]]*Tabla1[[#This Row],[DENSIDAD OXIDANTE]]</f>
        <v>0.42000000000000004</v>
      </c>
      <c r="T37" s="76" t="e">
        <f t="shared" si="17"/>
        <v>#DIV/0!</v>
      </c>
      <c r="U37" s="80" t="e">
        <f t="shared" si="18"/>
        <v>#DIV/0!</v>
      </c>
      <c r="V37" s="80" t="e">
        <f t="shared" si="19"/>
        <v>#DIV/0!</v>
      </c>
      <c r="W37" s="81" t="e">
        <f t="shared" si="20"/>
        <v>#DIV/0!</v>
      </c>
      <c r="X37" s="61">
        <v>1240000</v>
      </c>
      <c r="Y37" s="61">
        <v>1325000</v>
      </c>
      <c r="Z37" s="61">
        <v>2500</v>
      </c>
      <c r="AA37" s="228">
        <v>4.2000000000000003E-2</v>
      </c>
      <c r="AB37" s="60">
        <v>2446</v>
      </c>
      <c r="AC37" s="60">
        <v>2498</v>
      </c>
      <c r="AD37" s="60">
        <v>23800</v>
      </c>
      <c r="AE37" s="60">
        <v>3010</v>
      </c>
      <c r="AF37" s="66">
        <f t="shared" si="24"/>
        <v>0</v>
      </c>
      <c r="AG37" s="69">
        <f t="shared" si="25"/>
        <v>0</v>
      </c>
      <c r="AH37" s="69">
        <f t="shared" si="26"/>
        <v>0</v>
      </c>
      <c r="AI37" s="70">
        <f t="shared" si="27"/>
        <v>1264.2</v>
      </c>
      <c r="AJ37" s="66">
        <f>SUM(Tabla1[[#This Row],[COSTO OPERATIVO ACIDO]:[COSTO OPERATIVO OXIDANTE]])</f>
        <v>1264.2</v>
      </c>
      <c r="AK37" s="64">
        <v>2500</v>
      </c>
      <c r="AL37" s="64" t="e">
        <f t="shared" si="12"/>
        <v>#DIV/0!</v>
      </c>
    </row>
    <row r="38" spans="1:38" ht="15" thickBot="1" x14ac:dyDescent="0.35">
      <c r="A38" s="39">
        <f>A37+1</f>
        <v>46035</v>
      </c>
      <c r="B38" s="97">
        <f>DAY(Tabla1[[#This Row],[FECHA]])</f>
        <v>13</v>
      </c>
      <c r="C38" s="74" t="s">
        <v>18</v>
      </c>
      <c r="D38" s="89">
        <v>1</v>
      </c>
      <c r="E38" s="89" t="s">
        <v>46</v>
      </c>
      <c r="F38" s="217">
        <v>1335</v>
      </c>
      <c r="G38" s="218">
        <v>1778</v>
      </c>
      <c r="H38" s="230">
        <v>93.5</v>
      </c>
      <c r="I38" s="218">
        <v>0</v>
      </c>
      <c r="J38" s="217">
        <v>92516</v>
      </c>
      <c r="K38" s="226">
        <v>0</v>
      </c>
      <c r="L38" s="219">
        <f t="shared" si="13"/>
        <v>0</v>
      </c>
      <c r="M38" s="219">
        <f t="shared" si="0"/>
        <v>0</v>
      </c>
      <c r="N38" s="255">
        <f t="shared" si="14"/>
        <v>0</v>
      </c>
      <c r="O38" s="73">
        <f>Tabla1[[#This Row],[CONSUMO SOLUCIÓN OXIDANTE (L)]]</f>
        <v>0</v>
      </c>
      <c r="P38" s="71">
        <f t="shared" si="15"/>
        <v>0</v>
      </c>
      <c r="Q38" s="72">
        <f t="shared" si="16"/>
        <v>0</v>
      </c>
      <c r="R38" s="72">
        <f>Tabla1[[#This Row],[CONSUMO POL ANIONICO (KG)]]</f>
        <v>0</v>
      </c>
      <c r="S38" s="73">
        <f>Tabla1[[#This Row],[CONSUMO OXIDANTE SOLUCIÓN(L)]]*Tabla1[[#This Row],[DENSIDAD OXIDANTE]]</f>
        <v>0</v>
      </c>
      <c r="T38" s="71" t="e">
        <f t="shared" ref="T38:T69" si="28">(P38*1000)/K38</f>
        <v>#DIV/0!</v>
      </c>
      <c r="U38" s="72" t="e">
        <f t="shared" ref="U38:U69" si="29">(Q38*1000)/K38</f>
        <v>#DIV/0!</v>
      </c>
      <c r="V38" s="72" t="e">
        <f t="shared" ref="V38:V69" si="30">(R38*1000)/K38</f>
        <v>#DIV/0!</v>
      </c>
      <c r="W38" s="73" t="e">
        <f t="shared" ref="W38:W69" si="31">(S38*1000)/K38</f>
        <v>#DIV/0!</v>
      </c>
      <c r="X38" s="61">
        <v>1240000</v>
      </c>
      <c r="Y38" s="61">
        <v>1325000</v>
      </c>
      <c r="Z38" s="61">
        <v>2500</v>
      </c>
      <c r="AA38" s="228">
        <v>4.2000000000000003E-2</v>
      </c>
      <c r="AB38" s="60">
        <v>2446</v>
      </c>
      <c r="AC38" s="60">
        <v>2498</v>
      </c>
      <c r="AD38" s="60">
        <v>23800</v>
      </c>
      <c r="AE38" s="60">
        <v>3010</v>
      </c>
      <c r="AF38" s="63">
        <f t="shared" si="24"/>
        <v>0</v>
      </c>
      <c r="AG38" s="64">
        <f t="shared" si="25"/>
        <v>0</v>
      </c>
      <c r="AH38" s="64">
        <f t="shared" si="26"/>
        <v>0</v>
      </c>
      <c r="AI38" s="65">
        <f t="shared" si="27"/>
        <v>0</v>
      </c>
      <c r="AJ38" s="63">
        <f>SUM(Tabla1[[#This Row],[COSTO OPERATIVO ACIDO]:[COSTO OPERATIVO OXIDANTE]])</f>
        <v>0</v>
      </c>
      <c r="AK38" s="64">
        <v>2500</v>
      </c>
      <c r="AL38" s="64" t="e">
        <f t="shared" si="12"/>
        <v>#DIV/0!</v>
      </c>
    </row>
    <row r="39" spans="1:38" ht="15" thickBot="1" x14ac:dyDescent="0.35">
      <c r="A39" s="40">
        <f>A38</f>
        <v>46035</v>
      </c>
      <c r="B39" s="97">
        <f>DAY(Tabla1[[#This Row],[FECHA]])</f>
        <v>13</v>
      </c>
      <c r="C39" s="75" t="s">
        <v>19</v>
      </c>
      <c r="D39" s="90">
        <v>2</v>
      </c>
      <c r="E39" s="90" t="s">
        <v>48</v>
      </c>
      <c r="F39" s="222">
        <v>1335</v>
      </c>
      <c r="G39" s="223">
        <v>1778</v>
      </c>
      <c r="H39" s="231">
        <v>93.5</v>
      </c>
      <c r="I39" s="223">
        <v>0</v>
      </c>
      <c r="J39" s="222">
        <v>92516</v>
      </c>
      <c r="K39" s="226">
        <v>0</v>
      </c>
      <c r="L39" s="220">
        <f t="shared" si="13"/>
        <v>0</v>
      </c>
      <c r="M39" s="220">
        <f t="shared" si="0"/>
        <v>0</v>
      </c>
      <c r="N39" s="256">
        <f t="shared" si="14"/>
        <v>0</v>
      </c>
      <c r="O39" s="78">
        <f>Tabla1[[#This Row],[CONSUMO SOLUCIÓN OXIDANTE (L)]]</f>
        <v>0</v>
      </c>
      <c r="P39" s="76">
        <f t="shared" si="15"/>
        <v>0</v>
      </c>
      <c r="Q39" s="77">
        <f t="shared" si="16"/>
        <v>0</v>
      </c>
      <c r="R39" s="77">
        <f>Tabla1[[#This Row],[CONSUMO POL ANIONICO (KG)]]</f>
        <v>0</v>
      </c>
      <c r="S39" s="78">
        <f>Tabla1[[#This Row],[CONSUMO OXIDANTE SOLUCIÓN(L)]]*Tabla1[[#This Row],[DENSIDAD OXIDANTE]]</f>
        <v>0</v>
      </c>
      <c r="T39" s="76" t="e">
        <f t="shared" si="28"/>
        <v>#DIV/0!</v>
      </c>
      <c r="U39" s="77" t="e">
        <f t="shared" si="29"/>
        <v>#DIV/0!</v>
      </c>
      <c r="V39" s="77" t="e">
        <f t="shared" si="30"/>
        <v>#DIV/0!</v>
      </c>
      <c r="W39" s="78" t="e">
        <f t="shared" si="31"/>
        <v>#DIV/0!</v>
      </c>
      <c r="X39" s="61">
        <v>1240000</v>
      </c>
      <c r="Y39" s="61">
        <v>1325000</v>
      </c>
      <c r="Z39" s="61">
        <v>2500</v>
      </c>
      <c r="AA39" s="228">
        <v>4.2000000000000003E-2</v>
      </c>
      <c r="AB39" s="60">
        <v>2446</v>
      </c>
      <c r="AC39" s="60">
        <v>2498</v>
      </c>
      <c r="AD39" s="60">
        <v>23800</v>
      </c>
      <c r="AE39" s="60">
        <v>3010</v>
      </c>
      <c r="AF39" s="66">
        <f t="shared" si="24"/>
        <v>0</v>
      </c>
      <c r="AG39" s="67">
        <f t="shared" si="25"/>
        <v>0</v>
      </c>
      <c r="AH39" s="67">
        <f t="shared" si="26"/>
        <v>0</v>
      </c>
      <c r="AI39" s="68">
        <f t="shared" si="27"/>
        <v>0</v>
      </c>
      <c r="AJ39" s="66">
        <f>SUM(Tabla1[[#This Row],[COSTO OPERATIVO ACIDO]:[COSTO OPERATIVO OXIDANTE]])</f>
        <v>0</v>
      </c>
      <c r="AK39" s="64">
        <v>2500</v>
      </c>
      <c r="AL39" s="64" t="e">
        <f t="shared" si="12"/>
        <v>#DIV/0!</v>
      </c>
    </row>
    <row r="40" spans="1:38" ht="15" thickBot="1" x14ac:dyDescent="0.35">
      <c r="A40" s="41">
        <f>A39</f>
        <v>46035</v>
      </c>
      <c r="B40" s="98">
        <f>DAY(Tabla1[[#This Row],[FECHA]])</f>
        <v>13</v>
      </c>
      <c r="C40" s="79" t="s">
        <v>20</v>
      </c>
      <c r="D40" s="91">
        <v>3</v>
      </c>
      <c r="E40" s="91" t="s">
        <v>47</v>
      </c>
      <c r="F40" s="222">
        <v>1335</v>
      </c>
      <c r="G40" s="223">
        <v>1778</v>
      </c>
      <c r="H40" s="231">
        <v>93.5</v>
      </c>
      <c r="I40" s="223">
        <v>0</v>
      </c>
      <c r="J40" s="259">
        <v>92516</v>
      </c>
      <c r="K40" s="226">
        <v>0</v>
      </c>
      <c r="L40" s="221">
        <f t="shared" si="13"/>
        <v>0</v>
      </c>
      <c r="M40" s="221">
        <f t="shared" si="23"/>
        <v>0</v>
      </c>
      <c r="N40" s="254">
        <f t="shared" si="14"/>
        <v>0</v>
      </c>
      <c r="O40" s="81">
        <f>Tabla1[[#This Row],[CONSUMO SOLUCIÓN OXIDANTE (L)]]</f>
        <v>0</v>
      </c>
      <c r="P40" s="76">
        <f t="shared" si="15"/>
        <v>0</v>
      </c>
      <c r="Q40" s="80">
        <f t="shared" si="16"/>
        <v>0</v>
      </c>
      <c r="R40" s="80">
        <f>Tabla1[[#This Row],[CONSUMO POL ANIONICO (KG)]]</f>
        <v>0</v>
      </c>
      <c r="S40" s="81">
        <f>Tabla1[[#This Row],[CONSUMO OXIDANTE SOLUCIÓN(L)]]*Tabla1[[#This Row],[DENSIDAD OXIDANTE]]</f>
        <v>0</v>
      </c>
      <c r="T40" s="76" t="e">
        <f t="shared" si="28"/>
        <v>#DIV/0!</v>
      </c>
      <c r="U40" s="80" t="e">
        <f t="shared" si="29"/>
        <v>#DIV/0!</v>
      </c>
      <c r="V40" s="80" t="e">
        <f t="shared" si="30"/>
        <v>#DIV/0!</v>
      </c>
      <c r="W40" s="81" t="e">
        <f t="shared" si="31"/>
        <v>#DIV/0!</v>
      </c>
      <c r="X40" s="61">
        <v>1240000</v>
      </c>
      <c r="Y40" s="61">
        <v>1325000</v>
      </c>
      <c r="Z40" s="61">
        <v>2500</v>
      </c>
      <c r="AA40" s="228">
        <v>4.2000000000000003E-2</v>
      </c>
      <c r="AB40" s="60">
        <v>2446</v>
      </c>
      <c r="AC40" s="60">
        <v>2498</v>
      </c>
      <c r="AD40" s="60">
        <v>23800</v>
      </c>
      <c r="AE40" s="60">
        <v>3010</v>
      </c>
      <c r="AF40" s="66">
        <f t="shared" si="24"/>
        <v>0</v>
      </c>
      <c r="AG40" s="69">
        <f t="shared" si="25"/>
        <v>0</v>
      </c>
      <c r="AH40" s="69">
        <f t="shared" si="26"/>
        <v>0</v>
      </c>
      <c r="AI40" s="70">
        <f t="shared" si="27"/>
        <v>0</v>
      </c>
      <c r="AJ40" s="66">
        <f>SUM(Tabla1[[#This Row],[COSTO OPERATIVO ACIDO]:[COSTO OPERATIVO OXIDANTE]])</f>
        <v>0</v>
      </c>
      <c r="AK40" s="64">
        <v>2500</v>
      </c>
      <c r="AL40" s="64" t="e">
        <f t="shared" si="12"/>
        <v>#DIV/0!</v>
      </c>
    </row>
    <row r="41" spans="1:38" ht="15" thickBot="1" x14ac:dyDescent="0.35">
      <c r="A41" s="39">
        <f>A40+1</f>
        <v>46036</v>
      </c>
      <c r="B41" s="97">
        <f>DAY(Tabla1[[#This Row],[FECHA]])</f>
        <v>14</v>
      </c>
      <c r="C41" s="74" t="s">
        <v>18</v>
      </c>
      <c r="D41" s="89">
        <v>1</v>
      </c>
      <c r="E41" s="89" t="s">
        <v>46</v>
      </c>
      <c r="F41" s="217">
        <v>1335</v>
      </c>
      <c r="G41" s="218">
        <v>1778</v>
      </c>
      <c r="H41" s="230">
        <v>93.5</v>
      </c>
      <c r="I41" s="218">
        <v>0</v>
      </c>
      <c r="J41" s="217">
        <v>92516</v>
      </c>
      <c r="K41" s="226">
        <v>0</v>
      </c>
      <c r="L41" s="219">
        <f t="shared" si="13"/>
        <v>0</v>
      </c>
      <c r="M41" s="219">
        <f t="shared" si="0"/>
        <v>0</v>
      </c>
      <c r="N41" s="255">
        <f t="shared" si="14"/>
        <v>0</v>
      </c>
      <c r="O41" s="73">
        <f>Tabla1[[#This Row],[CONSUMO SOLUCIÓN OXIDANTE (L)]]</f>
        <v>0</v>
      </c>
      <c r="P41" s="71">
        <f t="shared" si="15"/>
        <v>0</v>
      </c>
      <c r="Q41" s="72">
        <f t="shared" si="16"/>
        <v>0</v>
      </c>
      <c r="R41" s="72">
        <f>Tabla1[[#This Row],[CONSUMO POL ANIONICO (KG)]]</f>
        <v>0</v>
      </c>
      <c r="S41" s="73">
        <f>Tabla1[[#This Row],[CONSUMO OXIDANTE SOLUCIÓN(L)]]*Tabla1[[#This Row],[DENSIDAD OXIDANTE]]</f>
        <v>0</v>
      </c>
      <c r="T41" s="71" t="e">
        <f t="shared" si="28"/>
        <v>#DIV/0!</v>
      </c>
      <c r="U41" s="72" t="e">
        <f t="shared" si="29"/>
        <v>#DIV/0!</v>
      </c>
      <c r="V41" s="72" t="e">
        <f t="shared" si="30"/>
        <v>#DIV/0!</v>
      </c>
      <c r="W41" s="73" t="e">
        <f t="shared" si="31"/>
        <v>#DIV/0!</v>
      </c>
      <c r="X41" s="61">
        <v>1240000</v>
      </c>
      <c r="Y41" s="61">
        <v>1325000</v>
      </c>
      <c r="Z41" s="61">
        <v>2500</v>
      </c>
      <c r="AA41" s="228">
        <v>4.2000000000000003E-2</v>
      </c>
      <c r="AB41" s="60">
        <v>2446</v>
      </c>
      <c r="AC41" s="60">
        <v>2498</v>
      </c>
      <c r="AD41" s="60">
        <v>23800</v>
      </c>
      <c r="AE41" s="60">
        <v>3010</v>
      </c>
      <c r="AF41" s="63">
        <f t="shared" si="24"/>
        <v>0</v>
      </c>
      <c r="AG41" s="64">
        <f t="shared" si="25"/>
        <v>0</v>
      </c>
      <c r="AH41" s="64">
        <f t="shared" si="26"/>
        <v>0</v>
      </c>
      <c r="AI41" s="65">
        <f t="shared" si="27"/>
        <v>0</v>
      </c>
      <c r="AJ41" s="63">
        <f>SUM(Tabla1[[#This Row],[COSTO OPERATIVO ACIDO]:[COSTO OPERATIVO OXIDANTE]])</f>
        <v>0</v>
      </c>
      <c r="AK41" s="64">
        <v>2500</v>
      </c>
      <c r="AL41" s="64" t="e">
        <f t="shared" si="12"/>
        <v>#DIV/0!</v>
      </c>
    </row>
    <row r="42" spans="1:38" ht="15" thickBot="1" x14ac:dyDescent="0.35">
      <c r="A42" s="40">
        <f>A41</f>
        <v>46036</v>
      </c>
      <c r="B42" s="97">
        <f>DAY(Tabla1[[#This Row],[FECHA]])</f>
        <v>14</v>
      </c>
      <c r="C42" s="75" t="s">
        <v>19</v>
      </c>
      <c r="D42" s="90">
        <v>2</v>
      </c>
      <c r="E42" s="90" t="s">
        <v>48</v>
      </c>
      <c r="F42" s="222">
        <v>1335</v>
      </c>
      <c r="G42" s="223">
        <v>1778</v>
      </c>
      <c r="H42" s="231">
        <v>93.5</v>
      </c>
      <c r="I42" s="223">
        <v>0</v>
      </c>
      <c r="J42" s="222">
        <v>92516</v>
      </c>
      <c r="K42" s="226">
        <v>0</v>
      </c>
      <c r="L42" s="220">
        <f t="shared" si="13"/>
        <v>0</v>
      </c>
      <c r="M42" s="220">
        <f t="shared" si="0"/>
        <v>0</v>
      </c>
      <c r="N42" s="256">
        <f t="shared" si="14"/>
        <v>0</v>
      </c>
      <c r="O42" s="78">
        <f>Tabla1[[#This Row],[CONSUMO SOLUCIÓN OXIDANTE (L)]]</f>
        <v>0</v>
      </c>
      <c r="P42" s="76">
        <f t="shared" si="15"/>
        <v>0</v>
      </c>
      <c r="Q42" s="77">
        <f t="shared" si="16"/>
        <v>0</v>
      </c>
      <c r="R42" s="77">
        <f>Tabla1[[#This Row],[CONSUMO POL ANIONICO (KG)]]</f>
        <v>0</v>
      </c>
      <c r="S42" s="78">
        <f>Tabla1[[#This Row],[CONSUMO OXIDANTE SOLUCIÓN(L)]]*Tabla1[[#This Row],[DENSIDAD OXIDANTE]]</f>
        <v>0</v>
      </c>
      <c r="T42" s="76" t="e">
        <f t="shared" si="28"/>
        <v>#DIV/0!</v>
      </c>
      <c r="U42" s="77" t="e">
        <f t="shared" si="29"/>
        <v>#DIV/0!</v>
      </c>
      <c r="V42" s="77" t="e">
        <f t="shared" si="30"/>
        <v>#DIV/0!</v>
      </c>
      <c r="W42" s="78" t="e">
        <f t="shared" si="31"/>
        <v>#DIV/0!</v>
      </c>
      <c r="X42" s="61">
        <v>1240000</v>
      </c>
      <c r="Y42" s="61">
        <v>1325000</v>
      </c>
      <c r="Z42" s="61">
        <v>2500</v>
      </c>
      <c r="AA42" s="228">
        <v>4.2000000000000003E-2</v>
      </c>
      <c r="AB42" s="60">
        <v>2446</v>
      </c>
      <c r="AC42" s="60">
        <v>2498</v>
      </c>
      <c r="AD42" s="60">
        <v>23800</v>
      </c>
      <c r="AE42" s="60">
        <v>3010</v>
      </c>
      <c r="AF42" s="66">
        <f t="shared" si="24"/>
        <v>0</v>
      </c>
      <c r="AG42" s="67">
        <f t="shared" si="25"/>
        <v>0</v>
      </c>
      <c r="AH42" s="67">
        <f t="shared" si="26"/>
        <v>0</v>
      </c>
      <c r="AI42" s="68">
        <f t="shared" si="27"/>
        <v>0</v>
      </c>
      <c r="AJ42" s="66">
        <f>SUM(Tabla1[[#This Row],[COSTO OPERATIVO ACIDO]:[COSTO OPERATIVO OXIDANTE]])</f>
        <v>0</v>
      </c>
      <c r="AK42" s="64">
        <v>2500</v>
      </c>
      <c r="AL42" s="64" t="e">
        <f t="shared" si="12"/>
        <v>#DIV/0!</v>
      </c>
    </row>
    <row r="43" spans="1:38" ht="15" thickBot="1" x14ac:dyDescent="0.35">
      <c r="A43" s="41">
        <f>A42</f>
        <v>46036</v>
      </c>
      <c r="B43" s="98">
        <f>DAY(Tabla1[[#This Row],[FECHA]])</f>
        <v>14</v>
      </c>
      <c r="C43" s="79" t="s">
        <v>20</v>
      </c>
      <c r="D43" s="91">
        <v>3</v>
      </c>
      <c r="E43" s="91" t="s">
        <v>47</v>
      </c>
      <c r="F43" s="222">
        <v>1335</v>
      </c>
      <c r="G43" s="223">
        <v>1778</v>
      </c>
      <c r="H43" s="231">
        <v>93.5</v>
      </c>
      <c r="I43" s="223">
        <v>0</v>
      </c>
      <c r="J43" s="259">
        <v>92516</v>
      </c>
      <c r="K43" s="226">
        <v>0</v>
      </c>
      <c r="L43" s="221">
        <f t="shared" si="13"/>
        <v>0</v>
      </c>
      <c r="M43" s="221">
        <f t="shared" si="23"/>
        <v>0</v>
      </c>
      <c r="N43" s="254">
        <f t="shared" si="14"/>
        <v>0</v>
      </c>
      <c r="O43" s="81">
        <f>Tabla1[[#This Row],[CONSUMO SOLUCIÓN OXIDANTE (L)]]</f>
        <v>0</v>
      </c>
      <c r="P43" s="76">
        <f t="shared" si="15"/>
        <v>0</v>
      </c>
      <c r="Q43" s="80">
        <f t="shared" si="16"/>
        <v>0</v>
      </c>
      <c r="R43" s="80">
        <f>Tabla1[[#This Row],[CONSUMO POL ANIONICO (KG)]]</f>
        <v>0</v>
      </c>
      <c r="S43" s="81">
        <f>Tabla1[[#This Row],[CONSUMO OXIDANTE SOLUCIÓN(L)]]*Tabla1[[#This Row],[DENSIDAD OXIDANTE]]</f>
        <v>0</v>
      </c>
      <c r="T43" s="76" t="e">
        <f t="shared" si="28"/>
        <v>#DIV/0!</v>
      </c>
      <c r="U43" s="80" t="e">
        <f t="shared" si="29"/>
        <v>#DIV/0!</v>
      </c>
      <c r="V43" s="80" t="e">
        <f t="shared" si="30"/>
        <v>#DIV/0!</v>
      </c>
      <c r="W43" s="81" t="e">
        <f t="shared" si="31"/>
        <v>#DIV/0!</v>
      </c>
      <c r="X43" s="61">
        <v>1240000</v>
      </c>
      <c r="Y43" s="61">
        <v>1325000</v>
      </c>
      <c r="Z43" s="61">
        <v>2500</v>
      </c>
      <c r="AA43" s="228">
        <v>4.2000000000000003E-2</v>
      </c>
      <c r="AB43" s="60">
        <v>2446</v>
      </c>
      <c r="AC43" s="60">
        <v>2498</v>
      </c>
      <c r="AD43" s="60">
        <v>23800</v>
      </c>
      <c r="AE43" s="60">
        <v>3010</v>
      </c>
      <c r="AF43" s="66">
        <f t="shared" si="24"/>
        <v>0</v>
      </c>
      <c r="AG43" s="69">
        <f t="shared" si="25"/>
        <v>0</v>
      </c>
      <c r="AH43" s="69">
        <f t="shared" si="26"/>
        <v>0</v>
      </c>
      <c r="AI43" s="70">
        <f t="shared" si="27"/>
        <v>0</v>
      </c>
      <c r="AJ43" s="66">
        <f>SUM(Tabla1[[#This Row],[COSTO OPERATIVO ACIDO]:[COSTO OPERATIVO OXIDANTE]])</f>
        <v>0</v>
      </c>
      <c r="AK43" s="64">
        <v>2500</v>
      </c>
      <c r="AL43" s="64" t="e">
        <f t="shared" si="12"/>
        <v>#DIV/0!</v>
      </c>
    </row>
    <row r="44" spans="1:38" ht="15" thickBot="1" x14ac:dyDescent="0.35">
      <c r="A44" s="39">
        <f>A43+1</f>
        <v>46037</v>
      </c>
      <c r="B44" s="97">
        <f>DAY(Tabla1[[#This Row],[FECHA]])</f>
        <v>15</v>
      </c>
      <c r="C44" s="74" t="s">
        <v>18</v>
      </c>
      <c r="D44" s="89">
        <v>1</v>
      </c>
      <c r="E44" s="89" t="s">
        <v>46</v>
      </c>
      <c r="F44" s="217">
        <v>1335</v>
      </c>
      <c r="G44" s="218">
        <v>1778</v>
      </c>
      <c r="H44" s="230">
        <v>93.5</v>
      </c>
      <c r="I44" s="218">
        <v>0</v>
      </c>
      <c r="J44" s="217">
        <v>92516</v>
      </c>
      <c r="K44" s="226">
        <v>0</v>
      </c>
      <c r="L44" s="219">
        <f t="shared" si="13"/>
        <v>0</v>
      </c>
      <c r="M44" s="219">
        <f t="shared" si="0"/>
        <v>0</v>
      </c>
      <c r="N44" s="255">
        <f t="shared" si="14"/>
        <v>0</v>
      </c>
      <c r="O44" s="73">
        <f>Tabla1[[#This Row],[CONSUMO SOLUCIÓN OXIDANTE (L)]]</f>
        <v>0</v>
      </c>
      <c r="P44" s="71">
        <f t="shared" si="15"/>
        <v>0</v>
      </c>
      <c r="Q44" s="72">
        <f t="shared" si="16"/>
        <v>0</v>
      </c>
      <c r="R44" s="72">
        <f>Tabla1[[#This Row],[CONSUMO POL ANIONICO (KG)]]</f>
        <v>0</v>
      </c>
      <c r="S44" s="73">
        <f>Tabla1[[#This Row],[CONSUMO OXIDANTE SOLUCIÓN(L)]]*Tabla1[[#This Row],[DENSIDAD OXIDANTE]]</f>
        <v>0</v>
      </c>
      <c r="T44" s="71" t="e">
        <f t="shared" si="28"/>
        <v>#DIV/0!</v>
      </c>
      <c r="U44" s="72" t="e">
        <f t="shared" si="29"/>
        <v>#DIV/0!</v>
      </c>
      <c r="V44" s="72" t="e">
        <f t="shared" si="30"/>
        <v>#DIV/0!</v>
      </c>
      <c r="W44" s="73" t="e">
        <f t="shared" si="31"/>
        <v>#DIV/0!</v>
      </c>
      <c r="X44" s="61">
        <v>1240000</v>
      </c>
      <c r="Y44" s="61">
        <v>1325000</v>
      </c>
      <c r="Z44" s="61">
        <v>2500</v>
      </c>
      <c r="AA44" s="228">
        <v>4.2000000000000003E-2</v>
      </c>
      <c r="AB44" s="60">
        <v>2446</v>
      </c>
      <c r="AC44" s="60">
        <v>2498</v>
      </c>
      <c r="AD44" s="60">
        <v>23800</v>
      </c>
      <c r="AE44" s="60">
        <v>3010</v>
      </c>
      <c r="AF44" s="63">
        <f t="shared" si="24"/>
        <v>0</v>
      </c>
      <c r="AG44" s="64">
        <f t="shared" si="25"/>
        <v>0</v>
      </c>
      <c r="AH44" s="64">
        <f t="shared" si="26"/>
        <v>0</v>
      </c>
      <c r="AI44" s="65">
        <f t="shared" si="27"/>
        <v>0</v>
      </c>
      <c r="AJ44" s="63">
        <f>SUM(Tabla1[[#This Row],[COSTO OPERATIVO ACIDO]:[COSTO OPERATIVO OXIDANTE]])</f>
        <v>0</v>
      </c>
      <c r="AK44" s="64">
        <v>2500</v>
      </c>
      <c r="AL44" s="64" t="e">
        <f t="shared" si="12"/>
        <v>#DIV/0!</v>
      </c>
    </row>
    <row r="45" spans="1:38" ht="15" thickBot="1" x14ac:dyDescent="0.35">
      <c r="A45" s="40">
        <f>A44</f>
        <v>46037</v>
      </c>
      <c r="B45" s="97">
        <f>DAY(Tabla1[[#This Row],[FECHA]])</f>
        <v>15</v>
      </c>
      <c r="C45" s="75" t="s">
        <v>19</v>
      </c>
      <c r="D45" s="90">
        <v>2</v>
      </c>
      <c r="E45" s="90" t="s">
        <v>48</v>
      </c>
      <c r="F45" s="222">
        <v>1335</v>
      </c>
      <c r="G45" s="223">
        <v>1778</v>
      </c>
      <c r="H45" s="231">
        <v>93.5</v>
      </c>
      <c r="I45" s="223">
        <v>0</v>
      </c>
      <c r="J45" s="222">
        <v>92516</v>
      </c>
      <c r="K45" s="226">
        <v>0</v>
      </c>
      <c r="L45" s="220">
        <f t="shared" si="13"/>
        <v>0</v>
      </c>
      <c r="M45" s="220">
        <f t="shared" si="0"/>
        <v>0</v>
      </c>
      <c r="N45" s="256">
        <f t="shared" si="14"/>
        <v>0</v>
      </c>
      <c r="O45" s="78">
        <f>Tabla1[[#This Row],[CONSUMO SOLUCIÓN OXIDANTE (L)]]</f>
        <v>0</v>
      </c>
      <c r="P45" s="76">
        <f t="shared" si="15"/>
        <v>0</v>
      </c>
      <c r="Q45" s="77">
        <f t="shared" si="16"/>
        <v>0</v>
      </c>
      <c r="R45" s="77">
        <f>Tabla1[[#This Row],[CONSUMO POL ANIONICO (KG)]]</f>
        <v>0</v>
      </c>
      <c r="S45" s="78">
        <f>Tabla1[[#This Row],[CONSUMO OXIDANTE SOLUCIÓN(L)]]*Tabla1[[#This Row],[DENSIDAD OXIDANTE]]</f>
        <v>0</v>
      </c>
      <c r="T45" s="76" t="e">
        <f t="shared" si="28"/>
        <v>#DIV/0!</v>
      </c>
      <c r="U45" s="77" t="e">
        <f t="shared" si="29"/>
        <v>#DIV/0!</v>
      </c>
      <c r="V45" s="77" t="e">
        <f t="shared" si="30"/>
        <v>#DIV/0!</v>
      </c>
      <c r="W45" s="78" t="e">
        <f t="shared" si="31"/>
        <v>#DIV/0!</v>
      </c>
      <c r="X45" s="61">
        <v>1240000</v>
      </c>
      <c r="Y45" s="61">
        <v>1325000</v>
      </c>
      <c r="Z45" s="61">
        <v>2500</v>
      </c>
      <c r="AA45" s="228">
        <v>4.2000000000000003E-2</v>
      </c>
      <c r="AB45" s="60">
        <v>2446</v>
      </c>
      <c r="AC45" s="60">
        <v>2498</v>
      </c>
      <c r="AD45" s="60">
        <v>23800</v>
      </c>
      <c r="AE45" s="60">
        <v>3010</v>
      </c>
      <c r="AF45" s="66">
        <f t="shared" si="24"/>
        <v>0</v>
      </c>
      <c r="AG45" s="67">
        <f t="shared" si="25"/>
        <v>0</v>
      </c>
      <c r="AH45" s="67">
        <f t="shared" si="26"/>
        <v>0</v>
      </c>
      <c r="AI45" s="68">
        <f t="shared" si="27"/>
        <v>0</v>
      </c>
      <c r="AJ45" s="66">
        <f>SUM(Tabla1[[#This Row],[COSTO OPERATIVO ACIDO]:[COSTO OPERATIVO OXIDANTE]])</f>
        <v>0</v>
      </c>
      <c r="AK45" s="64">
        <v>2500</v>
      </c>
      <c r="AL45" s="64" t="e">
        <f t="shared" si="12"/>
        <v>#DIV/0!</v>
      </c>
    </row>
    <row r="46" spans="1:38" ht="15" thickBot="1" x14ac:dyDescent="0.35">
      <c r="A46" s="41">
        <f>A45</f>
        <v>46037</v>
      </c>
      <c r="B46" s="98">
        <f>DAY(Tabla1[[#This Row],[FECHA]])</f>
        <v>15</v>
      </c>
      <c r="C46" s="79" t="s">
        <v>20</v>
      </c>
      <c r="D46" s="91">
        <v>3</v>
      </c>
      <c r="E46" s="91" t="s">
        <v>47</v>
      </c>
      <c r="F46" s="222">
        <v>1335</v>
      </c>
      <c r="G46" s="223">
        <v>1778</v>
      </c>
      <c r="H46" s="231">
        <v>93.5</v>
      </c>
      <c r="I46" s="223">
        <v>0</v>
      </c>
      <c r="J46" s="259">
        <v>92516</v>
      </c>
      <c r="K46" s="226">
        <v>0</v>
      </c>
      <c r="L46" s="221">
        <f t="shared" si="13"/>
        <v>0</v>
      </c>
      <c r="M46" s="221">
        <f t="shared" si="23"/>
        <v>0</v>
      </c>
      <c r="N46" s="254">
        <f t="shared" si="14"/>
        <v>0</v>
      </c>
      <c r="O46" s="81">
        <f>Tabla1[[#This Row],[CONSUMO SOLUCIÓN OXIDANTE (L)]]</f>
        <v>0</v>
      </c>
      <c r="P46" s="76">
        <f t="shared" si="15"/>
        <v>0</v>
      </c>
      <c r="Q46" s="80">
        <f t="shared" si="16"/>
        <v>0</v>
      </c>
      <c r="R46" s="80">
        <f>Tabla1[[#This Row],[CONSUMO POL ANIONICO (KG)]]</f>
        <v>0</v>
      </c>
      <c r="S46" s="81">
        <f>Tabla1[[#This Row],[CONSUMO OXIDANTE SOLUCIÓN(L)]]*Tabla1[[#This Row],[DENSIDAD OXIDANTE]]</f>
        <v>0</v>
      </c>
      <c r="T46" s="76" t="e">
        <f t="shared" si="28"/>
        <v>#DIV/0!</v>
      </c>
      <c r="U46" s="80" t="e">
        <f t="shared" si="29"/>
        <v>#DIV/0!</v>
      </c>
      <c r="V46" s="80" t="e">
        <f t="shared" si="30"/>
        <v>#DIV/0!</v>
      </c>
      <c r="W46" s="81" t="e">
        <f t="shared" si="31"/>
        <v>#DIV/0!</v>
      </c>
      <c r="X46" s="61">
        <v>1240000</v>
      </c>
      <c r="Y46" s="61">
        <v>1325000</v>
      </c>
      <c r="Z46" s="61">
        <v>2500</v>
      </c>
      <c r="AA46" s="228">
        <v>4.2000000000000003E-2</v>
      </c>
      <c r="AB46" s="60">
        <v>2446</v>
      </c>
      <c r="AC46" s="60">
        <v>2498</v>
      </c>
      <c r="AD46" s="60">
        <v>23800</v>
      </c>
      <c r="AE46" s="60">
        <v>3010</v>
      </c>
      <c r="AF46" s="66">
        <f t="shared" si="24"/>
        <v>0</v>
      </c>
      <c r="AG46" s="69">
        <f t="shared" si="25"/>
        <v>0</v>
      </c>
      <c r="AH46" s="69">
        <f t="shared" si="26"/>
        <v>0</v>
      </c>
      <c r="AI46" s="70">
        <f t="shared" si="27"/>
        <v>0</v>
      </c>
      <c r="AJ46" s="66">
        <f>SUM(Tabla1[[#This Row],[COSTO OPERATIVO ACIDO]:[COSTO OPERATIVO OXIDANTE]])</f>
        <v>0</v>
      </c>
      <c r="AK46" s="64">
        <v>2500</v>
      </c>
      <c r="AL46" s="64" t="e">
        <f t="shared" si="12"/>
        <v>#DIV/0!</v>
      </c>
    </row>
    <row r="47" spans="1:38" ht="15" thickBot="1" x14ac:dyDescent="0.35">
      <c r="A47" s="39">
        <f>A46+1</f>
        <v>46038</v>
      </c>
      <c r="B47" s="97">
        <f>DAY(Tabla1[[#This Row],[FECHA]])</f>
        <v>16</v>
      </c>
      <c r="C47" s="74" t="s">
        <v>18</v>
      </c>
      <c r="D47" s="89">
        <v>1</v>
      </c>
      <c r="E47" s="89" t="s">
        <v>46</v>
      </c>
      <c r="F47" s="217">
        <v>1335</v>
      </c>
      <c r="G47" s="218">
        <v>1778</v>
      </c>
      <c r="H47" s="230">
        <v>93.5</v>
      </c>
      <c r="I47" s="218">
        <v>0</v>
      </c>
      <c r="J47" s="217">
        <v>92516</v>
      </c>
      <c r="K47" s="226">
        <v>0</v>
      </c>
      <c r="L47" s="219">
        <f t="shared" si="13"/>
        <v>0</v>
      </c>
      <c r="M47" s="219">
        <f t="shared" si="0"/>
        <v>0</v>
      </c>
      <c r="N47" s="255">
        <f t="shared" si="14"/>
        <v>0</v>
      </c>
      <c r="O47" s="73">
        <f>Tabla1[[#This Row],[CONSUMO SOLUCIÓN OXIDANTE (L)]]</f>
        <v>0</v>
      </c>
      <c r="P47" s="71">
        <f t="shared" si="15"/>
        <v>0</v>
      </c>
      <c r="Q47" s="72">
        <f t="shared" si="16"/>
        <v>0</v>
      </c>
      <c r="R47" s="72">
        <f>Tabla1[[#This Row],[CONSUMO POL ANIONICO (KG)]]</f>
        <v>0</v>
      </c>
      <c r="S47" s="73">
        <f>Tabla1[[#This Row],[CONSUMO OXIDANTE SOLUCIÓN(L)]]*Tabla1[[#This Row],[DENSIDAD OXIDANTE]]</f>
        <v>0</v>
      </c>
      <c r="T47" s="71" t="e">
        <f t="shared" si="28"/>
        <v>#DIV/0!</v>
      </c>
      <c r="U47" s="72" t="e">
        <f t="shared" si="29"/>
        <v>#DIV/0!</v>
      </c>
      <c r="V47" s="72" t="e">
        <f t="shared" si="30"/>
        <v>#DIV/0!</v>
      </c>
      <c r="W47" s="73" t="e">
        <f t="shared" si="31"/>
        <v>#DIV/0!</v>
      </c>
      <c r="X47" s="61">
        <v>1240000</v>
      </c>
      <c r="Y47" s="61">
        <v>1325000</v>
      </c>
      <c r="Z47" s="61">
        <v>2500</v>
      </c>
      <c r="AA47" s="228">
        <v>4.2000000000000003E-2</v>
      </c>
      <c r="AB47" s="60">
        <v>2446</v>
      </c>
      <c r="AC47" s="60">
        <v>2498</v>
      </c>
      <c r="AD47" s="60">
        <v>23800</v>
      </c>
      <c r="AE47" s="60">
        <v>3010</v>
      </c>
      <c r="AF47" s="63">
        <f t="shared" si="24"/>
        <v>0</v>
      </c>
      <c r="AG47" s="64">
        <f t="shared" si="25"/>
        <v>0</v>
      </c>
      <c r="AH47" s="64">
        <f t="shared" si="26"/>
        <v>0</v>
      </c>
      <c r="AI47" s="65">
        <f t="shared" si="27"/>
        <v>0</v>
      </c>
      <c r="AJ47" s="63">
        <f>SUM(Tabla1[[#This Row],[COSTO OPERATIVO ACIDO]:[COSTO OPERATIVO OXIDANTE]])</f>
        <v>0</v>
      </c>
      <c r="AK47" s="64">
        <v>2500</v>
      </c>
      <c r="AL47" s="64" t="e">
        <f t="shared" si="12"/>
        <v>#DIV/0!</v>
      </c>
    </row>
    <row r="48" spans="1:38" ht="15" thickBot="1" x14ac:dyDescent="0.35">
      <c r="A48" s="40">
        <f>A47</f>
        <v>46038</v>
      </c>
      <c r="B48" s="97">
        <f>DAY(Tabla1[[#This Row],[FECHA]])</f>
        <v>16</v>
      </c>
      <c r="C48" s="75" t="s">
        <v>19</v>
      </c>
      <c r="D48" s="90">
        <v>2</v>
      </c>
      <c r="E48" s="90" t="s">
        <v>48</v>
      </c>
      <c r="F48" s="222">
        <v>1335</v>
      </c>
      <c r="G48" s="223">
        <v>1778</v>
      </c>
      <c r="H48" s="231">
        <v>93.5</v>
      </c>
      <c r="I48" s="223">
        <v>8</v>
      </c>
      <c r="J48" s="222">
        <v>92548</v>
      </c>
      <c r="K48" s="226">
        <v>32</v>
      </c>
      <c r="L48" s="220">
        <f t="shared" si="13"/>
        <v>13</v>
      </c>
      <c r="M48" s="220">
        <f t="shared" si="0"/>
        <v>14</v>
      </c>
      <c r="N48" s="256">
        <f t="shared" si="14"/>
        <v>9.9999999999994316E-2</v>
      </c>
      <c r="O48" s="78">
        <f>Tabla1[[#This Row],[CONSUMO SOLUCIÓN OXIDANTE (L)]]</f>
        <v>8</v>
      </c>
      <c r="P48" s="76">
        <f t="shared" si="15"/>
        <v>16.12</v>
      </c>
      <c r="Q48" s="77">
        <f t="shared" si="16"/>
        <v>18.55</v>
      </c>
      <c r="R48" s="77">
        <f>Tabla1[[#This Row],[CONSUMO POL ANIONICO (KG)]]</f>
        <v>9.9999999999994316E-2</v>
      </c>
      <c r="S48" s="78">
        <f>Tabla1[[#This Row],[CONSUMO OXIDANTE SOLUCIÓN(L)]]*Tabla1[[#This Row],[DENSIDAD OXIDANTE]]</f>
        <v>0.33600000000000002</v>
      </c>
      <c r="T48" s="76">
        <f t="shared" si="28"/>
        <v>503.75000000000006</v>
      </c>
      <c r="U48" s="77">
        <f t="shared" si="29"/>
        <v>579.6875</v>
      </c>
      <c r="V48" s="77">
        <f t="shared" si="30"/>
        <v>3.1249999999998224</v>
      </c>
      <c r="W48" s="78">
        <f t="shared" si="31"/>
        <v>10.5</v>
      </c>
      <c r="X48" s="61">
        <v>1240000</v>
      </c>
      <c r="Y48" s="61">
        <v>1325000</v>
      </c>
      <c r="Z48" s="61">
        <v>2500</v>
      </c>
      <c r="AA48" s="228">
        <v>4.2000000000000003E-2</v>
      </c>
      <c r="AB48" s="60">
        <v>2446</v>
      </c>
      <c r="AC48" s="60">
        <v>2498</v>
      </c>
      <c r="AD48" s="60">
        <v>23800</v>
      </c>
      <c r="AE48" s="60">
        <v>3010</v>
      </c>
      <c r="AF48" s="66">
        <f t="shared" si="24"/>
        <v>39429.520000000004</v>
      </c>
      <c r="AG48" s="67">
        <f t="shared" si="25"/>
        <v>46337.9</v>
      </c>
      <c r="AH48" s="67">
        <f t="shared" si="26"/>
        <v>2379.9999999998645</v>
      </c>
      <c r="AI48" s="68">
        <f t="shared" si="27"/>
        <v>1011.36</v>
      </c>
      <c r="AJ48" s="66">
        <f>SUM(Tabla1[[#This Row],[COSTO OPERATIVO ACIDO]:[COSTO OPERATIVO OXIDANTE]])</f>
        <v>89158.779999999882</v>
      </c>
      <c r="AK48" s="64">
        <v>2500</v>
      </c>
      <c r="AL48" s="64">
        <f t="shared" si="12"/>
        <v>2786.2118749999963</v>
      </c>
    </row>
    <row r="49" spans="1:38" ht="15" thickBot="1" x14ac:dyDescent="0.35">
      <c r="A49" s="41">
        <f>A48</f>
        <v>46038</v>
      </c>
      <c r="B49" s="98">
        <f>DAY(Tabla1[[#This Row],[FECHA]])</f>
        <v>16</v>
      </c>
      <c r="C49" s="79" t="s">
        <v>20</v>
      </c>
      <c r="D49" s="91">
        <v>3</v>
      </c>
      <c r="E49" s="91" t="s">
        <v>47</v>
      </c>
      <c r="F49" s="222">
        <v>1322</v>
      </c>
      <c r="G49" s="223">
        <v>1764</v>
      </c>
      <c r="H49" s="231">
        <v>93.4</v>
      </c>
      <c r="I49" s="223">
        <v>9</v>
      </c>
      <c r="J49" s="259">
        <v>92581</v>
      </c>
      <c r="K49" s="226">
        <v>33</v>
      </c>
      <c r="L49" s="221">
        <f t="shared" si="13"/>
        <v>15</v>
      </c>
      <c r="M49" s="221">
        <f t="shared" si="23"/>
        <v>15</v>
      </c>
      <c r="N49" s="254">
        <f t="shared" si="14"/>
        <v>0.10000000000000853</v>
      </c>
      <c r="O49" s="81">
        <f>Tabla1[[#This Row],[CONSUMO SOLUCIÓN OXIDANTE (L)]]</f>
        <v>9</v>
      </c>
      <c r="P49" s="76">
        <f t="shared" si="15"/>
        <v>18.600000000000001</v>
      </c>
      <c r="Q49" s="80">
        <f t="shared" si="16"/>
        <v>19.875</v>
      </c>
      <c r="R49" s="80">
        <f>Tabla1[[#This Row],[CONSUMO POL ANIONICO (KG)]]</f>
        <v>0.10000000000000853</v>
      </c>
      <c r="S49" s="81">
        <f>Tabla1[[#This Row],[CONSUMO OXIDANTE SOLUCIÓN(L)]]*Tabla1[[#This Row],[DENSIDAD OXIDANTE]]</f>
        <v>0.378</v>
      </c>
      <c r="T49" s="76">
        <f t="shared" si="28"/>
        <v>563.63636363636363</v>
      </c>
      <c r="U49" s="80">
        <f t="shared" si="29"/>
        <v>602.27272727272725</v>
      </c>
      <c r="V49" s="80">
        <f t="shared" si="30"/>
        <v>3.0303030303032887</v>
      </c>
      <c r="W49" s="81">
        <f t="shared" si="31"/>
        <v>11.454545454545455</v>
      </c>
      <c r="X49" s="61">
        <v>1240000</v>
      </c>
      <c r="Y49" s="61">
        <v>1325000</v>
      </c>
      <c r="Z49" s="61">
        <v>2500</v>
      </c>
      <c r="AA49" s="228">
        <v>4.2000000000000003E-2</v>
      </c>
      <c r="AB49" s="60">
        <v>2446</v>
      </c>
      <c r="AC49" s="60">
        <v>2498</v>
      </c>
      <c r="AD49" s="60">
        <v>23800</v>
      </c>
      <c r="AE49" s="60">
        <v>3010</v>
      </c>
      <c r="AF49" s="66">
        <f t="shared" si="24"/>
        <v>45495.600000000006</v>
      </c>
      <c r="AG49" s="69">
        <f t="shared" si="25"/>
        <v>49647.75</v>
      </c>
      <c r="AH49" s="69">
        <f t="shared" si="26"/>
        <v>2380.0000000002028</v>
      </c>
      <c r="AI49" s="70">
        <f t="shared" si="27"/>
        <v>1137.78</v>
      </c>
      <c r="AJ49" s="66">
        <f>SUM(Tabla1[[#This Row],[COSTO OPERATIVO ACIDO]:[COSTO OPERATIVO OXIDANTE]])</f>
        <v>98661.130000000208</v>
      </c>
      <c r="AK49" s="64">
        <v>2500</v>
      </c>
      <c r="AL49" s="64">
        <f t="shared" si="12"/>
        <v>2989.7312121212185</v>
      </c>
    </row>
    <row r="50" spans="1:38" ht="15" thickBot="1" x14ac:dyDescent="0.35">
      <c r="A50" s="39">
        <f>A49+1</f>
        <v>46039</v>
      </c>
      <c r="B50" s="97">
        <f>DAY(Tabla1[[#This Row],[FECHA]])</f>
        <v>17</v>
      </c>
      <c r="C50" s="82" t="s">
        <v>18</v>
      </c>
      <c r="D50" s="89">
        <v>1</v>
      </c>
      <c r="E50" s="89" t="s">
        <v>46</v>
      </c>
      <c r="F50" s="217">
        <v>1307</v>
      </c>
      <c r="G50" s="218">
        <v>1749</v>
      </c>
      <c r="H50" s="230">
        <v>93.3</v>
      </c>
      <c r="I50" s="218">
        <v>0</v>
      </c>
      <c r="J50" s="217">
        <v>92581</v>
      </c>
      <c r="K50" s="226">
        <v>0</v>
      </c>
      <c r="L50" s="219">
        <f t="shared" si="13"/>
        <v>0</v>
      </c>
      <c r="M50" s="219">
        <f t="shared" si="0"/>
        <v>0</v>
      </c>
      <c r="N50" s="255">
        <f t="shared" si="14"/>
        <v>0</v>
      </c>
      <c r="O50" s="73">
        <f>Tabla1[[#This Row],[CONSUMO SOLUCIÓN OXIDANTE (L)]]</f>
        <v>0</v>
      </c>
      <c r="P50" s="71">
        <f t="shared" si="15"/>
        <v>0</v>
      </c>
      <c r="Q50" s="72">
        <f t="shared" si="16"/>
        <v>0</v>
      </c>
      <c r="R50" s="72">
        <f>Tabla1[[#This Row],[CONSUMO POL ANIONICO (KG)]]</f>
        <v>0</v>
      </c>
      <c r="S50" s="73">
        <f>Tabla1[[#This Row],[CONSUMO OXIDANTE SOLUCIÓN(L)]]*Tabla1[[#This Row],[DENSIDAD OXIDANTE]]</f>
        <v>0</v>
      </c>
      <c r="T50" s="71" t="e">
        <f t="shared" si="28"/>
        <v>#DIV/0!</v>
      </c>
      <c r="U50" s="72" t="e">
        <f t="shared" si="29"/>
        <v>#DIV/0!</v>
      </c>
      <c r="V50" s="72" t="e">
        <f t="shared" si="30"/>
        <v>#DIV/0!</v>
      </c>
      <c r="W50" s="73" t="e">
        <f t="shared" si="31"/>
        <v>#DIV/0!</v>
      </c>
      <c r="X50" s="61">
        <v>1240000</v>
      </c>
      <c r="Y50" s="61">
        <v>1325000</v>
      </c>
      <c r="Z50" s="61">
        <v>2500</v>
      </c>
      <c r="AA50" s="228">
        <v>4.2000000000000003E-2</v>
      </c>
      <c r="AB50" s="60">
        <v>2446</v>
      </c>
      <c r="AC50" s="60">
        <v>2498</v>
      </c>
      <c r="AD50" s="60">
        <v>23800</v>
      </c>
      <c r="AE50" s="60">
        <v>3010</v>
      </c>
      <c r="AF50" s="63">
        <f t="shared" si="24"/>
        <v>0</v>
      </c>
      <c r="AG50" s="64">
        <f t="shared" si="25"/>
        <v>0</v>
      </c>
      <c r="AH50" s="64">
        <f t="shared" si="26"/>
        <v>0</v>
      </c>
      <c r="AI50" s="65">
        <f t="shared" si="27"/>
        <v>0</v>
      </c>
      <c r="AJ50" s="63">
        <f>SUM(Tabla1[[#This Row],[COSTO OPERATIVO ACIDO]:[COSTO OPERATIVO OXIDANTE]])</f>
        <v>0</v>
      </c>
      <c r="AK50" s="64">
        <v>2500</v>
      </c>
      <c r="AL50" s="64" t="e">
        <f t="shared" si="12"/>
        <v>#DIV/0!</v>
      </c>
    </row>
    <row r="51" spans="1:38" ht="15" thickBot="1" x14ac:dyDescent="0.35">
      <c r="A51" s="40">
        <f>A50</f>
        <v>46039</v>
      </c>
      <c r="B51" s="97">
        <f>DAY(Tabla1[[#This Row],[FECHA]])</f>
        <v>17</v>
      </c>
      <c r="C51" s="83" t="s">
        <v>19</v>
      </c>
      <c r="D51" s="90">
        <v>2</v>
      </c>
      <c r="E51" s="90" t="s">
        <v>48</v>
      </c>
      <c r="F51" s="222">
        <v>1307</v>
      </c>
      <c r="G51" s="223">
        <v>1749</v>
      </c>
      <c r="H51" s="231">
        <v>93.3</v>
      </c>
      <c r="I51" s="223">
        <v>0</v>
      </c>
      <c r="J51" s="222">
        <v>92581</v>
      </c>
      <c r="K51" s="226">
        <v>0</v>
      </c>
      <c r="L51" s="220">
        <f t="shared" si="13"/>
        <v>0</v>
      </c>
      <c r="M51" s="220">
        <f t="shared" si="0"/>
        <v>0</v>
      </c>
      <c r="N51" s="256">
        <f t="shared" si="14"/>
        <v>0</v>
      </c>
      <c r="O51" s="78">
        <f>Tabla1[[#This Row],[CONSUMO SOLUCIÓN OXIDANTE (L)]]</f>
        <v>0</v>
      </c>
      <c r="P51" s="76">
        <f t="shared" si="15"/>
        <v>0</v>
      </c>
      <c r="Q51" s="77">
        <f t="shared" si="16"/>
        <v>0</v>
      </c>
      <c r="R51" s="77">
        <f>Tabla1[[#This Row],[CONSUMO POL ANIONICO (KG)]]</f>
        <v>0</v>
      </c>
      <c r="S51" s="78">
        <f>Tabla1[[#This Row],[CONSUMO OXIDANTE SOLUCIÓN(L)]]*Tabla1[[#This Row],[DENSIDAD OXIDANTE]]</f>
        <v>0</v>
      </c>
      <c r="T51" s="76" t="e">
        <f t="shared" si="28"/>
        <v>#DIV/0!</v>
      </c>
      <c r="U51" s="77" t="e">
        <f t="shared" si="29"/>
        <v>#DIV/0!</v>
      </c>
      <c r="V51" s="77" t="e">
        <f t="shared" si="30"/>
        <v>#DIV/0!</v>
      </c>
      <c r="W51" s="78" t="e">
        <f t="shared" si="31"/>
        <v>#DIV/0!</v>
      </c>
      <c r="X51" s="61">
        <v>1240000</v>
      </c>
      <c r="Y51" s="61">
        <v>1325000</v>
      </c>
      <c r="Z51" s="61">
        <v>2500</v>
      </c>
      <c r="AA51" s="228">
        <v>4.2000000000000003E-2</v>
      </c>
      <c r="AB51" s="60">
        <v>2446</v>
      </c>
      <c r="AC51" s="60">
        <v>2498</v>
      </c>
      <c r="AD51" s="60">
        <v>23800</v>
      </c>
      <c r="AE51" s="60">
        <v>3010</v>
      </c>
      <c r="AF51" s="66">
        <f t="shared" si="24"/>
        <v>0</v>
      </c>
      <c r="AG51" s="67">
        <f t="shared" si="25"/>
        <v>0</v>
      </c>
      <c r="AH51" s="67">
        <f t="shared" si="26"/>
        <v>0</v>
      </c>
      <c r="AI51" s="68">
        <f t="shared" si="27"/>
        <v>0</v>
      </c>
      <c r="AJ51" s="66">
        <f>SUM(Tabla1[[#This Row],[COSTO OPERATIVO ACIDO]:[COSTO OPERATIVO OXIDANTE]])</f>
        <v>0</v>
      </c>
      <c r="AK51" s="64">
        <v>2500</v>
      </c>
      <c r="AL51" s="64" t="e">
        <f t="shared" si="12"/>
        <v>#DIV/0!</v>
      </c>
    </row>
    <row r="52" spans="1:38" ht="15" thickBot="1" x14ac:dyDescent="0.35">
      <c r="A52" s="41">
        <f>A51</f>
        <v>46039</v>
      </c>
      <c r="B52" s="98">
        <f>DAY(Tabla1[[#This Row],[FECHA]])</f>
        <v>17</v>
      </c>
      <c r="C52" s="84" t="s">
        <v>20</v>
      </c>
      <c r="D52" s="91">
        <v>3</v>
      </c>
      <c r="E52" s="91" t="s">
        <v>47</v>
      </c>
      <c r="F52" s="222">
        <v>1307</v>
      </c>
      <c r="G52" s="223">
        <v>1749</v>
      </c>
      <c r="H52" s="231">
        <v>93.3</v>
      </c>
      <c r="I52" s="223">
        <v>0</v>
      </c>
      <c r="J52" s="259">
        <v>92581</v>
      </c>
      <c r="K52" s="226">
        <v>0</v>
      </c>
      <c r="L52" s="221">
        <f t="shared" si="13"/>
        <v>0</v>
      </c>
      <c r="M52" s="221">
        <f t="shared" si="23"/>
        <v>0</v>
      </c>
      <c r="N52" s="254">
        <f t="shared" si="14"/>
        <v>0</v>
      </c>
      <c r="O52" s="81">
        <f>Tabla1[[#This Row],[CONSUMO SOLUCIÓN OXIDANTE (L)]]</f>
        <v>0</v>
      </c>
      <c r="P52" s="76">
        <f t="shared" si="15"/>
        <v>0</v>
      </c>
      <c r="Q52" s="80">
        <f t="shared" si="16"/>
        <v>0</v>
      </c>
      <c r="R52" s="80">
        <f>Tabla1[[#This Row],[CONSUMO POL ANIONICO (KG)]]</f>
        <v>0</v>
      </c>
      <c r="S52" s="81">
        <f>Tabla1[[#This Row],[CONSUMO OXIDANTE SOLUCIÓN(L)]]*Tabla1[[#This Row],[DENSIDAD OXIDANTE]]</f>
        <v>0</v>
      </c>
      <c r="T52" s="76" t="e">
        <f t="shared" si="28"/>
        <v>#DIV/0!</v>
      </c>
      <c r="U52" s="80" t="e">
        <f t="shared" si="29"/>
        <v>#DIV/0!</v>
      </c>
      <c r="V52" s="80" t="e">
        <f t="shared" si="30"/>
        <v>#DIV/0!</v>
      </c>
      <c r="W52" s="81" t="e">
        <f t="shared" si="31"/>
        <v>#DIV/0!</v>
      </c>
      <c r="X52" s="61">
        <v>1240000</v>
      </c>
      <c r="Y52" s="61">
        <v>1325000</v>
      </c>
      <c r="Z52" s="61">
        <v>2500</v>
      </c>
      <c r="AA52" s="228">
        <v>4.2000000000000003E-2</v>
      </c>
      <c r="AB52" s="60">
        <v>2446</v>
      </c>
      <c r="AC52" s="60">
        <v>2498</v>
      </c>
      <c r="AD52" s="60">
        <v>23800</v>
      </c>
      <c r="AE52" s="60">
        <v>3010</v>
      </c>
      <c r="AF52" s="66">
        <f t="shared" si="24"/>
        <v>0</v>
      </c>
      <c r="AG52" s="69">
        <f t="shared" si="25"/>
        <v>0</v>
      </c>
      <c r="AH52" s="69">
        <f t="shared" si="26"/>
        <v>0</v>
      </c>
      <c r="AI52" s="70">
        <f t="shared" si="27"/>
        <v>0</v>
      </c>
      <c r="AJ52" s="66">
        <f>SUM(Tabla1[[#This Row],[COSTO OPERATIVO ACIDO]:[COSTO OPERATIVO OXIDANTE]])</f>
        <v>0</v>
      </c>
      <c r="AK52" s="64">
        <v>2500</v>
      </c>
      <c r="AL52" s="64" t="e">
        <f t="shared" si="12"/>
        <v>#DIV/0!</v>
      </c>
    </row>
    <row r="53" spans="1:38" ht="15" thickBot="1" x14ac:dyDescent="0.35">
      <c r="A53" s="39">
        <f>A52+1</f>
        <v>46040</v>
      </c>
      <c r="B53" s="97">
        <f>DAY(Tabla1[[#This Row],[FECHA]])</f>
        <v>18</v>
      </c>
      <c r="C53" s="74" t="s">
        <v>18</v>
      </c>
      <c r="D53" s="89">
        <v>1</v>
      </c>
      <c r="E53" s="89" t="s">
        <v>46</v>
      </c>
      <c r="F53" s="217">
        <v>1307</v>
      </c>
      <c r="G53" s="218">
        <v>1749</v>
      </c>
      <c r="H53" s="230">
        <v>93.3</v>
      </c>
      <c r="I53" s="218">
        <v>0</v>
      </c>
      <c r="J53" s="217">
        <v>92581</v>
      </c>
      <c r="K53" s="226">
        <v>0</v>
      </c>
      <c r="L53" s="219">
        <f t="shared" si="13"/>
        <v>0</v>
      </c>
      <c r="M53" s="219">
        <f t="shared" si="23"/>
        <v>0</v>
      </c>
      <c r="N53" s="255">
        <f t="shared" si="14"/>
        <v>0</v>
      </c>
      <c r="O53" s="73">
        <f>Tabla1[[#This Row],[CONSUMO SOLUCIÓN OXIDANTE (L)]]</f>
        <v>0</v>
      </c>
      <c r="P53" s="71">
        <f t="shared" si="15"/>
        <v>0</v>
      </c>
      <c r="Q53" s="72">
        <f t="shared" si="16"/>
        <v>0</v>
      </c>
      <c r="R53" s="72">
        <f>Tabla1[[#This Row],[CONSUMO POL ANIONICO (KG)]]</f>
        <v>0</v>
      </c>
      <c r="S53" s="73">
        <f>Tabla1[[#This Row],[CONSUMO OXIDANTE SOLUCIÓN(L)]]*Tabla1[[#This Row],[DENSIDAD OXIDANTE]]</f>
        <v>0</v>
      </c>
      <c r="T53" s="71" t="e">
        <f t="shared" si="28"/>
        <v>#DIV/0!</v>
      </c>
      <c r="U53" s="72" t="e">
        <f t="shared" si="29"/>
        <v>#DIV/0!</v>
      </c>
      <c r="V53" s="72" t="e">
        <f t="shared" si="30"/>
        <v>#DIV/0!</v>
      </c>
      <c r="W53" s="73" t="e">
        <f t="shared" si="31"/>
        <v>#DIV/0!</v>
      </c>
      <c r="X53" s="61">
        <v>1240000</v>
      </c>
      <c r="Y53" s="61">
        <v>1325000</v>
      </c>
      <c r="Z53" s="61">
        <v>2500</v>
      </c>
      <c r="AA53" s="228">
        <v>4.2000000000000003E-2</v>
      </c>
      <c r="AB53" s="60">
        <v>2446</v>
      </c>
      <c r="AC53" s="60">
        <v>2498</v>
      </c>
      <c r="AD53" s="60">
        <v>23800</v>
      </c>
      <c r="AE53" s="60">
        <v>3010</v>
      </c>
      <c r="AF53" s="63">
        <f t="shared" si="24"/>
        <v>0</v>
      </c>
      <c r="AG53" s="64">
        <f t="shared" si="25"/>
        <v>0</v>
      </c>
      <c r="AH53" s="64">
        <f t="shared" si="26"/>
        <v>0</v>
      </c>
      <c r="AI53" s="65">
        <f t="shared" si="27"/>
        <v>0</v>
      </c>
      <c r="AJ53" s="63">
        <f>SUM(Tabla1[[#This Row],[COSTO OPERATIVO ACIDO]:[COSTO OPERATIVO OXIDANTE]])</f>
        <v>0</v>
      </c>
      <c r="AK53" s="64">
        <v>2500</v>
      </c>
      <c r="AL53" s="64" t="e">
        <f t="shared" si="12"/>
        <v>#DIV/0!</v>
      </c>
    </row>
    <row r="54" spans="1:38" ht="15" thickBot="1" x14ac:dyDescent="0.35">
      <c r="A54" s="40">
        <f>A53</f>
        <v>46040</v>
      </c>
      <c r="B54" s="97">
        <f>DAY(Tabla1[[#This Row],[FECHA]])</f>
        <v>18</v>
      </c>
      <c r="C54" s="75" t="s">
        <v>19</v>
      </c>
      <c r="D54" s="90">
        <v>2</v>
      </c>
      <c r="E54" s="90" t="s">
        <v>48</v>
      </c>
      <c r="F54" s="222">
        <v>1307</v>
      </c>
      <c r="G54" s="223">
        <v>1749</v>
      </c>
      <c r="H54" s="231">
        <v>93.3</v>
      </c>
      <c r="I54" s="223">
        <v>0</v>
      </c>
      <c r="J54" s="222">
        <v>92581</v>
      </c>
      <c r="K54" s="226">
        <v>0</v>
      </c>
      <c r="L54" s="220">
        <f>F54-F55</f>
        <v>0</v>
      </c>
      <c r="M54" s="220">
        <f t="shared" si="23"/>
        <v>0</v>
      </c>
      <c r="N54" s="256">
        <f t="shared" si="14"/>
        <v>0</v>
      </c>
      <c r="O54" s="78">
        <f>Tabla1[[#This Row],[CONSUMO SOLUCIÓN OXIDANTE (L)]]</f>
        <v>0</v>
      </c>
      <c r="P54" s="76">
        <f t="shared" si="15"/>
        <v>0</v>
      </c>
      <c r="Q54" s="77">
        <f t="shared" si="16"/>
        <v>0</v>
      </c>
      <c r="R54" s="77">
        <f>Tabla1[[#This Row],[CONSUMO POL ANIONICO (KG)]]</f>
        <v>0</v>
      </c>
      <c r="S54" s="78">
        <f>Tabla1[[#This Row],[CONSUMO OXIDANTE SOLUCIÓN(L)]]*Tabla1[[#This Row],[DENSIDAD OXIDANTE]]</f>
        <v>0</v>
      </c>
      <c r="T54" s="76" t="e">
        <f t="shared" si="28"/>
        <v>#DIV/0!</v>
      </c>
      <c r="U54" s="77" t="e">
        <f t="shared" si="29"/>
        <v>#DIV/0!</v>
      </c>
      <c r="V54" s="77" t="e">
        <f t="shared" si="30"/>
        <v>#DIV/0!</v>
      </c>
      <c r="W54" s="78" t="e">
        <f t="shared" si="31"/>
        <v>#DIV/0!</v>
      </c>
      <c r="X54" s="61">
        <v>1240000</v>
      </c>
      <c r="Y54" s="61">
        <v>1325000</v>
      </c>
      <c r="Z54" s="61">
        <v>2500</v>
      </c>
      <c r="AA54" s="228">
        <v>4.2000000000000003E-2</v>
      </c>
      <c r="AB54" s="60">
        <v>2446</v>
      </c>
      <c r="AC54" s="60">
        <v>2498</v>
      </c>
      <c r="AD54" s="60">
        <v>23800</v>
      </c>
      <c r="AE54" s="60">
        <v>3010</v>
      </c>
      <c r="AF54" s="66">
        <f t="shared" si="24"/>
        <v>0</v>
      </c>
      <c r="AG54" s="67">
        <f t="shared" si="25"/>
        <v>0</v>
      </c>
      <c r="AH54" s="67">
        <f t="shared" si="26"/>
        <v>0</v>
      </c>
      <c r="AI54" s="68">
        <f t="shared" si="27"/>
        <v>0</v>
      </c>
      <c r="AJ54" s="66">
        <f>SUM(Tabla1[[#This Row],[COSTO OPERATIVO ACIDO]:[COSTO OPERATIVO OXIDANTE]])</f>
        <v>0</v>
      </c>
      <c r="AK54" s="64">
        <v>2500</v>
      </c>
      <c r="AL54" s="64" t="e">
        <f t="shared" si="12"/>
        <v>#DIV/0!</v>
      </c>
    </row>
    <row r="55" spans="1:38" ht="15" thickBot="1" x14ac:dyDescent="0.35">
      <c r="A55" s="41">
        <f>A54</f>
        <v>46040</v>
      </c>
      <c r="B55" s="98">
        <f>DAY(Tabla1[[#This Row],[FECHA]])</f>
        <v>18</v>
      </c>
      <c r="C55" s="79" t="s">
        <v>20</v>
      </c>
      <c r="D55" s="91">
        <v>3</v>
      </c>
      <c r="E55" s="91" t="s">
        <v>47</v>
      </c>
      <c r="F55" s="222">
        <v>1307</v>
      </c>
      <c r="G55" s="223">
        <v>1749</v>
      </c>
      <c r="H55" s="231">
        <v>93.3</v>
      </c>
      <c r="I55" s="223">
        <v>0</v>
      </c>
      <c r="J55" s="259">
        <v>92581</v>
      </c>
      <c r="K55" s="226">
        <v>0</v>
      </c>
      <c r="L55" s="221">
        <f>F55-F56</f>
        <v>0</v>
      </c>
      <c r="M55" s="221">
        <f t="shared" si="23"/>
        <v>0</v>
      </c>
      <c r="N55" s="254">
        <f t="shared" si="14"/>
        <v>0</v>
      </c>
      <c r="O55" s="81">
        <f>Tabla1[[#This Row],[CONSUMO SOLUCIÓN OXIDANTE (L)]]</f>
        <v>0</v>
      </c>
      <c r="P55" s="76">
        <f t="shared" si="15"/>
        <v>0</v>
      </c>
      <c r="Q55" s="80">
        <f t="shared" si="16"/>
        <v>0</v>
      </c>
      <c r="R55" s="80">
        <f>Tabla1[[#This Row],[CONSUMO POL ANIONICO (KG)]]</f>
        <v>0</v>
      </c>
      <c r="S55" s="81">
        <f>Tabla1[[#This Row],[CONSUMO OXIDANTE SOLUCIÓN(L)]]*Tabla1[[#This Row],[DENSIDAD OXIDANTE]]</f>
        <v>0</v>
      </c>
      <c r="T55" s="76" t="e">
        <f t="shared" si="28"/>
        <v>#DIV/0!</v>
      </c>
      <c r="U55" s="80" t="e">
        <f t="shared" si="29"/>
        <v>#DIV/0!</v>
      </c>
      <c r="V55" s="80" t="e">
        <f t="shared" si="30"/>
        <v>#DIV/0!</v>
      </c>
      <c r="W55" s="81" t="e">
        <f t="shared" si="31"/>
        <v>#DIV/0!</v>
      </c>
      <c r="X55" s="61">
        <v>1240000</v>
      </c>
      <c r="Y55" s="61">
        <v>1325000</v>
      </c>
      <c r="Z55" s="61">
        <v>2500</v>
      </c>
      <c r="AA55" s="228">
        <v>4.2000000000000003E-2</v>
      </c>
      <c r="AB55" s="60">
        <v>2446</v>
      </c>
      <c r="AC55" s="60">
        <v>2498</v>
      </c>
      <c r="AD55" s="60">
        <v>23800</v>
      </c>
      <c r="AE55" s="60">
        <v>3010</v>
      </c>
      <c r="AF55" s="66">
        <f t="shared" si="24"/>
        <v>0</v>
      </c>
      <c r="AG55" s="69">
        <f t="shared" si="25"/>
        <v>0</v>
      </c>
      <c r="AH55" s="69">
        <f t="shared" si="26"/>
        <v>0</v>
      </c>
      <c r="AI55" s="70">
        <f t="shared" si="27"/>
        <v>0</v>
      </c>
      <c r="AJ55" s="66">
        <f>SUM(Tabla1[[#This Row],[COSTO OPERATIVO ACIDO]:[COSTO OPERATIVO OXIDANTE]])</f>
        <v>0</v>
      </c>
      <c r="AK55" s="64">
        <v>2500</v>
      </c>
      <c r="AL55" s="64" t="e">
        <f t="shared" si="12"/>
        <v>#DIV/0!</v>
      </c>
    </row>
    <row r="56" spans="1:38" ht="15" thickBot="1" x14ac:dyDescent="0.35">
      <c r="A56" s="39">
        <f>A55+1</f>
        <v>46041</v>
      </c>
      <c r="B56" s="97">
        <f>DAY(Tabla1[[#This Row],[FECHA]])</f>
        <v>19</v>
      </c>
      <c r="C56" s="74" t="s">
        <v>18</v>
      </c>
      <c r="D56" s="89">
        <v>1</v>
      </c>
      <c r="E56" s="89" t="s">
        <v>46</v>
      </c>
      <c r="F56" s="217">
        <v>1307</v>
      </c>
      <c r="G56" s="218">
        <v>1749</v>
      </c>
      <c r="H56" s="230">
        <v>93.3</v>
      </c>
      <c r="I56" s="218">
        <v>0</v>
      </c>
      <c r="J56" s="217">
        <v>92581</v>
      </c>
      <c r="K56" s="226">
        <v>0</v>
      </c>
      <c r="L56" s="219">
        <f t="shared" si="13"/>
        <v>0</v>
      </c>
      <c r="M56" s="219">
        <f t="shared" si="23"/>
        <v>0</v>
      </c>
      <c r="N56" s="255">
        <f t="shared" si="14"/>
        <v>0</v>
      </c>
      <c r="O56" s="73">
        <f>Tabla1[[#This Row],[CONSUMO SOLUCIÓN OXIDANTE (L)]]</f>
        <v>0</v>
      </c>
      <c r="P56" s="71">
        <f t="shared" si="15"/>
        <v>0</v>
      </c>
      <c r="Q56" s="72">
        <f t="shared" si="16"/>
        <v>0</v>
      </c>
      <c r="R56" s="72">
        <f>Tabla1[[#This Row],[CONSUMO POL ANIONICO (KG)]]</f>
        <v>0</v>
      </c>
      <c r="S56" s="73">
        <f>Tabla1[[#This Row],[CONSUMO OXIDANTE SOLUCIÓN(L)]]*Tabla1[[#This Row],[DENSIDAD OXIDANTE]]</f>
        <v>0</v>
      </c>
      <c r="T56" s="71" t="e">
        <f t="shared" si="28"/>
        <v>#DIV/0!</v>
      </c>
      <c r="U56" s="72" t="e">
        <f t="shared" si="29"/>
        <v>#DIV/0!</v>
      </c>
      <c r="V56" s="72" t="e">
        <f t="shared" si="30"/>
        <v>#DIV/0!</v>
      </c>
      <c r="W56" s="73" t="e">
        <f t="shared" si="31"/>
        <v>#DIV/0!</v>
      </c>
      <c r="X56" s="61">
        <v>1240000</v>
      </c>
      <c r="Y56" s="61">
        <v>1325000</v>
      </c>
      <c r="Z56" s="61">
        <v>2500</v>
      </c>
      <c r="AA56" s="228">
        <v>4.2000000000000003E-2</v>
      </c>
      <c r="AB56" s="60">
        <v>2446</v>
      </c>
      <c r="AC56" s="60">
        <v>2498</v>
      </c>
      <c r="AD56" s="60">
        <v>23800</v>
      </c>
      <c r="AE56" s="60">
        <v>3010</v>
      </c>
      <c r="AF56" s="63">
        <f t="shared" si="24"/>
        <v>0</v>
      </c>
      <c r="AG56" s="64">
        <f t="shared" si="25"/>
        <v>0</v>
      </c>
      <c r="AH56" s="64">
        <f t="shared" si="26"/>
        <v>0</v>
      </c>
      <c r="AI56" s="65">
        <f t="shared" si="27"/>
        <v>0</v>
      </c>
      <c r="AJ56" s="63">
        <f>SUM(Tabla1[[#This Row],[COSTO OPERATIVO ACIDO]:[COSTO OPERATIVO OXIDANTE]])</f>
        <v>0</v>
      </c>
      <c r="AK56" s="64">
        <v>2500</v>
      </c>
      <c r="AL56" s="64" t="e">
        <f t="shared" si="12"/>
        <v>#DIV/0!</v>
      </c>
    </row>
    <row r="57" spans="1:38" ht="15" thickBot="1" x14ac:dyDescent="0.35">
      <c r="A57" s="40">
        <f>A56</f>
        <v>46041</v>
      </c>
      <c r="B57" s="97">
        <f>DAY(Tabla1[[#This Row],[FECHA]])</f>
        <v>19</v>
      </c>
      <c r="C57" s="75" t="s">
        <v>19</v>
      </c>
      <c r="D57" s="90">
        <v>2</v>
      </c>
      <c r="E57" s="90" t="s">
        <v>48</v>
      </c>
      <c r="F57" s="222">
        <v>1307</v>
      </c>
      <c r="G57" s="223">
        <v>1749</v>
      </c>
      <c r="H57" s="231">
        <v>93.3</v>
      </c>
      <c r="I57" s="223">
        <v>0</v>
      </c>
      <c r="J57" s="222">
        <v>92581</v>
      </c>
      <c r="K57" s="226">
        <v>0</v>
      </c>
      <c r="L57" s="220">
        <f t="shared" si="13"/>
        <v>0</v>
      </c>
      <c r="M57" s="220">
        <f t="shared" si="23"/>
        <v>0</v>
      </c>
      <c r="N57" s="256">
        <f t="shared" si="14"/>
        <v>0</v>
      </c>
      <c r="O57" s="78">
        <f>Tabla1[[#This Row],[CONSUMO SOLUCIÓN OXIDANTE (L)]]</f>
        <v>0</v>
      </c>
      <c r="P57" s="76">
        <f t="shared" si="15"/>
        <v>0</v>
      </c>
      <c r="Q57" s="77">
        <f t="shared" si="16"/>
        <v>0</v>
      </c>
      <c r="R57" s="77">
        <f>Tabla1[[#This Row],[CONSUMO POL ANIONICO (KG)]]</f>
        <v>0</v>
      </c>
      <c r="S57" s="78">
        <f>Tabla1[[#This Row],[CONSUMO OXIDANTE SOLUCIÓN(L)]]*Tabla1[[#This Row],[DENSIDAD OXIDANTE]]</f>
        <v>0</v>
      </c>
      <c r="T57" s="76" t="e">
        <f t="shared" si="28"/>
        <v>#DIV/0!</v>
      </c>
      <c r="U57" s="77" t="e">
        <f t="shared" si="29"/>
        <v>#DIV/0!</v>
      </c>
      <c r="V57" s="77" t="e">
        <f t="shared" si="30"/>
        <v>#DIV/0!</v>
      </c>
      <c r="W57" s="78" t="e">
        <f t="shared" si="31"/>
        <v>#DIV/0!</v>
      </c>
      <c r="X57" s="61">
        <v>1240000</v>
      </c>
      <c r="Y57" s="61">
        <v>1325000</v>
      </c>
      <c r="Z57" s="61">
        <v>2500</v>
      </c>
      <c r="AA57" s="228">
        <v>4.2000000000000003E-2</v>
      </c>
      <c r="AB57" s="60">
        <v>2446</v>
      </c>
      <c r="AC57" s="60">
        <v>2498</v>
      </c>
      <c r="AD57" s="60">
        <v>23800</v>
      </c>
      <c r="AE57" s="60">
        <v>3010</v>
      </c>
      <c r="AF57" s="66">
        <f t="shared" si="24"/>
        <v>0</v>
      </c>
      <c r="AG57" s="67">
        <f t="shared" si="25"/>
        <v>0</v>
      </c>
      <c r="AH57" s="67">
        <f t="shared" si="26"/>
        <v>0</v>
      </c>
      <c r="AI57" s="68">
        <f t="shared" si="27"/>
        <v>0</v>
      </c>
      <c r="AJ57" s="66">
        <f>SUM(Tabla1[[#This Row],[COSTO OPERATIVO ACIDO]:[COSTO OPERATIVO OXIDANTE]])</f>
        <v>0</v>
      </c>
      <c r="AK57" s="64">
        <v>2500</v>
      </c>
      <c r="AL57" s="64" t="e">
        <f t="shared" si="12"/>
        <v>#DIV/0!</v>
      </c>
    </row>
    <row r="58" spans="1:38" ht="15" thickBot="1" x14ac:dyDescent="0.35">
      <c r="A58" s="41">
        <f>A57</f>
        <v>46041</v>
      </c>
      <c r="B58" s="98">
        <f>DAY(Tabla1[[#This Row],[FECHA]])</f>
        <v>19</v>
      </c>
      <c r="C58" s="79" t="s">
        <v>20</v>
      </c>
      <c r="D58" s="91">
        <v>3</v>
      </c>
      <c r="E58" s="91" t="s">
        <v>47</v>
      </c>
      <c r="F58" s="222">
        <v>1307</v>
      </c>
      <c r="G58" s="223">
        <v>1749</v>
      </c>
      <c r="H58" s="231">
        <v>93.3</v>
      </c>
      <c r="I58" s="223">
        <v>0</v>
      </c>
      <c r="J58" s="259">
        <v>92581</v>
      </c>
      <c r="K58" s="226">
        <v>0</v>
      </c>
      <c r="L58" s="221">
        <f>F58-F59</f>
        <v>0</v>
      </c>
      <c r="M58" s="221">
        <f t="shared" si="23"/>
        <v>0</v>
      </c>
      <c r="N58" s="254">
        <f t="shared" si="14"/>
        <v>0</v>
      </c>
      <c r="O58" s="81">
        <f>Tabla1[[#This Row],[CONSUMO SOLUCIÓN OXIDANTE (L)]]</f>
        <v>0</v>
      </c>
      <c r="P58" s="76">
        <f t="shared" si="15"/>
        <v>0</v>
      </c>
      <c r="Q58" s="80">
        <f t="shared" si="16"/>
        <v>0</v>
      </c>
      <c r="R58" s="80">
        <f>Tabla1[[#This Row],[CONSUMO POL ANIONICO (KG)]]</f>
        <v>0</v>
      </c>
      <c r="S58" s="81">
        <f>Tabla1[[#This Row],[CONSUMO OXIDANTE SOLUCIÓN(L)]]*Tabla1[[#This Row],[DENSIDAD OXIDANTE]]</f>
        <v>0</v>
      </c>
      <c r="T58" s="76" t="e">
        <f t="shared" si="28"/>
        <v>#DIV/0!</v>
      </c>
      <c r="U58" s="80" t="e">
        <f t="shared" si="29"/>
        <v>#DIV/0!</v>
      </c>
      <c r="V58" s="80" t="e">
        <f t="shared" si="30"/>
        <v>#DIV/0!</v>
      </c>
      <c r="W58" s="81" t="e">
        <f t="shared" si="31"/>
        <v>#DIV/0!</v>
      </c>
      <c r="X58" s="61">
        <v>1240000</v>
      </c>
      <c r="Y58" s="61">
        <v>1325000</v>
      </c>
      <c r="Z58" s="61">
        <v>2500</v>
      </c>
      <c r="AA58" s="228">
        <v>4.2000000000000003E-2</v>
      </c>
      <c r="AB58" s="60">
        <v>2446</v>
      </c>
      <c r="AC58" s="60">
        <v>2498</v>
      </c>
      <c r="AD58" s="60">
        <v>23800</v>
      </c>
      <c r="AE58" s="60">
        <v>3010</v>
      </c>
      <c r="AF58" s="66">
        <f t="shared" si="24"/>
        <v>0</v>
      </c>
      <c r="AG58" s="69">
        <f t="shared" si="25"/>
        <v>0</v>
      </c>
      <c r="AH58" s="69">
        <f t="shared" si="26"/>
        <v>0</v>
      </c>
      <c r="AI58" s="70">
        <f t="shared" si="27"/>
        <v>0</v>
      </c>
      <c r="AJ58" s="66">
        <f>SUM(Tabla1[[#This Row],[COSTO OPERATIVO ACIDO]:[COSTO OPERATIVO OXIDANTE]])</f>
        <v>0</v>
      </c>
      <c r="AK58" s="64">
        <v>2500</v>
      </c>
      <c r="AL58" s="64" t="e">
        <f t="shared" si="12"/>
        <v>#DIV/0!</v>
      </c>
    </row>
    <row r="59" spans="1:38" ht="15" thickBot="1" x14ac:dyDescent="0.35">
      <c r="A59" s="39">
        <f>A58+1</f>
        <v>46042</v>
      </c>
      <c r="B59" s="97">
        <f>DAY(Tabla1[[#This Row],[FECHA]])</f>
        <v>20</v>
      </c>
      <c r="C59" s="74" t="s">
        <v>18</v>
      </c>
      <c r="D59" s="89">
        <v>1</v>
      </c>
      <c r="E59" s="89" t="s">
        <v>46</v>
      </c>
      <c r="F59" s="217">
        <v>1307</v>
      </c>
      <c r="G59" s="218">
        <v>1749</v>
      </c>
      <c r="H59" s="230">
        <v>93.3</v>
      </c>
      <c r="I59" s="218">
        <v>0</v>
      </c>
      <c r="J59" s="217">
        <v>92581</v>
      </c>
      <c r="K59" s="226">
        <v>0</v>
      </c>
      <c r="L59" s="219">
        <f t="shared" si="13"/>
        <v>0</v>
      </c>
      <c r="M59" s="219">
        <f t="shared" si="23"/>
        <v>0</v>
      </c>
      <c r="N59" s="255">
        <f t="shared" si="14"/>
        <v>0</v>
      </c>
      <c r="O59" s="73">
        <f>Tabla1[[#This Row],[CONSUMO SOLUCIÓN OXIDANTE (L)]]</f>
        <v>0</v>
      </c>
      <c r="P59" s="71">
        <f t="shared" si="15"/>
        <v>0</v>
      </c>
      <c r="Q59" s="72">
        <f t="shared" si="16"/>
        <v>0</v>
      </c>
      <c r="R59" s="72">
        <f>Tabla1[[#This Row],[CONSUMO POL ANIONICO (KG)]]</f>
        <v>0</v>
      </c>
      <c r="S59" s="73">
        <f>Tabla1[[#This Row],[CONSUMO OXIDANTE SOLUCIÓN(L)]]*Tabla1[[#This Row],[DENSIDAD OXIDANTE]]</f>
        <v>0</v>
      </c>
      <c r="T59" s="71" t="e">
        <f t="shared" si="28"/>
        <v>#DIV/0!</v>
      </c>
      <c r="U59" s="72" t="e">
        <f t="shared" si="29"/>
        <v>#DIV/0!</v>
      </c>
      <c r="V59" s="72" t="e">
        <f t="shared" si="30"/>
        <v>#DIV/0!</v>
      </c>
      <c r="W59" s="73" t="e">
        <f t="shared" si="31"/>
        <v>#DIV/0!</v>
      </c>
      <c r="X59" s="61">
        <v>1240000</v>
      </c>
      <c r="Y59" s="61">
        <v>1325000</v>
      </c>
      <c r="Z59" s="61">
        <v>2500</v>
      </c>
      <c r="AA59" s="228">
        <v>4.2000000000000003E-2</v>
      </c>
      <c r="AB59" s="60">
        <v>2446</v>
      </c>
      <c r="AC59" s="60">
        <v>2498</v>
      </c>
      <c r="AD59" s="60">
        <v>23800</v>
      </c>
      <c r="AE59" s="60">
        <v>3010</v>
      </c>
      <c r="AF59" s="63">
        <f t="shared" si="24"/>
        <v>0</v>
      </c>
      <c r="AG59" s="64">
        <f t="shared" si="25"/>
        <v>0</v>
      </c>
      <c r="AH59" s="64">
        <f t="shared" si="26"/>
        <v>0</v>
      </c>
      <c r="AI59" s="65">
        <f t="shared" si="27"/>
        <v>0</v>
      </c>
      <c r="AJ59" s="63">
        <f>SUM(Tabla1[[#This Row],[COSTO OPERATIVO ACIDO]:[COSTO OPERATIVO OXIDANTE]])</f>
        <v>0</v>
      </c>
      <c r="AK59" s="64">
        <v>2500</v>
      </c>
      <c r="AL59" s="64" t="e">
        <f t="shared" si="12"/>
        <v>#DIV/0!</v>
      </c>
    </row>
    <row r="60" spans="1:38" ht="15" thickBot="1" x14ac:dyDescent="0.35">
      <c r="A60" s="40">
        <f>A59</f>
        <v>46042</v>
      </c>
      <c r="B60" s="97">
        <f>DAY(Tabla1[[#This Row],[FECHA]])</f>
        <v>20</v>
      </c>
      <c r="C60" s="75" t="s">
        <v>19</v>
      </c>
      <c r="D60" s="90">
        <v>2</v>
      </c>
      <c r="E60" s="90" t="s">
        <v>48</v>
      </c>
      <c r="F60" s="222">
        <v>1307</v>
      </c>
      <c r="G60" s="223">
        <v>1749</v>
      </c>
      <c r="H60" s="231">
        <v>93.3</v>
      </c>
      <c r="I60" s="223">
        <v>0</v>
      </c>
      <c r="J60" s="222">
        <v>92581</v>
      </c>
      <c r="K60" s="226">
        <v>0</v>
      </c>
      <c r="L60" s="220">
        <f t="shared" si="13"/>
        <v>0</v>
      </c>
      <c r="M60" s="220">
        <f t="shared" si="23"/>
        <v>0</v>
      </c>
      <c r="N60" s="256">
        <f t="shared" si="14"/>
        <v>0</v>
      </c>
      <c r="O60" s="78">
        <f>Tabla1[[#This Row],[CONSUMO SOLUCIÓN OXIDANTE (L)]]</f>
        <v>0</v>
      </c>
      <c r="P60" s="76">
        <f t="shared" si="15"/>
        <v>0</v>
      </c>
      <c r="Q60" s="77">
        <f t="shared" si="16"/>
        <v>0</v>
      </c>
      <c r="R60" s="77">
        <f>Tabla1[[#This Row],[CONSUMO POL ANIONICO (KG)]]</f>
        <v>0</v>
      </c>
      <c r="S60" s="78">
        <f>Tabla1[[#This Row],[CONSUMO OXIDANTE SOLUCIÓN(L)]]*Tabla1[[#This Row],[DENSIDAD OXIDANTE]]</f>
        <v>0</v>
      </c>
      <c r="T60" s="76" t="e">
        <f t="shared" si="28"/>
        <v>#DIV/0!</v>
      </c>
      <c r="U60" s="77" t="e">
        <f t="shared" si="29"/>
        <v>#DIV/0!</v>
      </c>
      <c r="V60" s="77" t="e">
        <f t="shared" si="30"/>
        <v>#DIV/0!</v>
      </c>
      <c r="W60" s="78" t="e">
        <f t="shared" si="31"/>
        <v>#DIV/0!</v>
      </c>
      <c r="X60" s="61">
        <v>1240000</v>
      </c>
      <c r="Y60" s="61">
        <v>1325000</v>
      </c>
      <c r="Z60" s="61">
        <v>2500</v>
      </c>
      <c r="AA60" s="228">
        <v>4.2000000000000003E-2</v>
      </c>
      <c r="AB60" s="60">
        <v>2446</v>
      </c>
      <c r="AC60" s="60">
        <v>2498</v>
      </c>
      <c r="AD60" s="60">
        <v>23800</v>
      </c>
      <c r="AE60" s="60">
        <v>3010</v>
      </c>
      <c r="AF60" s="66">
        <f t="shared" si="24"/>
        <v>0</v>
      </c>
      <c r="AG60" s="67">
        <f t="shared" si="25"/>
        <v>0</v>
      </c>
      <c r="AH60" s="67">
        <f t="shared" si="26"/>
        <v>0</v>
      </c>
      <c r="AI60" s="68">
        <f t="shared" si="27"/>
        <v>0</v>
      </c>
      <c r="AJ60" s="66">
        <f>SUM(Tabla1[[#This Row],[COSTO OPERATIVO ACIDO]:[COSTO OPERATIVO OXIDANTE]])</f>
        <v>0</v>
      </c>
      <c r="AK60" s="64">
        <v>2500</v>
      </c>
      <c r="AL60" s="64" t="e">
        <f t="shared" si="12"/>
        <v>#DIV/0!</v>
      </c>
    </row>
    <row r="61" spans="1:38" ht="15" thickBot="1" x14ac:dyDescent="0.35">
      <c r="A61" s="41">
        <f>A60</f>
        <v>46042</v>
      </c>
      <c r="B61" s="98">
        <f>DAY(Tabla1[[#This Row],[FECHA]])</f>
        <v>20</v>
      </c>
      <c r="C61" s="79" t="s">
        <v>20</v>
      </c>
      <c r="D61" s="91">
        <v>3</v>
      </c>
      <c r="E61" s="91" t="s">
        <v>47</v>
      </c>
      <c r="F61" s="222">
        <v>1307</v>
      </c>
      <c r="G61" s="223">
        <v>1749</v>
      </c>
      <c r="H61" s="231">
        <v>93.3</v>
      </c>
      <c r="I61" s="223">
        <v>0</v>
      </c>
      <c r="J61" s="259">
        <v>92581</v>
      </c>
      <c r="K61" s="226">
        <v>0</v>
      </c>
      <c r="L61" s="221">
        <f t="shared" si="13"/>
        <v>0</v>
      </c>
      <c r="M61" s="221">
        <f t="shared" si="23"/>
        <v>0</v>
      </c>
      <c r="N61" s="254">
        <f t="shared" si="14"/>
        <v>0</v>
      </c>
      <c r="O61" s="81">
        <f>Tabla1[[#This Row],[CONSUMO SOLUCIÓN OXIDANTE (L)]]</f>
        <v>0</v>
      </c>
      <c r="P61" s="76">
        <f t="shared" si="15"/>
        <v>0</v>
      </c>
      <c r="Q61" s="80">
        <f t="shared" si="16"/>
        <v>0</v>
      </c>
      <c r="R61" s="80">
        <f>Tabla1[[#This Row],[CONSUMO POL ANIONICO (KG)]]</f>
        <v>0</v>
      </c>
      <c r="S61" s="81">
        <f>Tabla1[[#This Row],[CONSUMO OXIDANTE SOLUCIÓN(L)]]*Tabla1[[#This Row],[DENSIDAD OXIDANTE]]</f>
        <v>0</v>
      </c>
      <c r="T61" s="76" t="e">
        <f t="shared" si="28"/>
        <v>#DIV/0!</v>
      </c>
      <c r="U61" s="80" t="e">
        <f t="shared" si="29"/>
        <v>#DIV/0!</v>
      </c>
      <c r="V61" s="80" t="e">
        <f t="shared" si="30"/>
        <v>#DIV/0!</v>
      </c>
      <c r="W61" s="81" t="e">
        <f t="shared" si="31"/>
        <v>#DIV/0!</v>
      </c>
      <c r="X61" s="61">
        <v>1240000</v>
      </c>
      <c r="Y61" s="61">
        <v>1325000</v>
      </c>
      <c r="Z61" s="61">
        <v>2500</v>
      </c>
      <c r="AA61" s="228">
        <v>4.2000000000000003E-2</v>
      </c>
      <c r="AB61" s="60">
        <v>2446</v>
      </c>
      <c r="AC61" s="60">
        <v>2498</v>
      </c>
      <c r="AD61" s="60">
        <v>23800</v>
      </c>
      <c r="AE61" s="60">
        <v>3010</v>
      </c>
      <c r="AF61" s="66">
        <f t="shared" si="24"/>
        <v>0</v>
      </c>
      <c r="AG61" s="69">
        <f t="shared" si="25"/>
        <v>0</v>
      </c>
      <c r="AH61" s="69">
        <f t="shared" si="26"/>
        <v>0</v>
      </c>
      <c r="AI61" s="70">
        <f t="shared" si="27"/>
        <v>0</v>
      </c>
      <c r="AJ61" s="66">
        <f>SUM(Tabla1[[#This Row],[COSTO OPERATIVO ACIDO]:[COSTO OPERATIVO OXIDANTE]])</f>
        <v>0</v>
      </c>
      <c r="AK61" s="64">
        <v>2500</v>
      </c>
      <c r="AL61" s="64" t="e">
        <f t="shared" si="12"/>
        <v>#DIV/0!</v>
      </c>
    </row>
    <row r="62" spans="1:38" ht="15" thickBot="1" x14ac:dyDescent="0.35">
      <c r="A62" s="39">
        <f>A61+1</f>
        <v>46043</v>
      </c>
      <c r="B62" s="97">
        <f>DAY(Tabla1[[#This Row],[FECHA]])</f>
        <v>21</v>
      </c>
      <c r="C62" s="74" t="s">
        <v>18</v>
      </c>
      <c r="D62" s="89">
        <v>1</v>
      </c>
      <c r="E62" s="89" t="s">
        <v>46</v>
      </c>
      <c r="F62" s="217">
        <v>1307</v>
      </c>
      <c r="G62" s="218">
        <v>1749</v>
      </c>
      <c r="H62" s="230">
        <v>93.3</v>
      </c>
      <c r="I62" s="218">
        <v>0</v>
      </c>
      <c r="J62" s="217">
        <v>92581</v>
      </c>
      <c r="K62" s="226">
        <v>0</v>
      </c>
      <c r="L62" s="219">
        <f>F62-F63</f>
        <v>0</v>
      </c>
      <c r="M62" s="219">
        <f t="shared" si="23"/>
        <v>0</v>
      </c>
      <c r="N62" s="255">
        <f t="shared" si="14"/>
        <v>0</v>
      </c>
      <c r="O62" s="73">
        <f>Tabla1[[#This Row],[CONSUMO SOLUCIÓN OXIDANTE (L)]]</f>
        <v>0</v>
      </c>
      <c r="P62" s="71">
        <f t="shared" si="15"/>
        <v>0</v>
      </c>
      <c r="Q62" s="72">
        <f t="shared" si="16"/>
        <v>0</v>
      </c>
      <c r="R62" s="72">
        <f>Tabla1[[#This Row],[CONSUMO POL ANIONICO (KG)]]</f>
        <v>0</v>
      </c>
      <c r="S62" s="73">
        <f>Tabla1[[#This Row],[CONSUMO OXIDANTE SOLUCIÓN(L)]]*Tabla1[[#This Row],[DENSIDAD OXIDANTE]]</f>
        <v>0</v>
      </c>
      <c r="T62" s="71" t="e">
        <f t="shared" si="28"/>
        <v>#DIV/0!</v>
      </c>
      <c r="U62" s="72" t="e">
        <f t="shared" si="29"/>
        <v>#DIV/0!</v>
      </c>
      <c r="V62" s="72" t="e">
        <f t="shared" si="30"/>
        <v>#DIV/0!</v>
      </c>
      <c r="W62" s="73" t="e">
        <f t="shared" si="31"/>
        <v>#DIV/0!</v>
      </c>
      <c r="X62" s="61">
        <v>1240000</v>
      </c>
      <c r="Y62" s="61">
        <v>1325000</v>
      </c>
      <c r="Z62" s="61">
        <v>2500</v>
      </c>
      <c r="AA62" s="228">
        <v>4.2000000000000003E-2</v>
      </c>
      <c r="AB62" s="60">
        <v>2446</v>
      </c>
      <c r="AC62" s="60">
        <v>2498</v>
      </c>
      <c r="AD62" s="60">
        <v>23800</v>
      </c>
      <c r="AE62" s="60">
        <v>3010</v>
      </c>
      <c r="AF62" s="63">
        <f t="shared" si="24"/>
        <v>0</v>
      </c>
      <c r="AG62" s="64">
        <f t="shared" si="25"/>
        <v>0</v>
      </c>
      <c r="AH62" s="64">
        <f t="shared" si="26"/>
        <v>0</v>
      </c>
      <c r="AI62" s="65">
        <f t="shared" si="27"/>
        <v>0</v>
      </c>
      <c r="AJ62" s="63">
        <f>SUM(Tabla1[[#This Row],[COSTO OPERATIVO ACIDO]:[COSTO OPERATIVO OXIDANTE]])</f>
        <v>0</v>
      </c>
      <c r="AK62" s="64">
        <v>2500</v>
      </c>
      <c r="AL62" s="64" t="e">
        <f t="shared" si="12"/>
        <v>#DIV/0!</v>
      </c>
    </row>
    <row r="63" spans="1:38" ht="15" thickBot="1" x14ac:dyDescent="0.35">
      <c r="A63" s="40">
        <f>A62</f>
        <v>46043</v>
      </c>
      <c r="B63" s="97">
        <f>DAY(Tabla1[[#This Row],[FECHA]])</f>
        <v>21</v>
      </c>
      <c r="C63" s="75" t="s">
        <v>19</v>
      </c>
      <c r="D63" s="90">
        <v>2</v>
      </c>
      <c r="E63" s="90" t="s">
        <v>48</v>
      </c>
      <c r="F63" s="222">
        <v>1307</v>
      </c>
      <c r="G63" s="223">
        <v>1749</v>
      </c>
      <c r="H63" s="231">
        <v>93.3</v>
      </c>
      <c r="I63" s="223">
        <v>0</v>
      </c>
      <c r="J63" s="222">
        <v>92581</v>
      </c>
      <c r="K63" s="226">
        <v>0</v>
      </c>
      <c r="L63" s="220">
        <f>F63-F64</f>
        <v>0</v>
      </c>
      <c r="M63" s="220">
        <f t="shared" si="23"/>
        <v>0</v>
      </c>
      <c r="N63" s="256">
        <f t="shared" si="14"/>
        <v>0</v>
      </c>
      <c r="O63" s="78">
        <f>Tabla1[[#This Row],[CONSUMO SOLUCIÓN OXIDANTE (L)]]</f>
        <v>0</v>
      </c>
      <c r="P63" s="76">
        <f t="shared" si="15"/>
        <v>0</v>
      </c>
      <c r="Q63" s="77">
        <f t="shared" si="16"/>
        <v>0</v>
      </c>
      <c r="R63" s="77">
        <f>Tabla1[[#This Row],[CONSUMO POL ANIONICO (KG)]]</f>
        <v>0</v>
      </c>
      <c r="S63" s="78">
        <f>Tabla1[[#This Row],[CONSUMO OXIDANTE SOLUCIÓN(L)]]*Tabla1[[#This Row],[DENSIDAD OXIDANTE]]</f>
        <v>0</v>
      </c>
      <c r="T63" s="76" t="e">
        <f t="shared" si="28"/>
        <v>#DIV/0!</v>
      </c>
      <c r="U63" s="77" t="e">
        <f t="shared" si="29"/>
        <v>#DIV/0!</v>
      </c>
      <c r="V63" s="77" t="e">
        <f t="shared" si="30"/>
        <v>#DIV/0!</v>
      </c>
      <c r="W63" s="78" t="e">
        <f t="shared" si="31"/>
        <v>#DIV/0!</v>
      </c>
      <c r="X63" s="61">
        <v>1240000</v>
      </c>
      <c r="Y63" s="61">
        <v>1325000</v>
      </c>
      <c r="Z63" s="61">
        <v>2500</v>
      </c>
      <c r="AA63" s="228">
        <v>4.2000000000000003E-2</v>
      </c>
      <c r="AB63" s="60">
        <v>2446</v>
      </c>
      <c r="AC63" s="60">
        <v>2498</v>
      </c>
      <c r="AD63" s="60">
        <v>23800</v>
      </c>
      <c r="AE63" s="60">
        <v>3010</v>
      </c>
      <c r="AF63" s="66">
        <f t="shared" si="24"/>
        <v>0</v>
      </c>
      <c r="AG63" s="67">
        <f t="shared" si="25"/>
        <v>0</v>
      </c>
      <c r="AH63" s="67">
        <f t="shared" si="26"/>
        <v>0</v>
      </c>
      <c r="AI63" s="68">
        <f t="shared" si="27"/>
        <v>0</v>
      </c>
      <c r="AJ63" s="66">
        <f>SUM(Tabla1[[#This Row],[COSTO OPERATIVO ACIDO]:[COSTO OPERATIVO OXIDANTE]])</f>
        <v>0</v>
      </c>
      <c r="AK63" s="64">
        <v>2500</v>
      </c>
      <c r="AL63" s="64" t="e">
        <f t="shared" si="12"/>
        <v>#DIV/0!</v>
      </c>
    </row>
    <row r="64" spans="1:38" ht="15" thickBot="1" x14ac:dyDescent="0.35">
      <c r="A64" s="41">
        <f>A63</f>
        <v>46043</v>
      </c>
      <c r="B64" s="98">
        <f>DAY(Tabla1[[#This Row],[FECHA]])</f>
        <v>21</v>
      </c>
      <c r="C64" s="79" t="s">
        <v>20</v>
      </c>
      <c r="D64" s="91">
        <v>3</v>
      </c>
      <c r="E64" s="91" t="s">
        <v>47</v>
      </c>
      <c r="F64" s="222">
        <v>1307</v>
      </c>
      <c r="G64" s="223">
        <v>1749</v>
      </c>
      <c r="H64" s="231">
        <v>93.3</v>
      </c>
      <c r="I64" s="223">
        <v>24</v>
      </c>
      <c r="J64" s="259">
        <v>92666</v>
      </c>
      <c r="K64" s="226">
        <v>85</v>
      </c>
      <c r="L64" s="221">
        <f>F64-F65</f>
        <v>29</v>
      </c>
      <c r="M64" s="221">
        <f t="shared" si="23"/>
        <v>36</v>
      </c>
      <c r="N64" s="254">
        <f t="shared" si="14"/>
        <v>0.20000000000000284</v>
      </c>
      <c r="O64" s="81">
        <f>Tabla1[[#This Row],[CONSUMO SOLUCIÓN OXIDANTE (L)]]</f>
        <v>24</v>
      </c>
      <c r="P64" s="76">
        <f t="shared" si="15"/>
        <v>35.96</v>
      </c>
      <c r="Q64" s="80">
        <f t="shared" si="16"/>
        <v>47.7</v>
      </c>
      <c r="R64" s="80">
        <f>Tabla1[[#This Row],[CONSUMO POL ANIONICO (KG)]]</f>
        <v>0.20000000000000284</v>
      </c>
      <c r="S64" s="81">
        <f>Tabla1[[#This Row],[CONSUMO OXIDANTE SOLUCIÓN(L)]]*Tabla1[[#This Row],[DENSIDAD OXIDANTE]]</f>
        <v>1.008</v>
      </c>
      <c r="T64" s="76">
        <f t="shared" si="28"/>
        <v>423.05882352941177</v>
      </c>
      <c r="U64" s="80">
        <f t="shared" si="29"/>
        <v>561.17647058823525</v>
      </c>
      <c r="V64" s="80">
        <f t="shared" si="30"/>
        <v>2.3529411764706216</v>
      </c>
      <c r="W64" s="81">
        <f t="shared" si="31"/>
        <v>11.858823529411765</v>
      </c>
      <c r="X64" s="61">
        <v>1240000</v>
      </c>
      <c r="Y64" s="61">
        <v>1325000</v>
      </c>
      <c r="Z64" s="61">
        <v>2500</v>
      </c>
      <c r="AA64" s="228">
        <v>4.2000000000000003E-2</v>
      </c>
      <c r="AB64" s="60">
        <v>2446</v>
      </c>
      <c r="AC64" s="60">
        <v>2498</v>
      </c>
      <c r="AD64" s="60">
        <v>23800</v>
      </c>
      <c r="AE64" s="60">
        <v>3010</v>
      </c>
      <c r="AF64" s="66">
        <f t="shared" si="24"/>
        <v>87958.16</v>
      </c>
      <c r="AG64" s="69">
        <f t="shared" si="25"/>
        <v>119154.6</v>
      </c>
      <c r="AH64" s="69">
        <f t="shared" si="26"/>
        <v>4760.0000000000673</v>
      </c>
      <c r="AI64" s="70">
        <f t="shared" si="27"/>
        <v>3034.08</v>
      </c>
      <c r="AJ64" s="66">
        <f>SUM(Tabla1[[#This Row],[COSTO OPERATIVO ACIDO]:[COSTO OPERATIVO OXIDANTE]])</f>
        <v>214906.84000000005</v>
      </c>
      <c r="AK64" s="64">
        <v>2500</v>
      </c>
      <c r="AL64" s="64">
        <f t="shared" si="12"/>
        <v>2528.3157647058829</v>
      </c>
    </row>
    <row r="65" spans="1:38" ht="15" thickBot="1" x14ac:dyDescent="0.35">
      <c r="A65" s="39">
        <f>A64+1</f>
        <v>46044</v>
      </c>
      <c r="B65" s="159">
        <f>DAY(Tabla1[[#This Row],[FECHA]])</f>
        <v>22</v>
      </c>
      <c r="C65" s="74" t="s">
        <v>18</v>
      </c>
      <c r="D65" s="89">
        <v>1</v>
      </c>
      <c r="E65" s="89" t="s">
        <v>46</v>
      </c>
      <c r="F65" s="217">
        <v>1278</v>
      </c>
      <c r="G65" s="218">
        <v>1713</v>
      </c>
      <c r="H65" s="230">
        <v>93.1</v>
      </c>
      <c r="I65" s="218">
        <v>0</v>
      </c>
      <c r="J65" s="217">
        <v>92666</v>
      </c>
      <c r="K65" s="226">
        <v>0</v>
      </c>
      <c r="L65" s="219">
        <f t="shared" si="13"/>
        <v>0</v>
      </c>
      <c r="M65" s="219">
        <f t="shared" si="23"/>
        <v>0</v>
      </c>
      <c r="N65" s="255">
        <f t="shared" si="14"/>
        <v>0.18999999999999773</v>
      </c>
      <c r="O65" s="73">
        <f>Tabla1[[#This Row],[CONSUMO SOLUCIÓN OXIDANTE (L)]]</f>
        <v>0</v>
      </c>
      <c r="P65" s="71">
        <f t="shared" si="15"/>
        <v>0</v>
      </c>
      <c r="Q65" s="72">
        <f t="shared" si="16"/>
        <v>0</v>
      </c>
      <c r="R65" s="72">
        <f>Tabla1[[#This Row],[CONSUMO POL ANIONICO (KG)]]</f>
        <v>0.18999999999999773</v>
      </c>
      <c r="S65" s="73">
        <f>Tabla1[[#This Row],[CONSUMO OXIDANTE SOLUCIÓN(L)]]*Tabla1[[#This Row],[DENSIDAD OXIDANTE]]</f>
        <v>0</v>
      </c>
      <c r="T65" s="71" t="e">
        <f t="shared" si="28"/>
        <v>#DIV/0!</v>
      </c>
      <c r="U65" s="72" t="e">
        <f t="shared" si="29"/>
        <v>#DIV/0!</v>
      </c>
      <c r="V65" s="72" t="e">
        <f t="shared" si="30"/>
        <v>#DIV/0!</v>
      </c>
      <c r="W65" s="73" t="e">
        <f t="shared" si="31"/>
        <v>#DIV/0!</v>
      </c>
      <c r="X65" s="2">
        <v>1240000</v>
      </c>
      <c r="Y65" s="2">
        <v>1325000</v>
      </c>
      <c r="Z65" s="2">
        <v>2500</v>
      </c>
      <c r="AA65" s="228">
        <v>4.2000000000000003E-2</v>
      </c>
      <c r="AB65" s="160">
        <v>2446</v>
      </c>
      <c r="AC65" s="160">
        <v>2498</v>
      </c>
      <c r="AD65" s="160">
        <v>23800</v>
      </c>
      <c r="AE65" s="60">
        <v>3010</v>
      </c>
      <c r="AF65" s="161">
        <f t="shared" si="24"/>
        <v>0</v>
      </c>
      <c r="AG65" s="162">
        <f t="shared" si="25"/>
        <v>0</v>
      </c>
      <c r="AH65" s="162">
        <f t="shared" si="26"/>
        <v>4521.9999999999454</v>
      </c>
      <c r="AI65" s="163">
        <f t="shared" si="27"/>
        <v>0</v>
      </c>
      <c r="AJ65" s="161">
        <f>SUM(Tabla1[[#This Row],[COSTO OPERATIVO ACIDO]:[COSTO OPERATIVO OXIDANTE]])</f>
        <v>4521.9999999999454</v>
      </c>
      <c r="AK65" s="64">
        <v>2500</v>
      </c>
      <c r="AL65" s="64" t="e">
        <f t="shared" si="12"/>
        <v>#DIV/0!</v>
      </c>
    </row>
    <row r="66" spans="1:38" ht="15" thickBot="1" x14ac:dyDescent="0.35">
      <c r="A66" s="40">
        <f>A65</f>
        <v>46044</v>
      </c>
      <c r="B66" s="159">
        <f>DAY(Tabla1[[#This Row],[FECHA]])</f>
        <v>22</v>
      </c>
      <c r="C66" s="75" t="s">
        <v>19</v>
      </c>
      <c r="D66" s="90">
        <v>2</v>
      </c>
      <c r="E66" s="90" t="s">
        <v>48</v>
      </c>
      <c r="F66" s="222">
        <v>1278</v>
      </c>
      <c r="G66" s="223">
        <v>1713</v>
      </c>
      <c r="H66" s="231">
        <f>H65-0.19</f>
        <v>92.91</v>
      </c>
      <c r="I66" s="223">
        <v>21</v>
      </c>
      <c r="J66" s="222">
        <v>92744</v>
      </c>
      <c r="K66" s="226">
        <v>78</v>
      </c>
      <c r="L66" s="220">
        <f t="shared" si="13"/>
        <v>26</v>
      </c>
      <c r="M66" s="220">
        <f t="shared" ref="M66:N94" si="32">G66-G67</f>
        <v>32</v>
      </c>
      <c r="N66" s="256">
        <f t="shared" si="14"/>
        <v>0.14000000000000057</v>
      </c>
      <c r="O66" s="78">
        <f>Tabla1[[#This Row],[CONSUMO SOLUCIÓN OXIDANTE (L)]]</f>
        <v>21</v>
      </c>
      <c r="P66" s="76">
        <f t="shared" si="15"/>
        <v>32.24</v>
      </c>
      <c r="Q66" s="77">
        <f t="shared" si="16"/>
        <v>42.4</v>
      </c>
      <c r="R66" s="77">
        <f>Tabla1[[#This Row],[CONSUMO POL ANIONICO (KG)]]</f>
        <v>0.14000000000000057</v>
      </c>
      <c r="S66" s="78">
        <f>Tabla1[[#This Row],[CONSUMO OXIDANTE SOLUCIÓN(L)]]*Tabla1[[#This Row],[DENSIDAD OXIDANTE]]</f>
        <v>0.88200000000000001</v>
      </c>
      <c r="T66" s="76">
        <f t="shared" si="28"/>
        <v>413.33333333333337</v>
      </c>
      <c r="U66" s="77">
        <f t="shared" si="29"/>
        <v>543.58974358974353</v>
      </c>
      <c r="V66" s="77">
        <f t="shared" si="30"/>
        <v>1.7948717948718023</v>
      </c>
      <c r="W66" s="78">
        <f t="shared" si="31"/>
        <v>11.307692307692308</v>
      </c>
      <c r="X66" s="2">
        <v>1240000</v>
      </c>
      <c r="Y66" s="2">
        <v>1325000</v>
      </c>
      <c r="Z66" s="2">
        <v>2500</v>
      </c>
      <c r="AA66" s="228">
        <v>4.2000000000000003E-2</v>
      </c>
      <c r="AB66" s="160">
        <v>2446</v>
      </c>
      <c r="AC66" s="160">
        <v>2498</v>
      </c>
      <c r="AD66" s="160">
        <v>23800</v>
      </c>
      <c r="AE66" s="60">
        <v>3010</v>
      </c>
      <c r="AF66" s="164">
        <f t="shared" ref="AF66:AF85" si="33">P66*AB66</f>
        <v>78859.040000000008</v>
      </c>
      <c r="AG66" s="165">
        <f t="shared" ref="AG66:AG85" si="34">Q66*AC66</f>
        <v>105915.2</v>
      </c>
      <c r="AH66" s="165">
        <f t="shared" ref="AH66:AH85" si="35">R66*AD66</f>
        <v>3332.0000000000136</v>
      </c>
      <c r="AI66" s="166">
        <f t="shared" ref="AI66:AI85" si="36">S66*AE66</f>
        <v>2654.82</v>
      </c>
      <c r="AJ66" s="164">
        <f>SUM(Tabla1[[#This Row],[COSTO OPERATIVO ACIDO]:[COSTO OPERATIVO OXIDANTE]])</f>
        <v>190761.06</v>
      </c>
      <c r="AK66" s="64">
        <v>2500</v>
      </c>
      <c r="AL66" s="64">
        <f t="shared" si="12"/>
        <v>2445.6546153846152</v>
      </c>
    </row>
    <row r="67" spans="1:38" ht="15" thickBot="1" x14ac:dyDescent="0.35">
      <c r="A67" s="41">
        <f>A66</f>
        <v>46044</v>
      </c>
      <c r="B67" s="167">
        <f>DAY(Tabla1[[#This Row],[FECHA]])</f>
        <v>22</v>
      </c>
      <c r="C67" s="79" t="s">
        <v>20</v>
      </c>
      <c r="D67" s="91">
        <v>3</v>
      </c>
      <c r="E67" s="91" t="s">
        <v>47</v>
      </c>
      <c r="F67" s="222">
        <f>F66-26</f>
        <v>1252</v>
      </c>
      <c r="G67" s="223">
        <f>G66-32</f>
        <v>1681</v>
      </c>
      <c r="H67" s="231">
        <f>H66-0.14</f>
        <v>92.77</v>
      </c>
      <c r="I67" s="223">
        <v>17</v>
      </c>
      <c r="J67" s="259">
        <v>92801</v>
      </c>
      <c r="K67" s="226">
        <v>57</v>
      </c>
      <c r="L67" s="221">
        <f t="shared" si="13"/>
        <v>20</v>
      </c>
      <c r="M67" s="221">
        <f t="shared" si="32"/>
        <v>26</v>
      </c>
      <c r="N67" s="254">
        <f t="shared" si="14"/>
        <v>0</v>
      </c>
      <c r="O67" s="81">
        <f>Tabla1[[#This Row],[CONSUMO SOLUCIÓN OXIDANTE (L)]]</f>
        <v>17</v>
      </c>
      <c r="P67" s="76">
        <f t="shared" si="15"/>
        <v>24.8</v>
      </c>
      <c r="Q67" s="80">
        <f t="shared" si="16"/>
        <v>34.450000000000003</v>
      </c>
      <c r="R67" s="80">
        <f>Tabla1[[#This Row],[CONSUMO POL ANIONICO (KG)]]</f>
        <v>0</v>
      </c>
      <c r="S67" s="81">
        <f>Tabla1[[#This Row],[CONSUMO OXIDANTE SOLUCIÓN(L)]]*Tabla1[[#This Row],[DENSIDAD OXIDANTE]]</f>
        <v>0.71400000000000008</v>
      </c>
      <c r="T67" s="76">
        <f t="shared" si="28"/>
        <v>435.08771929824559</v>
      </c>
      <c r="U67" s="80">
        <f t="shared" si="29"/>
        <v>604.38596491228066</v>
      </c>
      <c r="V67" s="80">
        <f t="shared" si="30"/>
        <v>0</v>
      </c>
      <c r="W67" s="81">
        <f t="shared" si="31"/>
        <v>12.526315789473687</v>
      </c>
      <c r="X67" s="2">
        <v>1240000</v>
      </c>
      <c r="Y67" s="2">
        <v>1325000</v>
      </c>
      <c r="Z67" s="2">
        <v>2500</v>
      </c>
      <c r="AA67" s="228">
        <v>4.2000000000000003E-2</v>
      </c>
      <c r="AB67" s="160">
        <v>2446</v>
      </c>
      <c r="AC67" s="160">
        <v>2498</v>
      </c>
      <c r="AD67" s="160">
        <v>23800</v>
      </c>
      <c r="AE67" s="60">
        <v>3010</v>
      </c>
      <c r="AF67" s="164">
        <f t="shared" si="33"/>
        <v>60660.800000000003</v>
      </c>
      <c r="AG67" s="168">
        <f t="shared" si="34"/>
        <v>86056.1</v>
      </c>
      <c r="AH67" s="168">
        <f t="shared" si="35"/>
        <v>0</v>
      </c>
      <c r="AI67" s="169">
        <f t="shared" si="36"/>
        <v>2149.1400000000003</v>
      </c>
      <c r="AJ67" s="164">
        <f>SUM(Tabla1[[#This Row],[COSTO OPERATIVO ACIDO]:[COSTO OPERATIVO OXIDANTE]])</f>
        <v>148866.04000000004</v>
      </c>
      <c r="AK67" s="64">
        <v>2500</v>
      </c>
      <c r="AL67" s="64">
        <f t="shared" ref="AL67:AL85" si="37">AJ67/K67</f>
        <v>2611.6849122807025</v>
      </c>
    </row>
    <row r="68" spans="1:38" ht="15" thickBot="1" x14ac:dyDescent="0.35">
      <c r="A68" s="39">
        <f>A67+1</f>
        <v>46045</v>
      </c>
      <c r="B68" s="97">
        <f>DAY(Tabla1[[#This Row],[FECHA]])</f>
        <v>23</v>
      </c>
      <c r="C68" s="74" t="s">
        <v>18</v>
      </c>
      <c r="D68" s="89">
        <v>1</v>
      </c>
      <c r="E68" s="89" t="s">
        <v>46</v>
      </c>
      <c r="F68" s="217">
        <f>F67-20</f>
        <v>1232</v>
      </c>
      <c r="G68" s="218">
        <f>G67-26</f>
        <v>1655</v>
      </c>
      <c r="H68" s="230">
        <v>92.77</v>
      </c>
      <c r="I68" s="218">
        <v>0</v>
      </c>
      <c r="J68" s="217">
        <v>92801</v>
      </c>
      <c r="K68" s="226">
        <v>0</v>
      </c>
      <c r="L68" s="219">
        <f>F68-F69</f>
        <v>0</v>
      </c>
      <c r="M68" s="219">
        <f t="shared" si="32"/>
        <v>0</v>
      </c>
      <c r="N68" s="255">
        <f t="shared" si="14"/>
        <v>0</v>
      </c>
      <c r="O68" s="73">
        <f>Tabla1[[#This Row],[CONSUMO SOLUCIÓN OXIDANTE (L)]]</f>
        <v>0</v>
      </c>
      <c r="P68" s="71">
        <f t="shared" si="15"/>
        <v>0</v>
      </c>
      <c r="Q68" s="72">
        <f t="shared" si="16"/>
        <v>0</v>
      </c>
      <c r="R68" s="72">
        <f>Tabla1[[#This Row],[CONSUMO POL ANIONICO (KG)]]</f>
        <v>0</v>
      </c>
      <c r="S68" s="73">
        <f>Tabla1[[#This Row],[CONSUMO OXIDANTE SOLUCIÓN(L)]]*Tabla1[[#This Row],[DENSIDAD OXIDANTE]]</f>
        <v>0</v>
      </c>
      <c r="T68" s="71" t="e">
        <f t="shared" si="28"/>
        <v>#DIV/0!</v>
      </c>
      <c r="U68" s="72" t="e">
        <f t="shared" si="29"/>
        <v>#DIV/0!</v>
      </c>
      <c r="V68" s="72" t="e">
        <f t="shared" si="30"/>
        <v>#DIV/0!</v>
      </c>
      <c r="W68" s="73" t="e">
        <f t="shared" si="31"/>
        <v>#DIV/0!</v>
      </c>
      <c r="X68" s="61">
        <v>1240000</v>
      </c>
      <c r="Y68" s="61">
        <v>1325000</v>
      </c>
      <c r="Z68" s="61">
        <v>2500</v>
      </c>
      <c r="AA68" s="228">
        <v>4.2000000000000003E-2</v>
      </c>
      <c r="AB68" s="60">
        <v>2446</v>
      </c>
      <c r="AC68" s="60">
        <v>2498</v>
      </c>
      <c r="AD68" s="60">
        <v>23800</v>
      </c>
      <c r="AE68" s="60">
        <v>3010</v>
      </c>
      <c r="AF68" s="63">
        <f t="shared" si="33"/>
        <v>0</v>
      </c>
      <c r="AG68" s="64">
        <f t="shared" si="34"/>
        <v>0</v>
      </c>
      <c r="AH68" s="64">
        <f t="shared" si="35"/>
        <v>0</v>
      </c>
      <c r="AI68" s="65">
        <f t="shared" si="36"/>
        <v>0</v>
      </c>
      <c r="AJ68" s="63">
        <f>SUM(Tabla1[[#This Row],[COSTO OPERATIVO ACIDO]:[COSTO OPERATIVO OXIDANTE]])</f>
        <v>0</v>
      </c>
      <c r="AK68" s="64">
        <v>2500</v>
      </c>
      <c r="AL68" s="64" t="e">
        <f t="shared" si="37"/>
        <v>#DIV/0!</v>
      </c>
    </row>
    <row r="69" spans="1:38" ht="15" thickBot="1" x14ac:dyDescent="0.35">
      <c r="A69" s="40">
        <f>A68</f>
        <v>46045</v>
      </c>
      <c r="B69" s="97">
        <f>DAY(Tabla1[[#This Row],[FECHA]])</f>
        <v>23</v>
      </c>
      <c r="C69" s="75" t="s">
        <v>19</v>
      </c>
      <c r="D69" s="90">
        <v>2</v>
      </c>
      <c r="E69" s="90" t="s">
        <v>48</v>
      </c>
      <c r="F69" s="222">
        <v>1232</v>
      </c>
      <c r="G69" s="223">
        <v>1655</v>
      </c>
      <c r="H69" s="231">
        <v>92.77</v>
      </c>
      <c r="I69" s="223">
        <v>0</v>
      </c>
      <c r="J69" s="222">
        <v>92801</v>
      </c>
      <c r="K69" s="226">
        <v>0</v>
      </c>
      <c r="L69" s="220">
        <f t="shared" ref="L69:L86" si="38">F69-F70</f>
        <v>0</v>
      </c>
      <c r="M69" s="220">
        <f t="shared" si="32"/>
        <v>0</v>
      </c>
      <c r="N69" s="256">
        <f t="shared" si="32"/>
        <v>0</v>
      </c>
      <c r="O69" s="78">
        <f>Tabla1[[#This Row],[CONSUMO SOLUCIÓN OXIDANTE (L)]]</f>
        <v>0</v>
      </c>
      <c r="P69" s="76">
        <f t="shared" ref="P69:P85" si="39">(L69*$X$2)/1000000</f>
        <v>0</v>
      </c>
      <c r="Q69" s="77">
        <f t="shared" ref="Q69:Q85" si="40">(M69*$Y$2)/1000000</f>
        <v>0</v>
      </c>
      <c r="R69" s="77">
        <f>Tabla1[[#This Row],[CONSUMO POL ANIONICO (KG)]]</f>
        <v>0</v>
      </c>
      <c r="S69" s="78">
        <f>Tabla1[[#This Row],[CONSUMO OXIDANTE SOLUCIÓN(L)]]*Tabla1[[#This Row],[DENSIDAD OXIDANTE]]</f>
        <v>0</v>
      </c>
      <c r="T69" s="76" t="e">
        <f t="shared" si="28"/>
        <v>#DIV/0!</v>
      </c>
      <c r="U69" s="77" t="e">
        <f t="shared" si="29"/>
        <v>#DIV/0!</v>
      </c>
      <c r="V69" s="77" t="e">
        <f t="shared" si="30"/>
        <v>#DIV/0!</v>
      </c>
      <c r="W69" s="78" t="e">
        <f t="shared" si="31"/>
        <v>#DIV/0!</v>
      </c>
      <c r="X69" s="61">
        <v>1240000</v>
      </c>
      <c r="Y69" s="61">
        <v>1325000</v>
      </c>
      <c r="Z69" s="61">
        <v>2500</v>
      </c>
      <c r="AA69" s="228">
        <v>4.2000000000000003E-2</v>
      </c>
      <c r="AB69" s="60">
        <v>2446</v>
      </c>
      <c r="AC69" s="60">
        <v>2498</v>
      </c>
      <c r="AD69" s="60">
        <v>23800</v>
      </c>
      <c r="AE69" s="60">
        <v>3010</v>
      </c>
      <c r="AF69" s="66">
        <f t="shared" si="33"/>
        <v>0</v>
      </c>
      <c r="AG69" s="67">
        <f t="shared" si="34"/>
        <v>0</v>
      </c>
      <c r="AH69" s="67">
        <f t="shared" si="35"/>
        <v>0</v>
      </c>
      <c r="AI69" s="68">
        <f t="shared" si="36"/>
        <v>0</v>
      </c>
      <c r="AJ69" s="66">
        <f>SUM(Tabla1[[#This Row],[COSTO OPERATIVO ACIDO]:[COSTO OPERATIVO OXIDANTE]])</f>
        <v>0</v>
      </c>
      <c r="AK69" s="64">
        <v>2500</v>
      </c>
      <c r="AL69" s="64" t="e">
        <f t="shared" si="37"/>
        <v>#DIV/0!</v>
      </c>
    </row>
    <row r="70" spans="1:38" ht="15" thickBot="1" x14ac:dyDescent="0.35">
      <c r="A70" s="41">
        <f>A69</f>
        <v>46045</v>
      </c>
      <c r="B70" s="98">
        <f>DAY(Tabla1[[#This Row],[FECHA]])</f>
        <v>23</v>
      </c>
      <c r="C70" s="79" t="s">
        <v>20</v>
      </c>
      <c r="D70" s="91">
        <v>3</v>
      </c>
      <c r="E70" s="91" t="s">
        <v>47</v>
      </c>
      <c r="F70" s="222">
        <v>1232</v>
      </c>
      <c r="G70" s="223">
        <v>1655</v>
      </c>
      <c r="H70" s="231">
        <v>92.77</v>
      </c>
      <c r="I70" s="223">
        <v>0</v>
      </c>
      <c r="J70" s="259">
        <v>92801</v>
      </c>
      <c r="K70" s="226">
        <v>0</v>
      </c>
      <c r="L70" s="221">
        <f t="shared" si="38"/>
        <v>0</v>
      </c>
      <c r="M70" s="221">
        <f t="shared" si="32"/>
        <v>0</v>
      </c>
      <c r="N70" s="254">
        <f t="shared" si="32"/>
        <v>0</v>
      </c>
      <c r="O70" s="81">
        <f>Tabla1[[#This Row],[CONSUMO SOLUCIÓN OXIDANTE (L)]]</f>
        <v>0</v>
      </c>
      <c r="P70" s="76">
        <f t="shared" si="39"/>
        <v>0</v>
      </c>
      <c r="Q70" s="80">
        <f t="shared" si="40"/>
        <v>0</v>
      </c>
      <c r="R70" s="80">
        <f>Tabla1[[#This Row],[CONSUMO POL ANIONICO (KG)]]</f>
        <v>0</v>
      </c>
      <c r="S70" s="81">
        <f>Tabla1[[#This Row],[CONSUMO OXIDANTE SOLUCIÓN(L)]]*Tabla1[[#This Row],[DENSIDAD OXIDANTE]]</f>
        <v>0</v>
      </c>
      <c r="T70" s="76" t="e">
        <f t="shared" ref="T70:T85" si="41">(P70*1000)/K70</f>
        <v>#DIV/0!</v>
      </c>
      <c r="U70" s="80" t="e">
        <f t="shared" ref="U70:U85" si="42">(Q70*1000)/K70</f>
        <v>#DIV/0!</v>
      </c>
      <c r="V70" s="80" t="e">
        <f t="shared" ref="V70:V85" si="43">(R70*1000)/K70</f>
        <v>#DIV/0!</v>
      </c>
      <c r="W70" s="81" t="e">
        <f t="shared" ref="W70:W85" si="44">(S70*1000)/K70</f>
        <v>#DIV/0!</v>
      </c>
      <c r="X70" s="61">
        <v>1240000</v>
      </c>
      <c r="Y70" s="61">
        <v>1325000</v>
      </c>
      <c r="Z70" s="61">
        <v>2500</v>
      </c>
      <c r="AA70" s="228">
        <v>4.2000000000000003E-2</v>
      </c>
      <c r="AB70" s="60">
        <v>2446</v>
      </c>
      <c r="AC70" s="60">
        <v>2498</v>
      </c>
      <c r="AD70" s="60">
        <v>23800</v>
      </c>
      <c r="AE70" s="60">
        <v>3010</v>
      </c>
      <c r="AF70" s="66">
        <f t="shared" si="33"/>
        <v>0</v>
      </c>
      <c r="AG70" s="69">
        <f t="shared" si="34"/>
        <v>0</v>
      </c>
      <c r="AH70" s="69">
        <f t="shared" si="35"/>
        <v>0</v>
      </c>
      <c r="AI70" s="70">
        <f t="shared" si="36"/>
        <v>0</v>
      </c>
      <c r="AJ70" s="66">
        <f>SUM(Tabla1[[#This Row],[COSTO OPERATIVO ACIDO]:[COSTO OPERATIVO OXIDANTE]])</f>
        <v>0</v>
      </c>
      <c r="AK70" s="64">
        <v>2500</v>
      </c>
      <c r="AL70" s="64" t="e">
        <f t="shared" si="37"/>
        <v>#DIV/0!</v>
      </c>
    </row>
    <row r="71" spans="1:38" ht="15" thickBot="1" x14ac:dyDescent="0.35">
      <c r="A71" s="39">
        <f>A70+1</f>
        <v>46046</v>
      </c>
      <c r="B71" s="97">
        <f>DAY(Tabla1[[#This Row],[FECHA]])</f>
        <v>24</v>
      </c>
      <c r="C71" s="74" t="s">
        <v>18</v>
      </c>
      <c r="D71" s="89">
        <v>1</v>
      </c>
      <c r="E71" s="89" t="s">
        <v>46</v>
      </c>
      <c r="F71" s="217">
        <v>1232</v>
      </c>
      <c r="G71" s="218">
        <v>1655</v>
      </c>
      <c r="H71" s="230">
        <v>92.77</v>
      </c>
      <c r="I71" s="218">
        <v>0</v>
      </c>
      <c r="J71" s="217">
        <v>92801</v>
      </c>
      <c r="K71" s="226">
        <v>0</v>
      </c>
      <c r="L71" s="219">
        <f t="shared" si="38"/>
        <v>0</v>
      </c>
      <c r="M71" s="219">
        <f t="shared" si="32"/>
        <v>0</v>
      </c>
      <c r="N71" s="255">
        <f t="shared" si="32"/>
        <v>0</v>
      </c>
      <c r="O71" s="73">
        <f>Tabla1[[#This Row],[CONSUMO SOLUCIÓN OXIDANTE (L)]]</f>
        <v>0</v>
      </c>
      <c r="P71" s="71">
        <f t="shared" si="39"/>
        <v>0</v>
      </c>
      <c r="Q71" s="72">
        <f t="shared" si="40"/>
        <v>0</v>
      </c>
      <c r="R71" s="72">
        <f>Tabla1[[#This Row],[CONSUMO POL ANIONICO (KG)]]</f>
        <v>0</v>
      </c>
      <c r="S71" s="73">
        <f>Tabla1[[#This Row],[CONSUMO OXIDANTE SOLUCIÓN(L)]]*Tabla1[[#This Row],[DENSIDAD OXIDANTE]]</f>
        <v>0</v>
      </c>
      <c r="T71" s="71" t="e">
        <f t="shared" si="41"/>
        <v>#DIV/0!</v>
      </c>
      <c r="U71" s="72" t="e">
        <f t="shared" si="42"/>
        <v>#DIV/0!</v>
      </c>
      <c r="V71" s="72" t="e">
        <f t="shared" si="43"/>
        <v>#DIV/0!</v>
      </c>
      <c r="W71" s="73" t="e">
        <f t="shared" si="44"/>
        <v>#DIV/0!</v>
      </c>
      <c r="X71" s="61">
        <v>1240000</v>
      </c>
      <c r="Y71" s="61">
        <v>1325000</v>
      </c>
      <c r="Z71" s="61">
        <v>2500</v>
      </c>
      <c r="AA71" s="228">
        <v>4.2000000000000003E-2</v>
      </c>
      <c r="AB71" s="60">
        <v>2446</v>
      </c>
      <c r="AC71" s="60">
        <v>2498</v>
      </c>
      <c r="AD71" s="60">
        <v>23800</v>
      </c>
      <c r="AE71" s="60">
        <v>3010</v>
      </c>
      <c r="AF71" s="63">
        <f t="shared" si="33"/>
        <v>0</v>
      </c>
      <c r="AG71" s="64">
        <f t="shared" si="34"/>
        <v>0</v>
      </c>
      <c r="AH71" s="64">
        <f t="shared" si="35"/>
        <v>0</v>
      </c>
      <c r="AI71" s="65">
        <f t="shared" si="36"/>
        <v>0</v>
      </c>
      <c r="AJ71" s="63">
        <f>SUM(Tabla1[[#This Row],[COSTO OPERATIVO ACIDO]:[COSTO OPERATIVO OXIDANTE]])</f>
        <v>0</v>
      </c>
      <c r="AK71" s="64">
        <v>2500</v>
      </c>
      <c r="AL71" s="64" t="e">
        <f t="shared" si="37"/>
        <v>#DIV/0!</v>
      </c>
    </row>
    <row r="72" spans="1:38" ht="15" thickBot="1" x14ac:dyDescent="0.35">
      <c r="A72" s="40">
        <f>A71</f>
        <v>46046</v>
      </c>
      <c r="B72" s="97">
        <f>DAY(Tabla1[[#This Row],[FECHA]])</f>
        <v>24</v>
      </c>
      <c r="C72" s="75" t="s">
        <v>19</v>
      </c>
      <c r="D72" s="90">
        <v>2</v>
      </c>
      <c r="E72" s="90" t="s">
        <v>48</v>
      </c>
      <c r="F72" s="222">
        <v>1232</v>
      </c>
      <c r="G72" s="223">
        <v>1655</v>
      </c>
      <c r="H72" s="231">
        <v>92.77</v>
      </c>
      <c r="I72" s="223">
        <v>0</v>
      </c>
      <c r="J72" s="222">
        <v>92801</v>
      </c>
      <c r="K72" s="226">
        <v>0</v>
      </c>
      <c r="L72" s="220">
        <f t="shared" si="38"/>
        <v>0</v>
      </c>
      <c r="M72" s="220">
        <f t="shared" si="32"/>
        <v>0</v>
      </c>
      <c r="N72" s="256">
        <f t="shared" si="32"/>
        <v>0</v>
      </c>
      <c r="O72" s="78">
        <f>Tabla1[[#This Row],[CONSUMO SOLUCIÓN OXIDANTE (L)]]</f>
        <v>0</v>
      </c>
      <c r="P72" s="76">
        <f t="shared" si="39"/>
        <v>0</v>
      </c>
      <c r="Q72" s="77">
        <f t="shared" si="40"/>
        <v>0</v>
      </c>
      <c r="R72" s="77">
        <f>Tabla1[[#This Row],[CONSUMO POL ANIONICO (KG)]]</f>
        <v>0</v>
      </c>
      <c r="S72" s="78">
        <f>Tabla1[[#This Row],[CONSUMO OXIDANTE SOLUCIÓN(L)]]*Tabla1[[#This Row],[DENSIDAD OXIDANTE]]</f>
        <v>0</v>
      </c>
      <c r="T72" s="76" t="e">
        <f t="shared" si="41"/>
        <v>#DIV/0!</v>
      </c>
      <c r="U72" s="77" t="e">
        <f t="shared" si="42"/>
        <v>#DIV/0!</v>
      </c>
      <c r="V72" s="77" t="e">
        <f t="shared" si="43"/>
        <v>#DIV/0!</v>
      </c>
      <c r="W72" s="78" t="e">
        <f t="shared" si="44"/>
        <v>#DIV/0!</v>
      </c>
      <c r="X72" s="61">
        <v>1240000</v>
      </c>
      <c r="Y72" s="61">
        <v>1325000</v>
      </c>
      <c r="Z72" s="61">
        <v>2500</v>
      </c>
      <c r="AA72" s="228">
        <v>4.2000000000000003E-2</v>
      </c>
      <c r="AB72" s="60">
        <v>2446</v>
      </c>
      <c r="AC72" s="60">
        <v>2498</v>
      </c>
      <c r="AD72" s="60">
        <v>23800</v>
      </c>
      <c r="AE72" s="60">
        <v>3010</v>
      </c>
      <c r="AF72" s="66">
        <f t="shared" si="33"/>
        <v>0</v>
      </c>
      <c r="AG72" s="67">
        <f t="shared" si="34"/>
        <v>0</v>
      </c>
      <c r="AH72" s="67">
        <f t="shared" si="35"/>
        <v>0</v>
      </c>
      <c r="AI72" s="68">
        <f t="shared" si="36"/>
        <v>0</v>
      </c>
      <c r="AJ72" s="66">
        <f>SUM(Tabla1[[#This Row],[COSTO OPERATIVO ACIDO]:[COSTO OPERATIVO OXIDANTE]])</f>
        <v>0</v>
      </c>
      <c r="AK72" s="64">
        <v>2500</v>
      </c>
      <c r="AL72" s="64" t="e">
        <f t="shared" si="37"/>
        <v>#DIV/0!</v>
      </c>
    </row>
    <row r="73" spans="1:38" ht="15" customHeight="1" thickBot="1" x14ac:dyDescent="0.35">
      <c r="A73" s="41">
        <f>A72</f>
        <v>46046</v>
      </c>
      <c r="B73" s="98">
        <f>DAY(Tabla1[[#This Row],[FECHA]])</f>
        <v>24</v>
      </c>
      <c r="C73" s="79" t="s">
        <v>20</v>
      </c>
      <c r="D73" s="91">
        <v>3</v>
      </c>
      <c r="E73" s="91" t="s">
        <v>47</v>
      </c>
      <c r="F73" s="222">
        <v>1232</v>
      </c>
      <c r="G73" s="223">
        <v>1655</v>
      </c>
      <c r="H73" s="231">
        <v>92.77</v>
      </c>
      <c r="I73" s="223">
        <v>0</v>
      </c>
      <c r="J73" s="259">
        <v>92801</v>
      </c>
      <c r="K73" s="226">
        <v>0</v>
      </c>
      <c r="L73" s="221">
        <f t="shared" si="38"/>
        <v>0</v>
      </c>
      <c r="M73" s="221">
        <f t="shared" si="32"/>
        <v>0</v>
      </c>
      <c r="N73" s="254">
        <f t="shared" si="32"/>
        <v>0</v>
      </c>
      <c r="O73" s="81">
        <f>Tabla1[[#This Row],[CONSUMO SOLUCIÓN OXIDANTE (L)]]</f>
        <v>0</v>
      </c>
      <c r="P73" s="76">
        <f t="shared" si="39"/>
        <v>0</v>
      </c>
      <c r="Q73" s="80">
        <f t="shared" si="40"/>
        <v>0</v>
      </c>
      <c r="R73" s="80">
        <f>Tabla1[[#This Row],[CONSUMO POL ANIONICO (KG)]]</f>
        <v>0</v>
      </c>
      <c r="S73" s="81">
        <f>Tabla1[[#This Row],[CONSUMO OXIDANTE SOLUCIÓN(L)]]*Tabla1[[#This Row],[DENSIDAD OXIDANTE]]</f>
        <v>0</v>
      </c>
      <c r="T73" s="76" t="e">
        <f t="shared" si="41"/>
        <v>#DIV/0!</v>
      </c>
      <c r="U73" s="80" t="e">
        <f t="shared" si="42"/>
        <v>#DIV/0!</v>
      </c>
      <c r="V73" s="80" t="e">
        <f t="shared" si="43"/>
        <v>#DIV/0!</v>
      </c>
      <c r="W73" s="81" t="e">
        <f t="shared" si="44"/>
        <v>#DIV/0!</v>
      </c>
      <c r="X73" s="61">
        <v>1240000</v>
      </c>
      <c r="Y73" s="61">
        <v>1325000</v>
      </c>
      <c r="Z73" s="61">
        <v>2500</v>
      </c>
      <c r="AA73" s="228">
        <v>4.2000000000000003E-2</v>
      </c>
      <c r="AB73" s="60">
        <v>2446</v>
      </c>
      <c r="AC73" s="60">
        <v>2498</v>
      </c>
      <c r="AD73" s="60">
        <v>23800</v>
      </c>
      <c r="AE73" s="60">
        <v>3010</v>
      </c>
      <c r="AF73" s="66">
        <f t="shared" si="33"/>
        <v>0</v>
      </c>
      <c r="AG73" s="69">
        <f t="shared" si="34"/>
        <v>0</v>
      </c>
      <c r="AH73" s="69">
        <f t="shared" si="35"/>
        <v>0</v>
      </c>
      <c r="AI73" s="70">
        <f t="shared" si="36"/>
        <v>0</v>
      </c>
      <c r="AJ73" s="66">
        <f>SUM(Tabla1[[#This Row],[COSTO OPERATIVO ACIDO]:[COSTO OPERATIVO OXIDANTE]])</f>
        <v>0</v>
      </c>
      <c r="AK73" s="64">
        <v>2500</v>
      </c>
      <c r="AL73" s="64" t="e">
        <f t="shared" si="37"/>
        <v>#DIV/0!</v>
      </c>
    </row>
    <row r="74" spans="1:38" ht="15" thickBot="1" x14ac:dyDescent="0.35">
      <c r="A74" s="39">
        <f>A73+1</f>
        <v>46047</v>
      </c>
      <c r="B74" s="97">
        <f>DAY(Tabla1[[#This Row],[FECHA]])</f>
        <v>25</v>
      </c>
      <c r="C74" s="74" t="s">
        <v>18</v>
      </c>
      <c r="D74" s="89">
        <v>1</v>
      </c>
      <c r="E74" s="89" t="s">
        <v>46</v>
      </c>
      <c r="F74" s="217">
        <v>1232</v>
      </c>
      <c r="G74" s="218">
        <v>1655</v>
      </c>
      <c r="H74" s="230">
        <v>92.77</v>
      </c>
      <c r="I74" s="218">
        <v>0</v>
      </c>
      <c r="J74" s="217">
        <v>92801</v>
      </c>
      <c r="K74" s="226">
        <v>0</v>
      </c>
      <c r="L74" s="219">
        <f t="shared" si="38"/>
        <v>0</v>
      </c>
      <c r="M74" s="219">
        <f t="shared" si="32"/>
        <v>0</v>
      </c>
      <c r="N74" s="255">
        <f t="shared" si="32"/>
        <v>0</v>
      </c>
      <c r="O74" s="73">
        <f>Tabla1[[#This Row],[CONSUMO SOLUCIÓN OXIDANTE (L)]]</f>
        <v>0</v>
      </c>
      <c r="P74" s="71">
        <f t="shared" si="39"/>
        <v>0</v>
      </c>
      <c r="Q74" s="72">
        <f t="shared" si="40"/>
        <v>0</v>
      </c>
      <c r="R74" s="72">
        <f>Tabla1[[#This Row],[CONSUMO POL ANIONICO (KG)]]</f>
        <v>0</v>
      </c>
      <c r="S74" s="73">
        <f>Tabla1[[#This Row],[CONSUMO OXIDANTE SOLUCIÓN(L)]]*Tabla1[[#This Row],[DENSIDAD OXIDANTE]]</f>
        <v>0</v>
      </c>
      <c r="T74" s="71" t="e">
        <f t="shared" si="41"/>
        <v>#DIV/0!</v>
      </c>
      <c r="U74" s="72" t="e">
        <f t="shared" si="42"/>
        <v>#DIV/0!</v>
      </c>
      <c r="V74" s="72" t="e">
        <f t="shared" si="43"/>
        <v>#DIV/0!</v>
      </c>
      <c r="W74" s="73" t="e">
        <f t="shared" si="44"/>
        <v>#DIV/0!</v>
      </c>
      <c r="X74" s="61">
        <v>1240000</v>
      </c>
      <c r="Y74" s="61">
        <v>1325000</v>
      </c>
      <c r="Z74" s="61">
        <v>2500</v>
      </c>
      <c r="AA74" s="228">
        <v>4.2000000000000003E-2</v>
      </c>
      <c r="AB74" s="60">
        <v>2446</v>
      </c>
      <c r="AC74" s="60">
        <v>2498</v>
      </c>
      <c r="AD74" s="60">
        <v>23800</v>
      </c>
      <c r="AE74" s="60">
        <v>3010</v>
      </c>
      <c r="AF74" s="63">
        <f t="shared" si="33"/>
        <v>0</v>
      </c>
      <c r="AG74" s="64">
        <f t="shared" si="34"/>
        <v>0</v>
      </c>
      <c r="AH74" s="64">
        <f t="shared" si="35"/>
        <v>0</v>
      </c>
      <c r="AI74" s="65">
        <f t="shared" si="36"/>
        <v>0</v>
      </c>
      <c r="AJ74" s="63">
        <f>SUM(Tabla1[[#This Row],[COSTO OPERATIVO ACIDO]:[COSTO OPERATIVO OXIDANTE]])</f>
        <v>0</v>
      </c>
      <c r="AK74" s="64">
        <v>2500</v>
      </c>
      <c r="AL74" s="64" t="e">
        <f t="shared" si="37"/>
        <v>#DIV/0!</v>
      </c>
    </row>
    <row r="75" spans="1:38" ht="15" thickBot="1" x14ac:dyDescent="0.35">
      <c r="A75" s="40">
        <f>A74</f>
        <v>46047</v>
      </c>
      <c r="B75" s="97">
        <f>DAY(Tabla1[[#This Row],[FECHA]])</f>
        <v>25</v>
      </c>
      <c r="C75" s="75" t="s">
        <v>19</v>
      </c>
      <c r="D75" s="90">
        <v>2</v>
      </c>
      <c r="E75" s="90" t="s">
        <v>48</v>
      </c>
      <c r="F75" s="222">
        <v>1232</v>
      </c>
      <c r="G75" s="223">
        <v>1655</v>
      </c>
      <c r="H75" s="231">
        <v>92.77</v>
      </c>
      <c r="I75" s="223">
        <v>0</v>
      </c>
      <c r="J75" s="222">
        <v>92801</v>
      </c>
      <c r="K75" s="226">
        <v>0</v>
      </c>
      <c r="L75" s="220">
        <f t="shared" si="38"/>
        <v>0</v>
      </c>
      <c r="M75" s="220">
        <f t="shared" si="32"/>
        <v>0</v>
      </c>
      <c r="N75" s="256">
        <f t="shared" si="32"/>
        <v>0</v>
      </c>
      <c r="O75" s="78">
        <f>Tabla1[[#This Row],[CONSUMO SOLUCIÓN OXIDANTE (L)]]</f>
        <v>0</v>
      </c>
      <c r="P75" s="76">
        <f t="shared" si="39"/>
        <v>0</v>
      </c>
      <c r="Q75" s="77">
        <f t="shared" si="40"/>
        <v>0</v>
      </c>
      <c r="R75" s="77">
        <f>Tabla1[[#This Row],[CONSUMO POL ANIONICO (KG)]]</f>
        <v>0</v>
      </c>
      <c r="S75" s="78">
        <f>Tabla1[[#This Row],[CONSUMO OXIDANTE SOLUCIÓN(L)]]*Tabla1[[#This Row],[DENSIDAD OXIDANTE]]</f>
        <v>0</v>
      </c>
      <c r="T75" s="76" t="e">
        <f t="shared" si="41"/>
        <v>#DIV/0!</v>
      </c>
      <c r="U75" s="77" t="e">
        <f t="shared" si="42"/>
        <v>#DIV/0!</v>
      </c>
      <c r="V75" s="77" t="e">
        <f t="shared" si="43"/>
        <v>#DIV/0!</v>
      </c>
      <c r="W75" s="78" t="e">
        <f t="shared" si="44"/>
        <v>#DIV/0!</v>
      </c>
      <c r="X75" s="61">
        <v>1240000</v>
      </c>
      <c r="Y75" s="61">
        <v>1325000</v>
      </c>
      <c r="Z75" s="61">
        <v>2500</v>
      </c>
      <c r="AA75" s="228">
        <v>4.2000000000000003E-2</v>
      </c>
      <c r="AB75" s="60">
        <v>2446</v>
      </c>
      <c r="AC75" s="60">
        <v>2498</v>
      </c>
      <c r="AD75" s="60">
        <v>23800</v>
      </c>
      <c r="AE75" s="60">
        <v>3010</v>
      </c>
      <c r="AF75" s="66">
        <f t="shared" si="33"/>
        <v>0</v>
      </c>
      <c r="AG75" s="67">
        <f t="shared" si="34"/>
        <v>0</v>
      </c>
      <c r="AH75" s="67">
        <f t="shared" si="35"/>
        <v>0</v>
      </c>
      <c r="AI75" s="68">
        <f t="shared" si="36"/>
        <v>0</v>
      </c>
      <c r="AJ75" s="66">
        <f>SUM(Tabla1[[#This Row],[COSTO OPERATIVO ACIDO]:[COSTO OPERATIVO OXIDANTE]])</f>
        <v>0</v>
      </c>
      <c r="AK75" s="64">
        <v>2500</v>
      </c>
      <c r="AL75" s="64" t="e">
        <f t="shared" si="37"/>
        <v>#DIV/0!</v>
      </c>
    </row>
    <row r="76" spans="1:38" ht="15" thickBot="1" x14ac:dyDescent="0.35">
      <c r="A76" s="41">
        <f>A75</f>
        <v>46047</v>
      </c>
      <c r="B76" s="98">
        <f>DAY(Tabla1[[#This Row],[FECHA]])</f>
        <v>25</v>
      </c>
      <c r="C76" s="79" t="s">
        <v>20</v>
      </c>
      <c r="D76" s="91">
        <v>3</v>
      </c>
      <c r="E76" s="91" t="s">
        <v>47</v>
      </c>
      <c r="F76" s="222">
        <v>1232</v>
      </c>
      <c r="G76" s="223">
        <v>1655</v>
      </c>
      <c r="H76" s="231">
        <v>92.77</v>
      </c>
      <c r="I76" s="223">
        <v>0</v>
      </c>
      <c r="J76" s="259">
        <v>92801</v>
      </c>
      <c r="K76" s="226">
        <v>0</v>
      </c>
      <c r="L76" s="221">
        <f t="shared" si="38"/>
        <v>0</v>
      </c>
      <c r="M76" s="221">
        <f t="shared" si="32"/>
        <v>0</v>
      </c>
      <c r="N76" s="254">
        <f t="shared" si="32"/>
        <v>0</v>
      </c>
      <c r="O76" s="81">
        <f>Tabla1[[#This Row],[CONSUMO SOLUCIÓN OXIDANTE (L)]]</f>
        <v>0</v>
      </c>
      <c r="P76" s="76">
        <f t="shared" si="39"/>
        <v>0</v>
      </c>
      <c r="Q76" s="80">
        <f t="shared" si="40"/>
        <v>0</v>
      </c>
      <c r="R76" s="80">
        <f>Tabla1[[#This Row],[CONSUMO POL ANIONICO (KG)]]</f>
        <v>0</v>
      </c>
      <c r="S76" s="81">
        <f>Tabla1[[#This Row],[CONSUMO OXIDANTE SOLUCIÓN(L)]]*Tabla1[[#This Row],[DENSIDAD OXIDANTE]]</f>
        <v>0</v>
      </c>
      <c r="T76" s="76" t="e">
        <f t="shared" si="41"/>
        <v>#DIV/0!</v>
      </c>
      <c r="U76" s="80" t="e">
        <f t="shared" si="42"/>
        <v>#DIV/0!</v>
      </c>
      <c r="V76" s="80" t="e">
        <f t="shared" si="43"/>
        <v>#DIV/0!</v>
      </c>
      <c r="W76" s="81" t="e">
        <f t="shared" si="44"/>
        <v>#DIV/0!</v>
      </c>
      <c r="X76" s="61">
        <v>1240000</v>
      </c>
      <c r="Y76" s="61">
        <v>1325000</v>
      </c>
      <c r="Z76" s="61">
        <v>2500</v>
      </c>
      <c r="AA76" s="228">
        <v>4.2000000000000003E-2</v>
      </c>
      <c r="AB76" s="60">
        <v>2446</v>
      </c>
      <c r="AC76" s="60">
        <v>2498</v>
      </c>
      <c r="AD76" s="60">
        <v>23800</v>
      </c>
      <c r="AE76" s="60">
        <v>3010</v>
      </c>
      <c r="AF76" s="66">
        <f t="shared" si="33"/>
        <v>0</v>
      </c>
      <c r="AG76" s="69">
        <f t="shared" si="34"/>
        <v>0</v>
      </c>
      <c r="AH76" s="69">
        <f t="shared" si="35"/>
        <v>0</v>
      </c>
      <c r="AI76" s="70">
        <f t="shared" si="36"/>
        <v>0</v>
      </c>
      <c r="AJ76" s="66">
        <f>SUM(Tabla1[[#This Row],[COSTO OPERATIVO ACIDO]:[COSTO OPERATIVO OXIDANTE]])</f>
        <v>0</v>
      </c>
      <c r="AK76" s="64">
        <v>2500</v>
      </c>
      <c r="AL76" s="64" t="e">
        <f t="shared" si="37"/>
        <v>#DIV/0!</v>
      </c>
    </row>
    <row r="77" spans="1:38" ht="15" thickBot="1" x14ac:dyDescent="0.35">
      <c r="A77" s="39">
        <f>A76+1</f>
        <v>46048</v>
      </c>
      <c r="B77" s="97">
        <f>DAY(Tabla1[[#This Row],[FECHA]])</f>
        <v>26</v>
      </c>
      <c r="C77" s="74" t="s">
        <v>18</v>
      </c>
      <c r="D77" s="89">
        <v>1</v>
      </c>
      <c r="E77" s="89" t="s">
        <v>46</v>
      </c>
      <c r="F77" s="217">
        <v>1232</v>
      </c>
      <c r="G77" s="218">
        <v>1655</v>
      </c>
      <c r="H77" s="230">
        <v>92.77</v>
      </c>
      <c r="I77" s="218">
        <v>0</v>
      </c>
      <c r="J77" s="217">
        <v>92801</v>
      </c>
      <c r="K77" s="226">
        <v>0</v>
      </c>
      <c r="L77" s="219">
        <f t="shared" si="38"/>
        <v>0</v>
      </c>
      <c r="M77" s="219">
        <f t="shared" si="32"/>
        <v>0</v>
      </c>
      <c r="N77" s="255">
        <f t="shared" si="32"/>
        <v>0</v>
      </c>
      <c r="O77" s="73">
        <f>Tabla1[[#This Row],[CONSUMO SOLUCIÓN OXIDANTE (L)]]</f>
        <v>0</v>
      </c>
      <c r="P77" s="71">
        <f t="shared" si="39"/>
        <v>0</v>
      </c>
      <c r="Q77" s="72">
        <f t="shared" si="40"/>
        <v>0</v>
      </c>
      <c r="R77" s="72">
        <f>Tabla1[[#This Row],[CONSUMO POL ANIONICO (KG)]]</f>
        <v>0</v>
      </c>
      <c r="S77" s="73">
        <f>Tabla1[[#This Row],[CONSUMO OXIDANTE SOLUCIÓN(L)]]*Tabla1[[#This Row],[DENSIDAD OXIDANTE]]</f>
        <v>0</v>
      </c>
      <c r="T77" s="71" t="e">
        <f t="shared" si="41"/>
        <v>#DIV/0!</v>
      </c>
      <c r="U77" s="72" t="e">
        <f t="shared" si="42"/>
        <v>#DIV/0!</v>
      </c>
      <c r="V77" s="72" t="e">
        <f t="shared" si="43"/>
        <v>#DIV/0!</v>
      </c>
      <c r="W77" s="73" t="e">
        <f t="shared" si="44"/>
        <v>#DIV/0!</v>
      </c>
      <c r="X77" s="61">
        <v>1240000</v>
      </c>
      <c r="Y77" s="61">
        <v>1325000</v>
      </c>
      <c r="Z77" s="61">
        <v>2500</v>
      </c>
      <c r="AA77" s="228">
        <v>4.2000000000000003E-2</v>
      </c>
      <c r="AB77" s="60">
        <v>2446</v>
      </c>
      <c r="AC77" s="60">
        <v>2498</v>
      </c>
      <c r="AD77" s="60">
        <v>23800</v>
      </c>
      <c r="AE77" s="60">
        <v>3010</v>
      </c>
      <c r="AF77" s="63">
        <f t="shared" si="33"/>
        <v>0</v>
      </c>
      <c r="AG77" s="64">
        <f t="shared" si="34"/>
        <v>0</v>
      </c>
      <c r="AH77" s="64">
        <f t="shared" si="35"/>
        <v>0</v>
      </c>
      <c r="AI77" s="65">
        <f t="shared" si="36"/>
        <v>0</v>
      </c>
      <c r="AJ77" s="63">
        <f>SUM(Tabla1[[#This Row],[COSTO OPERATIVO ACIDO]:[COSTO OPERATIVO OXIDANTE]])</f>
        <v>0</v>
      </c>
      <c r="AK77" s="64">
        <v>2500</v>
      </c>
      <c r="AL77" s="64" t="e">
        <f t="shared" si="37"/>
        <v>#DIV/0!</v>
      </c>
    </row>
    <row r="78" spans="1:38" ht="15" thickBot="1" x14ac:dyDescent="0.35">
      <c r="A78" s="40">
        <f>A77</f>
        <v>46048</v>
      </c>
      <c r="B78" s="97">
        <f>DAY(Tabla1[[#This Row],[FECHA]])</f>
        <v>26</v>
      </c>
      <c r="C78" s="75" t="s">
        <v>19</v>
      </c>
      <c r="D78" s="90">
        <v>2</v>
      </c>
      <c r="E78" s="90" t="s">
        <v>48</v>
      </c>
      <c r="F78" s="222">
        <v>1232</v>
      </c>
      <c r="G78" s="223">
        <v>1655</v>
      </c>
      <c r="H78" s="231">
        <v>92.77</v>
      </c>
      <c r="I78" s="223">
        <v>0</v>
      </c>
      <c r="J78" s="222">
        <v>92806</v>
      </c>
      <c r="K78" s="226">
        <v>0</v>
      </c>
      <c r="L78" s="220">
        <f t="shared" si="38"/>
        <v>0</v>
      </c>
      <c r="M78" s="220">
        <f t="shared" si="32"/>
        <v>0</v>
      </c>
      <c r="N78" s="256">
        <f t="shared" si="32"/>
        <v>0</v>
      </c>
      <c r="O78" s="78">
        <f>Tabla1[[#This Row],[CONSUMO SOLUCIÓN OXIDANTE (L)]]</f>
        <v>0</v>
      </c>
      <c r="P78" s="76">
        <f t="shared" si="39"/>
        <v>0</v>
      </c>
      <c r="Q78" s="77">
        <f t="shared" si="40"/>
        <v>0</v>
      </c>
      <c r="R78" s="77">
        <f>Tabla1[[#This Row],[CONSUMO POL ANIONICO (KG)]]</f>
        <v>0</v>
      </c>
      <c r="S78" s="78">
        <f>Tabla1[[#This Row],[CONSUMO OXIDANTE SOLUCIÓN(L)]]*Tabla1[[#This Row],[DENSIDAD OXIDANTE]]</f>
        <v>0</v>
      </c>
      <c r="T78" s="76" t="e">
        <f t="shared" si="41"/>
        <v>#DIV/0!</v>
      </c>
      <c r="U78" s="77" t="e">
        <f t="shared" si="42"/>
        <v>#DIV/0!</v>
      </c>
      <c r="V78" s="77" t="e">
        <f t="shared" si="43"/>
        <v>#DIV/0!</v>
      </c>
      <c r="W78" s="78" t="e">
        <f t="shared" si="44"/>
        <v>#DIV/0!</v>
      </c>
      <c r="X78" s="61">
        <v>1240000</v>
      </c>
      <c r="Y78" s="61">
        <v>1325000</v>
      </c>
      <c r="Z78" s="61">
        <v>2500</v>
      </c>
      <c r="AA78" s="228">
        <v>4.2000000000000003E-2</v>
      </c>
      <c r="AB78" s="60">
        <v>2446</v>
      </c>
      <c r="AC78" s="60">
        <v>2498</v>
      </c>
      <c r="AD78" s="60">
        <v>23800</v>
      </c>
      <c r="AE78" s="60">
        <v>3010</v>
      </c>
      <c r="AF78" s="66">
        <f t="shared" si="33"/>
        <v>0</v>
      </c>
      <c r="AG78" s="67">
        <f t="shared" si="34"/>
        <v>0</v>
      </c>
      <c r="AH78" s="67">
        <f t="shared" si="35"/>
        <v>0</v>
      </c>
      <c r="AI78" s="68">
        <f t="shared" si="36"/>
        <v>0</v>
      </c>
      <c r="AJ78" s="66">
        <f>SUM(Tabla1[[#This Row],[COSTO OPERATIVO ACIDO]:[COSTO OPERATIVO OXIDANTE]])</f>
        <v>0</v>
      </c>
      <c r="AK78" s="64">
        <v>2500</v>
      </c>
      <c r="AL78" s="64" t="e">
        <f t="shared" si="37"/>
        <v>#DIV/0!</v>
      </c>
    </row>
    <row r="79" spans="1:38" ht="15" thickBot="1" x14ac:dyDescent="0.35">
      <c r="A79" s="41">
        <f>A78</f>
        <v>46048</v>
      </c>
      <c r="B79" s="98">
        <f>DAY(Tabla1[[#This Row],[FECHA]])</f>
        <v>26</v>
      </c>
      <c r="C79" s="85" t="s">
        <v>20</v>
      </c>
      <c r="D79" s="91">
        <v>3</v>
      </c>
      <c r="E79" s="91" t="s">
        <v>47</v>
      </c>
      <c r="F79" s="222">
        <v>1232</v>
      </c>
      <c r="G79" s="223">
        <v>1655</v>
      </c>
      <c r="H79" s="231">
        <v>92.77</v>
      </c>
      <c r="I79" s="223">
        <v>0</v>
      </c>
      <c r="J79" s="259">
        <v>92806</v>
      </c>
      <c r="K79" s="226">
        <v>0</v>
      </c>
      <c r="L79" s="221">
        <f t="shared" si="38"/>
        <v>0</v>
      </c>
      <c r="M79" s="221">
        <f t="shared" si="32"/>
        <v>0</v>
      </c>
      <c r="N79" s="254">
        <f t="shared" si="32"/>
        <v>0</v>
      </c>
      <c r="O79" s="81">
        <f>Tabla1[[#This Row],[CONSUMO SOLUCIÓN OXIDANTE (L)]]</f>
        <v>0</v>
      </c>
      <c r="P79" s="76">
        <f t="shared" si="39"/>
        <v>0</v>
      </c>
      <c r="Q79" s="80">
        <f t="shared" si="40"/>
        <v>0</v>
      </c>
      <c r="R79" s="80">
        <f>Tabla1[[#This Row],[CONSUMO POL ANIONICO (KG)]]</f>
        <v>0</v>
      </c>
      <c r="S79" s="81">
        <f>Tabla1[[#This Row],[CONSUMO OXIDANTE SOLUCIÓN(L)]]*Tabla1[[#This Row],[DENSIDAD OXIDANTE]]</f>
        <v>0</v>
      </c>
      <c r="T79" s="76" t="e">
        <f t="shared" si="41"/>
        <v>#DIV/0!</v>
      </c>
      <c r="U79" s="80" t="e">
        <f t="shared" si="42"/>
        <v>#DIV/0!</v>
      </c>
      <c r="V79" s="80" t="e">
        <f t="shared" si="43"/>
        <v>#DIV/0!</v>
      </c>
      <c r="W79" s="81" t="e">
        <f t="shared" si="44"/>
        <v>#DIV/0!</v>
      </c>
      <c r="X79" s="61">
        <v>1240000</v>
      </c>
      <c r="Y79" s="61">
        <v>1325000</v>
      </c>
      <c r="Z79" s="61">
        <v>2500</v>
      </c>
      <c r="AA79" s="228">
        <v>4.2000000000000003E-2</v>
      </c>
      <c r="AB79" s="60">
        <v>2446</v>
      </c>
      <c r="AC79" s="60">
        <v>2498</v>
      </c>
      <c r="AD79" s="60">
        <v>23800</v>
      </c>
      <c r="AE79" s="60">
        <v>3010</v>
      </c>
      <c r="AF79" s="66">
        <f t="shared" si="33"/>
        <v>0</v>
      </c>
      <c r="AG79" s="69">
        <f t="shared" si="34"/>
        <v>0</v>
      </c>
      <c r="AH79" s="69">
        <f t="shared" si="35"/>
        <v>0</v>
      </c>
      <c r="AI79" s="70">
        <f t="shared" si="36"/>
        <v>0</v>
      </c>
      <c r="AJ79" s="66">
        <f>SUM(Tabla1[[#This Row],[COSTO OPERATIVO ACIDO]:[COSTO OPERATIVO OXIDANTE]])</f>
        <v>0</v>
      </c>
      <c r="AK79" s="64">
        <v>2500</v>
      </c>
      <c r="AL79" s="64" t="e">
        <f t="shared" si="37"/>
        <v>#DIV/0!</v>
      </c>
    </row>
    <row r="80" spans="1:38" ht="15" thickBot="1" x14ac:dyDescent="0.35">
      <c r="A80" s="39">
        <f>A79+1</f>
        <v>46049</v>
      </c>
      <c r="B80" s="97">
        <f>DAY(Tabla1[[#This Row],[FECHA]])</f>
        <v>27</v>
      </c>
      <c r="C80" s="86" t="s">
        <v>18</v>
      </c>
      <c r="D80" s="89">
        <v>1</v>
      </c>
      <c r="E80" s="185" t="s">
        <v>46</v>
      </c>
      <c r="F80" s="217">
        <v>1232</v>
      </c>
      <c r="G80" s="218">
        <v>1655</v>
      </c>
      <c r="H80" s="230">
        <v>92.77</v>
      </c>
      <c r="I80" s="218">
        <v>0</v>
      </c>
      <c r="J80" s="217">
        <v>92806</v>
      </c>
      <c r="K80" s="226">
        <v>0</v>
      </c>
      <c r="L80" s="219">
        <f t="shared" si="38"/>
        <v>0</v>
      </c>
      <c r="M80" s="219">
        <f t="shared" si="32"/>
        <v>0</v>
      </c>
      <c r="N80" s="255">
        <f t="shared" si="32"/>
        <v>0</v>
      </c>
      <c r="O80" s="73">
        <f>Tabla1[[#This Row],[CONSUMO SOLUCIÓN OXIDANTE (L)]]</f>
        <v>0</v>
      </c>
      <c r="P80" s="71">
        <f t="shared" si="39"/>
        <v>0</v>
      </c>
      <c r="Q80" s="72">
        <f t="shared" si="40"/>
        <v>0</v>
      </c>
      <c r="R80" s="72">
        <f>Tabla1[[#This Row],[CONSUMO POL ANIONICO (KG)]]</f>
        <v>0</v>
      </c>
      <c r="S80" s="73">
        <f>Tabla1[[#This Row],[CONSUMO OXIDANTE SOLUCIÓN(L)]]*Tabla1[[#This Row],[DENSIDAD OXIDANTE]]</f>
        <v>0</v>
      </c>
      <c r="T80" s="71" t="e">
        <f t="shared" si="41"/>
        <v>#DIV/0!</v>
      </c>
      <c r="U80" s="72" t="e">
        <f t="shared" si="42"/>
        <v>#DIV/0!</v>
      </c>
      <c r="V80" s="72" t="e">
        <f t="shared" si="43"/>
        <v>#DIV/0!</v>
      </c>
      <c r="W80" s="73" t="e">
        <f t="shared" si="44"/>
        <v>#DIV/0!</v>
      </c>
      <c r="X80" s="61">
        <v>1240000</v>
      </c>
      <c r="Y80" s="61">
        <v>1325000</v>
      </c>
      <c r="Z80" s="61">
        <v>2500</v>
      </c>
      <c r="AA80" s="228">
        <v>4.2000000000000003E-2</v>
      </c>
      <c r="AB80" s="60">
        <v>2446</v>
      </c>
      <c r="AC80" s="60">
        <v>2498</v>
      </c>
      <c r="AD80" s="60">
        <v>23800</v>
      </c>
      <c r="AE80" s="60">
        <v>3010</v>
      </c>
      <c r="AF80" s="63">
        <f t="shared" si="33"/>
        <v>0</v>
      </c>
      <c r="AG80" s="64">
        <f t="shared" si="34"/>
        <v>0</v>
      </c>
      <c r="AH80" s="64">
        <f t="shared" si="35"/>
        <v>0</v>
      </c>
      <c r="AI80" s="65">
        <f t="shared" si="36"/>
        <v>0</v>
      </c>
      <c r="AJ80" s="63">
        <f>SUM(Tabla1[[#This Row],[COSTO OPERATIVO ACIDO]:[COSTO OPERATIVO OXIDANTE]])</f>
        <v>0</v>
      </c>
      <c r="AK80" s="64">
        <v>2500</v>
      </c>
      <c r="AL80" s="64" t="e">
        <f t="shared" si="37"/>
        <v>#DIV/0!</v>
      </c>
    </row>
    <row r="81" spans="1:38" ht="15" thickBot="1" x14ac:dyDescent="0.35">
      <c r="A81" s="40">
        <f>A80</f>
        <v>46049</v>
      </c>
      <c r="B81" s="97">
        <f>DAY(Tabla1[[#This Row],[FECHA]])</f>
        <v>27</v>
      </c>
      <c r="C81" s="87" t="s">
        <v>19</v>
      </c>
      <c r="D81" s="90">
        <v>2</v>
      </c>
      <c r="E81" s="186" t="s">
        <v>48</v>
      </c>
      <c r="F81" s="222">
        <v>1232</v>
      </c>
      <c r="G81" s="223">
        <v>1655</v>
      </c>
      <c r="H81" s="231">
        <v>92.77</v>
      </c>
      <c r="I81" s="223">
        <v>0</v>
      </c>
      <c r="J81" s="222">
        <v>92806</v>
      </c>
      <c r="K81" s="226">
        <v>0</v>
      </c>
      <c r="L81" s="220">
        <f t="shared" si="38"/>
        <v>0</v>
      </c>
      <c r="M81" s="220">
        <f t="shared" si="32"/>
        <v>0</v>
      </c>
      <c r="N81" s="256">
        <f t="shared" si="32"/>
        <v>0</v>
      </c>
      <c r="O81" s="78">
        <f>Tabla1[[#This Row],[CONSUMO SOLUCIÓN OXIDANTE (L)]]</f>
        <v>0</v>
      </c>
      <c r="P81" s="76">
        <f t="shared" si="39"/>
        <v>0</v>
      </c>
      <c r="Q81" s="77">
        <f t="shared" si="40"/>
        <v>0</v>
      </c>
      <c r="R81" s="77">
        <f>Tabla1[[#This Row],[CONSUMO POL ANIONICO (KG)]]</f>
        <v>0</v>
      </c>
      <c r="S81" s="78">
        <f>Tabla1[[#This Row],[CONSUMO OXIDANTE SOLUCIÓN(L)]]*Tabla1[[#This Row],[DENSIDAD OXIDANTE]]</f>
        <v>0</v>
      </c>
      <c r="T81" s="76" t="e">
        <f t="shared" si="41"/>
        <v>#DIV/0!</v>
      </c>
      <c r="U81" s="77" t="e">
        <f t="shared" si="42"/>
        <v>#DIV/0!</v>
      </c>
      <c r="V81" s="77" t="e">
        <f t="shared" si="43"/>
        <v>#DIV/0!</v>
      </c>
      <c r="W81" s="78" t="e">
        <f t="shared" si="44"/>
        <v>#DIV/0!</v>
      </c>
      <c r="X81" s="61">
        <v>1240000</v>
      </c>
      <c r="Y81" s="61">
        <v>1325000</v>
      </c>
      <c r="Z81" s="61">
        <v>2500</v>
      </c>
      <c r="AA81" s="228">
        <v>4.2000000000000003E-2</v>
      </c>
      <c r="AB81" s="60">
        <v>2446</v>
      </c>
      <c r="AC81" s="60">
        <v>2498</v>
      </c>
      <c r="AD81" s="60">
        <v>23800</v>
      </c>
      <c r="AE81" s="60">
        <v>3010</v>
      </c>
      <c r="AF81" s="66">
        <f t="shared" si="33"/>
        <v>0</v>
      </c>
      <c r="AG81" s="67">
        <f t="shared" si="34"/>
        <v>0</v>
      </c>
      <c r="AH81" s="67">
        <f t="shared" si="35"/>
        <v>0</v>
      </c>
      <c r="AI81" s="68">
        <f t="shared" si="36"/>
        <v>0</v>
      </c>
      <c r="AJ81" s="66">
        <f>SUM(Tabla1[[#This Row],[COSTO OPERATIVO ACIDO]:[COSTO OPERATIVO OXIDANTE]])</f>
        <v>0</v>
      </c>
      <c r="AK81" s="64">
        <v>2500</v>
      </c>
      <c r="AL81" s="64" t="e">
        <f t="shared" si="37"/>
        <v>#DIV/0!</v>
      </c>
    </row>
    <row r="82" spans="1:38" ht="15" thickBot="1" x14ac:dyDescent="0.35">
      <c r="A82" s="41">
        <f>A81</f>
        <v>46049</v>
      </c>
      <c r="B82" s="98">
        <f>DAY(Tabla1[[#This Row],[FECHA]])</f>
        <v>27</v>
      </c>
      <c r="C82" s="88" t="s">
        <v>20</v>
      </c>
      <c r="D82" s="91">
        <v>3</v>
      </c>
      <c r="E82" s="187" t="s">
        <v>47</v>
      </c>
      <c r="F82" s="222">
        <v>1232</v>
      </c>
      <c r="G82" s="223">
        <v>1655</v>
      </c>
      <c r="H82" s="231">
        <v>92.77</v>
      </c>
      <c r="I82" s="223">
        <v>0</v>
      </c>
      <c r="J82" s="259">
        <v>92806</v>
      </c>
      <c r="K82" s="226">
        <v>0</v>
      </c>
      <c r="L82" s="221">
        <f t="shared" si="38"/>
        <v>0</v>
      </c>
      <c r="M82" s="221">
        <f t="shared" si="32"/>
        <v>0</v>
      </c>
      <c r="N82" s="254">
        <f t="shared" si="32"/>
        <v>0</v>
      </c>
      <c r="O82" s="81">
        <f>Tabla1[[#This Row],[CONSUMO SOLUCIÓN OXIDANTE (L)]]</f>
        <v>0</v>
      </c>
      <c r="P82" s="76">
        <f t="shared" si="39"/>
        <v>0</v>
      </c>
      <c r="Q82" s="80">
        <f t="shared" si="40"/>
        <v>0</v>
      </c>
      <c r="R82" s="80">
        <f>Tabla1[[#This Row],[CONSUMO POL ANIONICO (KG)]]</f>
        <v>0</v>
      </c>
      <c r="S82" s="81">
        <f>Tabla1[[#This Row],[CONSUMO OXIDANTE SOLUCIÓN(L)]]*Tabla1[[#This Row],[DENSIDAD OXIDANTE]]</f>
        <v>0</v>
      </c>
      <c r="T82" s="76" t="e">
        <f t="shared" si="41"/>
        <v>#DIV/0!</v>
      </c>
      <c r="U82" s="80" t="e">
        <f t="shared" si="42"/>
        <v>#DIV/0!</v>
      </c>
      <c r="V82" s="80" t="e">
        <f t="shared" si="43"/>
        <v>#DIV/0!</v>
      </c>
      <c r="W82" s="81" t="e">
        <f t="shared" si="44"/>
        <v>#DIV/0!</v>
      </c>
      <c r="X82" s="61">
        <v>1240000</v>
      </c>
      <c r="Y82" s="61">
        <v>1325000</v>
      </c>
      <c r="Z82" s="61">
        <v>2500</v>
      </c>
      <c r="AA82" s="228">
        <v>4.2000000000000003E-2</v>
      </c>
      <c r="AB82" s="60">
        <v>2446</v>
      </c>
      <c r="AC82" s="60">
        <v>2498</v>
      </c>
      <c r="AD82" s="60">
        <v>23800</v>
      </c>
      <c r="AE82" s="60">
        <v>3010</v>
      </c>
      <c r="AF82" s="66">
        <f t="shared" si="33"/>
        <v>0</v>
      </c>
      <c r="AG82" s="69">
        <f t="shared" si="34"/>
        <v>0</v>
      </c>
      <c r="AH82" s="69">
        <f t="shared" si="35"/>
        <v>0</v>
      </c>
      <c r="AI82" s="70">
        <f t="shared" si="36"/>
        <v>0</v>
      </c>
      <c r="AJ82" s="66">
        <f>SUM(Tabla1[[#This Row],[COSTO OPERATIVO ACIDO]:[COSTO OPERATIVO OXIDANTE]])</f>
        <v>0</v>
      </c>
      <c r="AK82" s="64">
        <v>2500</v>
      </c>
      <c r="AL82" s="64" t="e">
        <f t="shared" si="37"/>
        <v>#DIV/0!</v>
      </c>
    </row>
    <row r="83" spans="1:38" ht="15" thickBot="1" x14ac:dyDescent="0.35">
      <c r="A83" s="39">
        <f t="shared" ref="A83" si="45">A82+1</f>
        <v>46050</v>
      </c>
      <c r="B83" s="97">
        <f>DAY(Tabla1[[#This Row],[FECHA]])</f>
        <v>28</v>
      </c>
      <c r="C83" s="74" t="s">
        <v>18</v>
      </c>
      <c r="D83" s="89">
        <v>1</v>
      </c>
      <c r="E83" s="188" t="s">
        <v>46</v>
      </c>
      <c r="F83" s="217">
        <v>1232</v>
      </c>
      <c r="G83" s="218">
        <v>1655</v>
      </c>
      <c r="H83" s="230">
        <v>92.77</v>
      </c>
      <c r="I83" s="218">
        <v>0</v>
      </c>
      <c r="J83" s="217">
        <v>92806</v>
      </c>
      <c r="K83" s="226">
        <v>0</v>
      </c>
      <c r="L83" s="219">
        <f>F83-F84</f>
        <v>0</v>
      </c>
      <c r="M83" s="219">
        <f t="shared" si="32"/>
        <v>0</v>
      </c>
      <c r="N83" s="255">
        <f t="shared" si="32"/>
        <v>0</v>
      </c>
      <c r="O83" s="73">
        <f>Tabla1[[#This Row],[CONSUMO SOLUCIÓN OXIDANTE (L)]]</f>
        <v>0</v>
      </c>
      <c r="P83" s="71">
        <f t="shared" si="39"/>
        <v>0</v>
      </c>
      <c r="Q83" s="72">
        <f t="shared" si="40"/>
        <v>0</v>
      </c>
      <c r="R83" s="72">
        <f>Tabla1[[#This Row],[CONSUMO POL ANIONICO (KG)]]</f>
        <v>0</v>
      </c>
      <c r="S83" s="73">
        <f>Tabla1[[#This Row],[CONSUMO OXIDANTE SOLUCIÓN(L)]]*Tabla1[[#This Row],[DENSIDAD OXIDANTE]]</f>
        <v>0</v>
      </c>
      <c r="T83" s="71" t="e">
        <f t="shared" si="41"/>
        <v>#DIV/0!</v>
      </c>
      <c r="U83" s="72" t="e">
        <f t="shared" si="42"/>
        <v>#DIV/0!</v>
      </c>
      <c r="V83" s="72" t="e">
        <f t="shared" si="43"/>
        <v>#DIV/0!</v>
      </c>
      <c r="W83" s="73" t="e">
        <f t="shared" si="44"/>
        <v>#DIV/0!</v>
      </c>
      <c r="X83" s="61">
        <v>1240000</v>
      </c>
      <c r="Y83" s="61">
        <v>1325000</v>
      </c>
      <c r="Z83" s="61">
        <v>2500</v>
      </c>
      <c r="AA83" s="228">
        <v>4.2000000000000003E-2</v>
      </c>
      <c r="AB83" s="60">
        <v>2446</v>
      </c>
      <c r="AC83" s="60">
        <v>2498</v>
      </c>
      <c r="AD83" s="60">
        <v>23800</v>
      </c>
      <c r="AE83" s="60">
        <v>3010</v>
      </c>
      <c r="AF83" s="63">
        <f t="shared" si="33"/>
        <v>0</v>
      </c>
      <c r="AG83" s="64">
        <f t="shared" si="34"/>
        <v>0</v>
      </c>
      <c r="AH83" s="64">
        <f t="shared" si="35"/>
        <v>0</v>
      </c>
      <c r="AI83" s="65">
        <f t="shared" si="36"/>
        <v>0</v>
      </c>
      <c r="AJ83" s="63">
        <f>SUM(Tabla1[[#This Row],[COSTO OPERATIVO ACIDO]:[COSTO OPERATIVO OXIDANTE]])</f>
        <v>0</v>
      </c>
      <c r="AK83" s="64">
        <v>2500</v>
      </c>
      <c r="AL83" s="64" t="e">
        <f t="shared" si="37"/>
        <v>#DIV/0!</v>
      </c>
    </row>
    <row r="84" spans="1:38" ht="15" thickBot="1" x14ac:dyDescent="0.35">
      <c r="A84" s="40">
        <f t="shared" ref="A84:A85" si="46">A83</f>
        <v>46050</v>
      </c>
      <c r="B84" s="97">
        <f>DAY(Tabla1[[#This Row],[FECHA]])</f>
        <v>28</v>
      </c>
      <c r="C84" s="75" t="s">
        <v>19</v>
      </c>
      <c r="D84" s="90">
        <v>2</v>
      </c>
      <c r="E84" s="186" t="s">
        <v>48</v>
      </c>
      <c r="F84" s="222">
        <f>F83</f>
        <v>1232</v>
      </c>
      <c r="G84" s="223">
        <v>1655</v>
      </c>
      <c r="H84" s="231">
        <v>92.77</v>
      </c>
      <c r="I84" s="223">
        <v>0</v>
      </c>
      <c r="J84" s="222">
        <v>92806</v>
      </c>
      <c r="K84" s="226">
        <v>0</v>
      </c>
      <c r="L84" s="220">
        <f t="shared" si="38"/>
        <v>0</v>
      </c>
      <c r="M84" s="220">
        <f t="shared" si="32"/>
        <v>0</v>
      </c>
      <c r="N84" s="256">
        <f t="shared" si="32"/>
        <v>0</v>
      </c>
      <c r="O84" s="78">
        <f>Tabla1[[#This Row],[CONSUMO SOLUCIÓN OXIDANTE (L)]]</f>
        <v>0</v>
      </c>
      <c r="P84" s="76">
        <f t="shared" si="39"/>
        <v>0</v>
      </c>
      <c r="Q84" s="77">
        <f t="shared" si="40"/>
        <v>0</v>
      </c>
      <c r="R84" s="77">
        <f>Tabla1[[#This Row],[CONSUMO POL ANIONICO (KG)]]</f>
        <v>0</v>
      </c>
      <c r="S84" s="78">
        <f>Tabla1[[#This Row],[CONSUMO OXIDANTE SOLUCIÓN(L)]]*Tabla1[[#This Row],[DENSIDAD OXIDANTE]]</f>
        <v>0</v>
      </c>
      <c r="T84" s="76" t="e">
        <f t="shared" si="41"/>
        <v>#DIV/0!</v>
      </c>
      <c r="U84" s="77" t="e">
        <f t="shared" si="42"/>
        <v>#DIV/0!</v>
      </c>
      <c r="V84" s="77" t="e">
        <f t="shared" si="43"/>
        <v>#DIV/0!</v>
      </c>
      <c r="W84" s="78" t="e">
        <f t="shared" si="44"/>
        <v>#DIV/0!</v>
      </c>
      <c r="X84" s="61">
        <v>1240000</v>
      </c>
      <c r="Y84" s="61">
        <v>1325000</v>
      </c>
      <c r="Z84" s="61">
        <v>2500</v>
      </c>
      <c r="AA84" s="228">
        <v>4.2000000000000003E-2</v>
      </c>
      <c r="AB84" s="60">
        <v>2446</v>
      </c>
      <c r="AC84" s="60">
        <v>2498</v>
      </c>
      <c r="AD84" s="60">
        <v>23800</v>
      </c>
      <c r="AE84" s="60">
        <v>3010</v>
      </c>
      <c r="AF84" s="66">
        <f t="shared" si="33"/>
        <v>0</v>
      </c>
      <c r="AG84" s="67">
        <f t="shared" si="34"/>
        <v>0</v>
      </c>
      <c r="AH84" s="67">
        <f t="shared" si="35"/>
        <v>0</v>
      </c>
      <c r="AI84" s="68">
        <f t="shared" si="36"/>
        <v>0</v>
      </c>
      <c r="AJ84" s="66">
        <f>SUM(Tabla1[[#This Row],[COSTO OPERATIVO ACIDO]:[COSTO OPERATIVO OXIDANTE]])</f>
        <v>0</v>
      </c>
      <c r="AK84" s="64">
        <v>2500</v>
      </c>
      <c r="AL84" s="64" t="e">
        <f t="shared" si="37"/>
        <v>#DIV/0!</v>
      </c>
    </row>
    <row r="85" spans="1:38" ht="15" thickBot="1" x14ac:dyDescent="0.35">
      <c r="A85" s="41">
        <f t="shared" si="46"/>
        <v>46050</v>
      </c>
      <c r="B85" s="98">
        <f>DAY(Tabla1[[#This Row],[FECHA]])</f>
        <v>28</v>
      </c>
      <c r="C85" s="79" t="s">
        <v>20</v>
      </c>
      <c r="D85" s="91">
        <v>3</v>
      </c>
      <c r="E85" s="187" t="s">
        <v>47</v>
      </c>
      <c r="F85" s="222">
        <v>1232</v>
      </c>
      <c r="G85" s="223">
        <v>1655</v>
      </c>
      <c r="H85" s="231">
        <v>92.77</v>
      </c>
      <c r="I85" s="223">
        <v>0</v>
      </c>
      <c r="J85" s="259">
        <v>92806</v>
      </c>
      <c r="K85" s="226">
        <v>0</v>
      </c>
      <c r="L85" s="221">
        <f t="shared" si="38"/>
        <v>0</v>
      </c>
      <c r="M85" s="221">
        <f>G85-G86</f>
        <v>0</v>
      </c>
      <c r="N85" s="254">
        <f t="shared" si="32"/>
        <v>0</v>
      </c>
      <c r="O85" s="81">
        <f>Tabla1[[#This Row],[CONSUMO SOLUCIÓN OXIDANTE (L)]]</f>
        <v>0</v>
      </c>
      <c r="P85" s="76">
        <f t="shared" si="39"/>
        <v>0</v>
      </c>
      <c r="Q85" s="80">
        <f t="shared" si="40"/>
        <v>0</v>
      </c>
      <c r="R85" s="80">
        <f>Tabla1[[#This Row],[CONSUMO POL ANIONICO (KG)]]</f>
        <v>0</v>
      </c>
      <c r="S85" s="81">
        <f>Tabla1[[#This Row],[CONSUMO OXIDANTE SOLUCIÓN(L)]]*Tabla1[[#This Row],[DENSIDAD OXIDANTE]]</f>
        <v>0</v>
      </c>
      <c r="T85" s="76" t="e">
        <f t="shared" si="41"/>
        <v>#DIV/0!</v>
      </c>
      <c r="U85" s="80" t="e">
        <f t="shared" si="42"/>
        <v>#DIV/0!</v>
      </c>
      <c r="V85" s="80" t="e">
        <f t="shared" si="43"/>
        <v>#DIV/0!</v>
      </c>
      <c r="W85" s="81" t="e">
        <f t="shared" si="44"/>
        <v>#DIV/0!</v>
      </c>
      <c r="X85" s="61">
        <v>1240000</v>
      </c>
      <c r="Y85" s="61">
        <v>1325000</v>
      </c>
      <c r="Z85" s="61">
        <v>2500</v>
      </c>
      <c r="AA85" s="228">
        <v>4.2000000000000003E-2</v>
      </c>
      <c r="AB85" s="60">
        <v>2446</v>
      </c>
      <c r="AC85" s="60">
        <v>2498</v>
      </c>
      <c r="AD85" s="60">
        <v>23800</v>
      </c>
      <c r="AE85" s="60">
        <v>3010</v>
      </c>
      <c r="AF85" s="66">
        <f t="shared" si="33"/>
        <v>0</v>
      </c>
      <c r="AG85" s="69">
        <f t="shared" si="34"/>
        <v>0</v>
      </c>
      <c r="AH85" s="69">
        <f t="shared" si="35"/>
        <v>0</v>
      </c>
      <c r="AI85" s="70">
        <f t="shared" si="36"/>
        <v>0</v>
      </c>
      <c r="AJ85" s="66">
        <f>SUM(Tabla1[[#This Row],[COSTO OPERATIVO ACIDO]:[COSTO OPERATIVO OXIDANTE]])</f>
        <v>0</v>
      </c>
      <c r="AK85" s="64">
        <v>2500</v>
      </c>
      <c r="AL85" s="64" t="e">
        <f t="shared" si="37"/>
        <v>#DIV/0!</v>
      </c>
    </row>
    <row r="86" spans="1:38" ht="15" thickBot="1" x14ac:dyDescent="0.35">
      <c r="A86" s="39">
        <f t="shared" ref="A86" si="47">A85+1</f>
        <v>46051</v>
      </c>
      <c r="B86" s="97">
        <f>DAY(Tabla1[[#This Row],[FECHA]])</f>
        <v>29</v>
      </c>
      <c r="C86" s="74" t="s">
        <v>18</v>
      </c>
      <c r="D86" s="89">
        <v>1</v>
      </c>
      <c r="E86" s="188" t="s">
        <v>46</v>
      </c>
      <c r="F86" s="217">
        <v>1232</v>
      </c>
      <c r="G86" s="218">
        <v>1655</v>
      </c>
      <c r="H86" s="230">
        <v>92.77</v>
      </c>
      <c r="I86" s="218">
        <v>0</v>
      </c>
      <c r="J86" s="217">
        <v>92806</v>
      </c>
      <c r="K86" s="226">
        <v>0</v>
      </c>
      <c r="L86" s="219">
        <f t="shared" si="38"/>
        <v>0</v>
      </c>
      <c r="M86" s="219">
        <f>G86-G87</f>
        <v>0</v>
      </c>
      <c r="N86" s="255">
        <f t="shared" si="32"/>
        <v>0</v>
      </c>
      <c r="O86" s="73">
        <f>Tabla1[[#This Row],[CONSUMO SOLUCIÓN OXIDANTE (L)]]</f>
        <v>0</v>
      </c>
      <c r="P86" s="71">
        <f t="shared" ref="P86:P94" si="48">(L86*$X$2)/1000000</f>
        <v>0</v>
      </c>
      <c r="Q86" s="72">
        <f t="shared" ref="Q86:Q94" si="49">(M86*$Y$2)/1000000</f>
        <v>0</v>
      </c>
      <c r="R86" s="72">
        <f>Tabla1[[#This Row],[CONSUMO POL ANIONICO (KG)]]</f>
        <v>0</v>
      </c>
      <c r="S86" s="73">
        <f>Tabla1[[#This Row],[CONSUMO OXIDANTE SOLUCIÓN(L)]]*Tabla1[[#This Row],[DENSIDAD OXIDANTE]]</f>
        <v>0</v>
      </c>
      <c r="T86" s="71" t="e">
        <f t="shared" ref="T86:T94" si="50">(P86*1000)/K86</f>
        <v>#DIV/0!</v>
      </c>
      <c r="U86" s="72" t="e">
        <f t="shared" ref="U86:U94" si="51">(Q86*1000)/K86</f>
        <v>#DIV/0!</v>
      </c>
      <c r="V86" s="72" t="e">
        <f t="shared" ref="V86:V94" si="52">(R86*1000)/K86</f>
        <v>#DIV/0!</v>
      </c>
      <c r="W86" s="73" t="e">
        <f t="shared" ref="W86:W94" si="53">(S86*1000)/K86</f>
        <v>#DIV/0!</v>
      </c>
      <c r="X86" s="61">
        <v>1240000</v>
      </c>
      <c r="Y86" s="61">
        <v>1325000</v>
      </c>
      <c r="Z86" s="61">
        <v>2500</v>
      </c>
      <c r="AA86" s="228">
        <v>4.2000000000000003E-2</v>
      </c>
      <c r="AB86" s="60">
        <v>2446</v>
      </c>
      <c r="AC86" s="60">
        <v>2498</v>
      </c>
      <c r="AD86" s="60">
        <v>23800</v>
      </c>
      <c r="AE86" s="60">
        <v>3010</v>
      </c>
      <c r="AF86" s="63">
        <f t="shared" ref="AF86:AF94" si="54">P86*AB86</f>
        <v>0</v>
      </c>
      <c r="AG86" s="64">
        <f t="shared" ref="AG86:AG94" si="55">Q86*AC86</f>
        <v>0</v>
      </c>
      <c r="AH86" s="64">
        <f t="shared" ref="AH86:AH94" si="56">R86*AD86</f>
        <v>0</v>
      </c>
      <c r="AI86" s="65">
        <f t="shared" ref="AI86:AI94" si="57">S86*AE86</f>
        <v>0</v>
      </c>
      <c r="AJ86" s="63">
        <f>SUM(Tabla1[[#This Row],[COSTO OPERATIVO ACIDO]:[COSTO OPERATIVO OXIDANTE]])</f>
        <v>0</v>
      </c>
      <c r="AK86" s="64">
        <v>2500</v>
      </c>
      <c r="AL86" s="64" t="e">
        <f t="shared" ref="AL86:AL94" si="58">AJ86/K86</f>
        <v>#DIV/0!</v>
      </c>
    </row>
    <row r="87" spans="1:38" ht="15" thickBot="1" x14ac:dyDescent="0.35">
      <c r="A87" s="40">
        <f t="shared" ref="A87:A88" si="59">A86</f>
        <v>46051</v>
      </c>
      <c r="B87" s="97">
        <f>DAY(Tabla1[[#This Row],[FECHA]])</f>
        <v>29</v>
      </c>
      <c r="C87" s="75" t="s">
        <v>19</v>
      </c>
      <c r="D87" s="90">
        <v>2</v>
      </c>
      <c r="E87" s="186" t="s">
        <v>48</v>
      </c>
      <c r="F87" s="222">
        <v>1232</v>
      </c>
      <c r="G87" s="223">
        <v>1655</v>
      </c>
      <c r="H87" s="231">
        <v>92.77</v>
      </c>
      <c r="I87" s="223">
        <v>0</v>
      </c>
      <c r="J87" s="222">
        <v>92826</v>
      </c>
      <c r="K87" s="226">
        <v>0</v>
      </c>
      <c r="L87" s="220">
        <f t="shared" ref="L87:L94" si="60">F87-F88</f>
        <v>0</v>
      </c>
      <c r="M87" s="220">
        <f t="shared" si="32"/>
        <v>0</v>
      </c>
      <c r="N87" s="256">
        <f t="shared" si="32"/>
        <v>0</v>
      </c>
      <c r="O87" s="78">
        <f>Tabla1[[#This Row],[CONSUMO SOLUCIÓN OXIDANTE (L)]]</f>
        <v>0</v>
      </c>
      <c r="P87" s="76">
        <f t="shared" si="48"/>
        <v>0</v>
      </c>
      <c r="Q87" s="77">
        <f t="shared" si="49"/>
        <v>0</v>
      </c>
      <c r="R87" s="77">
        <f>Tabla1[[#This Row],[CONSUMO POL ANIONICO (KG)]]</f>
        <v>0</v>
      </c>
      <c r="S87" s="78">
        <f>Tabla1[[#This Row],[CONSUMO OXIDANTE SOLUCIÓN(L)]]*Tabla1[[#This Row],[DENSIDAD OXIDANTE]]</f>
        <v>0</v>
      </c>
      <c r="T87" s="76" t="e">
        <f t="shared" si="50"/>
        <v>#DIV/0!</v>
      </c>
      <c r="U87" s="77" t="e">
        <f t="shared" si="51"/>
        <v>#DIV/0!</v>
      </c>
      <c r="V87" s="77" t="e">
        <f t="shared" si="52"/>
        <v>#DIV/0!</v>
      </c>
      <c r="W87" s="78" t="e">
        <f t="shared" si="53"/>
        <v>#DIV/0!</v>
      </c>
      <c r="X87" s="61">
        <v>1240000</v>
      </c>
      <c r="Y87" s="61">
        <v>1325000</v>
      </c>
      <c r="Z87" s="61">
        <v>2500</v>
      </c>
      <c r="AA87" s="228">
        <v>4.2000000000000003E-2</v>
      </c>
      <c r="AB87" s="60">
        <v>2446</v>
      </c>
      <c r="AC87" s="60">
        <v>2498</v>
      </c>
      <c r="AD87" s="60">
        <v>23800</v>
      </c>
      <c r="AE87" s="60">
        <v>3010</v>
      </c>
      <c r="AF87" s="66">
        <f t="shared" si="54"/>
        <v>0</v>
      </c>
      <c r="AG87" s="67">
        <f t="shared" si="55"/>
        <v>0</v>
      </c>
      <c r="AH87" s="67">
        <f t="shared" si="56"/>
        <v>0</v>
      </c>
      <c r="AI87" s="68">
        <f t="shared" si="57"/>
        <v>0</v>
      </c>
      <c r="AJ87" s="66">
        <f>SUM(Tabla1[[#This Row],[COSTO OPERATIVO ACIDO]:[COSTO OPERATIVO OXIDANTE]])</f>
        <v>0</v>
      </c>
      <c r="AK87" s="64">
        <v>2500</v>
      </c>
      <c r="AL87" s="64" t="e">
        <f t="shared" si="58"/>
        <v>#DIV/0!</v>
      </c>
    </row>
    <row r="88" spans="1:38" ht="15" thickBot="1" x14ac:dyDescent="0.35">
      <c r="A88" s="41">
        <f t="shared" si="59"/>
        <v>46051</v>
      </c>
      <c r="B88" s="98">
        <f>DAY(Tabla1[[#This Row],[FECHA]])</f>
        <v>29</v>
      </c>
      <c r="C88" s="79" t="s">
        <v>20</v>
      </c>
      <c r="D88" s="91">
        <v>3</v>
      </c>
      <c r="E88" s="187" t="s">
        <v>47</v>
      </c>
      <c r="F88" s="222">
        <v>1232</v>
      </c>
      <c r="G88" s="223">
        <v>1655</v>
      </c>
      <c r="H88" s="231">
        <v>92.77</v>
      </c>
      <c r="I88" s="223">
        <v>0</v>
      </c>
      <c r="J88" s="259">
        <v>92826</v>
      </c>
      <c r="K88" s="226">
        <v>0</v>
      </c>
      <c r="L88" s="221">
        <f t="shared" si="60"/>
        <v>0</v>
      </c>
      <c r="M88" s="221">
        <f t="shared" si="32"/>
        <v>0</v>
      </c>
      <c r="N88" s="254">
        <f t="shared" si="32"/>
        <v>0</v>
      </c>
      <c r="O88" s="81">
        <f>Tabla1[[#This Row],[CONSUMO SOLUCIÓN OXIDANTE (L)]]</f>
        <v>0</v>
      </c>
      <c r="P88" s="76">
        <f t="shared" si="48"/>
        <v>0</v>
      </c>
      <c r="Q88" s="80">
        <f t="shared" si="49"/>
        <v>0</v>
      </c>
      <c r="R88" s="80">
        <f>Tabla1[[#This Row],[CONSUMO POL ANIONICO (KG)]]</f>
        <v>0</v>
      </c>
      <c r="S88" s="81">
        <f>Tabla1[[#This Row],[CONSUMO OXIDANTE SOLUCIÓN(L)]]*Tabla1[[#This Row],[DENSIDAD OXIDANTE]]</f>
        <v>0</v>
      </c>
      <c r="T88" s="76" t="e">
        <f t="shared" si="50"/>
        <v>#DIV/0!</v>
      </c>
      <c r="U88" s="80" t="e">
        <f t="shared" si="51"/>
        <v>#DIV/0!</v>
      </c>
      <c r="V88" s="80" t="e">
        <f t="shared" si="52"/>
        <v>#DIV/0!</v>
      </c>
      <c r="W88" s="81" t="e">
        <f t="shared" si="53"/>
        <v>#DIV/0!</v>
      </c>
      <c r="X88" s="61">
        <v>1240000</v>
      </c>
      <c r="Y88" s="61">
        <v>1325000</v>
      </c>
      <c r="Z88" s="61">
        <v>2500</v>
      </c>
      <c r="AA88" s="228">
        <v>4.2000000000000003E-2</v>
      </c>
      <c r="AB88" s="60">
        <v>2446</v>
      </c>
      <c r="AC88" s="60">
        <v>2498</v>
      </c>
      <c r="AD88" s="60">
        <v>23800</v>
      </c>
      <c r="AE88" s="60">
        <v>3010</v>
      </c>
      <c r="AF88" s="66">
        <f t="shared" si="54"/>
        <v>0</v>
      </c>
      <c r="AG88" s="69">
        <f t="shared" si="55"/>
        <v>0</v>
      </c>
      <c r="AH88" s="69">
        <f t="shared" si="56"/>
        <v>0</v>
      </c>
      <c r="AI88" s="70">
        <f t="shared" si="57"/>
        <v>0</v>
      </c>
      <c r="AJ88" s="66">
        <f>SUM(Tabla1[[#This Row],[COSTO OPERATIVO ACIDO]:[COSTO OPERATIVO OXIDANTE]])</f>
        <v>0</v>
      </c>
      <c r="AK88" s="64">
        <v>2500</v>
      </c>
      <c r="AL88" s="64" t="e">
        <f t="shared" si="58"/>
        <v>#DIV/0!</v>
      </c>
    </row>
    <row r="89" spans="1:38" ht="15" thickBot="1" x14ac:dyDescent="0.35">
      <c r="A89" s="39">
        <f>A88+1</f>
        <v>46052</v>
      </c>
      <c r="B89" s="97">
        <f>DAY(Tabla1[[#This Row],[FECHA]])</f>
        <v>30</v>
      </c>
      <c r="C89" s="74" t="s">
        <v>18</v>
      </c>
      <c r="D89" s="89">
        <v>1</v>
      </c>
      <c r="E89" s="89" t="s">
        <v>46</v>
      </c>
      <c r="F89" s="217">
        <v>1232</v>
      </c>
      <c r="G89" s="218">
        <v>1655</v>
      </c>
      <c r="H89" s="230">
        <v>92.77</v>
      </c>
      <c r="I89" s="218">
        <v>0</v>
      </c>
      <c r="J89" s="217">
        <v>92826</v>
      </c>
      <c r="K89" s="226">
        <v>0</v>
      </c>
      <c r="L89" s="219">
        <f t="shared" si="60"/>
        <v>0</v>
      </c>
      <c r="M89" s="219">
        <f t="shared" si="32"/>
        <v>0</v>
      </c>
      <c r="N89" s="255">
        <f t="shared" si="32"/>
        <v>0</v>
      </c>
      <c r="O89" s="73">
        <f>Tabla1[[#This Row],[CONSUMO SOLUCIÓN OXIDANTE (L)]]</f>
        <v>0</v>
      </c>
      <c r="P89" s="71">
        <f t="shared" si="48"/>
        <v>0</v>
      </c>
      <c r="Q89" s="72">
        <f t="shared" si="49"/>
        <v>0</v>
      </c>
      <c r="R89" s="72">
        <f>Tabla1[[#This Row],[CONSUMO POL ANIONICO (KG)]]</f>
        <v>0</v>
      </c>
      <c r="S89" s="73">
        <f>Tabla1[[#This Row],[CONSUMO OXIDANTE SOLUCIÓN(L)]]*Tabla1[[#This Row],[DENSIDAD OXIDANTE]]</f>
        <v>0</v>
      </c>
      <c r="T89" s="71" t="e">
        <f t="shared" si="50"/>
        <v>#DIV/0!</v>
      </c>
      <c r="U89" s="72" t="e">
        <f t="shared" si="51"/>
        <v>#DIV/0!</v>
      </c>
      <c r="V89" s="72" t="e">
        <f t="shared" si="52"/>
        <v>#DIV/0!</v>
      </c>
      <c r="W89" s="73" t="e">
        <f t="shared" si="53"/>
        <v>#DIV/0!</v>
      </c>
      <c r="X89" s="61">
        <v>1240000</v>
      </c>
      <c r="Y89" s="61">
        <v>1325000</v>
      </c>
      <c r="Z89" s="61">
        <v>2500</v>
      </c>
      <c r="AA89" s="228">
        <v>4.2000000000000003E-2</v>
      </c>
      <c r="AB89" s="60">
        <v>2446</v>
      </c>
      <c r="AC89" s="60">
        <v>2498</v>
      </c>
      <c r="AD89" s="60">
        <v>23800</v>
      </c>
      <c r="AE89" s="60">
        <v>3010</v>
      </c>
      <c r="AF89" s="63">
        <f t="shared" si="54"/>
        <v>0</v>
      </c>
      <c r="AG89" s="64">
        <f t="shared" si="55"/>
        <v>0</v>
      </c>
      <c r="AH89" s="64">
        <f t="shared" si="56"/>
        <v>0</v>
      </c>
      <c r="AI89" s="65">
        <f t="shared" si="57"/>
        <v>0</v>
      </c>
      <c r="AJ89" s="63">
        <f>SUM(Tabla1[[#This Row],[COSTO OPERATIVO ACIDO]:[COSTO OPERATIVO OXIDANTE]])</f>
        <v>0</v>
      </c>
      <c r="AK89" s="64">
        <v>2500</v>
      </c>
      <c r="AL89" s="64" t="e">
        <f t="shared" si="58"/>
        <v>#DIV/0!</v>
      </c>
    </row>
    <row r="90" spans="1:38" ht="15" thickBot="1" x14ac:dyDescent="0.35">
      <c r="A90" s="40">
        <f>A89</f>
        <v>46052</v>
      </c>
      <c r="B90" s="97">
        <f>DAY(Tabla1[[#This Row],[FECHA]])</f>
        <v>30</v>
      </c>
      <c r="C90" s="75" t="s">
        <v>19</v>
      </c>
      <c r="D90" s="90">
        <v>2</v>
      </c>
      <c r="E90" s="90" t="s">
        <v>48</v>
      </c>
      <c r="F90" s="222">
        <v>1232</v>
      </c>
      <c r="G90" s="223">
        <v>1655</v>
      </c>
      <c r="H90" s="231">
        <v>92.77</v>
      </c>
      <c r="I90" s="223">
        <v>0</v>
      </c>
      <c r="J90" s="222">
        <v>92826</v>
      </c>
      <c r="K90" s="226">
        <v>0</v>
      </c>
      <c r="L90" s="220">
        <f t="shared" si="60"/>
        <v>0</v>
      </c>
      <c r="M90" s="220">
        <f t="shared" si="32"/>
        <v>0</v>
      </c>
      <c r="N90" s="256">
        <f t="shared" si="32"/>
        <v>0</v>
      </c>
      <c r="O90" s="78">
        <f>Tabla1[[#This Row],[CONSUMO SOLUCIÓN OXIDANTE (L)]]</f>
        <v>0</v>
      </c>
      <c r="P90" s="76">
        <f t="shared" si="48"/>
        <v>0</v>
      </c>
      <c r="Q90" s="77">
        <f t="shared" si="49"/>
        <v>0</v>
      </c>
      <c r="R90" s="77">
        <f>Tabla1[[#This Row],[CONSUMO POL ANIONICO (KG)]]</f>
        <v>0</v>
      </c>
      <c r="S90" s="78">
        <f>Tabla1[[#This Row],[CONSUMO OXIDANTE SOLUCIÓN(L)]]*Tabla1[[#This Row],[DENSIDAD OXIDANTE]]</f>
        <v>0</v>
      </c>
      <c r="T90" s="76" t="e">
        <f t="shared" si="50"/>
        <v>#DIV/0!</v>
      </c>
      <c r="U90" s="77" t="e">
        <f t="shared" si="51"/>
        <v>#DIV/0!</v>
      </c>
      <c r="V90" s="77" t="e">
        <f t="shared" si="52"/>
        <v>#DIV/0!</v>
      </c>
      <c r="W90" s="78" t="e">
        <f t="shared" si="53"/>
        <v>#DIV/0!</v>
      </c>
      <c r="X90" s="61">
        <v>1240000</v>
      </c>
      <c r="Y90" s="61">
        <v>1325000</v>
      </c>
      <c r="Z90" s="61">
        <v>2500</v>
      </c>
      <c r="AA90" s="228">
        <v>4.2000000000000003E-2</v>
      </c>
      <c r="AB90" s="60">
        <v>2446</v>
      </c>
      <c r="AC90" s="60">
        <v>2498</v>
      </c>
      <c r="AD90" s="60">
        <v>23800</v>
      </c>
      <c r="AE90" s="60">
        <v>3010</v>
      </c>
      <c r="AF90" s="66">
        <f t="shared" si="54"/>
        <v>0</v>
      </c>
      <c r="AG90" s="67">
        <f t="shared" si="55"/>
        <v>0</v>
      </c>
      <c r="AH90" s="67">
        <f t="shared" si="56"/>
        <v>0</v>
      </c>
      <c r="AI90" s="68">
        <f t="shared" si="57"/>
        <v>0</v>
      </c>
      <c r="AJ90" s="66">
        <f>SUM(Tabla1[[#This Row],[COSTO OPERATIVO ACIDO]:[COSTO OPERATIVO OXIDANTE]])</f>
        <v>0</v>
      </c>
      <c r="AK90" s="64">
        <v>2500</v>
      </c>
      <c r="AL90" s="64" t="e">
        <f t="shared" si="58"/>
        <v>#DIV/0!</v>
      </c>
    </row>
    <row r="91" spans="1:38" ht="15" thickBot="1" x14ac:dyDescent="0.35">
      <c r="A91" s="41">
        <f>A90</f>
        <v>46052</v>
      </c>
      <c r="B91" s="98">
        <f>DAY(Tabla1[[#This Row],[FECHA]])</f>
        <v>30</v>
      </c>
      <c r="C91" s="79" t="s">
        <v>20</v>
      </c>
      <c r="D91" s="91">
        <v>3</v>
      </c>
      <c r="E91" s="91" t="s">
        <v>47</v>
      </c>
      <c r="F91" s="222">
        <v>1232</v>
      </c>
      <c r="G91" s="223">
        <v>1655</v>
      </c>
      <c r="H91" s="231">
        <v>92.77</v>
      </c>
      <c r="I91" s="223">
        <v>0</v>
      </c>
      <c r="J91" s="259">
        <v>92826</v>
      </c>
      <c r="K91" s="226">
        <v>0</v>
      </c>
      <c r="L91" s="221">
        <f t="shared" si="60"/>
        <v>0</v>
      </c>
      <c r="M91" s="221">
        <f t="shared" si="32"/>
        <v>0</v>
      </c>
      <c r="N91" s="254">
        <f t="shared" si="32"/>
        <v>0</v>
      </c>
      <c r="O91" s="81">
        <f>Tabla1[[#This Row],[CONSUMO SOLUCIÓN OXIDANTE (L)]]</f>
        <v>0</v>
      </c>
      <c r="P91" s="76">
        <f t="shared" si="48"/>
        <v>0</v>
      </c>
      <c r="Q91" s="80">
        <f t="shared" si="49"/>
        <v>0</v>
      </c>
      <c r="R91" s="80">
        <f>Tabla1[[#This Row],[CONSUMO POL ANIONICO (KG)]]</f>
        <v>0</v>
      </c>
      <c r="S91" s="81">
        <f>Tabla1[[#This Row],[CONSUMO OXIDANTE SOLUCIÓN(L)]]*Tabla1[[#This Row],[DENSIDAD OXIDANTE]]</f>
        <v>0</v>
      </c>
      <c r="T91" s="76" t="e">
        <f t="shared" si="50"/>
        <v>#DIV/0!</v>
      </c>
      <c r="U91" s="80" t="e">
        <f t="shared" si="51"/>
        <v>#DIV/0!</v>
      </c>
      <c r="V91" s="80" t="e">
        <f t="shared" si="52"/>
        <v>#DIV/0!</v>
      </c>
      <c r="W91" s="81" t="e">
        <f t="shared" si="53"/>
        <v>#DIV/0!</v>
      </c>
      <c r="X91" s="61">
        <v>1240000</v>
      </c>
      <c r="Y91" s="61">
        <v>1325000</v>
      </c>
      <c r="Z91" s="61">
        <v>2500</v>
      </c>
      <c r="AA91" s="228">
        <v>4.2000000000000003E-2</v>
      </c>
      <c r="AB91" s="60">
        <v>2446</v>
      </c>
      <c r="AC91" s="60">
        <v>2498</v>
      </c>
      <c r="AD91" s="60">
        <v>23800</v>
      </c>
      <c r="AE91" s="60">
        <v>3010</v>
      </c>
      <c r="AF91" s="66">
        <f t="shared" si="54"/>
        <v>0</v>
      </c>
      <c r="AG91" s="69">
        <f t="shared" si="55"/>
        <v>0</v>
      </c>
      <c r="AH91" s="69">
        <f t="shared" si="56"/>
        <v>0</v>
      </c>
      <c r="AI91" s="70">
        <f t="shared" si="57"/>
        <v>0</v>
      </c>
      <c r="AJ91" s="66">
        <f>SUM(Tabla1[[#This Row],[COSTO OPERATIVO ACIDO]:[COSTO OPERATIVO OXIDANTE]])</f>
        <v>0</v>
      </c>
      <c r="AK91" s="64">
        <v>2500</v>
      </c>
      <c r="AL91" s="64" t="e">
        <f t="shared" si="58"/>
        <v>#DIV/0!</v>
      </c>
    </row>
    <row r="92" spans="1:38" ht="15" thickBot="1" x14ac:dyDescent="0.35">
      <c r="A92" s="39">
        <f>A91+1</f>
        <v>46053</v>
      </c>
      <c r="B92" s="97">
        <f>DAY(Tabla1[[#This Row],[FECHA]])</f>
        <v>31</v>
      </c>
      <c r="C92" s="74" t="s">
        <v>95</v>
      </c>
      <c r="D92" s="89">
        <v>4</v>
      </c>
      <c r="E92" s="89" t="s">
        <v>46</v>
      </c>
      <c r="F92" s="217">
        <v>1232</v>
      </c>
      <c r="G92" s="218">
        <v>1655</v>
      </c>
      <c r="H92" s="230">
        <v>92.77</v>
      </c>
      <c r="I92" s="218">
        <v>0</v>
      </c>
      <c r="J92" s="217">
        <v>92826</v>
      </c>
      <c r="K92" s="226">
        <v>0</v>
      </c>
      <c r="L92" s="219">
        <f t="shared" si="60"/>
        <v>0</v>
      </c>
      <c r="M92" s="219">
        <f t="shared" si="32"/>
        <v>0</v>
      </c>
      <c r="N92" s="255">
        <f t="shared" si="32"/>
        <v>0</v>
      </c>
      <c r="O92" s="73">
        <f>Tabla1[[#This Row],[CONSUMO SOLUCIÓN OXIDANTE (L)]]</f>
        <v>0</v>
      </c>
      <c r="P92" s="71">
        <f t="shared" si="48"/>
        <v>0</v>
      </c>
      <c r="Q92" s="72">
        <f t="shared" si="49"/>
        <v>0</v>
      </c>
      <c r="R92" s="72">
        <f>Tabla1[[#This Row],[CONSUMO POL ANIONICO (KG)]]</f>
        <v>0</v>
      </c>
      <c r="S92" s="73">
        <f>Tabla1[[#This Row],[CONSUMO OXIDANTE SOLUCIÓN(L)]]*Tabla1[[#This Row],[DENSIDAD OXIDANTE]]</f>
        <v>0</v>
      </c>
      <c r="T92" s="71" t="e">
        <f t="shared" si="50"/>
        <v>#DIV/0!</v>
      </c>
      <c r="U92" s="72" t="e">
        <f t="shared" si="51"/>
        <v>#DIV/0!</v>
      </c>
      <c r="V92" s="72" t="e">
        <f t="shared" si="52"/>
        <v>#DIV/0!</v>
      </c>
      <c r="W92" s="73" t="e">
        <f t="shared" si="53"/>
        <v>#DIV/0!</v>
      </c>
      <c r="X92" s="61">
        <v>1240000</v>
      </c>
      <c r="Y92" s="61">
        <v>1325000</v>
      </c>
      <c r="Z92" s="61">
        <v>2500</v>
      </c>
      <c r="AA92" s="228">
        <v>4.2000000000000003E-2</v>
      </c>
      <c r="AB92" s="60">
        <v>2446</v>
      </c>
      <c r="AC92" s="60">
        <v>2498</v>
      </c>
      <c r="AD92" s="60">
        <v>23800</v>
      </c>
      <c r="AE92" s="60">
        <v>3010</v>
      </c>
      <c r="AF92" s="63">
        <f t="shared" si="54"/>
        <v>0</v>
      </c>
      <c r="AG92" s="64">
        <f t="shared" si="55"/>
        <v>0</v>
      </c>
      <c r="AH92" s="64">
        <f t="shared" si="56"/>
        <v>0</v>
      </c>
      <c r="AI92" s="65">
        <f t="shared" si="57"/>
        <v>0</v>
      </c>
      <c r="AJ92" s="63">
        <f>SUM(Tabla1[[#This Row],[COSTO OPERATIVO ACIDO]:[COSTO OPERATIVO OXIDANTE]])</f>
        <v>0</v>
      </c>
      <c r="AK92" s="64">
        <v>2500</v>
      </c>
      <c r="AL92" s="64" t="e">
        <f t="shared" si="58"/>
        <v>#DIV/0!</v>
      </c>
    </row>
    <row r="93" spans="1:38" ht="15" thickBot="1" x14ac:dyDescent="0.35">
      <c r="A93" s="40">
        <f>A92</f>
        <v>46053</v>
      </c>
      <c r="B93" s="97">
        <f>DAY(Tabla1[[#This Row],[FECHA]])</f>
        <v>31</v>
      </c>
      <c r="C93" s="75" t="s">
        <v>96</v>
      </c>
      <c r="D93" s="90">
        <v>5</v>
      </c>
      <c r="E93" s="90" t="s">
        <v>48</v>
      </c>
      <c r="F93" s="222">
        <v>1232</v>
      </c>
      <c r="G93" s="223">
        <v>1655</v>
      </c>
      <c r="H93" s="231">
        <v>92.77</v>
      </c>
      <c r="I93" s="223">
        <v>0</v>
      </c>
      <c r="J93" s="222">
        <v>92826</v>
      </c>
      <c r="K93" s="226">
        <v>0</v>
      </c>
      <c r="L93" s="220">
        <f t="shared" si="60"/>
        <v>0</v>
      </c>
      <c r="M93" s="220">
        <f t="shared" si="32"/>
        <v>0</v>
      </c>
      <c r="N93" s="256">
        <f t="shared" si="32"/>
        <v>0</v>
      </c>
      <c r="O93" s="78">
        <f>Tabla1[[#This Row],[CONSUMO SOLUCIÓN OXIDANTE (L)]]</f>
        <v>0</v>
      </c>
      <c r="P93" s="76">
        <f t="shared" si="48"/>
        <v>0</v>
      </c>
      <c r="Q93" s="77">
        <f t="shared" si="49"/>
        <v>0</v>
      </c>
      <c r="R93" s="77">
        <f>Tabla1[[#This Row],[CONSUMO POL ANIONICO (KG)]]</f>
        <v>0</v>
      </c>
      <c r="S93" s="78">
        <f>Tabla1[[#This Row],[CONSUMO OXIDANTE SOLUCIÓN(L)]]*Tabla1[[#This Row],[DENSIDAD OXIDANTE]]</f>
        <v>0</v>
      </c>
      <c r="T93" s="76" t="e">
        <f t="shared" si="50"/>
        <v>#DIV/0!</v>
      </c>
      <c r="U93" s="77" t="e">
        <f t="shared" si="51"/>
        <v>#DIV/0!</v>
      </c>
      <c r="V93" s="77" t="e">
        <f t="shared" si="52"/>
        <v>#DIV/0!</v>
      </c>
      <c r="W93" s="78" t="e">
        <f t="shared" si="53"/>
        <v>#DIV/0!</v>
      </c>
      <c r="X93" s="61">
        <v>1240000</v>
      </c>
      <c r="Y93" s="61">
        <v>1325000</v>
      </c>
      <c r="Z93" s="61">
        <v>2500</v>
      </c>
      <c r="AA93" s="228">
        <v>4.2000000000000003E-2</v>
      </c>
      <c r="AB93" s="60">
        <v>2446</v>
      </c>
      <c r="AC93" s="60">
        <v>2498</v>
      </c>
      <c r="AD93" s="60">
        <v>23800</v>
      </c>
      <c r="AE93" s="60">
        <v>3010</v>
      </c>
      <c r="AF93" s="66">
        <f t="shared" si="54"/>
        <v>0</v>
      </c>
      <c r="AG93" s="67">
        <f t="shared" si="55"/>
        <v>0</v>
      </c>
      <c r="AH93" s="67">
        <f t="shared" si="56"/>
        <v>0</v>
      </c>
      <c r="AI93" s="68">
        <f t="shared" si="57"/>
        <v>0</v>
      </c>
      <c r="AJ93" s="66">
        <f>SUM(Tabla1[[#This Row],[COSTO OPERATIVO ACIDO]:[COSTO OPERATIVO OXIDANTE]])</f>
        <v>0</v>
      </c>
      <c r="AK93" s="64">
        <v>2500</v>
      </c>
      <c r="AL93" s="64" t="e">
        <f t="shared" si="58"/>
        <v>#DIV/0!</v>
      </c>
    </row>
    <row r="94" spans="1:38" ht="15" thickBot="1" x14ac:dyDescent="0.35">
      <c r="A94" s="41">
        <f>A93</f>
        <v>46053</v>
      </c>
      <c r="B94" s="98">
        <f>DAY(Tabla1[[#This Row],[FECHA]])</f>
        <v>31</v>
      </c>
      <c r="C94" s="79" t="s">
        <v>20</v>
      </c>
      <c r="D94" s="91">
        <v>6</v>
      </c>
      <c r="E94" s="91" t="s">
        <v>47</v>
      </c>
      <c r="F94" s="222">
        <v>1232</v>
      </c>
      <c r="G94" s="223">
        <v>1655</v>
      </c>
      <c r="H94" s="231">
        <v>92.77</v>
      </c>
      <c r="I94" s="223">
        <v>0</v>
      </c>
      <c r="J94" s="259">
        <v>92826</v>
      </c>
      <c r="K94" s="226">
        <v>0</v>
      </c>
      <c r="L94" s="221">
        <f t="shared" si="60"/>
        <v>1232</v>
      </c>
      <c r="M94" s="221">
        <f t="shared" si="32"/>
        <v>1655</v>
      </c>
      <c r="N94" s="254">
        <f t="shared" si="32"/>
        <v>92.77</v>
      </c>
      <c r="O94" s="81">
        <f>Tabla1[[#This Row],[CONSUMO SOLUCIÓN OXIDANTE (L)]]</f>
        <v>0</v>
      </c>
      <c r="P94" s="257">
        <f t="shared" si="48"/>
        <v>1527.68</v>
      </c>
      <c r="Q94" s="80">
        <f t="shared" si="49"/>
        <v>2192.875</v>
      </c>
      <c r="R94" s="80">
        <f>Tabla1[[#This Row],[CONSUMO POL ANIONICO (KG)]]</f>
        <v>92.77</v>
      </c>
      <c r="S94" s="81">
        <f>Tabla1[[#This Row],[CONSUMO OXIDANTE SOLUCIÓN(L)]]*Tabla1[[#This Row],[DENSIDAD OXIDANTE]]</f>
        <v>0</v>
      </c>
      <c r="T94" s="76" t="e">
        <f t="shared" si="50"/>
        <v>#DIV/0!</v>
      </c>
      <c r="U94" s="80" t="e">
        <f t="shared" si="51"/>
        <v>#DIV/0!</v>
      </c>
      <c r="V94" s="80" t="e">
        <f t="shared" si="52"/>
        <v>#DIV/0!</v>
      </c>
      <c r="W94" s="81" t="e">
        <f t="shared" si="53"/>
        <v>#DIV/0!</v>
      </c>
      <c r="X94" s="61">
        <v>1240000</v>
      </c>
      <c r="Y94" s="61">
        <v>1325000</v>
      </c>
      <c r="Z94" s="61">
        <v>2500</v>
      </c>
      <c r="AA94" s="228">
        <v>4.2000000000000003E-2</v>
      </c>
      <c r="AB94" s="60">
        <v>2446</v>
      </c>
      <c r="AC94" s="60">
        <v>2498</v>
      </c>
      <c r="AD94" s="60">
        <v>23800</v>
      </c>
      <c r="AE94" s="60">
        <v>3010</v>
      </c>
      <c r="AF94" s="66">
        <f t="shared" si="54"/>
        <v>3736705.2800000003</v>
      </c>
      <c r="AG94" s="69">
        <f t="shared" si="55"/>
        <v>5477801.75</v>
      </c>
      <c r="AH94" s="69">
        <f t="shared" si="56"/>
        <v>2207926</v>
      </c>
      <c r="AI94" s="70">
        <f t="shared" si="57"/>
        <v>0</v>
      </c>
      <c r="AJ94" s="66">
        <f>SUM(Tabla1[[#This Row],[COSTO OPERATIVO ACIDO]:[COSTO OPERATIVO OXIDANTE]])</f>
        <v>11422433.030000001</v>
      </c>
      <c r="AK94" s="64">
        <v>2500</v>
      </c>
      <c r="AL94" s="64" t="e">
        <f t="shared" si="58"/>
        <v>#DIV/0!</v>
      </c>
    </row>
    <row r="95" spans="1:38" x14ac:dyDescent="0.3">
      <c r="L95" s="94"/>
      <c r="M95" s="94"/>
      <c r="N95" s="258"/>
      <c r="O95" s="94"/>
      <c r="P95" s="94"/>
      <c r="Q95" s="94"/>
      <c r="R95" s="94"/>
      <c r="S95" s="94">
        <f>SUM(Tabla1[KG OXIDANTE])</f>
        <v>4.3680000000000003</v>
      </c>
    </row>
  </sheetData>
  <protectedRanges>
    <protectedRange sqref="J1:K1" name="Rango1_3_1_1_2"/>
  </protectedRanges>
  <phoneticPr fontId="13" type="noConversion"/>
  <conditionalFormatting sqref="L1:S94 AF2:AI4 L96:S1048576">
    <cfRule type="cellIs" dxfId="547" priority="6" operator="lessThan">
      <formula>0</formula>
    </cfRule>
  </conditionalFormatting>
  <conditionalFormatting sqref="AJ2:AJ4 AL2:AL94">
    <cfRule type="cellIs" dxfId="546" priority="3" operator="lessThan">
      <formula>0</formula>
    </cfRule>
  </conditionalFormatting>
  <conditionalFormatting sqref="AK2:AK94">
    <cfRule type="cellIs" dxfId="545" priority="2" operator="lessThan">
      <formula>0</formula>
    </cfRule>
  </conditionalFormatting>
  <conditionalFormatting sqref="AL1:AL94 AL96:AL1048576">
    <cfRule type="cellIs" dxfId="544" priority="1" operator="greaterThan">
      <formula>5250</formula>
    </cfRule>
  </conditionalFormatting>
  <pageMargins left="0.7" right="0.7" top="0.75" bottom="0.75" header="0.3" footer="0.3"/>
  <pageSetup orientation="portrait" r:id="rId1"/>
  <ignoredErrors>
    <ignoredError sqref="I2:J2" numberStoredAsText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B93"/>
  <sheetViews>
    <sheetView tabSelected="1" topLeftCell="A31" zoomScale="70" zoomScaleNormal="70" workbookViewId="0">
      <selection activeCell="E53" sqref="E53"/>
    </sheetView>
  </sheetViews>
  <sheetFormatPr baseColWidth="10" defaultRowHeight="14.4" x14ac:dyDescent="0.3"/>
  <cols>
    <col min="1" max="1" width="60" style="170" customWidth="1"/>
    <col min="2" max="2" width="49.77734375" style="170" customWidth="1"/>
    <col min="3" max="4" width="30.44140625" style="170" customWidth="1"/>
    <col min="5" max="6" width="60" style="170" customWidth="1"/>
    <col min="7" max="7" width="31.77734375" style="170" customWidth="1"/>
    <col min="8" max="8" width="23.77734375" style="170" customWidth="1"/>
    <col min="9" max="10" width="60" style="170" customWidth="1"/>
    <col min="11" max="11" width="11.44140625" customWidth="1"/>
    <col min="12" max="12" width="13" bestFit="1" customWidth="1"/>
    <col min="13" max="13" width="14.44140625" bestFit="1" customWidth="1"/>
    <col min="14" max="14" width="11.109375" bestFit="1" customWidth="1"/>
    <col min="15" max="15" width="14.44140625" bestFit="1" customWidth="1"/>
    <col min="16" max="16" width="14.6640625" bestFit="1" customWidth="1"/>
    <col min="17" max="17" width="15" bestFit="1" customWidth="1"/>
    <col min="18" max="18" width="11.44140625" style="171"/>
    <col min="19" max="19" width="11.44140625" customWidth="1"/>
    <col min="20" max="20" width="11.44140625" style="171"/>
    <col min="21" max="21" width="12.33203125" style="172" bestFit="1" customWidth="1"/>
    <col min="22" max="22" width="14.21875" style="172" bestFit="1" customWidth="1"/>
    <col min="23" max="23" width="16.33203125" style="173" bestFit="1" customWidth="1"/>
    <col min="24" max="24" width="36.33203125" style="173" bestFit="1" customWidth="1"/>
    <col min="25" max="25" width="31.5546875" style="171" bestFit="1" customWidth="1"/>
    <col min="26" max="28" width="12.77734375" style="171" bestFit="1" customWidth="1"/>
  </cols>
  <sheetData>
    <row r="1" spans="1:25" ht="28.5" customHeight="1" x14ac:dyDescent="0.3">
      <c r="A1" s="264" t="s">
        <v>63</v>
      </c>
      <c r="B1" s="264"/>
      <c r="C1" s="264"/>
      <c r="D1" s="264"/>
      <c r="E1" s="264"/>
      <c r="F1" s="264"/>
      <c r="G1" s="264"/>
      <c r="H1" s="264"/>
      <c r="I1" s="264"/>
      <c r="J1" s="264"/>
      <c r="K1" s="171"/>
      <c r="L1" s="171"/>
      <c r="M1" s="260" t="s">
        <v>66</v>
      </c>
      <c r="N1" s="260"/>
      <c r="O1" s="260"/>
      <c r="P1" s="260"/>
      <c r="Q1" s="260"/>
      <c r="S1" s="171"/>
      <c r="U1" s="261" t="s">
        <v>74</v>
      </c>
      <c r="V1" s="261"/>
      <c r="W1" s="261"/>
      <c r="X1" s="261"/>
    </row>
    <row r="2" spans="1:25" ht="25.8" x14ac:dyDescent="0.5">
      <c r="A2" s="190" t="s">
        <v>98</v>
      </c>
      <c r="K2" s="171"/>
      <c r="L2" s="171"/>
      <c r="M2" s="171"/>
      <c r="N2" s="171"/>
      <c r="O2" s="171"/>
      <c r="P2" s="171"/>
      <c r="Q2" s="171"/>
      <c r="S2" s="171"/>
      <c r="U2" s="261"/>
      <c r="V2" s="261"/>
      <c r="W2" s="261"/>
      <c r="X2" s="261"/>
    </row>
    <row r="3" spans="1:25" ht="21" x14ac:dyDescent="0.3">
      <c r="B3" s="262" t="s">
        <v>75</v>
      </c>
      <c r="C3" s="262"/>
      <c r="K3" s="171"/>
      <c r="L3" s="171"/>
      <c r="M3" s="171"/>
      <c r="N3" s="171"/>
      <c r="O3" s="171"/>
      <c r="P3" s="171"/>
      <c r="Q3" s="171"/>
      <c r="S3" s="171"/>
    </row>
    <row r="4" spans="1:25" ht="43.2" x14ac:dyDescent="0.3">
      <c r="K4" s="171"/>
      <c r="L4" s="183" t="s">
        <v>17</v>
      </c>
      <c r="M4" s="191" t="s">
        <v>69</v>
      </c>
      <c r="N4" s="191" t="s">
        <v>70</v>
      </c>
      <c r="O4" s="191" t="s">
        <v>71</v>
      </c>
      <c r="P4" s="191" t="s">
        <v>72</v>
      </c>
      <c r="S4" s="171"/>
      <c r="U4" s="176" t="s">
        <v>49</v>
      </c>
      <c r="V4" s="189" t="s">
        <v>73</v>
      </c>
      <c r="W4" s="174" t="s">
        <v>91</v>
      </c>
      <c r="X4" s="174" t="s">
        <v>103</v>
      </c>
      <c r="Y4"/>
    </row>
    <row r="5" spans="1:25" x14ac:dyDescent="0.3">
      <c r="K5" s="171"/>
      <c r="L5" s="182">
        <v>46023</v>
      </c>
      <c r="M5" s="175">
        <v>0</v>
      </c>
      <c r="N5" s="175">
        <v>0</v>
      </c>
      <c r="O5" s="175">
        <v>0</v>
      </c>
      <c r="P5" s="175">
        <v>0</v>
      </c>
      <c r="S5" s="171"/>
      <c r="U5" s="177">
        <v>1</v>
      </c>
      <c r="V5" s="175">
        <v>2500</v>
      </c>
      <c r="W5" s="175">
        <v>0</v>
      </c>
      <c r="X5" s="175">
        <v>0</v>
      </c>
      <c r="Y5"/>
    </row>
    <row r="6" spans="1:25" x14ac:dyDescent="0.3">
      <c r="K6" s="171"/>
      <c r="L6" s="182">
        <v>46024</v>
      </c>
      <c r="M6" s="175">
        <v>0</v>
      </c>
      <c r="N6" s="175">
        <v>0</v>
      </c>
      <c r="O6" s="175">
        <v>0</v>
      </c>
      <c r="P6" s="175">
        <v>0</v>
      </c>
      <c r="S6" s="171"/>
      <c r="U6" s="177">
        <v>2</v>
      </c>
      <c r="V6" s="175">
        <v>2500</v>
      </c>
      <c r="W6" s="175">
        <v>2549.3199999999883</v>
      </c>
      <c r="X6" s="175">
        <v>18</v>
      </c>
      <c r="Y6"/>
    </row>
    <row r="7" spans="1:25" x14ac:dyDescent="0.3">
      <c r="K7" s="171"/>
      <c r="L7" s="182">
        <v>46025</v>
      </c>
      <c r="M7" s="175">
        <v>0</v>
      </c>
      <c r="N7" s="175">
        <v>0</v>
      </c>
      <c r="O7" s="175">
        <v>0</v>
      </c>
      <c r="P7" s="175">
        <v>0</v>
      </c>
      <c r="S7" s="171"/>
      <c r="U7" s="177">
        <v>3</v>
      </c>
      <c r="V7" s="175">
        <v>2500</v>
      </c>
      <c r="W7" s="175">
        <v>2609.4026666666632</v>
      </c>
      <c r="X7" s="175">
        <v>30</v>
      </c>
      <c r="Y7"/>
    </row>
    <row r="8" spans="1:25" x14ac:dyDescent="0.3">
      <c r="K8" s="171"/>
      <c r="L8" s="182">
        <v>46026</v>
      </c>
      <c r="M8" s="175">
        <v>0</v>
      </c>
      <c r="N8" s="175">
        <v>0</v>
      </c>
      <c r="O8" s="175">
        <v>0</v>
      </c>
      <c r="P8" s="175">
        <v>0</v>
      </c>
      <c r="S8" s="171"/>
      <c r="U8" s="177">
        <v>4</v>
      </c>
      <c r="V8" s="175">
        <v>2500</v>
      </c>
      <c r="W8" s="175">
        <v>0</v>
      </c>
      <c r="X8" s="175">
        <v>0</v>
      </c>
      <c r="Y8"/>
    </row>
    <row r="9" spans="1:25" x14ac:dyDescent="0.3">
      <c r="K9" s="171"/>
      <c r="L9" s="182">
        <v>46027</v>
      </c>
      <c r="M9" s="175">
        <v>0</v>
      </c>
      <c r="N9" s="175">
        <v>0</v>
      </c>
      <c r="O9" s="175">
        <v>0</v>
      </c>
      <c r="P9" s="175">
        <v>0</v>
      </c>
      <c r="S9" s="171"/>
      <c r="U9" s="177">
        <v>5</v>
      </c>
      <c r="V9" s="175">
        <v>2500</v>
      </c>
      <c r="W9" s="175">
        <v>0</v>
      </c>
      <c r="X9" s="175">
        <v>0</v>
      </c>
      <c r="Y9"/>
    </row>
    <row r="10" spans="1:25" x14ac:dyDescent="0.3">
      <c r="K10" s="171"/>
      <c r="L10" s="182">
        <v>46028</v>
      </c>
      <c r="M10" s="175">
        <v>0</v>
      </c>
      <c r="N10" s="175">
        <v>0</v>
      </c>
      <c r="O10" s="175">
        <v>0</v>
      </c>
      <c r="P10" s="175">
        <v>0</v>
      </c>
      <c r="S10" s="171"/>
      <c r="U10" s="177">
        <v>6</v>
      </c>
      <c r="V10" s="175">
        <v>2500</v>
      </c>
      <c r="W10" s="175">
        <v>0</v>
      </c>
      <c r="X10" s="175">
        <v>0</v>
      </c>
      <c r="Y10"/>
    </row>
    <row r="11" spans="1:25" x14ac:dyDescent="0.3">
      <c r="K11" s="171"/>
      <c r="L11" s="182">
        <v>46029</v>
      </c>
      <c r="M11" s="175">
        <v>0</v>
      </c>
      <c r="N11" s="175">
        <v>0</v>
      </c>
      <c r="O11" s="175">
        <v>0</v>
      </c>
      <c r="P11" s="175">
        <v>0</v>
      </c>
      <c r="S11" s="171"/>
      <c r="U11" s="177">
        <v>7</v>
      </c>
      <c r="V11" s="175">
        <v>2500</v>
      </c>
      <c r="W11" s="175">
        <v>0</v>
      </c>
      <c r="X11" s="175">
        <v>0</v>
      </c>
      <c r="Y11"/>
    </row>
    <row r="12" spans="1:25" x14ac:dyDescent="0.3">
      <c r="K12" s="171"/>
      <c r="L12" s="182">
        <v>46030</v>
      </c>
      <c r="M12" s="175">
        <v>0</v>
      </c>
      <c r="N12" s="175">
        <v>0</v>
      </c>
      <c r="O12" s="175">
        <v>0</v>
      </c>
      <c r="P12" s="175">
        <v>0</v>
      </c>
      <c r="S12" s="171"/>
      <c r="U12" s="177">
        <v>8</v>
      </c>
      <c r="V12" s="175">
        <v>2500</v>
      </c>
      <c r="W12" s="175">
        <v>0</v>
      </c>
      <c r="X12" s="175">
        <v>0</v>
      </c>
      <c r="Y12"/>
    </row>
    <row r="13" spans="1:25" x14ac:dyDescent="0.3">
      <c r="K13" s="171"/>
      <c r="L13" s="182">
        <v>46031</v>
      </c>
      <c r="M13" s="175">
        <v>0</v>
      </c>
      <c r="N13" s="175">
        <v>0</v>
      </c>
      <c r="O13" s="175">
        <v>0</v>
      </c>
      <c r="P13" s="175">
        <v>0</v>
      </c>
      <c r="S13" s="171"/>
      <c r="U13" s="177">
        <v>9</v>
      </c>
      <c r="V13" s="175">
        <v>2500</v>
      </c>
      <c r="W13" s="175">
        <v>0</v>
      </c>
      <c r="X13" s="175">
        <v>0</v>
      </c>
      <c r="Y13"/>
    </row>
    <row r="14" spans="1:25" x14ac:dyDescent="0.3">
      <c r="K14" s="171"/>
      <c r="L14" s="182">
        <v>46032</v>
      </c>
      <c r="M14" s="175">
        <v>0</v>
      </c>
      <c r="N14" s="175">
        <v>0</v>
      </c>
      <c r="O14" s="175">
        <v>0</v>
      </c>
      <c r="P14" s="175">
        <v>0</v>
      </c>
      <c r="S14" s="171"/>
      <c r="U14" s="177">
        <v>10</v>
      </c>
      <c r="V14" s="175">
        <v>2500</v>
      </c>
      <c r="W14" s="175">
        <v>0</v>
      </c>
      <c r="X14" s="175">
        <v>0</v>
      </c>
      <c r="Y14"/>
    </row>
    <row r="15" spans="1:25" x14ac:dyDescent="0.3">
      <c r="K15" s="171"/>
      <c r="L15" s="182">
        <v>46033</v>
      </c>
      <c r="M15" s="175">
        <v>0</v>
      </c>
      <c r="N15" s="175">
        <v>0</v>
      </c>
      <c r="O15" s="175">
        <v>0</v>
      </c>
      <c r="P15" s="175">
        <v>0</v>
      </c>
      <c r="S15" s="171"/>
      <c r="U15" s="177">
        <v>11</v>
      </c>
      <c r="V15" s="175">
        <v>2500</v>
      </c>
      <c r="W15" s="175">
        <v>0</v>
      </c>
      <c r="X15" s="175">
        <v>0</v>
      </c>
      <c r="Y15"/>
    </row>
    <row r="16" spans="1:25" x14ac:dyDescent="0.3">
      <c r="K16" s="171"/>
      <c r="L16" s="182">
        <v>46034</v>
      </c>
      <c r="M16" s="175">
        <v>0</v>
      </c>
      <c r="N16" s="175">
        <v>0</v>
      </c>
      <c r="O16" s="175">
        <v>0</v>
      </c>
      <c r="P16" s="175">
        <v>0</v>
      </c>
      <c r="S16" s="171"/>
      <c r="U16" s="177">
        <v>12</v>
      </c>
      <c r="V16" s="175">
        <v>2500</v>
      </c>
      <c r="W16" s="175">
        <v>0</v>
      </c>
      <c r="X16" s="175">
        <v>0</v>
      </c>
      <c r="Y16"/>
    </row>
    <row r="17" spans="1:25" x14ac:dyDescent="0.3">
      <c r="K17" s="171"/>
      <c r="L17" s="182">
        <v>46035</v>
      </c>
      <c r="M17" s="175">
        <v>0</v>
      </c>
      <c r="N17" s="175">
        <v>0</v>
      </c>
      <c r="O17" s="175">
        <v>0</v>
      </c>
      <c r="P17" s="175">
        <v>0</v>
      </c>
      <c r="S17" s="171"/>
      <c r="U17" s="177">
        <v>13</v>
      </c>
      <c r="V17" s="175">
        <v>2500</v>
      </c>
      <c r="W17" s="175">
        <v>0</v>
      </c>
      <c r="X17" s="175">
        <v>0</v>
      </c>
      <c r="Y17"/>
    </row>
    <row r="18" spans="1:25" x14ac:dyDescent="0.3">
      <c r="K18" s="171"/>
      <c r="L18" s="182">
        <v>46036</v>
      </c>
      <c r="M18" s="175">
        <v>0</v>
      </c>
      <c r="N18" s="175">
        <v>0</v>
      </c>
      <c r="O18" s="175">
        <v>0</v>
      </c>
      <c r="P18" s="175">
        <v>0</v>
      </c>
      <c r="S18" s="171"/>
      <c r="U18" s="177">
        <v>14</v>
      </c>
      <c r="V18" s="175">
        <v>2500</v>
      </c>
      <c r="W18" s="175">
        <v>0</v>
      </c>
      <c r="X18" s="175">
        <v>0</v>
      </c>
      <c r="Y18"/>
    </row>
    <row r="19" spans="1:25" x14ac:dyDescent="0.3">
      <c r="K19" s="171"/>
      <c r="L19" s="182">
        <v>46037</v>
      </c>
      <c r="M19" s="175">
        <v>0</v>
      </c>
      <c r="N19" s="175">
        <v>0</v>
      </c>
      <c r="O19" s="175">
        <v>0</v>
      </c>
      <c r="P19" s="175">
        <v>0</v>
      </c>
      <c r="S19" s="171"/>
      <c r="U19" s="177">
        <v>15</v>
      </c>
      <c r="V19" s="175">
        <v>2500</v>
      </c>
      <c r="W19" s="175">
        <v>0</v>
      </c>
      <c r="X19" s="175">
        <v>0</v>
      </c>
      <c r="Y19"/>
    </row>
    <row r="20" spans="1:25" x14ac:dyDescent="0.3">
      <c r="K20" s="171"/>
      <c r="L20" s="182">
        <v>46038</v>
      </c>
      <c r="M20" s="175">
        <v>0</v>
      </c>
      <c r="N20" s="175">
        <v>0</v>
      </c>
      <c r="O20" s="175">
        <v>0</v>
      </c>
      <c r="P20" s="175">
        <v>0</v>
      </c>
      <c r="S20" s="171"/>
      <c r="U20" s="177">
        <v>16</v>
      </c>
      <c r="V20" s="175">
        <v>2500</v>
      </c>
      <c r="W20" s="175">
        <v>2889.5370769230785</v>
      </c>
      <c r="X20" s="175">
        <v>65</v>
      </c>
      <c r="Y20"/>
    </row>
    <row r="21" spans="1:25" x14ac:dyDescent="0.3">
      <c r="K21" s="171"/>
      <c r="L21" s="182">
        <v>46039</v>
      </c>
      <c r="M21" s="175">
        <v>0</v>
      </c>
      <c r="N21" s="175">
        <v>0</v>
      </c>
      <c r="O21" s="175">
        <v>0</v>
      </c>
      <c r="P21" s="175">
        <v>0</v>
      </c>
      <c r="S21" s="171"/>
      <c r="U21" s="177">
        <v>17</v>
      </c>
      <c r="V21" s="175">
        <v>2500</v>
      </c>
      <c r="W21" s="175">
        <v>0</v>
      </c>
      <c r="X21" s="175">
        <v>0</v>
      </c>
      <c r="Y21"/>
    </row>
    <row r="22" spans="1:25" x14ac:dyDescent="0.3">
      <c r="K22" s="171"/>
      <c r="L22" s="182">
        <v>46040</v>
      </c>
      <c r="M22" s="175">
        <v>0</v>
      </c>
      <c r="N22" s="175">
        <v>0</v>
      </c>
      <c r="O22" s="175">
        <v>0</v>
      </c>
      <c r="P22" s="175">
        <v>0</v>
      </c>
      <c r="S22" s="171"/>
      <c r="U22" s="177">
        <v>18</v>
      </c>
      <c r="V22" s="175">
        <v>2500</v>
      </c>
      <c r="W22" s="175">
        <v>0</v>
      </c>
      <c r="X22" s="175">
        <v>0</v>
      </c>
      <c r="Y22"/>
    </row>
    <row r="23" spans="1:25" x14ac:dyDescent="0.3">
      <c r="K23" s="171"/>
      <c r="L23" s="182">
        <v>46041</v>
      </c>
      <c r="M23" s="175">
        <v>0</v>
      </c>
      <c r="N23" s="175">
        <v>0</v>
      </c>
      <c r="O23" s="175">
        <v>0</v>
      </c>
      <c r="P23" s="175">
        <v>0</v>
      </c>
      <c r="S23" s="171"/>
      <c r="U23" s="177">
        <v>19</v>
      </c>
      <c r="V23" s="175">
        <v>2500</v>
      </c>
      <c r="W23" s="175">
        <v>0</v>
      </c>
      <c r="X23" s="175">
        <v>0</v>
      </c>
      <c r="Y23"/>
    </row>
    <row r="24" spans="1:25" x14ac:dyDescent="0.3">
      <c r="K24" s="171"/>
      <c r="L24" s="182">
        <v>46042</v>
      </c>
      <c r="M24" s="175">
        <v>0</v>
      </c>
      <c r="N24" s="175">
        <v>0</v>
      </c>
      <c r="O24" s="175">
        <v>0</v>
      </c>
      <c r="P24" s="175">
        <v>0</v>
      </c>
      <c r="S24" s="171"/>
      <c r="U24" s="177">
        <v>20</v>
      </c>
      <c r="V24" s="175">
        <v>2500</v>
      </c>
      <c r="W24" s="175">
        <v>0</v>
      </c>
      <c r="X24" s="175">
        <v>0</v>
      </c>
      <c r="Y24"/>
    </row>
    <row r="25" spans="1:25" x14ac:dyDescent="0.3">
      <c r="K25" s="171"/>
      <c r="L25" s="182">
        <v>46043</v>
      </c>
      <c r="M25" s="175">
        <v>0</v>
      </c>
      <c r="N25" s="175">
        <v>0</v>
      </c>
      <c r="O25" s="175">
        <v>0</v>
      </c>
      <c r="P25" s="175">
        <v>0</v>
      </c>
      <c r="S25" s="171"/>
      <c r="U25" s="177">
        <v>21</v>
      </c>
      <c r="V25" s="175">
        <v>2500</v>
      </c>
      <c r="W25" s="175">
        <v>2528.3157647058829</v>
      </c>
      <c r="X25" s="175">
        <v>85</v>
      </c>
      <c r="Y25"/>
    </row>
    <row r="26" spans="1:25" x14ac:dyDescent="0.3">
      <c r="K26" s="171"/>
      <c r="L26" s="182">
        <v>46044</v>
      </c>
      <c r="M26" s="175">
        <v>0</v>
      </c>
      <c r="N26" s="175">
        <v>0</v>
      </c>
      <c r="O26" s="175">
        <v>0</v>
      </c>
      <c r="P26" s="175">
        <v>0</v>
      </c>
      <c r="S26" s="171"/>
      <c r="U26" s="177">
        <v>22</v>
      </c>
      <c r="V26" s="175">
        <v>2500</v>
      </c>
      <c r="W26" s="175">
        <v>2549.2525925925925</v>
      </c>
      <c r="X26" s="175">
        <v>135</v>
      </c>
    </row>
    <row r="27" spans="1:25" x14ac:dyDescent="0.3">
      <c r="K27" s="171"/>
      <c r="L27" s="182">
        <v>46045</v>
      </c>
      <c r="M27" s="175">
        <v>0</v>
      </c>
      <c r="N27" s="175">
        <v>0</v>
      </c>
      <c r="O27" s="175">
        <v>0</v>
      </c>
      <c r="P27" s="175">
        <v>0</v>
      </c>
      <c r="S27" s="171"/>
      <c r="U27" s="177">
        <v>23</v>
      </c>
      <c r="V27" s="175">
        <v>2500</v>
      </c>
      <c r="W27" s="175">
        <v>0</v>
      </c>
      <c r="X27" s="175">
        <v>0</v>
      </c>
    </row>
    <row r="28" spans="1:25" ht="21" x14ac:dyDescent="0.3">
      <c r="B28" s="262" t="s">
        <v>97</v>
      </c>
      <c r="C28" s="262"/>
      <c r="K28" s="171"/>
      <c r="L28" s="182">
        <v>46046</v>
      </c>
      <c r="M28" s="175">
        <v>0</v>
      </c>
      <c r="N28" s="175">
        <v>0</v>
      </c>
      <c r="O28" s="175">
        <v>0</v>
      </c>
      <c r="P28" s="175">
        <v>0</v>
      </c>
      <c r="S28" s="171"/>
      <c r="U28" s="177">
        <v>24</v>
      </c>
      <c r="V28" s="175">
        <v>2500</v>
      </c>
      <c r="W28" s="175">
        <v>0</v>
      </c>
      <c r="X28" s="175">
        <v>0</v>
      </c>
    </row>
    <row r="29" spans="1:25" x14ac:dyDescent="0.3">
      <c r="K29" s="171"/>
      <c r="L29" s="182">
        <v>46047</v>
      </c>
      <c r="M29" s="175">
        <v>0</v>
      </c>
      <c r="N29" s="175">
        <v>0</v>
      </c>
      <c r="O29" s="175">
        <v>0</v>
      </c>
      <c r="P29" s="175">
        <v>0</v>
      </c>
      <c r="S29" s="171"/>
      <c r="U29" s="177">
        <v>25</v>
      </c>
      <c r="V29" s="175">
        <v>2500</v>
      </c>
      <c r="W29" s="175">
        <v>0</v>
      </c>
      <c r="X29" s="175">
        <v>0</v>
      </c>
    </row>
    <row r="30" spans="1:25" x14ac:dyDescent="0.3">
      <c r="A30" s="170" t="s">
        <v>102</v>
      </c>
      <c r="K30" s="171"/>
      <c r="L30" s="182">
        <v>46048</v>
      </c>
      <c r="M30" s="175">
        <v>0</v>
      </c>
      <c r="N30" s="175">
        <v>0</v>
      </c>
      <c r="O30" s="175">
        <v>0</v>
      </c>
      <c r="P30" s="175">
        <v>0</v>
      </c>
      <c r="S30" s="171"/>
      <c r="U30" s="177">
        <v>26</v>
      </c>
      <c r="V30" s="175">
        <v>2500</v>
      </c>
      <c r="W30" s="175">
        <v>0</v>
      </c>
      <c r="X30" s="175">
        <v>0</v>
      </c>
    </row>
    <row r="31" spans="1:25" x14ac:dyDescent="0.3">
      <c r="K31" s="171"/>
      <c r="L31" s="182">
        <v>46049</v>
      </c>
      <c r="M31" s="175">
        <v>0</v>
      </c>
      <c r="N31" s="175">
        <v>0</v>
      </c>
      <c r="O31" s="175">
        <v>0</v>
      </c>
      <c r="P31" s="175">
        <v>0</v>
      </c>
      <c r="S31" s="171"/>
      <c r="U31" s="177">
        <v>27</v>
      </c>
      <c r="V31" s="175">
        <v>2500</v>
      </c>
      <c r="W31" s="175">
        <v>0</v>
      </c>
      <c r="X31" s="175">
        <v>0</v>
      </c>
    </row>
    <row r="32" spans="1:25" x14ac:dyDescent="0.3">
      <c r="K32" s="171"/>
      <c r="L32" s="182">
        <v>46050</v>
      </c>
      <c r="M32" s="175">
        <v>0</v>
      </c>
      <c r="N32" s="175">
        <v>0</v>
      </c>
      <c r="O32" s="175">
        <v>0</v>
      </c>
      <c r="P32" s="175">
        <v>0</v>
      </c>
      <c r="S32" s="171"/>
      <c r="U32" s="177">
        <v>28</v>
      </c>
      <c r="V32" s="175">
        <v>2500</v>
      </c>
      <c r="W32" s="175">
        <v>0</v>
      </c>
      <c r="X32" s="175">
        <v>0</v>
      </c>
    </row>
    <row r="33" spans="11:24" x14ac:dyDescent="0.3">
      <c r="K33" s="171"/>
      <c r="L33" s="182">
        <v>46051</v>
      </c>
      <c r="M33" s="175">
        <v>0</v>
      </c>
      <c r="N33" s="175">
        <v>0</v>
      </c>
      <c r="O33" s="175">
        <v>0</v>
      </c>
      <c r="P33" s="175">
        <v>0</v>
      </c>
      <c r="S33" s="171"/>
      <c r="U33" s="177">
        <v>29</v>
      </c>
      <c r="V33" s="175">
        <v>2500</v>
      </c>
      <c r="W33" s="175">
        <v>0</v>
      </c>
      <c r="X33" s="175">
        <v>0</v>
      </c>
    </row>
    <row r="34" spans="11:24" x14ac:dyDescent="0.3">
      <c r="K34" s="171"/>
      <c r="L34" s="182">
        <v>46052</v>
      </c>
      <c r="M34" s="175">
        <v>0</v>
      </c>
      <c r="N34" s="175">
        <v>0</v>
      </c>
      <c r="O34" s="175">
        <v>0</v>
      </c>
      <c r="P34" s="175">
        <v>0</v>
      </c>
      <c r="S34" s="171"/>
      <c r="U34" s="177">
        <v>30</v>
      </c>
      <c r="V34" s="175">
        <v>2500</v>
      </c>
      <c r="W34" s="175">
        <v>0</v>
      </c>
      <c r="X34" s="175">
        <v>0</v>
      </c>
    </row>
    <row r="35" spans="11:24" x14ac:dyDescent="0.3">
      <c r="K35" s="171"/>
      <c r="L35" s="182">
        <v>46053</v>
      </c>
      <c r="M35" s="175">
        <v>0</v>
      </c>
      <c r="N35" s="175">
        <v>0</v>
      </c>
      <c r="O35" s="175">
        <v>0</v>
      </c>
      <c r="P35" s="175">
        <v>0</v>
      </c>
      <c r="S35" s="171"/>
      <c r="U35" s="177">
        <v>31</v>
      </c>
      <c r="V35" s="175">
        <v>2500</v>
      </c>
      <c r="W35" s="175">
        <v>0</v>
      </c>
      <c r="X35" s="175">
        <v>0</v>
      </c>
    </row>
    <row r="36" spans="11:24" x14ac:dyDescent="0.3">
      <c r="K36" s="171"/>
      <c r="L36" s="174" t="s">
        <v>44</v>
      </c>
      <c r="M36" s="175">
        <v>0</v>
      </c>
      <c r="N36" s="175">
        <v>0</v>
      </c>
      <c r="O36" s="175">
        <v>0</v>
      </c>
      <c r="P36" s="175">
        <v>0</v>
      </c>
      <c r="S36" s="171"/>
      <c r="U36" s="177" t="s">
        <v>44</v>
      </c>
      <c r="V36" s="175">
        <v>2500</v>
      </c>
      <c r="W36" s="175">
        <v>36921.149909909916</v>
      </c>
      <c r="X36" s="175">
        <v>333</v>
      </c>
    </row>
    <row r="37" spans="11:24" x14ac:dyDescent="0.3">
      <c r="K37" s="171"/>
      <c r="S37" s="171"/>
      <c r="U37"/>
      <c r="V37"/>
      <c r="W37"/>
      <c r="X37"/>
    </row>
    <row r="38" spans="11:24" x14ac:dyDescent="0.3">
      <c r="K38" s="171"/>
      <c r="S38" s="171"/>
      <c r="U38"/>
      <c r="V38"/>
      <c r="W38"/>
      <c r="X38"/>
    </row>
    <row r="39" spans="11:24" x14ac:dyDescent="0.3">
      <c r="K39" s="171"/>
      <c r="S39" s="171"/>
      <c r="U39"/>
      <c r="V39"/>
      <c r="W39"/>
      <c r="X39"/>
    </row>
    <row r="40" spans="11:24" x14ac:dyDescent="0.3">
      <c r="K40" s="171"/>
      <c r="S40" s="171"/>
      <c r="U40"/>
      <c r="V40"/>
      <c r="W40"/>
      <c r="X40"/>
    </row>
    <row r="41" spans="11:24" x14ac:dyDescent="0.3">
      <c r="K41" s="171"/>
      <c r="S41" s="171"/>
      <c r="U41"/>
      <c r="V41"/>
      <c r="W41"/>
      <c r="X41"/>
    </row>
    <row r="42" spans="11:24" x14ac:dyDescent="0.3">
      <c r="K42" s="171"/>
      <c r="S42" s="171"/>
      <c r="U42"/>
      <c r="V42"/>
      <c r="W42"/>
      <c r="X42"/>
    </row>
    <row r="43" spans="11:24" x14ac:dyDescent="0.3">
      <c r="K43" s="171"/>
      <c r="S43" s="171"/>
      <c r="U43"/>
      <c r="V43"/>
      <c r="W43"/>
      <c r="X43"/>
    </row>
    <row r="44" spans="11:24" x14ac:dyDescent="0.3">
      <c r="K44" s="171"/>
      <c r="S44" s="171"/>
      <c r="U44"/>
      <c r="V44"/>
      <c r="W44"/>
      <c r="X44"/>
    </row>
    <row r="45" spans="11:24" x14ac:dyDescent="0.3">
      <c r="K45" s="171"/>
      <c r="S45" s="171"/>
      <c r="U45"/>
      <c r="V45"/>
      <c r="W45"/>
      <c r="X45"/>
    </row>
    <row r="46" spans="11:24" x14ac:dyDescent="0.3">
      <c r="K46" s="171"/>
      <c r="S46" s="171"/>
      <c r="U46"/>
      <c r="V46"/>
      <c r="W46"/>
      <c r="X46"/>
    </row>
    <row r="47" spans="11:24" x14ac:dyDescent="0.3">
      <c r="K47" s="171"/>
      <c r="S47" s="171"/>
      <c r="U47"/>
      <c r="V47"/>
      <c r="W47"/>
      <c r="X47"/>
    </row>
    <row r="48" spans="11:24" x14ac:dyDescent="0.3">
      <c r="K48" s="171"/>
      <c r="S48" s="171"/>
      <c r="U48"/>
      <c r="V48"/>
      <c r="W48"/>
      <c r="X48"/>
    </row>
    <row r="49" spans="2:24" x14ac:dyDescent="0.3">
      <c r="K49" s="171"/>
      <c r="S49" s="171"/>
      <c r="U49"/>
      <c r="V49"/>
      <c r="W49"/>
      <c r="X49"/>
    </row>
    <row r="50" spans="2:24" x14ac:dyDescent="0.3">
      <c r="K50" s="171"/>
      <c r="S50" s="171"/>
      <c r="U50"/>
      <c r="V50"/>
      <c r="W50"/>
      <c r="X50"/>
    </row>
    <row r="51" spans="2:24" ht="21" x14ac:dyDescent="0.3">
      <c r="B51" s="178" t="s">
        <v>101</v>
      </c>
      <c r="C51" s="178"/>
      <c r="F51" s="178"/>
      <c r="G51" s="178"/>
      <c r="K51" s="171"/>
      <c r="S51" s="171"/>
      <c r="U51"/>
      <c r="V51"/>
      <c r="W51"/>
      <c r="X51"/>
    </row>
    <row r="52" spans="2:24" x14ac:dyDescent="0.3">
      <c r="K52" s="171"/>
      <c r="S52" s="171"/>
      <c r="U52"/>
      <c r="V52"/>
      <c r="W52"/>
      <c r="X52"/>
    </row>
    <row r="53" spans="2:24" ht="22.2" x14ac:dyDescent="0.3">
      <c r="B53" s="263" t="s">
        <v>92</v>
      </c>
      <c r="C53" s="263"/>
      <c r="F53" s="178"/>
      <c r="G53" s="178"/>
      <c r="K53" s="171"/>
      <c r="S53" s="171"/>
      <c r="U53"/>
      <c r="V53"/>
      <c r="W53"/>
      <c r="X53"/>
    </row>
    <row r="54" spans="2:24" ht="22.2" x14ac:dyDescent="0.45">
      <c r="B54" s="180" t="s">
        <v>93</v>
      </c>
      <c r="C54" s="180" t="s">
        <v>64</v>
      </c>
      <c r="D54" s="184">
        <v>872310</v>
      </c>
      <c r="H54" s="184"/>
      <c r="K54" s="171"/>
      <c r="S54" s="171"/>
      <c r="U54"/>
      <c r="V54"/>
      <c r="W54"/>
      <c r="X54"/>
    </row>
    <row r="55" spans="2:24" ht="22.2" x14ac:dyDescent="0.45">
      <c r="B55" s="179">
        <f>GETPIVOTDATA("CAUDAL TOTAL TRATADO PTAP ",$U$4)</f>
        <v>333</v>
      </c>
      <c r="C55" s="181">
        <f>D54/B55</f>
        <v>2619.5495495495497</v>
      </c>
      <c r="D55" s="184">
        <f>C55*B55</f>
        <v>872310.00000000012</v>
      </c>
      <c r="F55" s="178"/>
      <c r="G55" s="178"/>
      <c r="H55" s="184"/>
      <c r="K55" s="171"/>
      <c r="S55" s="171"/>
      <c r="U55"/>
      <c r="V55"/>
      <c r="W55"/>
      <c r="X55"/>
    </row>
    <row r="56" spans="2:24" x14ac:dyDescent="0.3">
      <c r="D56" s="184">
        <f>C55*B55</f>
        <v>872310.00000000012</v>
      </c>
      <c r="K56" s="171"/>
      <c r="S56" s="171"/>
      <c r="U56"/>
      <c r="V56"/>
      <c r="W56"/>
      <c r="X56"/>
    </row>
    <row r="57" spans="2:24" ht="21" x14ac:dyDescent="0.3">
      <c r="F57" s="178"/>
      <c r="G57" s="178"/>
      <c r="K57" s="171"/>
      <c r="S57" s="171"/>
      <c r="U57"/>
      <c r="V57"/>
      <c r="W57"/>
      <c r="X57"/>
    </row>
    <row r="58" spans="2:24" x14ac:dyDescent="0.3">
      <c r="K58" s="171"/>
      <c r="S58" s="171"/>
      <c r="U58"/>
      <c r="V58"/>
      <c r="W58"/>
      <c r="X58"/>
    </row>
    <row r="59" spans="2:24" x14ac:dyDescent="0.3">
      <c r="K59" s="171"/>
      <c r="S59" s="171"/>
      <c r="U59"/>
      <c r="V59"/>
      <c r="W59"/>
      <c r="X59"/>
    </row>
    <row r="60" spans="2:24" x14ac:dyDescent="0.3">
      <c r="K60" s="171"/>
      <c r="S60" s="171"/>
      <c r="U60"/>
      <c r="V60"/>
      <c r="W60"/>
      <c r="X60"/>
    </row>
    <row r="61" spans="2:24" x14ac:dyDescent="0.3">
      <c r="K61" s="171"/>
      <c r="S61" s="171"/>
      <c r="U61"/>
      <c r="V61"/>
      <c r="W61"/>
      <c r="X61"/>
    </row>
    <row r="62" spans="2:24" x14ac:dyDescent="0.3">
      <c r="K62" s="171"/>
      <c r="S62" s="171"/>
      <c r="U62"/>
      <c r="V62"/>
      <c r="W62"/>
      <c r="X62"/>
    </row>
    <row r="63" spans="2:24" x14ac:dyDescent="0.3">
      <c r="K63" s="171"/>
      <c r="S63" s="171"/>
      <c r="U63"/>
      <c r="V63"/>
      <c r="W63"/>
      <c r="X63"/>
    </row>
    <row r="64" spans="2:24" x14ac:dyDescent="0.3">
      <c r="K64" s="171"/>
      <c r="S64" s="171"/>
      <c r="U64"/>
      <c r="V64"/>
      <c r="W64"/>
      <c r="X64"/>
    </row>
    <row r="65" spans="11:24" x14ac:dyDescent="0.3">
      <c r="K65" s="171"/>
      <c r="S65" s="171"/>
      <c r="U65"/>
      <c r="V65"/>
      <c r="W65"/>
      <c r="X65"/>
    </row>
    <row r="66" spans="11:24" x14ac:dyDescent="0.3">
      <c r="K66" s="171"/>
      <c r="S66" s="171"/>
      <c r="U66"/>
      <c r="V66"/>
      <c r="W66"/>
      <c r="X66"/>
    </row>
    <row r="67" spans="11:24" x14ac:dyDescent="0.3">
      <c r="K67" s="171"/>
      <c r="S67" s="171"/>
      <c r="U67"/>
      <c r="V67"/>
      <c r="W67"/>
      <c r="X67"/>
    </row>
    <row r="68" spans="11:24" x14ac:dyDescent="0.3">
      <c r="K68" s="171"/>
      <c r="S68" s="171"/>
      <c r="U68"/>
      <c r="V68"/>
      <c r="W68"/>
      <c r="X68"/>
    </row>
    <row r="69" spans="11:24" x14ac:dyDescent="0.3">
      <c r="K69" s="171"/>
      <c r="S69" s="171"/>
      <c r="U69"/>
      <c r="V69"/>
      <c r="W69"/>
      <c r="X69"/>
    </row>
    <row r="70" spans="11:24" x14ac:dyDescent="0.3">
      <c r="K70" s="171"/>
      <c r="S70" s="171"/>
      <c r="U70"/>
      <c r="V70"/>
      <c r="W70"/>
      <c r="X70"/>
    </row>
    <row r="71" spans="11:24" x14ac:dyDescent="0.3">
      <c r="K71" s="171"/>
      <c r="S71" s="171"/>
      <c r="U71"/>
      <c r="V71"/>
      <c r="W71"/>
      <c r="X71"/>
    </row>
    <row r="72" spans="11:24" x14ac:dyDescent="0.3">
      <c r="K72" s="171"/>
      <c r="S72" s="171"/>
      <c r="U72"/>
      <c r="V72"/>
      <c r="W72"/>
      <c r="X72"/>
    </row>
    <row r="73" spans="11:24" x14ac:dyDescent="0.3">
      <c r="K73" s="171"/>
      <c r="S73" s="171"/>
      <c r="U73"/>
      <c r="V73"/>
      <c r="W73"/>
      <c r="X73"/>
    </row>
    <row r="74" spans="11:24" x14ac:dyDescent="0.3">
      <c r="K74" s="171"/>
      <c r="S74" s="171"/>
      <c r="U74"/>
      <c r="V74"/>
      <c r="W74"/>
      <c r="X74"/>
    </row>
    <row r="75" spans="11:24" x14ac:dyDescent="0.3">
      <c r="K75" s="171"/>
      <c r="S75" s="171"/>
      <c r="U75"/>
      <c r="V75"/>
      <c r="W75"/>
      <c r="X75"/>
    </row>
    <row r="76" spans="11:24" x14ac:dyDescent="0.3">
      <c r="K76" s="171"/>
      <c r="S76" s="171"/>
      <c r="U76"/>
      <c r="V76"/>
      <c r="W76"/>
      <c r="X76"/>
    </row>
    <row r="77" spans="11:24" x14ac:dyDescent="0.3">
      <c r="K77" s="171"/>
      <c r="S77" s="171"/>
    </row>
    <row r="78" spans="11:24" x14ac:dyDescent="0.3">
      <c r="K78" s="171"/>
      <c r="S78" s="171"/>
    </row>
    <row r="79" spans="11:24" x14ac:dyDescent="0.3">
      <c r="K79" s="171"/>
      <c r="S79" s="171"/>
    </row>
    <row r="80" spans="11:24" x14ac:dyDescent="0.3">
      <c r="K80" s="171"/>
      <c r="S80" s="171"/>
    </row>
    <row r="81" spans="2:19" ht="21" x14ac:dyDescent="0.3">
      <c r="B81" s="262"/>
      <c r="C81" s="262"/>
      <c r="K81" s="171"/>
      <c r="S81" s="171"/>
    </row>
    <row r="82" spans="2:19" x14ac:dyDescent="0.3">
      <c r="K82" s="171"/>
      <c r="S82" s="171"/>
    </row>
    <row r="83" spans="2:19" x14ac:dyDescent="0.3">
      <c r="K83" s="171"/>
      <c r="S83" s="171"/>
    </row>
    <row r="84" spans="2:19" x14ac:dyDescent="0.3">
      <c r="K84" s="171"/>
      <c r="S84" s="171"/>
    </row>
    <row r="85" spans="2:19" x14ac:dyDescent="0.3">
      <c r="K85" s="171"/>
      <c r="S85" s="171"/>
    </row>
    <row r="86" spans="2:19" x14ac:dyDescent="0.3">
      <c r="K86" s="171"/>
      <c r="S86" s="171"/>
    </row>
    <row r="87" spans="2:19" x14ac:dyDescent="0.3">
      <c r="K87" s="171"/>
      <c r="S87" s="171"/>
    </row>
    <row r="88" spans="2:19" x14ac:dyDescent="0.3">
      <c r="K88" s="171"/>
      <c r="S88" s="171"/>
    </row>
    <row r="89" spans="2:19" x14ac:dyDescent="0.3">
      <c r="K89" s="171"/>
      <c r="S89" s="171"/>
    </row>
    <row r="90" spans="2:19" x14ac:dyDescent="0.3">
      <c r="K90" s="171"/>
      <c r="S90" s="171"/>
    </row>
    <row r="91" spans="2:19" x14ac:dyDescent="0.3">
      <c r="K91" s="171"/>
      <c r="S91" s="171"/>
    </row>
    <row r="92" spans="2:19" x14ac:dyDescent="0.3">
      <c r="K92" s="171"/>
      <c r="S92" s="171"/>
    </row>
    <row r="93" spans="2:19" x14ac:dyDescent="0.3">
      <c r="K93" s="171"/>
      <c r="S93" s="171"/>
    </row>
  </sheetData>
  <mergeCells count="7">
    <mergeCell ref="M1:Q1"/>
    <mergeCell ref="U1:X2"/>
    <mergeCell ref="B81:C81"/>
    <mergeCell ref="B53:C53"/>
    <mergeCell ref="A1:J1"/>
    <mergeCell ref="B3:C3"/>
    <mergeCell ref="B28:C28"/>
  </mergeCells>
  <pageMargins left="0.7" right="0.7" top="0.75" bottom="0.75" header="0.3" footer="0.3"/>
  <pageSetup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zoomScale="80" zoomScaleNormal="80" workbookViewId="0">
      <selection activeCell="B16" sqref="B16"/>
    </sheetView>
  </sheetViews>
  <sheetFormatPr baseColWidth="10" defaultRowHeight="14.4" x14ac:dyDescent="0.3"/>
  <cols>
    <col min="1" max="1" width="55" bestFit="1" customWidth="1"/>
    <col min="2" max="3" width="11.5546875" style="93" bestFit="1" customWidth="1"/>
    <col min="4" max="4" width="8.21875" style="93" customWidth="1"/>
    <col min="5" max="5" width="8.5546875" style="93" bestFit="1" customWidth="1"/>
    <col min="6" max="6" width="8.21875" style="93" customWidth="1"/>
    <col min="7" max="7" width="8.21875" style="105" customWidth="1"/>
    <col min="8" max="13" width="8.21875" style="93" customWidth="1"/>
    <col min="14" max="14" width="8.21875" style="106" customWidth="1"/>
    <col min="15" max="20" width="8.21875" style="94" customWidth="1"/>
    <col min="21" max="21" width="8.21875" style="106" customWidth="1"/>
    <col min="22" max="22" width="8.21875" style="94" customWidth="1"/>
    <col min="23" max="24" width="8.21875" style="93" customWidth="1"/>
    <col min="25" max="31" width="8.21875" style="94" customWidth="1"/>
    <col min="32" max="32" width="12.77734375" bestFit="1" customWidth="1"/>
    <col min="33" max="33" width="15.5546875" bestFit="1" customWidth="1"/>
    <col min="34" max="34" width="12.5546875" bestFit="1" customWidth="1"/>
    <col min="35" max="35" width="15.5546875" bestFit="1" customWidth="1"/>
    <col min="36" max="36" width="12.5546875" bestFit="1" customWidth="1"/>
    <col min="37" max="37" width="15.5546875" bestFit="1" customWidth="1"/>
    <col min="38" max="38" width="12.5546875" bestFit="1" customWidth="1"/>
    <col min="39" max="39" width="15.5546875" bestFit="1" customWidth="1"/>
    <col min="40" max="40" width="12.5546875" bestFit="1" customWidth="1"/>
    <col min="41" max="41" width="15.5546875" bestFit="1" customWidth="1"/>
    <col min="42" max="42" width="12.5546875" bestFit="1" customWidth="1"/>
    <col min="43" max="43" width="15.5546875" bestFit="1" customWidth="1"/>
    <col min="44" max="44" width="12.5546875" bestFit="1" customWidth="1"/>
    <col min="45" max="45" width="15.5546875" bestFit="1" customWidth="1"/>
    <col min="46" max="46" width="12.5546875" bestFit="1" customWidth="1"/>
    <col min="47" max="47" width="15.5546875" bestFit="1" customWidth="1"/>
    <col min="48" max="48" width="12.5546875" bestFit="1" customWidth="1"/>
    <col min="49" max="49" width="15.5546875" bestFit="1" customWidth="1"/>
    <col min="50" max="50" width="12.5546875" bestFit="1" customWidth="1"/>
    <col min="51" max="51" width="15.5546875" bestFit="1" customWidth="1"/>
    <col min="52" max="52" width="12.5546875" bestFit="1" customWidth="1"/>
    <col min="53" max="53" width="15.5546875" bestFit="1" customWidth="1"/>
    <col min="54" max="54" width="12.5546875" bestFit="1" customWidth="1"/>
    <col min="55" max="55" width="15.5546875" bestFit="1" customWidth="1"/>
    <col min="56" max="56" width="12.5546875" bestFit="1" customWidth="1"/>
    <col min="57" max="57" width="15.5546875" bestFit="1" customWidth="1"/>
    <col min="58" max="58" width="12.5546875" bestFit="1" customWidth="1"/>
    <col min="59" max="59" width="15.5546875" bestFit="1" customWidth="1"/>
    <col min="60" max="60" width="12.5546875" bestFit="1" customWidth="1"/>
    <col min="61" max="61" width="15.5546875" bestFit="1" customWidth="1"/>
    <col min="62" max="62" width="11.5546875" bestFit="1" customWidth="1"/>
    <col min="63" max="63" width="14.5546875" bestFit="1" customWidth="1"/>
    <col min="64" max="65" width="12.5546875" bestFit="1" customWidth="1"/>
    <col min="66" max="165" width="22.44140625" bestFit="1" customWidth="1"/>
    <col min="166" max="166" width="31.77734375" bestFit="1" customWidth="1"/>
    <col min="167" max="167" width="38.5546875" bestFit="1" customWidth="1"/>
    <col min="168" max="168" width="39.21875" bestFit="1" customWidth="1"/>
    <col min="169" max="169" width="34.5546875" bestFit="1" customWidth="1"/>
    <col min="170" max="170" width="35.21875" bestFit="1" customWidth="1"/>
    <col min="171" max="172" width="24.77734375" bestFit="1" customWidth="1"/>
    <col min="173" max="173" width="15.44140625" bestFit="1" customWidth="1"/>
    <col min="174" max="174" width="22.21875" bestFit="1" customWidth="1"/>
    <col min="175" max="175" width="23.44140625" bestFit="1" customWidth="1"/>
    <col min="176" max="176" width="23.5546875" bestFit="1" customWidth="1"/>
    <col min="177" max="177" width="24.21875" bestFit="1" customWidth="1"/>
    <col min="178" max="179" width="24.77734375" bestFit="1" customWidth="1"/>
    <col min="180" max="180" width="17.5546875" bestFit="1" customWidth="1"/>
    <col min="181" max="181" width="24.21875" bestFit="1" customWidth="1"/>
    <col min="182" max="182" width="25" bestFit="1" customWidth="1"/>
    <col min="183" max="183" width="25.21875" bestFit="1" customWidth="1"/>
    <col min="184" max="184" width="25.44140625" bestFit="1" customWidth="1"/>
    <col min="185" max="185" width="43.21875" bestFit="1" customWidth="1"/>
    <col min="186" max="186" width="42.44140625" bestFit="1" customWidth="1"/>
  </cols>
  <sheetData>
    <row r="1" spans="1:184" s="36" customFormat="1" ht="15.75" customHeight="1" thickBot="1" x14ac:dyDescent="0.35">
      <c r="A1" s="268" t="s">
        <v>4</v>
      </c>
      <c r="B1" s="269"/>
      <c r="C1" s="269"/>
      <c r="D1" s="269"/>
      <c r="E1" s="269"/>
      <c r="F1" s="270"/>
      <c r="G1" s="105"/>
      <c r="H1" s="105"/>
      <c r="I1" s="105"/>
      <c r="J1" s="105"/>
      <c r="K1" s="105"/>
      <c r="L1" s="105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5"/>
      <c r="X1" s="105"/>
      <c r="Y1" s="106"/>
      <c r="Z1" s="106"/>
      <c r="AA1" s="106"/>
      <c r="AB1" s="106"/>
      <c r="AC1" s="106"/>
      <c r="AD1" s="106"/>
      <c r="AE1" s="106"/>
    </row>
    <row r="2" spans="1:184" s="95" customFormat="1" ht="15" thickBot="1" x14ac:dyDescent="0.35">
      <c r="A2" s="128"/>
      <c r="B2" s="128" t="s">
        <v>50</v>
      </c>
      <c r="C2" s="129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1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139" t="s">
        <v>6</v>
      </c>
      <c r="B3" s="132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  <c r="L3" s="133">
        <v>11</v>
      </c>
      <c r="M3" s="133">
        <v>12</v>
      </c>
      <c r="N3" s="133">
        <v>13</v>
      </c>
      <c r="O3" s="133">
        <v>14</v>
      </c>
      <c r="P3" s="133">
        <v>15</v>
      </c>
      <c r="Q3" s="133">
        <v>16</v>
      </c>
      <c r="R3" s="133">
        <v>17</v>
      </c>
      <c r="S3" s="133">
        <v>18</v>
      </c>
      <c r="T3" s="133">
        <v>19</v>
      </c>
      <c r="U3" s="133">
        <v>20</v>
      </c>
      <c r="V3" s="133">
        <v>21</v>
      </c>
      <c r="W3" s="133">
        <v>22</v>
      </c>
      <c r="X3" s="133">
        <v>23</v>
      </c>
      <c r="Y3" s="133">
        <v>24</v>
      </c>
      <c r="Z3" s="133">
        <v>25</v>
      </c>
      <c r="AA3" s="133">
        <v>26</v>
      </c>
      <c r="AB3" s="133">
        <v>27</v>
      </c>
      <c r="AC3" s="133">
        <v>28</v>
      </c>
      <c r="AD3" s="133">
        <v>29</v>
      </c>
      <c r="AE3" s="133">
        <v>30</v>
      </c>
      <c r="AF3" s="134">
        <v>31</v>
      </c>
      <c r="AG3" s="135" t="s">
        <v>44</v>
      </c>
    </row>
    <row r="4" spans="1:184" x14ac:dyDescent="0.3">
      <c r="A4" s="136" t="s">
        <v>52</v>
      </c>
      <c r="B4" s="311">
        <v>0</v>
      </c>
      <c r="C4" s="312">
        <v>6</v>
      </c>
      <c r="D4" s="312">
        <v>10</v>
      </c>
      <c r="E4" s="312">
        <v>0</v>
      </c>
      <c r="F4" s="312">
        <v>0</v>
      </c>
      <c r="G4" s="312">
        <v>0</v>
      </c>
      <c r="H4" s="312">
        <v>0</v>
      </c>
      <c r="I4" s="312">
        <v>0</v>
      </c>
      <c r="J4" s="312">
        <v>0</v>
      </c>
      <c r="K4" s="312">
        <v>0</v>
      </c>
      <c r="L4" s="312">
        <v>0</v>
      </c>
      <c r="M4" s="312">
        <v>0</v>
      </c>
      <c r="N4" s="312">
        <v>0</v>
      </c>
      <c r="O4" s="312">
        <v>0</v>
      </c>
      <c r="P4" s="312">
        <v>0</v>
      </c>
      <c r="Q4" s="312">
        <v>28</v>
      </c>
      <c r="R4" s="312">
        <v>0</v>
      </c>
      <c r="S4" s="312">
        <v>0</v>
      </c>
      <c r="T4" s="312">
        <v>0</v>
      </c>
      <c r="U4" s="312">
        <v>0</v>
      </c>
      <c r="V4" s="312">
        <v>29</v>
      </c>
      <c r="W4" s="312">
        <v>46</v>
      </c>
      <c r="X4" s="312">
        <v>0</v>
      </c>
      <c r="Y4" s="312">
        <v>0</v>
      </c>
      <c r="Z4" s="312">
        <v>0</v>
      </c>
      <c r="AA4" s="312">
        <v>0</v>
      </c>
      <c r="AB4" s="312">
        <v>0</v>
      </c>
      <c r="AC4" s="312">
        <v>0</v>
      </c>
      <c r="AD4" s="312">
        <v>0</v>
      </c>
      <c r="AE4" s="312">
        <v>0</v>
      </c>
      <c r="AF4" s="312">
        <v>1232</v>
      </c>
      <c r="AG4" s="313">
        <v>1351</v>
      </c>
    </row>
    <row r="5" spans="1:184" x14ac:dyDescent="0.3">
      <c r="A5" s="137" t="s">
        <v>53</v>
      </c>
      <c r="B5" s="314">
        <v>0</v>
      </c>
      <c r="C5" s="315">
        <v>8</v>
      </c>
      <c r="D5" s="315">
        <v>14</v>
      </c>
      <c r="E5" s="315">
        <v>0</v>
      </c>
      <c r="F5" s="315">
        <v>0</v>
      </c>
      <c r="G5" s="315">
        <v>0</v>
      </c>
      <c r="H5" s="315">
        <v>0</v>
      </c>
      <c r="I5" s="315">
        <v>0</v>
      </c>
      <c r="J5" s="315">
        <v>0</v>
      </c>
      <c r="K5" s="315">
        <v>0</v>
      </c>
      <c r="L5" s="315">
        <v>0</v>
      </c>
      <c r="M5" s="315">
        <v>0</v>
      </c>
      <c r="N5" s="315">
        <v>0</v>
      </c>
      <c r="O5" s="315">
        <v>0</v>
      </c>
      <c r="P5" s="315">
        <v>0</v>
      </c>
      <c r="Q5" s="315">
        <v>29</v>
      </c>
      <c r="R5" s="315">
        <v>0</v>
      </c>
      <c r="S5" s="315">
        <v>0</v>
      </c>
      <c r="T5" s="315">
        <v>0</v>
      </c>
      <c r="U5" s="315">
        <v>0</v>
      </c>
      <c r="V5" s="315">
        <v>36</v>
      </c>
      <c r="W5" s="315">
        <v>58</v>
      </c>
      <c r="X5" s="315">
        <v>0</v>
      </c>
      <c r="Y5" s="315">
        <v>0</v>
      </c>
      <c r="Z5" s="315">
        <v>0</v>
      </c>
      <c r="AA5" s="315">
        <v>0</v>
      </c>
      <c r="AB5" s="315">
        <v>0</v>
      </c>
      <c r="AC5" s="315">
        <v>0</v>
      </c>
      <c r="AD5" s="315">
        <v>0</v>
      </c>
      <c r="AE5" s="315">
        <v>0</v>
      </c>
      <c r="AF5" s="315">
        <v>1655</v>
      </c>
      <c r="AG5" s="316">
        <v>1800</v>
      </c>
    </row>
    <row r="6" spans="1:184" ht="15" thickBot="1" x14ac:dyDescent="0.35">
      <c r="A6" s="138" t="s">
        <v>54</v>
      </c>
      <c r="B6" s="314">
        <v>0</v>
      </c>
      <c r="C6" s="315">
        <v>1.8999999999991246E-2</v>
      </c>
      <c r="D6" s="315">
        <v>1.9999999999996021E-2</v>
      </c>
      <c r="E6" s="315">
        <v>0</v>
      </c>
      <c r="F6" s="315">
        <v>0</v>
      </c>
      <c r="G6" s="315">
        <v>0</v>
      </c>
      <c r="H6" s="315">
        <v>0</v>
      </c>
      <c r="I6" s="315">
        <v>0</v>
      </c>
      <c r="J6" s="315">
        <v>0</v>
      </c>
      <c r="K6" s="315">
        <v>0</v>
      </c>
      <c r="L6" s="315">
        <v>0</v>
      </c>
      <c r="M6" s="315">
        <v>0</v>
      </c>
      <c r="N6" s="315">
        <v>0</v>
      </c>
      <c r="O6" s="315">
        <v>0</v>
      </c>
      <c r="P6" s="315">
        <v>0</v>
      </c>
      <c r="Q6" s="315">
        <v>0.20000000000000284</v>
      </c>
      <c r="R6" s="315">
        <v>0</v>
      </c>
      <c r="S6" s="315">
        <v>0</v>
      </c>
      <c r="T6" s="315">
        <v>0</v>
      </c>
      <c r="U6" s="315">
        <v>0</v>
      </c>
      <c r="V6" s="315">
        <v>0.20000000000000284</v>
      </c>
      <c r="W6" s="315">
        <v>0.32999999999999829</v>
      </c>
      <c r="X6" s="315">
        <v>0</v>
      </c>
      <c r="Y6" s="315">
        <v>0</v>
      </c>
      <c r="Z6" s="315">
        <v>0</v>
      </c>
      <c r="AA6" s="315">
        <v>0</v>
      </c>
      <c r="AB6" s="315">
        <v>0</v>
      </c>
      <c r="AC6" s="315">
        <v>0</v>
      </c>
      <c r="AD6" s="315">
        <v>0</v>
      </c>
      <c r="AE6" s="315">
        <v>0</v>
      </c>
      <c r="AF6" s="315">
        <v>92.77</v>
      </c>
      <c r="AG6" s="316">
        <v>93.538999999999987</v>
      </c>
    </row>
    <row r="7" spans="1:184" ht="15" thickBot="1" x14ac:dyDescent="0.35">
      <c r="A7" s="229" t="s">
        <v>89</v>
      </c>
      <c r="B7" s="102">
        <v>0</v>
      </c>
      <c r="C7" s="103">
        <v>6</v>
      </c>
      <c r="D7" s="103">
        <v>9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10</v>
      </c>
      <c r="N7" s="103">
        <v>0</v>
      </c>
      <c r="O7" s="103">
        <v>0</v>
      </c>
      <c r="P7" s="103">
        <v>0</v>
      </c>
      <c r="Q7" s="103">
        <v>17</v>
      </c>
      <c r="R7" s="103">
        <v>0</v>
      </c>
      <c r="S7" s="103">
        <v>0</v>
      </c>
      <c r="T7" s="103">
        <v>0</v>
      </c>
      <c r="U7" s="103">
        <v>0</v>
      </c>
      <c r="V7" s="103">
        <v>24</v>
      </c>
      <c r="W7" s="103">
        <v>38</v>
      </c>
      <c r="X7" s="103">
        <v>0</v>
      </c>
      <c r="Y7" s="103">
        <v>0</v>
      </c>
      <c r="Z7" s="103">
        <v>0</v>
      </c>
      <c r="AA7" s="103">
        <v>0</v>
      </c>
      <c r="AB7" s="103">
        <v>0</v>
      </c>
      <c r="AC7" s="103">
        <v>0</v>
      </c>
      <c r="AD7" s="103">
        <v>0</v>
      </c>
      <c r="AE7" s="103">
        <v>0</v>
      </c>
      <c r="AF7" s="103">
        <v>0</v>
      </c>
      <c r="AG7" s="104">
        <v>104</v>
      </c>
    </row>
    <row r="8" spans="1:184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84" ht="15" thickBot="1" x14ac:dyDescent="0.35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U9" s="94"/>
      <c r="W9" s="94"/>
      <c r="X9" s="94"/>
    </row>
    <row r="10" spans="1:184" ht="15" thickBot="1" x14ac:dyDescent="0.35">
      <c r="A10" s="271" t="s">
        <v>3</v>
      </c>
      <c r="B10" s="272"/>
      <c r="C10" s="272"/>
      <c r="D10" s="272"/>
      <c r="E10" s="272"/>
      <c r="F10" s="273"/>
      <c r="H10" s="94"/>
      <c r="I10" s="94"/>
      <c r="J10" s="94"/>
      <c r="K10" s="94"/>
      <c r="L10" s="94"/>
      <c r="M10" s="94"/>
      <c r="N10" s="94"/>
      <c r="W10" s="94"/>
      <c r="X10" s="94"/>
    </row>
    <row r="11" spans="1:184" ht="15" thickBot="1" x14ac:dyDescent="0.35">
      <c r="A11" s="317"/>
      <c r="B11" s="121" t="s">
        <v>50</v>
      </c>
      <c r="C11" s="12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4"/>
    </row>
    <row r="12" spans="1:184" ht="15" thickBot="1" x14ac:dyDescent="0.35">
      <c r="A12" s="140" t="s">
        <v>51</v>
      </c>
      <c r="B12" s="115">
        <v>1</v>
      </c>
      <c r="C12" s="116">
        <v>2</v>
      </c>
      <c r="D12" s="116">
        <v>3</v>
      </c>
      <c r="E12" s="116">
        <v>4</v>
      </c>
      <c r="F12" s="116">
        <v>5</v>
      </c>
      <c r="G12" s="116">
        <v>6</v>
      </c>
      <c r="H12" s="116">
        <v>7</v>
      </c>
      <c r="I12" s="116">
        <v>8</v>
      </c>
      <c r="J12" s="116">
        <v>9</v>
      </c>
      <c r="K12" s="116">
        <v>10</v>
      </c>
      <c r="L12" s="116">
        <v>11</v>
      </c>
      <c r="M12" s="116">
        <v>12</v>
      </c>
      <c r="N12" s="116">
        <v>13</v>
      </c>
      <c r="O12" s="116">
        <v>14</v>
      </c>
      <c r="P12" s="116">
        <v>15</v>
      </c>
      <c r="Q12" s="116">
        <v>16</v>
      </c>
      <c r="R12" s="116">
        <v>17</v>
      </c>
      <c r="S12" s="116">
        <v>18</v>
      </c>
      <c r="T12" s="116">
        <v>19</v>
      </c>
      <c r="U12" s="116">
        <v>20</v>
      </c>
      <c r="V12" s="116">
        <v>21</v>
      </c>
      <c r="W12" s="116">
        <v>22</v>
      </c>
      <c r="X12" s="116">
        <v>23</v>
      </c>
      <c r="Y12" s="116">
        <v>24</v>
      </c>
      <c r="Z12" s="116">
        <v>25</v>
      </c>
      <c r="AA12" s="116">
        <v>26</v>
      </c>
      <c r="AB12" s="116">
        <v>27</v>
      </c>
      <c r="AC12" s="116">
        <v>28</v>
      </c>
      <c r="AD12" s="116">
        <v>29</v>
      </c>
      <c r="AE12" s="116">
        <v>30</v>
      </c>
      <c r="AF12" s="125">
        <v>31</v>
      </c>
      <c r="AG12" s="126" t="s">
        <v>44</v>
      </c>
    </row>
    <row r="13" spans="1:184" x14ac:dyDescent="0.3">
      <c r="A13" s="318" t="s">
        <v>55</v>
      </c>
      <c r="B13" s="99">
        <v>0</v>
      </c>
      <c r="C13" s="100">
        <v>7.44</v>
      </c>
      <c r="D13" s="100">
        <v>12.4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34.72</v>
      </c>
      <c r="R13" s="100">
        <v>0</v>
      </c>
      <c r="S13" s="100">
        <v>0</v>
      </c>
      <c r="T13" s="100">
        <v>0</v>
      </c>
      <c r="U13" s="100">
        <v>0</v>
      </c>
      <c r="V13" s="100">
        <v>35.96</v>
      </c>
      <c r="W13" s="100">
        <v>57.040000000000006</v>
      </c>
      <c r="X13" s="100">
        <v>0</v>
      </c>
      <c r="Y13" s="100">
        <v>0</v>
      </c>
      <c r="Z13" s="100">
        <v>0</v>
      </c>
      <c r="AA13" s="100">
        <v>0</v>
      </c>
      <c r="AB13" s="100">
        <v>0</v>
      </c>
      <c r="AC13" s="100">
        <v>0</v>
      </c>
      <c r="AD13" s="100">
        <v>0</v>
      </c>
      <c r="AE13" s="100">
        <v>0</v>
      </c>
      <c r="AF13" s="100">
        <v>1527.68</v>
      </c>
      <c r="AG13" s="101">
        <v>1675.24</v>
      </c>
    </row>
    <row r="14" spans="1:184" x14ac:dyDescent="0.3">
      <c r="A14" s="119" t="s">
        <v>56</v>
      </c>
      <c r="B14" s="117">
        <v>0</v>
      </c>
      <c r="C14" s="309">
        <v>10.6</v>
      </c>
      <c r="D14" s="309">
        <v>18.55</v>
      </c>
      <c r="E14" s="309">
        <v>0</v>
      </c>
      <c r="F14" s="309">
        <v>0</v>
      </c>
      <c r="G14" s="309">
        <v>0</v>
      </c>
      <c r="H14" s="309">
        <v>0</v>
      </c>
      <c r="I14" s="309">
        <v>0</v>
      </c>
      <c r="J14" s="309">
        <v>0</v>
      </c>
      <c r="K14" s="309">
        <v>0</v>
      </c>
      <c r="L14" s="309">
        <v>0</v>
      </c>
      <c r="M14" s="309">
        <v>0</v>
      </c>
      <c r="N14" s="309">
        <v>0</v>
      </c>
      <c r="O14" s="309">
        <v>0</v>
      </c>
      <c r="P14" s="309">
        <v>0</v>
      </c>
      <c r="Q14" s="309">
        <v>38.424999999999997</v>
      </c>
      <c r="R14" s="309">
        <v>0</v>
      </c>
      <c r="S14" s="309">
        <v>0</v>
      </c>
      <c r="T14" s="309">
        <v>0</v>
      </c>
      <c r="U14" s="309">
        <v>0</v>
      </c>
      <c r="V14" s="309">
        <v>47.7</v>
      </c>
      <c r="W14" s="309">
        <v>76.849999999999994</v>
      </c>
      <c r="X14" s="309">
        <v>0</v>
      </c>
      <c r="Y14" s="309">
        <v>0</v>
      </c>
      <c r="Z14" s="309">
        <v>0</v>
      </c>
      <c r="AA14" s="309">
        <v>0</v>
      </c>
      <c r="AB14" s="309">
        <v>0</v>
      </c>
      <c r="AC14" s="309">
        <v>0</v>
      </c>
      <c r="AD14" s="309">
        <v>0</v>
      </c>
      <c r="AE14" s="309">
        <v>0</v>
      </c>
      <c r="AF14" s="309">
        <v>2192.875</v>
      </c>
      <c r="AG14" s="118">
        <v>2385</v>
      </c>
    </row>
    <row r="15" spans="1:184" ht="15" thickBot="1" x14ac:dyDescent="0.35">
      <c r="A15" s="120" t="s">
        <v>57</v>
      </c>
      <c r="B15" s="117">
        <v>0</v>
      </c>
      <c r="C15" s="309">
        <v>1.8999999999991246E-2</v>
      </c>
      <c r="D15" s="309">
        <v>1.9999999999996021E-2</v>
      </c>
      <c r="E15" s="309">
        <v>0</v>
      </c>
      <c r="F15" s="309">
        <v>0</v>
      </c>
      <c r="G15" s="309">
        <v>0</v>
      </c>
      <c r="H15" s="309">
        <v>0</v>
      </c>
      <c r="I15" s="309">
        <v>0</v>
      </c>
      <c r="J15" s="309">
        <v>0</v>
      </c>
      <c r="K15" s="309">
        <v>0</v>
      </c>
      <c r="L15" s="309">
        <v>0</v>
      </c>
      <c r="M15" s="309">
        <v>0</v>
      </c>
      <c r="N15" s="309">
        <v>0</v>
      </c>
      <c r="O15" s="309">
        <v>0</v>
      </c>
      <c r="P15" s="309">
        <v>0</v>
      </c>
      <c r="Q15" s="309">
        <v>0.20000000000000284</v>
      </c>
      <c r="R15" s="309">
        <v>0</v>
      </c>
      <c r="S15" s="309">
        <v>0</v>
      </c>
      <c r="T15" s="309">
        <v>0</v>
      </c>
      <c r="U15" s="309">
        <v>0</v>
      </c>
      <c r="V15" s="309">
        <v>0.20000000000000284</v>
      </c>
      <c r="W15" s="309">
        <v>0.32999999999999829</v>
      </c>
      <c r="X15" s="309">
        <v>0</v>
      </c>
      <c r="Y15" s="309">
        <v>0</v>
      </c>
      <c r="Z15" s="309">
        <v>0</v>
      </c>
      <c r="AA15" s="309">
        <v>0</v>
      </c>
      <c r="AB15" s="309">
        <v>0</v>
      </c>
      <c r="AC15" s="309">
        <v>0</v>
      </c>
      <c r="AD15" s="309">
        <v>0</v>
      </c>
      <c r="AE15" s="309">
        <v>0</v>
      </c>
      <c r="AF15" s="309">
        <v>92.77</v>
      </c>
      <c r="AG15" s="118">
        <v>93.538999999999987</v>
      </c>
    </row>
    <row r="16" spans="1:184" ht="15" thickBot="1" x14ac:dyDescent="0.35">
      <c r="A16" s="58" t="s">
        <v>90</v>
      </c>
      <c r="B16" s="102">
        <v>0</v>
      </c>
      <c r="C16" s="103">
        <v>0.252</v>
      </c>
      <c r="D16" s="103">
        <v>0.378</v>
      </c>
      <c r="E16" s="103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0.42000000000000004</v>
      </c>
      <c r="N16" s="103">
        <v>0</v>
      </c>
      <c r="O16" s="103">
        <v>0</v>
      </c>
      <c r="P16" s="103">
        <v>0</v>
      </c>
      <c r="Q16" s="103">
        <v>0.71399999999999997</v>
      </c>
      <c r="R16" s="103">
        <v>0</v>
      </c>
      <c r="S16" s="103">
        <v>0</v>
      </c>
      <c r="T16" s="103">
        <v>0</v>
      </c>
      <c r="U16" s="103">
        <v>0</v>
      </c>
      <c r="V16" s="103">
        <v>1.008</v>
      </c>
      <c r="W16" s="103">
        <v>1.5960000000000001</v>
      </c>
      <c r="X16" s="103">
        <v>0</v>
      </c>
      <c r="Y16" s="103">
        <v>0</v>
      </c>
      <c r="Z16" s="103">
        <v>0</v>
      </c>
      <c r="AA16" s="103">
        <v>0</v>
      </c>
      <c r="AB16" s="103">
        <v>0</v>
      </c>
      <c r="AC16" s="103">
        <v>0</v>
      </c>
      <c r="AD16" s="103">
        <v>0</v>
      </c>
      <c r="AE16" s="103">
        <v>0</v>
      </c>
      <c r="AF16" s="103">
        <v>0</v>
      </c>
      <c r="AG16" s="104">
        <v>4.3680000000000003</v>
      </c>
    </row>
    <row r="17" spans="1:32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2" ht="15" thickBot="1" x14ac:dyDescent="0.35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U18" s="94"/>
      <c r="W18" s="94"/>
      <c r="X18" s="94"/>
    </row>
    <row r="19" spans="1:32" ht="15" thickBot="1" x14ac:dyDescent="0.35">
      <c r="A19" s="265" t="s">
        <v>13</v>
      </c>
      <c r="B19" s="266"/>
      <c r="C19" s="266"/>
      <c r="D19" s="266"/>
      <c r="E19" s="266"/>
      <c r="F19" s="267"/>
      <c r="H19" s="94"/>
      <c r="I19" s="94"/>
      <c r="J19" s="94"/>
      <c r="K19" s="94"/>
      <c r="L19" s="94"/>
      <c r="M19" s="94"/>
      <c r="W19" s="94"/>
      <c r="X19" s="94"/>
    </row>
    <row r="20" spans="1:32" ht="15" thickBot="1" x14ac:dyDescent="0.35">
      <c r="A20" s="310"/>
      <c r="B20" s="146" t="s">
        <v>50</v>
      </c>
      <c r="C20" s="147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2"/>
    </row>
    <row r="21" spans="1:32" ht="15" thickBot="1" x14ac:dyDescent="0.35">
      <c r="A21" s="151" t="s">
        <v>51</v>
      </c>
      <c r="B21" s="148">
        <v>1</v>
      </c>
      <c r="C21" s="149">
        <v>2</v>
      </c>
      <c r="D21" s="149">
        <v>3</v>
      </c>
      <c r="E21" s="149">
        <v>4</v>
      </c>
      <c r="F21" s="149">
        <v>5</v>
      </c>
      <c r="G21" s="149">
        <v>6</v>
      </c>
      <c r="H21" s="149">
        <v>7</v>
      </c>
      <c r="I21" s="149">
        <v>8</v>
      </c>
      <c r="J21" s="149">
        <v>9</v>
      </c>
      <c r="K21" s="149">
        <v>10</v>
      </c>
      <c r="L21" s="149">
        <v>11</v>
      </c>
      <c r="M21" s="149">
        <v>12</v>
      </c>
      <c r="N21" s="149">
        <v>13</v>
      </c>
      <c r="O21" s="149">
        <v>14</v>
      </c>
      <c r="P21" s="149">
        <v>15</v>
      </c>
      <c r="Q21" s="149">
        <v>16</v>
      </c>
      <c r="R21" s="149">
        <v>17</v>
      </c>
      <c r="S21" s="149">
        <v>18</v>
      </c>
      <c r="T21" s="149">
        <v>19</v>
      </c>
      <c r="U21" s="149">
        <v>20</v>
      </c>
      <c r="V21" s="149">
        <v>21</v>
      </c>
      <c r="W21" s="149">
        <v>22</v>
      </c>
      <c r="X21" s="149">
        <v>23</v>
      </c>
      <c r="Y21" s="149">
        <v>24</v>
      </c>
      <c r="Z21" s="149">
        <v>25</v>
      </c>
      <c r="AA21" s="149">
        <v>26</v>
      </c>
      <c r="AB21" s="149">
        <v>27</v>
      </c>
      <c r="AC21" s="149">
        <v>28</v>
      </c>
      <c r="AD21" s="149">
        <v>29</v>
      </c>
      <c r="AE21" s="149">
        <v>30</v>
      </c>
      <c r="AF21" s="150">
        <v>31</v>
      </c>
    </row>
    <row r="22" spans="1:32" x14ac:dyDescent="0.3">
      <c r="A22" s="143" t="s">
        <v>58</v>
      </c>
      <c r="B22" s="112" t="e">
        <v>#NAME?</v>
      </c>
      <c r="C22" s="107" t="e">
        <v>#NAME?</v>
      </c>
      <c r="D22" s="107" t="e">
        <v>#NAME?</v>
      </c>
      <c r="E22" s="107" t="e">
        <v>#NAME?</v>
      </c>
      <c r="F22" s="107" t="e">
        <v>#NAME?</v>
      </c>
      <c r="G22" s="107" t="e">
        <v>#NAME?</v>
      </c>
      <c r="H22" s="107" t="e">
        <v>#NAME?</v>
      </c>
      <c r="I22" s="107" t="e">
        <v>#NAME?</v>
      </c>
      <c r="J22" s="107" t="e">
        <v>#NAME?</v>
      </c>
      <c r="K22" s="107" t="e">
        <v>#NAME?</v>
      </c>
      <c r="L22" s="107" t="e">
        <v>#NAME?</v>
      </c>
      <c r="M22" s="107" t="e">
        <v>#NAME?</v>
      </c>
      <c r="N22" s="107" t="e">
        <v>#NAME?</v>
      </c>
      <c r="O22" s="107" t="e">
        <v>#NAME?</v>
      </c>
      <c r="P22" s="107" t="e">
        <v>#NAME?</v>
      </c>
      <c r="Q22" s="107" t="e">
        <v>#NAME?</v>
      </c>
      <c r="R22" s="107" t="e">
        <v>#NAME?</v>
      </c>
      <c r="S22" s="107" t="e">
        <v>#NAME?</v>
      </c>
      <c r="T22" s="107" t="e">
        <v>#NAME?</v>
      </c>
      <c r="U22" s="107" t="e">
        <v>#NAME?</v>
      </c>
      <c r="V22" s="107" t="e">
        <v>#NAME?</v>
      </c>
      <c r="W22" s="107" t="e">
        <v>#NAME?</v>
      </c>
      <c r="X22" s="107" t="e">
        <v>#NAME?</v>
      </c>
      <c r="Y22" s="107" t="e">
        <v>#NAME?</v>
      </c>
      <c r="Z22" s="107" t="e">
        <v>#NAME?</v>
      </c>
      <c r="AA22" s="107" t="e">
        <v>#NAME?</v>
      </c>
      <c r="AB22" s="107" t="e">
        <v>#NAME?</v>
      </c>
      <c r="AC22" s="107" t="e">
        <v>#NAME?</v>
      </c>
      <c r="AD22" s="107" t="e">
        <v>#NAME?</v>
      </c>
      <c r="AE22" s="107" t="e">
        <v>#NAME?</v>
      </c>
      <c r="AF22" s="108" t="e">
        <v>#NAME?</v>
      </c>
    </row>
    <row r="23" spans="1:32" x14ac:dyDescent="0.3">
      <c r="A23" s="144" t="s">
        <v>59</v>
      </c>
      <c r="B23" s="127" t="e">
        <v>#NAME?</v>
      </c>
      <c r="C23" s="96" t="e">
        <v>#NAME?</v>
      </c>
      <c r="D23" s="96" t="e">
        <v>#NAME?</v>
      </c>
      <c r="E23" s="96" t="e">
        <v>#NAME?</v>
      </c>
      <c r="F23" s="96" t="e">
        <v>#NAME?</v>
      </c>
      <c r="G23" s="96" t="e">
        <v>#NAME?</v>
      </c>
      <c r="H23" s="96" t="e">
        <v>#NAME?</v>
      </c>
      <c r="I23" s="96" t="e">
        <v>#NAME?</v>
      </c>
      <c r="J23" s="96" t="e">
        <v>#NAME?</v>
      </c>
      <c r="K23" s="96" t="e">
        <v>#NAME?</v>
      </c>
      <c r="L23" s="96" t="e">
        <v>#NAME?</v>
      </c>
      <c r="M23" s="96" t="e">
        <v>#NAME?</v>
      </c>
      <c r="N23" s="96" t="e">
        <v>#NAME?</v>
      </c>
      <c r="O23" s="96" t="e">
        <v>#NAME?</v>
      </c>
      <c r="P23" s="96" t="e">
        <v>#NAME?</v>
      </c>
      <c r="Q23" s="96" t="e">
        <v>#NAME?</v>
      </c>
      <c r="R23" s="96" t="e">
        <v>#NAME?</v>
      </c>
      <c r="S23" s="96" t="e">
        <v>#NAME?</v>
      </c>
      <c r="T23" s="96" t="e">
        <v>#NAME?</v>
      </c>
      <c r="U23" s="96" t="e">
        <v>#NAME?</v>
      </c>
      <c r="V23" s="96" t="e">
        <v>#NAME?</v>
      </c>
      <c r="W23" s="96" t="e">
        <v>#NAME?</v>
      </c>
      <c r="X23" s="96" t="e">
        <v>#NAME?</v>
      </c>
      <c r="Y23" s="96" t="e">
        <v>#NAME?</v>
      </c>
      <c r="Z23" s="96" t="e">
        <v>#NAME?</v>
      </c>
      <c r="AA23" s="96" t="e">
        <v>#NAME?</v>
      </c>
      <c r="AB23" s="96" t="e">
        <v>#NAME?</v>
      </c>
      <c r="AC23" s="96" t="e">
        <v>#NAME?</v>
      </c>
      <c r="AD23" s="96" t="e">
        <v>#NAME?</v>
      </c>
      <c r="AE23" s="96" t="e">
        <v>#NAME?</v>
      </c>
      <c r="AF23" s="114" t="e">
        <v>#NAME?</v>
      </c>
    </row>
    <row r="24" spans="1:32" x14ac:dyDescent="0.3">
      <c r="A24" s="144" t="s">
        <v>60</v>
      </c>
      <c r="B24" s="127" t="e">
        <v>#NAME?</v>
      </c>
      <c r="C24" s="96" t="e">
        <v>#NAME?</v>
      </c>
      <c r="D24" s="96" t="e">
        <v>#NAME?</v>
      </c>
      <c r="E24" s="96" t="e">
        <v>#NAME?</v>
      </c>
      <c r="F24" s="96" t="e">
        <v>#NAME?</v>
      </c>
      <c r="G24" s="96" t="e">
        <v>#NAME?</v>
      </c>
      <c r="H24" s="96" t="e">
        <v>#NAME?</v>
      </c>
      <c r="I24" s="96" t="e">
        <v>#NAME?</v>
      </c>
      <c r="J24" s="96" t="e">
        <v>#NAME?</v>
      </c>
      <c r="K24" s="96" t="e">
        <v>#NAME?</v>
      </c>
      <c r="L24" s="96" t="e">
        <v>#NAME?</v>
      </c>
      <c r="M24" s="96" t="e">
        <v>#NAME?</v>
      </c>
      <c r="N24" s="96" t="e">
        <v>#NAME?</v>
      </c>
      <c r="O24" s="96" t="e">
        <v>#NAME?</v>
      </c>
      <c r="P24" s="96" t="e">
        <v>#NAME?</v>
      </c>
      <c r="Q24" s="96" t="e">
        <v>#NAME?</v>
      </c>
      <c r="R24" s="96" t="e">
        <v>#NAME?</v>
      </c>
      <c r="S24" s="96" t="e">
        <v>#NAME?</v>
      </c>
      <c r="T24" s="96" t="e">
        <v>#NAME?</v>
      </c>
      <c r="U24" s="96" t="e">
        <v>#NAME?</v>
      </c>
      <c r="V24" s="96" t="e">
        <v>#NAME?</v>
      </c>
      <c r="W24" s="96" t="e">
        <v>#NAME?</v>
      </c>
      <c r="X24" s="96" t="e">
        <v>#NAME?</v>
      </c>
      <c r="Y24" s="96" t="e">
        <v>#NAME?</v>
      </c>
      <c r="Z24" s="96" t="e">
        <v>#NAME?</v>
      </c>
      <c r="AA24" s="96" t="e">
        <v>#NAME?</v>
      </c>
      <c r="AB24" s="96" t="e">
        <v>#NAME?</v>
      </c>
      <c r="AC24" s="96" t="e">
        <v>#NAME?</v>
      </c>
      <c r="AD24" s="96" t="e">
        <v>#NAME?</v>
      </c>
      <c r="AE24" s="96" t="e">
        <v>#NAME?</v>
      </c>
      <c r="AF24" s="114" t="e">
        <v>#NAME?</v>
      </c>
    </row>
    <row r="25" spans="1:32" x14ac:dyDescent="0.3">
      <c r="A25" s="144" t="s">
        <v>61</v>
      </c>
      <c r="B25" s="127" t="e">
        <v>#NAME?</v>
      </c>
      <c r="C25" s="96" t="e">
        <v>#NAME?</v>
      </c>
      <c r="D25" s="96" t="e">
        <v>#NAME?</v>
      </c>
      <c r="E25" s="96" t="e">
        <v>#NAME?</v>
      </c>
      <c r="F25" s="96" t="e">
        <v>#NAME?</v>
      </c>
      <c r="G25" s="96" t="e">
        <v>#NAME?</v>
      </c>
      <c r="H25" s="96" t="e">
        <v>#NAME?</v>
      </c>
      <c r="I25" s="96" t="e">
        <v>#NAME?</v>
      </c>
      <c r="J25" s="96" t="e">
        <v>#NAME?</v>
      </c>
      <c r="K25" s="96" t="e">
        <v>#NAME?</v>
      </c>
      <c r="L25" s="96" t="e">
        <v>#NAME?</v>
      </c>
      <c r="M25" s="96" t="e">
        <v>#NAME?</v>
      </c>
      <c r="N25" s="96" t="e">
        <v>#NAME?</v>
      </c>
      <c r="O25" s="96" t="e">
        <v>#NAME?</v>
      </c>
      <c r="P25" s="96" t="e">
        <v>#NAME?</v>
      </c>
      <c r="Q25" s="96" t="e">
        <v>#NAME?</v>
      </c>
      <c r="R25" s="96" t="e">
        <v>#NAME?</v>
      </c>
      <c r="S25" s="96" t="e">
        <v>#NAME?</v>
      </c>
      <c r="T25" s="96" t="e">
        <v>#NAME?</v>
      </c>
      <c r="U25" s="96" t="e">
        <v>#NAME?</v>
      </c>
      <c r="V25" s="96" t="e">
        <v>#NAME?</v>
      </c>
      <c r="W25" s="96" t="e">
        <v>#NAME?</v>
      </c>
      <c r="X25" s="96" t="e">
        <v>#NAME?</v>
      </c>
      <c r="Y25" s="96" t="e">
        <v>#NAME?</v>
      </c>
      <c r="Z25" s="96" t="e">
        <v>#NAME?</v>
      </c>
      <c r="AA25" s="96" t="e">
        <v>#NAME?</v>
      </c>
      <c r="AB25" s="96" t="e">
        <v>#NAME?</v>
      </c>
      <c r="AC25" s="96" t="e">
        <v>#NAME?</v>
      </c>
      <c r="AD25" s="96" t="e">
        <v>#NAME?</v>
      </c>
      <c r="AE25" s="96" t="e">
        <v>#NAME?</v>
      </c>
      <c r="AF25" s="114" t="e">
        <v>#NAME?</v>
      </c>
    </row>
    <row r="26" spans="1:32" ht="15" thickBot="1" x14ac:dyDescent="0.35">
      <c r="A26" s="145" t="s">
        <v>62</v>
      </c>
      <c r="B26" s="111" t="e">
        <v>#NAME?</v>
      </c>
      <c r="C26" s="109" t="e">
        <v>#NAME?</v>
      </c>
      <c r="D26" s="109" t="e">
        <v>#NAME?</v>
      </c>
      <c r="E26" s="109" t="e">
        <v>#NAME?</v>
      </c>
      <c r="F26" s="109" t="e">
        <v>#NAME?</v>
      </c>
      <c r="G26" s="109" t="e">
        <v>#NAME?</v>
      </c>
      <c r="H26" s="109" t="e">
        <v>#NAME?</v>
      </c>
      <c r="I26" s="109" t="e">
        <v>#NAME?</v>
      </c>
      <c r="J26" s="109" t="e">
        <v>#NAME?</v>
      </c>
      <c r="K26" s="109" t="e">
        <v>#NAME?</v>
      </c>
      <c r="L26" s="109" t="e">
        <v>#NAME?</v>
      </c>
      <c r="M26" s="109" t="e">
        <v>#NAME?</v>
      </c>
      <c r="N26" s="109" t="e">
        <v>#NAME?</v>
      </c>
      <c r="O26" s="109" t="e">
        <v>#NAME?</v>
      </c>
      <c r="P26" s="109" t="e">
        <v>#NAME?</v>
      </c>
      <c r="Q26" s="109" t="e">
        <v>#NAME?</v>
      </c>
      <c r="R26" s="109" t="e">
        <v>#NAME?</v>
      </c>
      <c r="S26" s="109" t="e">
        <v>#NAME?</v>
      </c>
      <c r="T26" s="109" t="e">
        <v>#NAME?</v>
      </c>
      <c r="U26" s="109" t="e">
        <v>#NAME?</v>
      </c>
      <c r="V26" s="109" t="e">
        <v>#NAME?</v>
      </c>
      <c r="W26" s="109" t="e">
        <v>#NAME?</v>
      </c>
      <c r="X26" s="109" t="e">
        <v>#NAME?</v>
      </c>
      <c r="Y26" s="109" t="e">
        <v>#NAME?</v>
      </c>
      <c r="Z26" s="109" t="e">
        <v>#NAME?</v>
      </c>
      <c r="AA26" s="109" t="e">
        <v>#NAME?</v>
      </c>
      <c r="AB26" s="109" t="e">
        <v>#NAME?</v>
      </c>
      <c r="AC26" s="109" t="e">
        <v>#NAME?</v>
      </c>
      <c r="AD26" s="109" t="e">
        <v>#NAME?</v>
      </c>
      <c r="AE26" s="109" t="e">
        <v>#NAME?</v>
      </c>
      <c r="AF26" s="110" t="e">
        <v>#NAME?</v>
      </c>
    </row>
    <row r="27" spans="1:32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U27" s="94"/>
      <c r="W27" s="94"/>
      <c r="X27" s="94"/>
    </row>
    <row r="28" spans="1:32" ht="15" thickBot="1" x14ac:dyDescent="0.3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U28" s="94"/>
      <c r="W28" s="94"/>
      <c r="X28" s="94"/>
    </row>
    <row r="29" spans="1:32" ht="15" thickBot="1" x14ac:dyDescent="0.35">
      <c r="A29" s="113" t="s">
        <v>50</v>
      </c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4"/>
    </row>
    <row r="30" spans="1:32" x14ac:dyDescent="0.3">
      <c r="A30" s="155">
        <v>1</v>
      </c>
      <c r="B30" s="156">
        <v>2</v>
      </c>
      <c r="C30" s="156">
        <v>3</v>
      </c>
      <c r="D30" s="156">
        <v>4</v>
      </c>
      <c r="E30" s="156">
        <v>5</v>
      </c>
      <c r="F30" s="156">
        <v>6</v>
      </c>
      <c r="G30" s="156">
        <v>7</v>
      </c>
      <c r="H30" s="156">
        <v>8</v>
      </c>
      <c r="I30" s="156">
        <v>9</v>
      </c>
      <c r="J30" s="156">
        <v>10</v>
      </c>
      <c r="K30" s="156">
        <v>11</v>
      </c>
      <c r="L30" s="156">
        <v>12</v>
      </c>
      <c r="M30" s="156">
        <v>13</v>
      </c>
      <c r="N30" s="156">
        <v>14</v>
      </c>
      <c r="O30" s="156">
        <v>15</v>
      </c>
      <c r="P30" s="156">
        <v>16</v>
      </c>
      <c r="Q30" s="156">
        <v>17</v>
      </c>
      <c r="R30" s="156">
        <v>18</v>
      </c>
      <c r="S30" s="156">
        <v>19</v>
      </c>
      <c r="T30" s="156">
        <v>20</v>
      </c>
      <c r="U30" s="156">
        <v>21</v>
      </c>
      <c r="V30" s="156">
        <v>22</v>
      </c>
      <c r="W30" s="156">
        <v>23</v>
      </c>
      <c r="X30" s="156">
        <v>24</v>
      </c>
      <c r="Y30" s="156">
        <v>25</v>
      </c>
      <c r="Z30" s="156">
        <v>26</v>
      </c>
      <c r="AA30" s="156">
        <v>27</v>
      </c>
      <c r="AB30" s="156">
        <v>28</v>
      </c>
      <c r="AC30" s="156">
        <v>29</v>
      </c>
      <c r="AD30" s="156">
        <v>30</v>
      </c>
      <c r="AE30" s="157">
        <v>31</v>
      </c>
      <c r="AF30" s="158" t="s">
        <v>44</v>
      </c>
    </row>
    <row r="31" spans="1:32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2" ht="15" thickBot="1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3">
      <c r="B33" s="94"/>
      <c r="C33" s="94"/>
      <c r="D33" s="94"/>
      <c r="E33" s="94"/>
      <c r="F33" s="94"/>
      <c r="H33" s="94"/>
      <c r="I33" s="94"/>
      <c r="J33" s="94"/>
      <c r="K33" s="94"/>
      <c r="L33" s="94"/>
      <c r="M33" s="94"/>
      <c r="W33" s="94"/>
      <c r="X33" s="94"/>
    </row>
    <row r="34" spans="2:24" x14ac:dyDescent="0.3">
      <c r="B34" s="94"/>
      <c r="C34" s="94"/>
      <c r="D34" s="94"/>
      <c r="E34" s="94"/>
      <c r="F34" s="94"/>
      <c r="H34" s="94"/>
      <c r="I34" s="94"/>
      <c r="J34" s="94"/>
      <c r="K34" s="94"/>
      <c r="L34" s="94"/>
      <c r="M34" s="94"/>
      <c r="W34" s="94"/>
      <c r="X34" s="94"/>
    </row>
    <row r="35" spans="2:24" x14ac:dyDescent="0.3">
      <c r="B35" s="94"/>
      <c r="C35" s="94"/>
      <c r="D35" s="94"/>
      <c r="E35" s="94"/>
      <c r="F35" s="94"/>
      <c r="H35" s="94"/>
      <c r="I35" s="94"/>
      <c r="J35" s="94"/>
      <c r="K35" s="94"/>
      <c r="L35" s="94"/>
      <c r="M35" s="94"/>
      <c r="W35" s="94"/>
      <c r="X35" s="94"/>
    </row>
    <row r="36" spans="2:24" x14ac:dyDescent="0.3">
      <c r="W36" s="94"/>
      <c r="X36" s="94"/>
    </row>
    <row r="44" spans="2:24" x14ac:dyDescent="0.3">
      <c r="W44" s="94"/>
      <c r="X44" s="94"/>
    </row>
    <row r="45" spans="2:24" x14ac:dyDescent="0.3">
      <c r="W45" s="94"/>
      <c r="X45" s="94"/>
    </row>
    <row r="46" spans="2:24" x14ac:dyDescent="0.3">
      <c r="W46" s="94"/>
      <c r="X46" s="94"/>
    </row>
    <row r="51" spans="2:24" x14ac:dyDescent="0.3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U51" s="94"/>
      <c r="W51" s="94"/>
      <c r="X51" s="94"/>
    </row>
    <row r="52" spans="2:24" x14ac:dyDescent="0.3">
      <c r="W52" s="94"/>
      <c r="X52" s="94"/>
    </row>
    <row r="60" spans="2:24" x14ac:dyDescent="0.3">
      <c r="W60" s="94"/>
      <c r="X60" s="94"/>
    </row>
    <row r="61" spans="2:24" x14ac:dyDescent="0.3">
      <c r="W61" s="94"/>
      <c r="X61" s="94"/>
    </row>
    <row r="62" spans="2:24" x14ac:dyDescent="0.3">
      <c r="W62" s="94"/>
      <c r="X62" s="94"/>
    </row>
    <row r="63" spans="2:24" x14ac:dyDescent="0.3">
      <c r="W63" s="94"/>
      <c r="X63" s="94"/>
    </row>
    <row r="64" spans="2:24" x14ac:dyDescent="0.3">
      <c r="W64" s="94"/>
      <c r="X64" s="94"/>
    </row>
    <row r="65" spans="23:24" x14ac:dyDescent="0.3">
      <c r="W65" s="94"/>
      <c r="X65" s="94"/>
    </row>
    <row r="66" spans="23:24" x14ac:dyDescent="0.3">
      <c r="W66" s="94"/>
      <c r="X66" s="94"/>
    </row>
    <row r="67" spans="23:24" x14ac:dyDescent="0.3">
      <c r="W67" s="94"/>
      <c r="X67" s="94"/>
    </row>
    <row r="68" spans="23:24" x14ac:dyDescent="0.3">
      <c r="W68" s="94"/>
      <c r="X68" s="94"/>
    </row>
    <row r="69" spans="23:24" x14ac:dyDescent="0.3">
      <c r="W69" s="94"/>
      <c r="X69" s="94"/>
    </row>
    <row r="70" spans="23:24" x14ac:dyDescent="0.3">
      <c r="W70" s="94"/>
      <c r="X70" s="94"/>
    </row>
    <row r="71" spans="23:24" x14ac:dyDescent="0.3">
      <c r="W71" s="94"/>
      <c r="X71" s="94"/>
    </row>
    <row r="72" spans="23:24" x14ac:dyDescent="0.3">
      <c r="W72" s="94"/>
      <c r="X72" s="94"/>
    </row>
    <row r="73" spans="23:24" x14ac:dyDescent="0.3">
      <c r="W73" s="94"/>
      <c r="X73" s="94"/>
    </row>
    <row r="74" spans="23:24" x14ac:dyDescent="0.3">
      <c r="W74" s="94"/>
      <c r="X74" s="94"/>
    </row>
    <row r="75" spans="23:24" x14ac:dyDescent="0.3">
      <c r="W75" s="94"/>
      <c r="X75" s="94"/>
    </row>
    <row r="76" spans="23:24" x14ac:dyDescent="0.3">
      <c r="W76" s="94"/>
      <c r="X76" s="94"/>
    </row>
    <row r="77" spans="23:24" x14ac:dyDescent="0.3">
      <c r="W77" s="94"/>
      <c r="X77" s="94"/>
    </row>
    <row r="78" spans="23:24" x14ac:dyDescent="0.3">
      <c r="W78" s="94"/>
      <c r="X78" s="94"/>
    </row>
    <row r="79" spans="23:24" x14ac:dyDescent="0.3">
      <c r="W79" s="94"/>
      <c r="X79" s="94"/>
    </row>
    <row r="80" spans="23:24" x14ac:dyDescent="0.3">
      <c r="W80" s="94"/>
      <c r="X80" s="94"/>
    </row>
    <row r="81" spans="23:24" x14ac:dyDescent="0.3">
      <c r="W81" s="94"/>
      <c r="X81" s="94"/>
    </row>
    <row r="82" spans="23:24" x14ac:dyDescent="0.3">
      <c r="W82" s="94"/>
      <c r="X82" s="94"/>
    </row>
    <row r="83" spans="23:24" x14ac:dyDescent="0.3">
      <c r="W83" s="94"/>
      <c r="X83" s="94"/>
    </row>
    <row r="84" spans="23:24" x14ac:dyDescent="0.3">
      <c r="W84" s="94"/>
      <c r="X84" s="94"/>
    </row>
    <row r="85" spans="23:24" x14ac:dyDescent="0.3">
      <c r="W85" s="94"/>
      <c r="X85" s="94"/>
    </row>
    <row r="86" spans="23:24" x14ac:dyDescent="0.3">
      <c r="W86" s="94"/>
      <c r="X86" s="94"/>
    </row>
    <row r="87" spans="23:24" x14ac:dyDescent="0.3">
      <c r="W87" s="94"/>
      <c r="X87" s="94"/>
    </row>
    <row r="88" spans="23:24" x14ac:dyDescent="0.3">
      <c r="W88" s="94"/>
      <c r="X88" s="94"/>
    </row>
    <row r="89" spans="23:24" x14ac:dyDescent="0.3">
      <c r="W89" s="94"/>
      <c r="X89" s="94"/>
    </row>
    <row r="90" spans="23:24" x14ac:dyDescent="0.3">
      <c r="W90" s="94"/>
      <c r="X90" s="94"/>
    </row>
    <row r="91" spans="23:24" x14ac:dyDescent="0.3">
      <c r="W91" s="94"/>
      <c r="X91" s="94"/>
    </row>
    <row r="92" spans="23:24" x14ac:dyDescent="0.3">
      <c r="W92" s="94"/>
      <c r="X92" s="94"/>
    </row>
    <row r="93" spans="23:24" x14ac:dyDescent="0.3">
      <c r="W93" s="94"/>
      <c r="X93" s="94"/>
    </row>
    <row r="94" spans="23:24" x14ac:dyDescent="0.3">
      <c r="W94" s="94"/>
      <c r="X94" s="94"/>
    </row>
    <row r="95" spans="23:24" x14ac:dyDescent="0.3">
      <c r="W95" s="94"/>
      <c r="X95" s="94"/>
    </row>
    <row r="96" spans="23:24" x14ac:dyDescent="0.3">
      <c r="W96" s="94"/>
      <c r="X96" s="94"/>
    </row>
    <row r="97" spans="23:24" x14ac:dyDescent="0.3">
      <c r="W97" s="94"/>
      <c r="X97" s="94"/>
    </row>
    <row r="98" spans="23:24" x14ac:dyDescent="0.3">
      <c r="W98" s="94"/>
      <c r="X98" s="94"/>
    </row>
    <row r="99" spans="23:24" x14ac:dyDescent="0.3">
      <c r="W99" s="94"/>
      <c r="X99" s="94"/>
    </row>
    <row r="100" spans="23:24" x14ac:dyDescent="0.3">
      <c r="W100" s="94"/>
      <c r="X100" s="94"/>
    </row>
    <row r="101" spans="23:24" x14ac:dyDescent="0.3">
      <c r="W101" s="94"/>
      <c r="X101" s="94"/>
    </row>
    <row r="102" spans="23:24" x14ac:dyDescent="0.3">
      <c r="W102" s="94"/>
      <c r="X102" s="94"/>
    </row>
  </sheetData>
  <mergeCells count="3">
    <mergeCell ref="A19:F19"/>
    <mergeCell ref="A1:F1"/>
    <mergeCell ref="A10:F10"/>
  </mergeCells>
  <conditionalFormatting pivot="1" sqref="B22:AF22">
    <cfRule type="cellIs" dxfId="551" priority="4" operator="greaterThan">
      <formula>350</formula>
    </cfRule>
  </conditionalFormatting>
  <conditionalFormatting pivot="1" sqref="C23:AE23">
    <cfRule type="cellIs" dxfId="550" priority="3" operator="greaterThan">
      <formula>700</formula>
    </cfRule>
  </conditionalFormatting>
  <conditionalFormatting pivot="1" sqref="B24:AF24">
    <cfRule type="cellIs" dxfId="549" priority="2" operator="greaterThan">
      <formula>300</formula>
    </cfRule>
  </conditionalFormatting>
  <conditionalFormatting pivot="1">
    <cfRule type="cellIs" dxfId="548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1"/>
  <sheetViews>
    <sheetView zoomScale="80" zoomScaleNormal="80" workbookViewId="0">
      <selection activeCell="I14" sqref="I14"/>
    </sheetView>
  </sheetViews>
  <sheetFormatPr baseColWidth="10" defaultRowHeight="14.4" x14ac:dyDescent="0.3"/>
  <cols>
    <col min="1" max="1" width="0.44140625" customWidth="1"/>
    <col min="2" max="2" width="26.21875" customWidth="1"/>
    <col min="3" max="3" width="11.5546875" customWidth="1"/>
    <col min="4" max="4" width="10.77734375" style="1" customWidth="1"/>
    <col min="5" max="5" width="7.77734375" bestFit="1" customWidth="1"/>
    <col min="6" max="6" width="8.21875" customWidth="1"/>
    <col min="7" max="7" width="9.21875" style="1" customWidth="1"/>
    <col min="8" max="8" width="8.21875" bestFit="1" customWidth="1"/>
    <col min="9" max="9" width="10" customWidth="1"/>
    <col min="10" max="10" width="8.77734375" style="1" bestFit="1" customWidth="1"/>
    <col min="11" max="11" width="7.77734375" customWidth="1"/>
    <col min="13" max="13" width="8.77734375" style="1" bestFit="1" customWidth="1"/>
    <col min="17" max="17" width="11.777343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292" t="s">
        <v>6</v>
      </c>
      <c r="C2" s="305" t="s">
        <v>10</v>
      </c>
      <c r="D2" s="297" t="s">
        <v>12</v>
      </c>
      <c r="E2" s="298"/>
      <c r="F2" s="299" t="s">
        <v>7</v>
      </c>
      <c r="G2" s="300"/>
      <c r="H2" s="307" t="s">
        <v>15</v>
      </c>
      <c r="I2" s="308"/>
      <c r="J2" s="302" t="s">
        <v>11</v>
      </c>
      <c r="K2" s="303"/>
      <c r="L2" s="290" t="s">
        <v>21</v>
      </c>
      <c r="M2" s="291"/>
      <c r="N2" s="290" t="s">
        <v>22</v>
      </c>
      <c r="O2" s="291"/>
    </row>
    <row r="3" spans="2:68" ht="15" thickBot="1" x14ac:dyDescent="0.35">
      <c r="B3" s="293"/>
      <c r="C3" s="306"/>
      <c r="D3" s="27" t="s">
        <v>8</v>
      </c>
      <c r="E3" s="24" t="s">
        <v>9</v>
      </c>
      <c r="F3" s="11" t="s">
        <v>8</v>
      </c>
      <c r="G3" s="12" t="s">
        <v>9</v>
      </c>
      <c r="H3" s="25" t="s">
        <v>8</v>
      </c>
      <c r="I3" s="26" t="s">
        <v>9</v>
      </c>
      <c r="J3" s="50" t="s">
        <v>8</v>
      </c>
      <c r="K3" s="49" t="s">
        <v>9</v>
      </c>
      <c r="L3" s="51" t="s">
        <v>8</v>
      </c>
      <c r="M3" s="52" t="s">
        <v>9</v>
      </c>
      <c r="N3" s="51" t="s">
        <v>8</v>
      </c>
      <c r="O3" s="52" t="s">
        <v>9</v>
      </c>
      <c r="P3" s="1"/>
    </row>
    <row r="4" spans="2:68" x14ac:dyDescent="0.3">
      <c r="B4" s="4" t="s">
        <v>0</v>
      </c>
      <c r="C4" s="3">
        <v>1.24</v>
      </c>
      <c r="D4" s="21">
        <v>1430</v>
      </c>
      <c r="E4" s="5">
        <f>D4*C4</f>
        <v>1773.2</v>
      </c>
      <c r="F4" s="21">
        <f>GETPIVOTDATA("COF 280 ACIDO (L)",'CONSUMO QUÍMICA-CAUDALES GEM  '!$A$2)</f>
        <v>1351</v>
      </c>
      <c r="G4" s="5">
        <f>GETPIVOTDATA("COF 280 - KG ACIDO",'CONSUMO QUÍMICA-CAUDALES GEM  '!$A$11)</f>
        <v>1675.24</v>
      </c>
      <c r="H4" s="21">
        <f>(+C14+E14+G14+I14+K14+M14+O14+Q14+S14)</f>
        <v>3000</v>
      </c>
      <c r="I4" s="5">
        <f t="shared" ref="I4:I5" si="0">H4*C4</f>
        <v>3720</v>
      </c>
      <c r="J4" s="38">
        <f>(D4+H4)-F4</f>
        <v>3079</v>
      </c>
      <c r="K4" s="38">
        <f>J4*$C4</f>
        <v>3817.96</v>
      </c>
      <c r="L4" s="37">
        <v>0</v>
      </c>
      <c r="M4" s="38">
        <f>L4*$C4</f>
        <v>0</v>
      </c>
      <c r="N4" s="37">
        <v>0</v>
      </c>
      <c r="O4" s="38">
        <f>N4*$C4</f>
        <v>0</v>
      </c>
      <c r="P4" s="1"/>
    </row>
    <row r="5" spans="2:68" ht="15.75" customHeight="1" x14ac:dyDescent="0.3">
      <c r="B5" s="6" t="s">
        <v>1</v>
      </c>
      <c r="C5" s="3">
        <v>1.325</v>
      </c>
      <c r="D5" s="21">
        <v>770</v>
      </c>
      <c r="E5" s="7">
        <f>D5*C5</f>
        <v>1020.25</v>
      </c>
      <c r="F5" s="21">
        <f>GETPIVOTDATA("COF 235 COAGULANTE (L)",'CONSUMO QUÍMICA-CAUDALES GEM  '!$A$2)</f>
        <v>1800</v>
      </c>
      <c r="G5" s="7">
        <f>GETPIVOTDATA("COF 235 - KG COAGULANTE",'CONSUMO QUÍMICA-CAUDALES GEM  '!$A$11)</f>
        <v>2385</v>
      </c>
      <c r="H5" s="21">
        <f>(+C15+E15+G15+I15+K15+M15+O15+Q15+S15)</f>
        <v>4000</v>
      </c>
      <c r="I5" s="5">
        <f t="shared" si="0"/>
        <v>5300</v>
      </c>
      <c r="J5" s="7">
        <f t="shared" ref="J5:J7" si="1">(D5+H5)-F5</f>
        <v>2970</v>
      </c>
      <c r="K5" s="7">
        <f t="shared" ref="K5:M7" si="2">J5*$C5</f>
        <v>3935.25</v>
      </c>
      <c r="L5" s="21">
        <v>0</v>
      </c>
      <c r="M5" s="7">
        <f t="shared" si="2"/>
        <v>0</v>
      </c>
      <c r="N5" s="21">
        <f t="shared" ref="N5:N7" si="3">J5-L5</f>
        <v>2970</v>
      </c>
      <c r="O5" s="7">
        <f t="shared" ref="O5" si="4">N5*$C5</f>
        <v>3935.25</v>
      </c>
      <c r="P5" s="1"/>
    </row>
    <row r="6" spans="2:68" x14ac:dyDescent="0.3">
      <c r="B6" s="6" t="s">
        <v>2</v>
      </c>
      <c r="C6" s="3">
        <v>2.5000000000000001E-3</v>
      </c>
      <c r="D6" s="21">
        <v>7700</v>
      </c>
      <c r="E6" s="7">
        <f>D6*C6</f>
        <v>19.25</v>
      </c>
      <c r="F6" s="21">
        <f>(GETPIVOTDATA("COF 440 POL ANIONICO (KG)",'CONSUMO QUÍMICA-CAUDALES GEM  '!$A$2)/C6)</f>
        <v>37415.599999999991</v>
      </c>
      <c r="G6" s="7">
        <f>GETPIVOTDATA("COF 440 - KG POL ANIONICO ",'CONSUMO QUÍMICA-CAUDALES GEM  '!$A$11)</f>
        <v>93.538999999999987</v>
      </c>
      <c r="H6" s="21">
        <f>(+C16+E16+G16+I16+K16+M16+O16+Q16+S16)</f>
        <v>20000</v>
      </c>
      <c r="I6" s="5">
        <f>H6*C6</f>
        <v>50</v>
      </c>
      <c r="J6" s="7">
        <f t="shared" si="1"/>
        <v>-9715.5999999999913</v>
      </c>
      <c r="K6" s="7">
        <f t="shared" si="2"/>
        <v>-24.28899999999998</v>
      </c>
      <c r="L6" s="21">
        <v>0</v>
      </c>
      <c r="M6" s="7">
        <f t="shared" si="2"/>
        <v>0</v>
      </c>
      <c r="N6" s="21">
        <f t="shared" si="3"/>
        <v>-9715.5999999999913</v>
      </c>
      <c r="O6" s="7">
        <f t="shared" ref="O6" si="5">N6*$C6</f>
        <v>-24.28899999999998</v>
      </c>
      <c r="P6" s="1"/>
    </row>
    <row r="7" spans="2:68" ht="15" thickBot="1" x14ac:dyDescent="0.35">
      <c r="B7" s="8" t="s">
        <v>76</v>
      </c>
      <c r="C7" s="28">
        <v>2.5000000000000001E-3</v>
      </c>
      <c r="D7" s="22">
        <v>0</v>
      </c>
      <c r="E7" s="9">
        <f>D7*C7</f>
        <v>0</v>
      </c>
      <c r="F7" s="21">
        <f>(GETPIVOTDATA("COF 440 POL ANIONICO (KG)",'CONSUMO QUÍMICA-CAUDALES GEM  '!$A$2)/C7)</f>
        <v>37415.599999999991</v>
      </c>
      <c r="G7" s="7">
        <f>GETPIVOTDATA("COF 440 - KG POL ANIONICO ",'CONSUMO QUÍMICA-CAUDALES GEM  '!$A$11)</f>
        <v>93.538999999999987</v>
      </c>
      <c r="H7" s="21">
        <f>(+C17+E17+G17+I17+K17+M17+O17+Q17+S17)</f>
        <v>0</v>
      </c>
      <c r="I7" s="23">
        <f>H7*C7</f>
        <v>0</v>
      </c>
      <c r="J7" s="9">
        <f t="shared" si="1"/>
        <v>-37415.599999999991</v>
      </c>
      <c r="K7" s="9">
        <f t="shared" si="2"/>
        <v>-93.538999999999973</v>
      </c>
      <c r="L7" s="22">
        <v>0</v>
      </c>
      <c r="M7" s="9">
        <f t="shared" si="2"/>
        <v>0</v>
      </c>
      <c r="N7" s="22">
        <f t="shared" si="3"/>
        <v>-37415.599999999991</v>
      </c>
      <c r="O7" s="9">
        <f t="shared" ref="O7" si="6">N7*$C7</f>
        <v>-93.538999999999973</v>
      </c>
      <c r="P7" s="1"/>
    </row>
    <row r="8" spans="2:68" ht="3.75" customHeight="1" thickBot="1" x14ac:dyDescent="0.35">
      <c r="B8" s="10"/>
      <c r="C8" s="10"/>
      <c r="D8" s="35"/>
      <c r="E8" s="10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1"/>
      <c r="AN8" s="301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  <c r="BB8" s="301"/>
      <c r="BC8" s="301"/>
      <c r="BD8" s="301"/>
      <c r="BE8" s="301"/>
      <c r="BF8" s="301"/>
      <c r="BG8" s="301"/>
      <c r="BH8" s="301"/>
      <c r="BI8" s="301"/>
      <c r="BJ8" s="301"/>
      <c r="BK8" s="301"/>
      <c r="BL8" s="301"/>
      <c r="BM8" s="301"/>
      <c r="BN8" s="301"/>
      <c r="BO8" s="301"/>
      <c r="BP8" s="301"/>
    </row>
    <row r="9" spans="2:68" ht="16.5" customHeight="1" thickBot="1" x14ac:dyDescent="0.35">
      <c r="B9" s="294" t="s">
        <v>6</v>
      </c>
      <c r="C9" s="287" t="s">
        <v>14</v>
      </c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9"/>
    </row>
    <row r="10" spans="2:68" x14ac:dyDescent="0.3">
      <c r="B10" s="295"/>
      <c r="C10" s="282">
        <v>45694</v>
      </c>
      <c r="D10" s="283"/>
      <c r="E10" s="282"/>
      <c r="F10" s="283"/>
      <c r="G10" s="282"/>
      <c r="H10" s="283"/>
      <c r="I10" s="282"/>
      <c r="J10" s="304"/>
      <c r="K10" s="282"/>
      <c r="L10" s="283"/>
      <c r="M10" s="282"/>
      <c r="N10" s="283"/>
      <c r="O10" s="282"/>
      <c r="P10" s="283"/>
      <c r="Q10" s="282"/>
      <c r="R10" s="283"/>
      <c r="S10" s="280"/>
      <c r="T10" s="281"/>
    </row>
    <row r="11" spans="2:68" x14ac:dyDescent="0.3">
      <c r="B11" s="295"/>
      <c r="C11" s="55" t="s">
        <v>23</v>
      </c>
      <c r="D11" s="56" t="s">
        <v>24</v>
      </c>
      <c r="E11" s="55" t="s">
        <v>23</v>
      </c>
      <c r="F11" s="56" t="s">
        <v>24</v>
      </c>
      <c r="G11" s="55" t="s">
        <v>23</v>
      </c>
      <c r="H11" s="56" t="s">
        <v>24</v>
      </c>
      <c r="I11" s="55" t="s">
        <v>23</v>
      </c>
      <c r="J11" s="56" t="s">
        <v>24</v>
      </c>
      <c r="K11" s="55" t="s">
        <v>23</v>
      </c>
      <c r="L11" s="56" t="s">
        <v>24</v>
      </c>
      <c r="M11" s="55" t="s">
        <v>23</v>
      </c>
      <c r="N11" s="56" t="s">
        <v>24</v>
      </c>
      <c r="O11" s="55" t="s">
        <v>23</v>
      </c>
      <c r="P11" s="56" t="s">
        <v>24</v>
      </c>
      <c r="Q11" s="55" t="s">
        <v>23</v>
      </c>
      <c r="R11" s="56" t="s">
        <v>24</v>
      </c>
      <c r="S11" s="55" t="s">
        <v>23</v>
      </c>
      <c r="T11" s="56" t="s">
        <v>24</v>
      </c>
    </row>
    <row r="12" spans="2:68" x14ac:dyDescent="0.3">
      <c r="B12" s="295"/>
      <c r="C12" s="55"/>
      <c r="D12" s="56"/>
      <c r="E12" s="55"/>
      <c r="F12" s="56"/>
      <c r="G12" s="55"/>
      <c r="H12" s="56"/>
      <c r="I12" s="55"/>
      <c r="J12" s="56"/>
      <c r="K12" s="55"/>
      <c r="L12" s="56"/>
      <c r="M12" s="55"/>
      <c r="N12" s="56"/>
      <c r="O12" s="55"/>
      <c r="P12" s="56"/>
      <c r="Q12" s="55"/>
      <c r="R12" s="56"/>
      <c r="S12" s="55"/>
      <c r="T12" s="56"/>
    </row>
    <row r="13" spans="2:68" ht="15" thickBot="1" x14ac:dyDescent="0.35">
      <c r="B13" s="296"/>
      <c r="C13" s="45" t="s">
        <v>8</v>
      </c>
      <c r="D13" s="46" t="s">
        <v>9</v>
      </c>
      <c r="E13" s="45" t="s">
        <v>8</v>
      </c>
      <c r="F13" s="46" t="s">
        <v>9</v>
      </c>
      <c r="G13" s="45" t="s">
        <v>8</v>
      </c>
      <c r="H13" s="46" t="s">
        <v>9</v>
      </c>
      <c r="I13" s="45" t="s">
        <v>8</v>
      </c>
      <c r="J13" s="46" t="s">
        <v>9</v>
      </c>
      <c r="K13" s="45" t="s">
        <v>8</v>
      </c>
      <c r="L13" s="46" t="s">
        <v>9</v>
      </c>
      <c r="M13" s="45" t="s">
        <v>8</v>
      </c>
      <c r="N13" s="46" t="s">
        <v>9</v>
      </c>
      <c r="O13" s="45" t="s">
        <v>8</v>
      </c>
      <c r="P13" s="46" t="s">
        <v>9</v>
      </c>
      <c r="Q13" s="45" t="s">
        <v>8</v>
      </c>
      <c r="R13" s="46" t="s">
        <v>9</v>
      </c>
      <c r="S13" s="53" t="s">
        <v>8</v>
      </c>
      <c r="T13" s="54" t="s">
        <v>9</v>
      </c>
    </row>
    <row r="14" spans="2:68" x14ac:dyDescent="0.3">
      <c r="B14" s="13" t="s">
        <v>0</v>
      </c>
      <c r="C14" s="192">
        <v>3000</v>
      </c>
      <c r="D14" s="193">
        <f>C14*$C$4</f>
        <v>3720</v>
      </c>
      <c r="E14" s="192"/>
      <c r="F14" s="193">
        <f>E14*$C$4</f>
        <v>0</v>
      </c>
      <c r="G14" s="192"/>
      <c r="H14" s="193">
        <f>G14*$C$4</f>
        <v>0</v>
      </c>
      <c r="I14" s="192"/>
      <c r="J14" s="193"/>
      <c r="K14" s="192"/>
      <c r="L14" s="193"/>
      <c r="M14" s="47"/>
      <c r="N14" s="48"/>
      <c r="O14" s="47"/>
      <c r="P14" s="48"/>
      <c r="Q14" s="47"/>
      <c r="R14" s="48"/>
      <c r="S14" s="47"/>
      <c r="T14" s="15"/>
    </row>
    <row r="15" spans="2:68" x14ac:dyDescent="0.3">
      <c r="B15" s="16" t="s">
        <v>1</v>
      </c>
      <c r="C15" s="194">
        <v>4000</v>
      </c>
      <c r="D15" s="195">
        <f>+C15*$C$5</f>
        <v>5300</v>
      </c>
      <c r="E15" s="194"/>
      <c r="F15" s="195">
        <f>+E15*$C$5</f>
        <v>0</v>
      </c>
      <c r="G15" s="194"/>
      <c r="H15" s="195">
        <f>+G15*$C$5</f>
        <v>0</v>
      </c>
      <c r="I15" s="194"/>
      <c r="J15" s="195"/>
      <c r="K15" s="194"/>
      <c r="L15" s="195"/>
      <c r="M15" s="17"/>
      <c r="N15" s="15"/>
      <c r="O15" s="17"/>
      <c r="P15" s="15"/>
      <c r="Q15" s="17"/>
      <c r="R15" s="15"/>
      <c r="S15" s="17"/>
      <c r="T15" s="15"/>
    </row>
    <row r="16" spans="2:68" x14ac:dyDescent="0.3">
      <c r="B16" s="16" t="s">
        <v>2</v>
      </c>
      <c r="C16" s="194">
        <v>20000</v>
      </c>
      <c r="D16" s="195">
        <f>+C16*$C$6</f>
        <v>50</v>
      </c>
      <c r="E16" s="194"/>
      <c r="F16" s="195">
        <f>+E16*$C$6</f>
        <v>0</v>
      </c>
      <c r="G16" s="194"/>
      <c r="H16" s="195">
        <f>+G16*$C$6</f>
        <v>0</v>
      </c>
      <c r="I16" s="194"/>
      <c r="J16" s="195"/>
      <c r="K16" s="194"/>
      <c r="L16" s="195"/>
      <c r="M16" s="17"/>
      <c r="N16" s="15"/>
      <c r="O16" s="17"/>
      <c r="P16" s="15"/>
      <c r="Q16" s="17"/>
      <c r="R16" s="15"/>
      <c r="S16" s="17"/>
      <c r="T16" s="15"/>
    </row>
    <row r="17" spans="2:92" ht="15" customHeight="1" thickBot="1" x14ac:dyDescent="0.35">
      <c r="B17" s="18" t="s">
        <v>76</v>
      </c>
      <c r="C17" s="196"/>
      <c r="D17" s="197">
        <f>+C17*$C$7</f>
        <v>0</v>
      </c>
      <c r="E17" s="196"/>
      <c r="F17" s="197">
        <f>+E17*$C$7</f>
        <v>0</v>
      </c>
      <c r="G17" s="196"/>
      <c r="H17" s="197">
        <f>+G17*$C$7</f>
        <v>0</v>
      </c>
      <c r="I17" s="196"/>
      <c r="J17" s="197"/>
      <c r="K17" s="196"/>
      <c r="L17" s="197"/>
      <c r="M17" s="19"/>
      <c r="N17" s="20"/>
      <c r="O17" s="19"/>
      <c r="P17" s="20"/>
      <c r="Q17" s="19"/>
      <c r="R17" s="20"/>
      <c r="S17" s="19"/>
      <c r="T17" s="20"/>
    </row>
    <row r="18" spans="2:92" ht="15" thickBot="1" x14ac:dyDescent="0.35">
      <c r="M18"/>
    </row>
    <row r="19" spans="2:92" ht="15.75" customHeight="1" thickBot="1" x14ac:dyDescent="0.35">
      <c r="B19" s="284" t="s">
        <v>6</v>
      </c>
      <c r="C19" s="277" t="s">
        <v>16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9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spans="2:92" ht="15.75" customHeight="1" thickBot="1" x14ac:dyDescent="0.35">
      <c r="B20" s="285"/>
      <c r="C20" s="274"/>
      <c r="D20" s="275"/>
      <c r="E20" s="276"/>
      <c r="F20" s="274"/>
      <c r="G20" s="275"/>
      <c r="H20" s="276"/>
      <c r="I20" s="274"/>
      <c r="J20" s="275"/>
      <c r="K20" s="276"/>
      <c r="L20" s="274"/>
      <c r="M20" s="275"/>
      <c r="N20" s="276"/>
      <c r="O20" s="274"/>
      <c r="P20" s="275"/>
      <c r="Q20" s="276"/>
      <c r="R20" s="274"/>
      <c r="S20" s="275"/>
      <c r="T20" s="276"/>
      <c r="U20" s="274"/>
      <c r="V20" s="275"/>
      <c r="W20" s="276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2:92" ht="33.75" customHeight="1" thickBot="1" x14ac:dyDescent="0.35">
      <c r="B21" s="286"/>
      <c r="C21" s="32" t="s">
        <v>8</v>
      </c>
      <c r="D21" s="33" t="s">
        <v>5</v>
      </c>
      <c r="E21" s="34" t="s">
        <v>9</v>
      </c>
      <c r="F21" s="32" t="s">
        <v>8</v>
      </c>
      <c r="G21" s="33" t="s">
        <v>5</v>
      </c>
      <c r="H21" s="34" t="s">
        <v>9</v>
      </c>
      <c r="I21" s="32" t="s">
        <v>8</v>
      </c>
      <c r="J21" s="33" t="s">
        <v>5</v>
      </c>
      <c r="K21" s="34" t="s">
        <v>9</v>
      </c>
      <c r="L21" s="32" t="s">
        <v>8</v>
      </c>
      <c r="M21" s="33" t="s">
        <v>5</v>
      </c>
      <c r="N21" s="34" t="s">
        <v>9</v>
      </c>
      <c r="O21" s="32" t="s">
        <v>8</v>
      </c>
      <c r="P21" s="33" t="s">
        <v>5</v>
      </c>
      <c r="Q21" s="34" t="s">
        <v>9</v>
      </c>
      <c r="R21" s="32" t="s">
        <v>8</v>
      </c>
      <c r="S21" s="33" t="s">
        <v>5</v>
      </c>
      <c r="T21" s="34" t="s">
        <v>9</v>
      </c>
      <c r="U21" s="32" t="s">
        <v>8</v>
      </c>
      <c r="V21" s="33" t="s">
        <v>5</v>
      </c>
      <c r="W21" s="34" t="s">
        <v>9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spans="2:92" x14ac:dyDescent="0.3">
      <c r="B22" s="29" t="s">
        <v>0</v>
      </c>
      <c r="C22" s="14"/>
      <c r="D22" s="43"/>
      <c r="E22" s="5">
        <f>C22*D22</f>
        <v>0</v>
      </c>
      <c r="F22" s="14"/>
      <c r="G22" s="43"/>
      <c r="H22" s="5">
        <f>F22*G22</f>
        <v>0</v>
      </c>
      <c r="I22" s="14"/>
      <c r="J22" s="43"/>
      <c r="K22" s="5">
        <f>I22*J22</f>
        <v>0</v>
      </c>
      <c r="L22" s="227"/>
      <c r="M22" s="43"/>
      <c r="N22" s="5">
        <f>L22*M22</f>
        <v>0</v>
      </c>
      <c r="O22" s="14"/>
      <c r="P22" s="43"/>
      <c r="Q22" s="5">
        <f>O22*P22</f>
        <v>0</v>
      </c>
      <c r="R22" s="227"/>
      <c r="S22" s="43"/>
      <c r="T22" s="5">
        <f>R22*S22</f>
        <v>0</v>
      </c>
      <c r="U22" s="14"/>
      <c r="V22" s="43"/>
      <c r="W22" s="5">
        <f>U22*V22</f>
        <v>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spans="2:92" x14ac:dyDescent="0.3">
      <c r="B23" s="30" t="s">
        <v>1</v>
      </c>
      <c r="C23" s="17"/>
      <c r="D23" s="42"/>
      <c r="E23" s="5">
        <f>C23*D23</f>
        <v>0</v>
      </c>
      <c r="F23" s="17"/>
      <c r="G23" s="42"/>
      <c r="H23" s="5">
        <f>F23*G23</f>
        <v>0</v>
      </c>
      <c r="I23" s="17"/>
      <c r="J23" s="42"/>
      <c r="K23" s="5">
        <f>I23*J23</f>
        <v>0</v>
      </c>
      <c r="L23" s="17"/>
      <c r="M23" s="42"/>
      <c r="N23" s="5">
        <f>L23*M23</f>
        <v>0</v>
      </c>
      <c r="O23" s="17"/>
      <c r="P23" s="42"/>
      <c r="Q23" s="5">
        <f>O23*P23</f>
        <v>0</v>
      </c>
      <c r="R23" s="17"/>
      <c r="S23" s="42"/>
      <c r="T23" s="5">
        <f>R23*S23</f>
        <v>0</v>
      </c>
      <c r="U23" s="17"/>
      <c r="V23" s="42"/>
      <c r="W23" s="5">
        <f>U23*V23</f>
        <v>0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spans="2:92" x14ac:dyDescent="0.3">
      <c r="B24" s="30" t="s">
        <v>2</v>
      </c>
      <c r="C24" s="17"/>
      <c r="D24" s="42"/>
      <c r="E24" s="5">
        <f>C24*D24</f>
        <v>0</v>
      </c>
      <c r="F24" s="17"/>
      <c r="G24" s="42"/>
      <c r="H24" s="5">
        <f>F24*G24</f>
        <v>0</v>
      </c>
      <c r="I24" s="17"/>
      <c r="J24" s="42"/>
      <c r="K24" s="5">
        <f>I24*J24</f>
        <v>0</v>
      </c>
      <c r="L24" s="17"/>
      <c r="M24" s="42"/>
      <c r="N24" s="5">
        <f>L24*M24</f>
        <v>0</v>
      </c>
      <c r="O24" s="17"/>
      <c r="P24" s="42"/>
      <c r="Q24" s="5">
        <f>O24*P24</f>
        <v>0</v>
      </c>
      <c r="R24" s="17"/>
      <c r="S24" s="42"/>
      <c r="T24" s="5">
        <f>R24*S24</f>
        <v>0</v>
      </c>
      <c r="U24" s="17"/>
      <c r="V24" s="42"/>
      <c r="W24" s="5">
        <f>U24*V24</f>
        <v>0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spans="2:92" ht="15" thickBot="1" x14ac:dyDescent="0.35">
      <c r="B25" s="31" t="s">
        <v>76</v>
      </c>
      <c r="C25" s="19"/>
      <c r="D25" s="44"/>
      <c r="E25" s="23">
        <f>C25*D25</f>
        <v>0</v>
      </c>
      <c r="F25" s="19"/>
      <c r="G25" s="44"/>
      <c r="H25" s="23">
        <f>F25*G25</f>
        <v>0</v>
      </c>
      <c r="I25" s="19"/>
      <c r="J25" s="44"/>
      <c r="K25" s="23">
        <f>I25*J25</f>
        <v>0</v>
      </c>
      <c r="L25" s="19"/>
      <c r="M25" s="44"/>
      <c r="N25" s="23">
        <f>L25*M25</f>
        <v>0</v>
      </c>
      <c r="O25" s="19"/>
      <c r="P25" s="44"/>
      <c r="Q25" s="23">
        <f>O25*P25</f>
        <v>0</v>
      </c>
      <c r="R25" s="19"/>
      <c r="S25" s="44"/>
      <c r="T25" s="23">
        <f>R25*S25</f>
        <v>0</v>
      </c>
      <c r="U25" s="19"/>
      <c r="V25" s="44"/>
      <c r="W25" s="23">
        <f>U25*V25</f>
        <v>0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spans="2:92" x14ac:dyDescent="0.3">
      <c r="B26" s="10"/>
      <c r="C26" s="10"/>
      <c r="D26" s="35"/>
      <c r="E26" s="10"/>
      <c r="F26" s="10"/>
      <c r="G26" s="35"/>
      <c r="H26" s="10"/>
      <c r="I26" s="10"/>
      <c r="J26" s="35"/>
      <c r="K26" s="10"/>
      <c r="L26" s="10"/>
      <c r="M26" s="3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spans="2:92" x14ac:dyDescent="0.3">
      <c r="B27" s="10"/>
      <c r="C27" s="10"/>
      <c r="D27" s="35"/>
      <c r="E27" s="10"/>
      <c r="F27" s="10"/>
      <c r="G27" s="35"/>
      <c r="H27" s="10"/>
      <c r="I27" s="10"/>
      <c r="J27" s="35"/>
      <c r="K27" s="10"/>
      <c r="L27" s="10"/>
      <c r="M27" s="3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spans="2:92" x14ac:dyDescent="0.3">
      <c r="B28" s="10"/>
      <c r="C28" s="10"/>
      <c r="D28" s="35"/>
      <c r="E28" s="10"/>
      <c r="F28" s="10"/>
      <c r="G28" s="35"/>
      <c r="H28" s="10"/>
      <c r="I28" s="10"/>
      <c r="J28" s="35"/>
      <c r="K28" s="10"/>
      <c r="L28" s="10"/>
      <c r="M28" s="3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spans="2:92" x14ac:dyDescent="0.3">
      <c r="B29" s="10"/>
      <c r="C29" s="10"/>
      <c r="D29" s="35"/>
      <c r="E29" s="10"/>
      <c r="F29" s="10"/>
      <c r="G29" s="35"/>
      <c r="H29" s="10"/>
      <c r="I29" s="10"/>
      <c r="J29" s="35"/>
      <c r="K29" s="10"/>
      <c r="L29" s="10"/>
      <c r="M29" s="3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spans="2:92" x14ac:dyDescent="0.3">
      <c r="B30" s="10"/>
      <c r="C30" s="10"/>
      <c r="D30" s="35"/>
      <c r="E30" s="10"/>
      <c r="F30" s="10"/>
      <c r="G30" s="35"/>
      <c r="H30" s="10"/>
      <c r="I30" s="10"/>
      <c r="J30" s="35"/>
      <c r="K30" s="10"/>
      <c r="L30" s="10"/>
      <c r="M30" s="3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spans="2:92" x14ac:dyDescent="0.3">
      <c r="B31" s="10"/>
      <c r="C31" s="10"/>
      <c r="D31" s="35"/>
      <c r="E31" s="10"/>
      <c r="F31" s="10"/>
      <c r="G31" s="35"/>
      <c r="H31" s="35"/>
      <c r="I31" s="35"/>
      <c r="J31" s="35"/>
      <c r="K31" s="35"/>
      <c r="L31" s="35"/>
      <c r="M31" s="3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spans="2:92" x14ac:dyDescent="0.3">
      <c r="B32" s="10"/>
      <c r="C32" s="10"/>
      <c r="D32" s="35"/>
      <c r="E32" s="10"/>
      <c r="F32" s="10"/>
      <c r="G32" s="35"/>
      <c r="H32" s="35"/>
      <c r="I32" s="35"/>
      <c r="J32" s="35"/>
      <c r="K32" s="35"/>
      <c r="L32" s="35"/>
      <c r="M32" s="3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spans="2:92" x14ac:dyDescent="0.3">
      <c r="B33" s="10"/>
      <c r="C33" s="10"/>
      <c r="D33" s="35"/>
      <c r="E33" s="10"/>
      <c r="F33" s="10"/>
      <c r="G33" s="35"/>
      <c r="H33" s="35"/>
      <c r="I33" s="35"/>
      <c r="J33" s="35"/>
      <c r="K33" s="35"/>
      <c r="L33" s="35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spans="2:92" x14ac:dyDescent="0.3">
      <c r="B34" s="10"/>
      <c r="C34" s="10"/>
      <c r="D34" s="35"/>
      <c r="E34" s="10"/>
      <c r="F34" s="10"/>
      <c r="G34" s="35"/>
      <c r="H34" s="35"/>
      <c r="I34" s="35"/>
      <c r="J34" s="35"/>
      <c r="K34" s="35"/>
      <c r="L34" s="35"/>
      <c r="M34" s="3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2:92" x14ac:dyDescent="0.3">
      <c r="B35" s="10"/>
      <c r="C35" s="10"/>
      <c r="D35" s="35"/>
      <c r="E35" s="10"/>
      <c r="F35" s="10"/>
      <c r="G35" s="35"/>
      <c r="H35" s="35"/>
      <c r="I35" s="35"/>
      <c r="J35" s="35"/>
      <c r="K35" s="35"/>
      <c r="L35" s="35"/>
      <c r="M35" s="3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spans="2:92" x14ac:dyDescent="0.3">
      <c r="B36" s="10"/>
      <c r="C36" s="10"/>
      <c r="D36" s="35"/>
      <c r="E36" s="10"/>
      <c r="F36" s="10"/>
      <c r="G36" s="35"/>
      <c r="H36" s="35"/>
      <c r="I36" s="35"/>
      <c r="J36" s="35"/>
      <c r="K36" s="35"/>
      <c r="L36" s="35"/>
      <c r="M36" s="3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2:92" x14ac:dyDescent="0.3">
      <c r="B37" s="10"/>
      <c r="C37" s="10"/>
      <c r="D37" s="35"/>
      <c r="E37" s="10"/>
      <c r="F37" s="10"/>
      <c r="G37" s="35"/>
      <c r="H37" s="35"/>
      <c r="I37" s="35"/>
      <c r="J37" s="35"/>
      <c r="K37" s="35"/>
      <c r="L37" s="35"/>
      <c r="M37" s="3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spans="2:92" x14ac:dyDescent="0.3">
      <c r="B38" s="10"/>
      <c r="C38" s="10"/>
      <c r="D38" s="35"/>
      <c r="E38" s="10"/>
      <c r="F38" s="10"/>
      <c r="G38" s="35"/>
      <c r="H38" s="35"/>
      <c r="I38" s="35"/>
      <c r="J38" s="35"/>
      <c r="K38" s="35"/>
      <c r="L38" s="35"/>
      <c r="M38" s="3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spans="2:92" x14ac:dyDescent="0.3">
      <c r="B39" s="10"/>
      <c r="C39" s="10"/>
      <c r="D39" s="35"/>
      <c r="E39" s="10"/>
      <c r="F39" s="10"/>
      <c r="G39" s="35"/>
      <c r="H39" s="35"/>
      <c r="I39" s="35"/>
      <c r="J39" s="35"/>
      <c r="K39" s="35"/>
      <c r="L39" s="35"/>
      <c r="M39" s="3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2:92" x14ac:dyDescent="0.3">
      <c r="B40" s="10"/>
      <c r="C40" s="10"/>
      <c r="D40" s="35"/>
      <c r="E40" s="10"/>
      <c r="F40" s="10"/>
      <c r="G40" s="35"/>
      <c r="H40" s="35"/>
      <c r="I40" s="35"/>
      <c r="J40" s="35"/>
      <c r="K40" s="35"/>
      <c r="L40" s="35"/>
      <c r="M40" s="3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spans="2:92" x14ac:dyDescent="0.3">
      <c r="B41" s="10"/>
      <c r="C41" s="10"/>
      <c r="D41" s="35"/>
      <c r="E41" s="10"/>
      <c r="F41" s="10"/>
      <c r="G41" s="35"/>
      <c r="H41" s="35"/>
      <c r="I41" s="35"/>
      <c r="J41" s="35"/>
      <c r="K41" s="35"/>
      <c r="L41" s="35"/>
      <c r="M41" s="3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2:92" x14ac:dyDescent="0.3">
      <c r="B42" s="10"/>
      <c r="C42" s="10"/>
      <c r="D42" s="35"/>
      <c r="E42" s="10"/>
      <c r="F42" s="10"/>
      <c r="G42" s="35"/>
      <c r="H42" s="35"/>
      <c r="I42" s="35"/>
      <c r="J42" s="35"/>
      <c r="K42" s="35"/>
      <c r="L42" s="35"/>
      <c r="M42" s="3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2:92" x14ac:dyDescent="0.3">
      <c r="B43" s="10"/>
      <c r="C43" s="10"/>
      <c r="D43" s="35"/>
      <c r="E43" s="10"/>
      <c r="F43" s="10"/>
      <c r="G43" s="35"/>
      <c r="H43" s="10"/>
      <c r="I43" s="10"/>
      <c r="J43" s="35"/>
      <c r="K43" s="10"/>
      <c r="L43" s="10"/>
      <c r="M43" s="3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2:92" x14ac:dyDescent="0.3">
      <c r="B44" s="10"/>
      <c r="C44" s="10"/>
      <c r="D44" s="35"/>
      <c r="E44" s="10"/>
      <c r="F44" s="10"/>
      <c r="G44" s="35"/>
      <c r="H44" s="10"/>
      <c r="I44" s="10"/>
      <c r="J44" s="35"/>
      <c r="K44" s="10"/>
      <c r="L44" s="10"/>
      <c r="M44" s="35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2:92" x14ac:dyDescent="0.3">
      <c r="B45" s="10"/>
      <c r="C45" s="10"/>
      <c r="D45" s="35"/>
      <c r="E45" s="10"/>
      <c r="F45" s="10"/>
      <c r="G45" s="35"/>
      <c r="H45" s="10"/>
      <c r="I45" s="10"/>
      <c r="J45" s="35"/>
      <c r="K45" s="10"/>
      <c r="L45" s="10"/>
      <c r="M45" s="3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2:92" x14ac:dyDescent="0.3">
      <c r="B46" s="10"/>
      <c r="C46" s="10"/>
      <c r="D46" s="35"/>
      <c r="E46" s="10"/>
      <c r="F46" s="10"/>
      <c r="G46" s="35"/>
      <c r="H46" s="10"/>
      <c r="I46" s="10"/>
      <c r="J46" s="35"/>
      <c r="K46" s="10"/>
      <c r="L46" s="10"/>
      <c r="M46" s="3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2:92" x14ac:dyDescent="0.3">
      <c r="B47" s="10"/>
      <c r="C47" s="10"/>
      <c r="D47" s="35"/>
      <c r="E47" s="10"/>
      <c r="F47" s="10"/>
      <c r="G47" s="35"/>
      <c r="H47" s="10"/>
      <c r="I47" s="10"/>
      <c r="J47" s="35"/>
      <c r="K47" s="10"/>
      <c r="L47" s="10"/>
      <c r="M47" s="3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2:92" x14ac:dyDescent="0.3">
      <c r="B48" s="10"/>
      <c r="C48" s="10"/>
      <c r="D48" s="35"/>
      <c r="E48" s="10"/>
      <c r="F48" s="10"/>
      <c r="G48" s="35"/>
      <c r="H48" s="10"/>
      <c r="I48" s="10"/>
      <c r="J48" s="35"/>
      <c r="K48" s="10"/>
      <c r="L48" s="10"/>
      <c r="M48" s="3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2:92" x14ac:dyDescent="0.3">
      <c r="B49" s="10"/>
      <c r="C49" s="10"/>
      <c r="D49" s="35"/>
      <c r="E49" s="10"/>
      <c r="F49" s="10"/>
      <c r="G49" s="35"/>
      <c r="H49" s="10"/>
      <c r="I49" s="10"/>
      <c r="J49" s="35"/>
      <c r="K49" s="10"/>
      <c r="L49" s="10"/>
      <c r="M49" s="3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spans="2:92" x14ac:dyDescent="0.3">
      <c r="B50" s="10"/>
      <c r="C50" s="10"/>
      <c r="D50" s="35"/>
      <c r="E50" s="10"/>
      <c r="F50" s="10"/>
      <c r="G50" s="35"/>
      <c r="H50" s="10"/>
      <c r="I50" s="10"/>
      <c r="J50" s="35"/>
      <c r="K50" s="10"/>
      <c r="L50" s="10"/>
      <c r="M50" s="3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2:92" x14ac:dyDescent="0.3">
      <c r="B51" s="10"/>
      <c r="C51" s="10"/>
      <c r="D51" s="35"/>
      <c r="E51" s="10"/>
      <c r="F51" s="10"/>
      <c r="G51" s="35"/>
      <c r="H51" s="10"/>
      <c r="I51" s="10"/>
      <c r="J51" s="35"/>
      <c r="K51" s="10"/>
      <c r="L51" s="10"/>
      <c r="M51" s="3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2:92" x14ac:dyDescent="0.3">
      <c r="B52" s="10"/>
      <c r="C52" s="10"/>
      <c r="D52" s="35"/>
      <c r="E52" s="10"/>
      <c r="F52" s="10"/>
      <c r="G52" s="35"/>
      <c r="H52" s="10"/>
      <c r="I52" s="10"/>
      <c r="J52" s="35"/>
      <c r="K52" s="10"/>
      <c r="L52" s="10"/>
      <c r="M52" s="3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2:92" x14ac:dyDescent="0.3">
      <c r="B53" s="10"/>
      <c r="C53" s="10"/>
      <c r="D53" s="35"/>
      <c r="E53" s="10"/>
      <c r="F53" s="10"/>
      <c r="G53" s="35"/>
      <c r="H53" s="10"/>
      <c r="I53" s="10"/>
      <c r="J53" s="35"/>
      <c r="K53" s="10"/>
      <c r="L53" s="10"/>
      <c r="M53" s="3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2:92" x14ac:dyDescent="0.3">
      <c r="B54" s="10"/>
      <c r="C54" s="10"/>
      <c r="D54" s="35"/>
      <c r="E54" s="10"/>
      <c r="F54" s="10"/>
      <c r="G54" s="35"/>
      <c r="H54" s="10"/>
      <c r="I54" s="10"/>
      <c r="J54" s="35"/>
      <c r="K54" s="10"/>
      <c r="L54" s="10"/>
      <c r="M54" s="3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2:92" x14ac:dyDescent="0.3">
      <c r="B55" s="10"/>
      <c r="C55" s="10"/>
      <c r="D55" s="35"/>
      <c r="E55" s="10"/>
      <c r="F55" s="10"/>
      <c r="G55" s="35"/>
      <c r="H55" s="10"/>
      <c r="I55" s="10"/>
      <c r="J55" s="35"/>
      <c r="K55" s="10"/>
      <c r="L55" s="10"/>
      <c r="M55" s="3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2:92" x14ac:dyDescent="0.3">
      <c r="B56" s="10"/>
      <c r="C56" s="10"/>
      <c r="D56" s="35"/>
      <c r="E56" s="10"/>
      <c r="F56" s="10"/>
      <c r="G56" s="35"/>
      <c r="H56" s="10"/>
      <c r="I56" s="10"/>
      <c r="J56" s="35"/>
      <c r="K56" s="10"/>
      <c r="L56" s="10"/>
      <c r="M56" s="3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spans="2:92" x14ac:dyDescent="0.3">
      <c r="B57" s="10"/>
      <c r="C57" s="10"/>
      <c r="D57" s="35"/>
      <c r="E57" s="10"/>
      <c r="F57" s="10"/>
      <c r="G57" s="35"/>
      <c r="H57" s="10"/>
      <c r="I57" s="10"/>
      <c r="J57" s="35"/>
      <c r="K57" s="10"/>
      <c r="L57" s="10"/>
      <c r="M57" s="3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spans="2:92" x14ac:dyDescent="0.3">
      <c r="B58" s="10"/>
      <c r="C58" s="10"/>
      <c r="D58" s="35"/>
      <c r="E58" s="10"/>
      <c r="F58" s="10"/>
      <c r="G58" s="35"/>
      <c r="H58" s="10"/>
      <c r="I58" s="10"/>
      <c r="J58" s="35"/>
      <c r="K58" s="10"/>
      <c r="L58" s="10"/>
      <c r="M58" s="3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2:92" x14ac:dyDescent="0.3">
      <c r="B59" s="10"/>
      <c r="C59" s="10"/>
      <c r="D59" s="35"/>
      <c r="E59" s="10"/>
      <c r="F59" s="10"/>
      <c r="G59" s="35"/>
      <c r="H59" s="10"/>
      <c r="I59" s="10"/>
      <c r="J59" s="35"/>
      <c r="K59" s="10"/>
      <c r="L59" s="10"/>
      <c r="M59" s="3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spans="2:92" x14ac:dyDescent="0.3">
      <c r="B60" s="10"/>
      <c r="C60" s="10"/>
      <c r="D60" s="35"/>
      <c r="E60" s="10"/>
      <c r="F60" s="10"/>
      <c r="G60" s="35"/>
      <c r="H60" s="10"/>
      <c r="I60" s="10"/>
      <c r="J60" s="35"/>
      <c r="K60" s="10"/>
      <c r="L60" s="10"/>
      <c r="M60" s="3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spans="2:92" x14ac:dyDescent="0.3">
      <c r="B61" s="10"/>
      <c r="C61" s="10"/>
      <c r="D61" s="35"/>
      <c r="E61" s="10"/>
      <c r="F61" s="10"/>
      <c r="G61" s="35"/>
      <c r="H61" s="10"/>
      <c r="I61" s="10"/>
      <c r="J61" s="35"/>
      <c r="K61" s="10"/>
      <c r="L61" s="10"/>
      <c r="M61" s="3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spans="2:92" x14ac:dyDescent="0.3">
      <c r="B62" s="10"/>
      <c r="C62" s="10"/>
      <c r="D62" s="35"/>
      <c r="E62" s="10"/>
      <c r="F62" s="10"/>
      <c r="G62" s="35"/>
      <c r="H62" s="10"/>
      <c r="I62" s="10"/>
      <c r="J62" s="35"/>
      <c r="K62" s="10"/>
      <c r="L62" s="10"/>
      <c r="M62" s="3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spans="2:92" x14ac:dyDescent="0.3">
      <c r="B63" s="10"/>
      <c r="C63" s="10"/>
      <c r="D63" s="35"/>
      <c r="E63" s="10"/>
      <c r="F63" s="10"/>
      <c r="G63" s="35"/>
      <c r="H63" s="10"/>
      <c r="I63" s="10"/>
      <c r="J63" s="35"/>
      <c r="K63" s="10"/>
      <c r="L63" s="10"/>
      <c r="M63" s="3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spans="2:92" x14ac:dyDescent="0.3">
      <c r="B64" s="10"/>
      <c r="C64" s="10"/>
      <c r="D64" s="35"/>
      <c r="E64" s="10"/>
      <c r="F64" s="10"/>
      <c r="G64" s="35"/>
      <c r="H64" s="10"/>
      <c r="I64" s="10"/>
      <c r="J64" s="35"/>
      <c r="K64" s="10"/>
      <c r="L64" s="10"/>
      <c r="M64" s="3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spans="2:92" x14ac:dyDescent="0.3">
      <c r="B65" s="10"/>
      <c r="C65" s="10"/>
      <c r="D65" s="35"/>
      <c r="E65" s="10"/>
      <c r="F65" s="10"/>
      <c r="G65" s="35"/>
      <c r="H65" s="10"/>
      <c r="I65" s="10"/>
      <c r="J65" s="35"/>
      <c r="K65" s="10"/>
      <c r="L65" s="10"/>
      <c r="M65" s="3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spans="2:92" x14ac:dyDescent="0.3">
      <c r="B66" s="10"/>
      <c r="C66" s="10"/>
      <c r="D66" s="35"/>
      <c r="E66" s="10"/>
      <c r="F66" s="10"/>
      <c r="G66" s="35"/>
      <c r="H66" s="10"/>
      <c r="I66" s="10"/>
      <c r="J66" s="35"/>
      <c r="K66" s="10"/>
      <c r="L66" s="10"/>
      <c r="M66" s="3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spans="2:92" x14ac:dyDescent="0.3">
      <c r="B67" s="10"/>
      <c r="C67" s="10"/>
      <c r="D67" s="35"/>
      <c r="E67" s="10"/>
      <c r="F67" s="10"/>
      <c r="G67" s="35"/>
      <c r="H67" s="10"/>
      <c r="I67" s="10"/>
      <c r="J67" s="35"/>
      <c r="K67" s="10"/>
      <c r="L67" s="10"/>
      <c r="M67" s="3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spans="2:92" x14ac:dyDescent="0.3">
      <c r="B68" s="10"/>
      <c r="C68" s="10"/>
      <c r="D68" s="35"/>
      <c r="E68" s="10"/>
      <c r="F68" s="10"/>
      <c r="G68" s="35"/>
      <c r="H68" s="10"/>
      <c r="I68" s="10"/>
      <c r="J68" s="35"/>
      <c r="K68" s="10"/>
      <c r="L68" s="10"/>
      <c r="M68" s="3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spans="2:92" x14ac:dyDescent="0.3">
      <c r="B69" s="10"/>
      <c r="C69" s="10"/>
      <c r="D69" s="35"/>
      <c r="E69" s="10"/>
      <c r="F69" s="10"/>
      <c r="G69" s="35"/>
      <c r="H69" s="10"/>
      <c r="I69" s="10"/>
      <c r="J69" s="35"/>
      <c r="K69" s="10"/>
      <c r="L69" s="10"/>
      <c r="M69" s="3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2:92" x14ac:dyDescent="0.3">
      <c r="B70" s="10"/>
      <c r="C70" s="10"/>
      <c r="D70" s="35"/>
      <c r="E70" s="10"/>
      <c r="F70" s="10"/>
      <c r="G70" s="35"/>
      <c r="H70" s="10"/>
      <c r="I70" s="10"/>
      <c r="J70" s="35"/>
      <c r="K70" s="10"/>
      <c r="L70" s="10"/>
      <c r="M70" s="3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spans="2:92" x14ac:dyDescent="0.3">
      <c r="B71" s="10"/>
      <c r="C71" s="10"/>
      <c r="D71" s="35"/>
      <c r="E71" s="10"/>
      <c r="F71" s="10"/>
      <c r="G71" s="35"/>
      <c r="H71" s="10"/>
      <c r="I71" s="10"/>
      <c r="J71" s="35"/>
      <c r="K71" s="10"/>
      <c r="L71" s="10"/>
      <c r="M71" s="3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</row>
    <row r="72" spans="2:92" x14ac:dyDescent="0.3">
      <c r="B72" s="10"/>
      <c r="C72" s="10"/>
      <c r="D72" s="35"/>
      <c r="E72" s="10"/>
      <c r="F72" s="10"/>
      <c r="G72" s="35"/>
      <c r="H72" s="10"/>
      <c r="I72" s="10"/>
      <c r="J72" s="35"/>
      <c r="K72" s="10"/>
      <c r="L72" s="10"/>
      <c r="M72" s="3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</row>
    <row r="73" spans="2:92" x14ac:dyDescent="0.3">
      <c r="B73" s="10"/>
      <c r="C73" s="10"/>
      <c r="D73" s="35"/>
      <c r="E73" s="10"/>
      <c r="F73" s="10"/>
      <c r="G73" s="35"/>
      <c r="H73" s="10"/>
      <c r="I73" s="10"/>
      <c r="J73" s="35"/>
      <c r="K73" s="10"/>
      <c r="L73" s="10"/>
      <c r="M73" s="3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</row>
    <row r="74" spans="2:92" x14ac:dyDescent="0.3">
      <c r="B74" s="10"/>
      <c r="C74" s="10"/>
      <c r="D74" s="35"/>
      <c r="E74" s="10"/>
      <c r="F74" s="10"/>
      <c r="G74" s="35"/>
      <c r="H74" s="10"/>
      <c r="I74" s="10"/>
      <c r="J74" s="35"/>
      <c r="K74" s="10"/>
      <c r="L74" s="10"/>
      <c r="M74" s="3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</row>
    <row r="75" spans="2:92" x14ac:dyDescent="0.3">
      <c r="B75" s="10"/>
      <c r="C75" s="10"/>
      <c r="D75" s="35"/>
      <c r="E75" s="10"/>
      <c r="F75" s="10"/>
      <c r="G75" s="35"/>
      <c r="H75" s="10"/>
      <c r="I75" s="10"/>
      <c r="J75" s="35"/>
      <c r="K75" s="10"/>
      <c r="L75" s="10"/>
      <c r="M75" s="3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</row>
    <row r="76" spans="2:92" x14ac:dyDescent="0.3">
      <c r="B76" s="10"/>
      <c r="C76" s="10"/>
      <c r="D76" s="35"/>
      <c r="E76" s="10"/>
      <c r="F76" s="10"/>
      <c r="G76" s="35"/>
      <c r="H76" s="10"/>
      <c r="I76" s="10"/>
      <c r="J76" s="35"/>
      <c r="K76" s="10"/>
      <c r="L76" s="10"/>
      <c r="M76" s="3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2:92" x14ac:dyDescent="0.3">
      <c r="B77" s="10"/>
      <c r="C77" s="10"/>
      <c r="D77" s="35"/>
      <c r="E77" s="10"/>
      <c r="F77" s="10"/>
      <c r="G77" s="35"/>
      <c r="H77" s="10"/>
      <c r="I77" s="10"/>
      <c r="J77" s="35"/>
      <c r="K77" s="10"/>
      <c r="L77" s="10"/>
      <c r="M77" s="3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</row>
    <row r="78" spans="2:92" x14ac:dyDescent="0.3">
      <c r="B78" s="10"/>
      <c r="C78" s="10"/>
      <c r="D78" s="35"/>
      <c r="E78" s="10"/>
      <c r="F78" s="10"/>
      <c r="G78" s="35"/>
      <c r="H78" s="10"/>
      <c r="I78" s="10"/>
      <c r="J78" s="35"/>
      <c r="K78" s="10"/>
      <c r="L78" s="10"/>
      <c r="M78" s="3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</row>
    <row r="79" spans="2:92" x14ac:dyDescent="0.3">
      <c r="B79" s="10"/>
      <c r="C79" s="10"/>
      <c r="D79" s="35"/>
      <c r="E79" s="10"/>
      <c r="F79" s="10"/>
      <c r="G79" s="35"/>
      <c r="H79" s="10"/>
      <c r="I79" s="10"/>
      <c r="J79" s="35"/>
      <c r="K79" s="10"/>
      <c r="L79" s="10"/>
      <c r="M79" s="3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</row>
    <row r="80" spans="2:92" x14ac:dyDescent="0.3">
      <c r="B80" s="10"/>
      <c r="C80" s="10"/>
      <c r="D80" s="35"/>
      <c r="E80" s="10"/>
      <c r="F80" s="10"/>
      <c r="G80" s="35"/>
      <c r="H80" s="10"/>
      <c r="I80" s="10"/>
      <c r="J80" s="35"/>
      <c r="K80" s="10"/>
      <c r="L80" s="10"/>
      <c r="M80" s="3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</row>
    <row r="81" spans="2:92" x14ac:dyDescent="0.3">
      <c r="B81" s="10"/>
      <c r="C81" s="10"/>
      <c r="D81" s="35"/>
      <c r="E81" s="10"/>
      <c r="F81" s="10"/>
      <c r="G81" s="35"/>
      <c r="H81" s="10"/>
      <c r="I81" s="10"/>
      <c r="J81" s="35"/>
      <c r="K81" s="10"/>
      <c r="L81" s="10"/>
      <c r="M81" s="3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</row>
    <row r="82" spans="2:92" x14ac:dyDescent="0.3">
      <c r="B82" s="10"/>
      <c r="C82" s="10"/>
      <c r="D82" s="35"/>
      <c r="E82" s="10"/>
      <c r="F82" s="10"/>
      <c r="G82" s="35"/>
      <c r="H82" s="10"/>
      <c r="I82" s="10"/>
      <c r="J82" s="35"/>
      <c r="K82" s="10"/>
      <c r="L82" s="10"/>
      <c r="M82" s="3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</row>
    <row r="83" spans="2:92" x14ac:dyDescent="0.3">
      <c r="B83" s="10"/>
      <c r="C83" s="10"/>
      <c r="D83" s="35"/>
      <c r="E83" s="10"/>
      <c r="F83" s="10"/>
      <c r="G83" s="35"/>
      <c r="H83" s="10"/>
      <c r="I83" s="10"/>
      <c r="J83" s="35"/>
      <c r="K83" s="10"/>
      <c r="L83" s="10"/>
      <c r="M83" s="3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</row>
    <row r="84" spans="2:92" x14ac:dyDescent="0.3">
      <c r="B84" s="10"/>
      <c r="C84" s="10"/>
      <c r="D84" s="35"/>
      <c r="E84" s="10"/>
      <c r="F84" s="10"/>
      <c r="G84" s="35"/>
      <c r="H84" s="10"/>
      <c r="I84" s="10"/>
      <c r="J84" s="35"/>
      <c r="K84" s="10"/>
      <c r="L84" s="10"/>
      <c r="M84" s="3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</row>
    <row r="85" spans="2:92" x14ac:dyDescent="0.3">
      <c r="B85" s="10"/>
      <c r="C85" s="10"/>
      <c r="D85" s="35"/>
      <c r="E85" s="10"/>
      <c r="F85" s="10"/>
      <c r="G85" s="35"/>
      <c r="H85" s="10"/>
      <c r="I85" s="10"/>
      <c r="J85" s="35"/>
      <c r="K85" s="10"/>
      <c r="L85" s="10"/>
      <c r="M85" s="3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</row>
    <row r="86" spans="2:92" x14ac:dyDescent="0.3">
      <c r="B86" s="10"/>
      <c r="C86" s="10"/>
      <c r="D86" s="35"/>
      <c r="E86" s="10"/>
      <c r="F86" s="10"/>
      <c r="G86" s="35"/>
      <c r="H86" s="10"/>
      <c r="I86" s="10"/>
      <c r="J86" s="35"/>
      <c r="K86" s="10"/>
      <c r="L86" s="10"/>
      <c r="M86" s="3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</row>
    <row r="87" spans="2:92" x14ac:dyDescent="0.3">
      <c r="B87" s="10"/>
      <c r="C87" s="10"/>
      <c r="D87" s="35"/>
      <c r="E87" s="10"/>
      <c r="F87" s="10"/>
      <c r="G87" s="35"/>
      <c r="H87" s="10"/>
      <c r="I87" s="10"/>
      <c r="J87" s="35"/>
      <c r="K87" s="10"/>
      <c r="L87" s="10"/>
      <c r="M87" s="3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2:92" x14ac:dyDescent="0.3">
      <c r="B88" s="10"/>
      <c r="C88" s="10"/>
      <c r="D88" s="35"/>
      <c r="E88" s="10"/>
      <c r="F88" s="10"/>
      <c r="G88" s="35"/>
      <c r="H88" s="10"/>
      <c r="I88" s="10"/>
      <c r="J88" s="35"/>
      <c r="K88" s="10"/>
      <c r="L88" s="10"/>
      <c r="M88" s="3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2:92" x14ac:dyDescent="0.3">
      <c r="B89" s="10"/>
      <c r="C89" s="10"/>
      <c r="D89" s="35"/>
      <c r="E89" s="10"/>
      <c r="F89" s="10"/>
      <c r="G89" s="35"/>
      <c r="H89" s="10"/>
      <c r="I89" s="10"/>
      <c r="J89" s="35"/>
      <c r="K89" s="10"/>
      <c r="L89" s="10"/>
      <c r="M89" s="3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2:92" x14ac:dyDescent="0.3">
      <c r="B90" s="10"/>
      <c r="C90" s="10"/>
      <c r="D90" s="35"/>
      <c r="E90" s="10"/>
      <c r="F90" s="10"/>
      <c r="G90" s="35"/>
      <c r="H90" s="10"/>
      <c r="I90" s="10"/>
      <c r="J90" s="35"/>
      <c r="K90" s="10"/>
      <c r="L90" s="10"/>
      <c r="M90" s="3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2:92" x14ac:dyDescent="0.3">
      <c r="B91" s="10"/>
      <c r="C91" s="10"/>
      <c r="D91" s="35"/>
      <c r="E91" s="10"/>
      <c r="F91" s="10"/>
      <c r="G91" s="35"/>
      <c r="H91" s="10"/>
      <c r="I91" s="10"/>
      <c r="J91" s="35"/>
      <c r="K91" s="10"/>
      <c r="L91" s="10"/>
      <c r="M91" s="3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2:92" x14ac:dyDescent="0.3">
      <c r="B92" s="10"/>
      <c r="C92" s="10"/>
      <c r="D92" s="35"/>
      <c r="E92" s="10"/>
      <c r="F92" s="10"/>
      <c r="G92" s="35"/>
      <c r="H92" s="10"/>
      <c r="I92" s="10"/>
      <c r="J92" s="35"/>
      <c r="K92" s="10"/>
      <c r="L92" s="10"/>
      <c r="M92" s="3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2:92" x14ac:dyDescent="0.3">
      <c r="B93" s="10"/>
      <c r="C93" s="10"/>
      <c r="D93" s="35"/>
      <c r="E93" s="10"/>
      <c r="F93" s="10"/>
      <c r="G93" s="35"/>
      <c r="H93" s="10"/>
      <c r="I93" s="10"/>
      <c r="J93" s="35"/>
      <c r="K93" s="10"/>
      <c r="L93" s="10"/>
      <c r="M93" s="3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</row>
    <row r="94" spans="2:92" x14ac:dyDescent="0.3">
      <c r="B94" s="10"/>
      <c r="C94" s="10"/>
      <c r="D94" s="35"/>
      <c r="E94" s="10"/>
      <c r="F94" s="10"/>
      <c r="G94" s="35"/>
      <c r="H94" s="10"/>
      <c r="I94" s="10"/>
      <c r="J94" s="35"/>
      <c r="K94" s="10"/>
      <c r="L94" s="10"/>
      <c r="M94" s="3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</row>
    <row r="95" spans="2:92" x14ac:dyDescent="0.3">
      <c r="B95" s="10"/>
      <c r="C95" s="10"/>
      <c r="D95" s="35"/>
      <c r="E95" s="10"/>
      <c r="F95" s="10"/>
      <c r="G95" s="35"/>
      <c r="H95" s="10"/>
      <c r="I95" s="10"/>
      <c r="J95" s="35"/>
      <c r="K95" s="10"/>
      <c r="L95" s="10"/>
      <c r="M95" s="3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</row>
    <row r="96" spans="2:92" x14ac:dyDescent="0.3">
      <c r="B96" s="10"/>
      <c r="C96" s="10"/>
      <c r="D96" s="35"/>
      <c r="E96" s="10"/>
      <c r="F96" s="10"/>
      <c r="G96" s="35"/>
      <c r="H96" s="10"/>
      <c r="I96" s="10"/>
      <c r="J96" s="35"/>
      <c r="K96" s="10"/>
      <c r="L96" s="10"/>
      <c r="M96" s="3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</row>
    <row r="97" spans="2:92" x14ac:dyDescent="0.3">
      <c r="B97" s="10"/>
      <c r="C97" s="10"/>
      <c r="D97" s="35"/>
      <c r="E97" s="10"/>
      <c r="F97" s="10"/>
      <c r="G97" s="35"/>
      <c r="H97" s="10"/>
      <c r="I97" s="10"/>
      <c r="J97" s="35"/>
      <c r="K97" s="10"/>
      <c r="L97" s="10"/>
      <c r="M97" s="3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</row>
    <row r="98" spans="2:92" x14ac:dyDescent="0.3">
      <c r="B98" s="10"/>
      <c r="C98" s="10"/>
      <c r="D98" s="35"/>
      <c r="E98" s="10"/>
      <c r="F98" s="10"/>
      <c r="G98" s="35"/>
      <c r="H98" s="10"/>
      <c r="I98" s="10"/>
      <c r="J98" s="35"/>
      <c r="K98" s="10"/>
      <c r="L98" s="10"/>
      <c r="M98" s="3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</row>
    <row r="99" spans="2:92" x14ac:dyDescent="0.3">
      <c r="B99" s="10"/>
      <c r="C99" s="10"/>
      <c r="D99" s="35"/>
      <c r="E99" s="10"/>
      <c r="F99" s="10"/>
      <c r="G99" s="35"/>
      <c r="H99" s="10"/>
      <c r="I99" s="10"/>
      <c r="J99" s="35"/>
      <c r="K99" s="10"/>
      <c r="L99" s="10"/>
      <c r="M99" s="3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</row>
    <row r="100" spans="2:92" x14ac:dyDescent="0.3">
      <c r="B100" s="10"/>
      <c r="C100" s="10"/>
      <c r="D100" s="35"/>
      <c r="E100" s="10"/>
      <c r="F100" s="10"/>
      <c r="G100" s="35"/>
      <c r="H100" s="10"/>
      <c r="I100" s="10"/>
      <c r="J100" s="35"/>
      <c r="K100" s="10"/>
      <c r="L100" s="10"/>
      <c r="M100" s="3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</row>
    <row r="101" spans="2:92" x14ac:dyDescent="0.3">
      <c r="B101" s="10"/>
      <c r="C101" s="10"/>
      <c r="D101" s="35"/>
      <c r="E101" s="10"/>
      <c r="F101" s="10"/>
      <c r="G101" s="35"/>
      <c r="H101" s="10"/>
      <c r="I101" s="10"/>
      <c r="J101" s="35"/>
      <c r="K101" s="10"/>
      <c r="L101" s="10"/>
      <c r="M101" s="3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</row>
    <row r="102" spans="2:92" x14ac:dyDescent="0.3">
      <c r="B102" s="10"/>
      <c r="C102" s="10"/>
      <c r="D102" s="35"/>
      <c r="E102" s="10"/>
      <c r="F102" s="10"/>
      <c r="G102" s="35"/>
      <c r="H102" s="10"/>
      <c r="I102" s="10"/>
      <c r="J102" s="35"/>
      <c r="K102" s="10"/>
      <c r="L102" s="10"/>
      <c r="M102" s="3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</row>
    <row r="103" spans="2:92" x14ac:dyDescent="0.3">
      <c r="B103" s="10"/>
      <c r="C103" s="10"/>
      <c r="D103" s="35"/>
      <c r="E103" s="10"/>
      <c r="F103" s="10"/>
      <c r="G103" s="35"/>
      <c r="H103" s="10"/>
      <c r="I103" s="10"/>
      <c r="J103" s="35"/>
      <c r="K103" s="10"/>
      <c r="L103" s="10"/>
      <c r="M103" s="3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</row>
    <row r="104" spans="2:92" x14ac:dyDescent="0.3">
      <c r="B104" s="10"/>
      <c r="C104" s="10"/>
      <c r="D104" s="35"/>
      <c r="E104" s="10"/>
      <c r="F104" s="10"/>
      <c r="G104" s="35"/>
      <c r="H104" s="10"/>
      <c r="I104" s="10"/>
      <c r="J104" s="35"/>
      <c r="K104" s="10"/>
      <c r="L104" s="10"/>
      <c r="M104" s="3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</row>
    <row r="105" spans="2:92" x14ac:dyDescent="0.3">
      <c r="B105" s="10"/>
      <c r="C105" s="10"/>
      <c r="D105" s="35"/>
      <c r="E105" s="10"/>
      <c r="F105" s="10"/>
      <c r="G105" s="35"/>
      <c r="H105" s="10"/>
      <c r="I105" s="10"/>
      <c r="J105" s="35"/>
      <c r="K105" s="10"/>
      <c r="L105" s="10"/>
      <c r="M105" s="3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</row>
    <row r="106" spans="2:92" x14ac:dyDescent="0.3">
      <c r="B106" s="10"/>
      <c r="C106" s="10"/>
      <c r="D106" s="35"/>
      <c r="E106" s="10"/>
      <c r="F106" s="10"/>
      <c r="G106" s="35"/>
      <c r="H106" s="10"/>
      <c r="I106" s="10"/>
      <c r="J106" s="35"/>
      <c r="K106" s="10"/>
      <c r="L106" s="10"/>
      <c r="M106" s="3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</row>
    <row r="107" spans="2:92" x14ac:dyDescent="0.3">
      <c r="B107" s="10"/>
      <c r="C107" s="10"/>
      <c r="D107" s="35"/>
      <c r="E107" s="10"/>
      <c r="F107" s="10"/>
      <c r="G107" s="35"/>
      <c r="H107" s="10"/>
      <c r="I107" s="10"/>
      <c r="J107" s="35"/>
      <c r="K107" s="10"/>
      <c r="L107" s="10"/>
      <c r="M107" s="3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</row>
    <row r="108" spans="2:92" x14ac:dyDescent="0.3">
      <c r="B108" s="10"/>
      <c r="C108" s="10"/>
      <c r="D108" s="35"/>
      <c r="E108" s="10"/>
      <c r="F108" s="10"/>
      <c r="G108" s="35"/>
      <c r="H108" s="10"/>
      <c r="I108" s="10"/>
      <c r="J108" s="35"/>
      <c r="K108" s="10"/>
      <c r="L108" s="10"/>
      <c r="M108" s="3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2:92" x14ac:dyDescent="0.3">
      <c r="B109" s="10"/>
      <c r="C109" s="10"/>
      <c r="D109" s="35"/>
      <c r="E109" s="10"/>
      <c r="F109" s="10"/>
      <c r="G109" s="35"/>
      <c r="H109" s="10"/>
      <c r="I109" s="10"/>
      <c r="J109" s="35"/>
      <c r="K109" s="10"/>
      <c r="L109" s="10"/>
      <c r="M109" s="3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</row>
    <row r="110" spans="2:92" x14ac:dyDescent="0.3">
      <c r="B110" s="10"/>
      <c r="C110" s="10"/>
      <c r="D110" s="35"/>
      <c r="E110" s="10"/>
      <c r="F110" s="10"/>
      <c r="G110" s="35"/>
      <c r="H110" s="10"/>
      <c r="I110" s="10"/>
      <c r="J110" s="35"/>
      <c r="K110" s="10"/>
      <c r="L110" s="10"/>
      <c r="M110" s="3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</row>
    <row r="111" spans="2:92" x14ac:dyDescent="0.3">
      <c r="B111" s="10"/>
      <c r="C111" s="10"/>
      <c r="D111" s="35"/>
      <c r="E111" s="10"/>
      <c r="F111" s="10"/>
      <c r="G111" s="35"/>
      <c r="H111" s="10"/>
      <c r="I111" s="10"/>
      <c r="J111" s="35"/>
      <c r="K111" s="10"/>
      <c r="L111" s="10"/>
      <c r="M111" s="3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</row>
    <row r="112" spans="2:92" x14ac:dyDescent="0.3">
      <c r="B112" s="10"/>
      <c r="C112" s="10"/>
      <c r="D112" s="35"/>
      <c r="E112" s="10"/>
      <c r="F112" s="10"/>
      <c r="G112" s="35"/>
      <c r="H112" s="10"/>
      <c r="I112" s="10"/>
      <c r="J112" s="35"/>
      <c r="K112" s="10"/>
      <c r="L112" s="10"/>
      <c r="M112" s="3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</row>
    <row r="113" spans="2:92" x14ac:dyDescent="0.3">
      <c r="B113" s="10"/>
      <c r="C113" s="10"/>
      <c r="D113" s="35"/>
      <c r="E113" s="10"/>
      <c r="F113" s="10"/>
      <c r="G113" s="35"/>
      <c r="H113" s="10"/>
      <c r="I113" s="10"/>
      <c r="J113" s="35"/>
      <c r="K113" s="10"/>
      <c r="L113" s="10"/>
      <c r="M113" s="3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</row>
    <row r="114" spans="2:92" x14ac:dyDescent="0.3">
      <c r="B114" s="10"/>
      <c r="C114" s="10"/>
      <c r="D114" s="35"/>
      <c r="E114" s="10"/>
      <c r="F114" s="10"/>
      <c r="G114" s="35"/>
      <c r="H114" s="10"/>
      <c r="I114" s="10"/>
      <c r="J114" s="35"/>
      <c r="K114" s="10"/>
      <c r="L114" s="10"/>
      <c r="M114" s="3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</row>
    <row r="115" spans="2:92" x14ac:dyDescent="0.3">
      <c r="B115" s="10"/>
      <c r="C115" s="10"/>
      <c r="D115" s="35"/>
      <c r="E115" s="10"/>
      <c r="F115" s="10"/>
      <c r="G115" s="35"/>
      <c r="H115" s="10"/>
      <c r="I115" s="10"/>
      <c r="J115" s="35"/>
      <c r="K115" s="10"/>
      <c r="L115" s="10"/>
      <c r="M115" s="3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</row>
    <row r="116" spans="2:92" x14ac:dyDescent="0.3">
      <c r="B116" s="10"/>
      <c r="C116" s="10"/>
      <c r="D116" s="35"/>
      <c r="E116" s="10"/>
      <c r="F116" s="10"/>
      <c r="G116" s="35"/>
      <c r="H116" s="10"/>
      <c r="I116" s="10"/>
      <c r="J116" s="35"/>
      <c r="K116" s="10"/>
      <c r="L116" s="10"/>
      <c r="M116" s="3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</row>
    <row r="117" spans="2:92" x14ac:dyDescent="0.3">
      <c r="B117" s="10"/>
      <c r="C117" s="10"/>
      <c r="D117" s="35"/>
      <c r="E117" s="10"/>
      <c r="F117" s="10"/>
      <c r="G117" s="35"/>
      <c r="H117" s="10"/>
      <c r="I117" s="10"/>
      <c r="J117" s="35"/>
      <c r="K117" s="10"/>
      <c r="L117" s="10"/>
      <c r="M117" s="3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</row>
    <row r="118" spans="2:92" x14ac:dyDescent="0.3">
      <c r="B118" s="10"/>
      <c r="C118" s="10"/>
      <c r="D118" s="35"/>
      <c r="E118" s="10"/>
      <c r="F118" s="10"/>
      <c r="G118" s="35"/>
      <c r="H118" s="10"/>
      <c r="I118" s="10"/>
      <c r="J118" s="35"/>
      <c r="K118" s="10"/>
      <c r="L118" s="10"/>
      <c r="M118" s="3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</row>
    <row r="119" spans="2:92" x14ac:dyDescent="0.3">
      <c r="B119" s="10"/>
      <c r="C119" s="10"/>
      <c r="D119" s="35"/>
      <c r="E119" s="10"/>
      <c r="F119" s="10"/>
      <c r="G119" s="35"/>
      <c r="H119" s="10"/>
      <c r="I119" s="10"/>
      <c r="J119" s="35"/>
      <c r="K119" s="10"/>
      <c r="L119" s="10"/>
      <c r="M119" s="3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</row>
    <row r="120" spans="2:92" x14ac:dyDescent="0.3">
      <c r="B120" s="10"/>
      <c r="C120" s="10"/>
      <c r="D120" s="35"/>
      <c r="E120" s="10"/>
      <c r="F120" s="10"/>
      <c r="G120" s="35"/>
      <c r="H120" s="10"/>
      <c r="I120" s="10"/>
      <c r="J120" s="35"/>
      <c r="K120" s="10"/>
      <c r="L120" s="10"/>
      <c r="M120" s="3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2:92" x14ac:dyDescent="0.3">
      <c r="B121" s="10"/>
      <c r="C121" s="10"/>
      <c r="D121" s="35"/>
      <c r="E121" s="10"/>
      <c r="F121" s="10"/>
      <c r="G121" s="35"/>
      <c r="H121" s="10"/>
      <c r="I121" s="10"/>
      <c r="J121" s="35"/>
      <c r="K121" s="10"/>
      <c r="L121" s="10"/>
      <c r="M121" s="3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2:92" x14ac:dyDescent="0.3">
      <c r="B122" s="10"/>
      <c r="C122" s="10"/>
      <c r="D122" s="35"/>
      <c r="E122" s="10"/>
      <c r="F122" s="10"/>
      <c r="G122" s="35"/>
      <c r="H122" s="10"/>
      <c r="I122" s="10"/>
      <c r="J122" s="35"/>
      <c r="K122" s="10"/>
      <c r="L122" s="10"/>
      <c r="M122" s="3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2:92" x14ac:dyDescent="0.3">
      <c r="B123" s="10"/>
      <c r="C123" s="10"/>
      <c r="D123" s="35"/>
      <c r="E123" s="10"/>
      <c r="F123" s="10"/>
      <c r="G123" s="35"/>
      <c r="H123" s="10"/>
      <c r="I123" s="10"/>
      <c r="J123" s="35"/>
      <c r="K123" s="10"/>
      <c r="L123" s="10"/>
      <c r="M123" s="3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2:92" x14ac:dyDescent="0.3">
      <c r="B124" s="10"/>
      <c r="C124" s="10"/>
      <c r="D124" s="35"/>
      <c r="E124" s="10"/>
      <c r="F124" s="10"/>
      <c r="G124" s="35"/>
      <c r="H124" s="10"/>
      <c r="I124" s="10"/>
      <c r="J124" s="35"/>
      <c r="K124" s="10"/>
      <c r="L124" s="10"/>
      <c r="M124" s="3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</row>
    <row r="125" spans="2:92" x14ac:dyDescent="0.3">
      <c r="B125" s="10"/>
      <c r="C125" s="10"/>
      <c r="D125" s="35"/>
      <c r="E125" s="10"/>
      <c r="F125" s="10"/>
      <c r="G125" s="35"/>
      <c r="H125" s="10"/>
      <c r="I125" s="10"/>
      <c r="J125" s="35"/>
      <c r="K125" s="10"/>
      <c r="L125" s="10"/>
      <c r="M125" s="3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</row>
    <row r="126" spans="2:92" x14ac:dyDescent="0.3">
      <c r="B126" s="10"/>
      <c r="C126" s="10"/>
      <c r="D126" s="35"/>
      <c r="E126" s="10"/>
      <c r="F126" s="10"/>
      <c r="G126" s="35"/>
      <c r="H126" s="10"/>
      <c r="I126" s="10"/>
      <c r="J126" s="35"/>
      <c r="K126" s="10"/>
      <c r="L126" s="10"/>
      <c r="M126" s="3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</row>
    <row r="127" spans="2:92" x14ac:dyDescent="0.3">
      <c r="B127" s="10"/>
      <c r="C127" s="10"/>
      <c r="D127" s="35"/>
      <c r="E127" s="10"/>
      <c r="F127" s="10"/>
      <c r="G127" s="35"/>
      <c r="H127" s="10"/>
      <c r="I127" s="10"/>
      <c r="J127" s="35"/>
      <c r="K127" s="10"/>
      <c r="L127" s="10"/>
      <c r="M127" s="3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</row>
    <row r="128" spans="2:92" x14ac:dyDescent="0.3">
      <c r="B128" s="10"/>
      <c r="C128" s="10"/>
      <c r="D128" s="35"/>
      <c r="E128" s="10"/>
      <c r="F128" s="10"/>
      <c r="G128" s="35"/>
      <c r="H128" s="10"/>
      <c r="I128" s="10"/>
      <c r="J128" s="35"/>
      <c r="K128" s="10"/>
      <c r="L128" s="10"/>
      <c r="M128" s="3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</row>
    <row r="129" spans="2:92" x14ac:dyDescent="0.3">
      <c r="B129" s="10"/>
      <c r="C129" s="10"/>
      <c r="D129" s="35"/>
      <c r="E129" s="10"/>
      <c r="F129" s="10"/>
      <c r="G129" s="35"/>
      <c r="H129" s="10"/>
      <c r="I129" s="10"/>
      <c r="J129" s="35"/>
      <c r="K129" s="10"/>
      <c r="L129" s="10"/>
      <c r="M129" s="3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</row>
    <row r="130" spans="2:92" x14ac:dyDescent="0.3">
      <c r="B130" s="10"/>
      <c r="C130" s="10"/>
      <c r="D130" s="35"/>
      <c r="E130" s="10"/>
      <c r="F130" s="10"/>
      <c r="G130" s="35"/>
      <c r="H130" s="10"/>
      <c r="I130" s="10"/>
      <c r="J130" s="35"/>
      <c r="K130" s="10"/>
      <c r="L130" s="10"/>
      <c r="M130" s="3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</row>
    <row r="131" spans="2:92" x14ac:dyDescent="0.3">
      <c r="B131" s="10"/>
      <c r="C131" s="10"/>
      <c r="D131" s="35"/>
      <c r="E131" s="10"/>
      <c r="F131" s="10"/>
      <c r="G131" s="35"/>
      <c r="H131" s="10"/>
      <c r="I131" s="10"/>
      <c r="J131" s="35"/>
      <c r="K131" s="10"/>
      <c r="L131" s="10"/>
      <c r="M131" s="3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2:92" x14ac:dyDescent="0.3">
      <c r="B132" s="10"/>
      <c r="C132" s="10"/>
      <c r="D132" s="35"/>
      <c r="E132" s="10"/>
      <c r="F132" s="10"/>
      <c r="G132" s="35"/>
      <c r="H132" s="10"/>
      <c r="I132" s="10"/>
      <c r="J132" s="35"/>
      <c r="K132" s="10"/>
      <c r="L132" s="10"/>
      <c r="M132" s="3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2:92" x14ac:dyDescent="0.3">
      <c r="B133" s="10"/>
      <c r="C133" s="10"/>
      <c r="D133" s="35"/>
      <c r="E133" s="10"/>
      <c r="F133" s="10"/>
      <c r="G133" s="35"/>
      <c r="H133" s="10"/>
      <c r="I133" s="10"/>
      <c r="J133" s="35"/>
      <c r="K133" s="10"/>
      <c r="L133" s="10"/>
      <c r="M133" s="3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</row>
    <row r="134" spans="2:92" x14ac:dyDescent="0.3">
      <c r="B134" s="10"/>
      <c r="C134" s="10"/>
      <c r="D134" s="35"/>
      <c r="E134" s="10"/>
      <c r="F134" s="10"/>
      <c r="G134" s="35"/>
      <c r="H134" s="10"/>
      <c r="I134" s="10"/>
      <c r="J134" s="35"/>
      <c r="K134" s="10"/>
      <c r="L134" s="10"/>
      <c r="M134" s="3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2:92" x14ac:dyDescent="0.3">
      <c r="B135" s="10"/>
      <c r="C135" s="10"/>
      <c r="D135" s="35"/>
      <c r="E135" s="10"/>
      <c r="F135" s="10"/>
      <c r="G135" s="35"/>
      <c r="H135" s="10"/>
      <c r="I135" s="10"/>
      <c r="J135" s="35"/>
      <c r="K135" s="10"/>
      <c r="L135" s="10"/>
      <c r="M135" s="3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</row>
    <row r="136" spans="2:92" x14ac:dyDescent="0.3">
      <c r="B136" s="10"/>
      <c r="C136" s="10"/>
      <c r="D136" s="35"/>
      <c r="E136" s="10"/>
      <c r="F136" s="10"/>
      <c r="G136" s="35"/>
      <c r="H136" s="10"/>
      <c r="I136" s="10"/>
      <c r="J136" s="35"/>
      <c r="K136" s="10"/>
      <c r="L136" s="10"/>
      <c r="M136" s="3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</row>
    <row r="137" spans="2:92" x14ac:dyDescent="0.3">
      <c r="B137" s="10"/>
      <c r="C137" s="10"/>
      <c r="D137" s="35"/>
      <c r="E137" s="10"/>
      <c r="F137" s="10"/>
      <c r="G137" s="35"/>
      <c r="H137" s="10"/>
      <c r="I137" s="10"/>
      <c r="J137" s="35"/>
      <c r="K137" s="10"/>
      <c r="L137" s="10"/>
      <c r="M137" s="3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</row>
    <row r="138" spans="2:92" x14ac:dyDescent="0.3">
      <c r="B138" s="10"/>
      <c r="C138" s="10"/>
      <c r="D138" s="35"/>
      <c r="E138" s="10"/>
      <c r="F138" s="10"/>
      <c r="G138" s="35"/>
      <c r="H138" s="10"/>
      <c r="I138" s="10"/>
      <c r="J138" s="35"/>
      <c r="K138" s="10"/>
      <c r="L138" s="10"/>
      <c r="M138" s="3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</row>
    <row r="139" spans="2:92" x14ac:dyDescent="0.3">
      <c r="B139" s="10"/>
      <c r="C139" s="10"/>
      <c r="D139" s="35"/>
      <c r="E139" s="10"/>
      <c r="F139" s="10"/>
      <c r="G139" s="35"/>
      <c r="H139" s="10"/>
      <c r="I139" s="10"/>
      <c r="J139" s="35"/>
      <c r="K139" s="10"/>
      <c r="L139" s="10"/>
      <c r="M139" s="3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</row>
    <row r="140" spans="2:92" x14ac:dyDescent="0.3">
      <c r="B140" s="10"/>
      <c r="C140" s="10"/>
      <c r="D140" s="35"/>
      <c r="E140" s="10"/>
      <c r="F140" s="10"/>
      <c r="G140" s="35"/>
      <c r="H140" s="10"/>
      <c r="I140" s="10"/>
      <c r="J140" s="35"/>
      <c r="K140" s="10"/>
      <c r="L140" s="10"/>
      <c r="M140" s="3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</row>
    <row r="141" spans="2:92" x14ac:dyDescent="0.3">
      <c r="B141" s="10"/>
      <c r="C141" s="10"/>
      <c r="D141" s="35"/>
      <c r="E141" s="10"/>
      <c r="F141" s="10"/>
      <c r="G141" s="35"/>
      <c r="H141" s="10"/>
      <c r="I141" s="10"/>
      <c r="J141" s="35"/>
      <c r="K141" s="10"/>
      <c r="L141" s="10"/>
      <c r="M141" s="3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</row>
    <row r="142" spans="2:92" x14ac:dyDescent="0.3">
      <c r="B142" s="10"/>
      <c r="C142" s="10"/>
      <c r="D142" s="35"/>
      <c r="E142" s="10"/>
      <c r="F142" s="10"/>
      <c r="G142" s="35"/>
      <c r="H142" s="10"/>
      <c r="I142" s="10"/>
      <c r="J142" s="35"/>
      <c r="K142" s="10"/>
      <c r="L142" s="10"/>
      <c r="M142" s="3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</row>
    <row r="143" spans="2:92" x14ac:dyDescent="0.3">
      <c r="B143" s="10"/>
      <c r="C143" s="10"/>
      <c r="D143" s="35"/>
      <c r="E143" s="10"/>
      <c r="F143" s="10"/>
      <c r="G143" s="35"/>
      <c r="H143" s="10"/>
      <c r="I143" s="10"/>
      <c r="J143" s="35"/>
      <c r="K143" s="10"/>
      <c r="L143" s="10"/>
      <c r="M143" s="3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</row>
    <row r="144" spans="2:92" x14ac:dyDescent="0.3">
      <c r="B144" s="10"/>
      <c r="C144" s="10"/>
      <c r="D144" s="35"/>
      <c r="E144" s="10"/>
      <c r="F144" s="10"/>
      <c r="G144" s="35"/>
      <c r="H144" s="10"/>
      <c r="I144" s="10"/>
      <c r="J144" s="35"/>
      <c r="K144" s="10"/>
      <c r="L144" s="10"/>
      <c r="M144" s="3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</row>
    <row r="145" spans="2:92" x14ac:dyDescent="0.3">
      <c r="B145" s="10"/>
      <c r="C145" s="10"/>
      <c r="D145" s="35"/>
      <c r="E145" s="10"/>
      <c r="F145" s="10"/>
      <c r="G145" s="35"/>
      <c r="H145" s="10"/>
      <c r="I145" s="10"/>
      <c r="J145" s="35"/>
      <c r="K145" s="10"/>
      <c r="L145" s="10"/>
      <c r="M145" s="3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</row>
    <row r="146" spans="2:92" x14ac:dyDescent="0.3">
      <c r="B146" s="10"/>
      <c r="C146" s="10"/>
      <c r="D146" s="35"/>
      <c r="E146" s="10"/>
      <c r="F146" s="10"/>
      <c r="G146" s="35"/>
      <c r="H146" s="10"/>
      <c r="I146" s="10"/>
      <c r="J146" s="35"/>
      <c r="K146" s="10"/>
      <c r="L146" s="10"/>
      <c r="M146" s="3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</row>
    <row r="147" spans="2:92" x14ac:dyDescent="0.3">
      <c r="B147" s="10"/>
      <c r="C147" s="10"/>
      <c r="D147" s="35"/>
      <c r="E147" s="10"/>
      <c r="F147" s="10"/>
      <c r="G147" s="35"/>
      <c r="H147" s="10"/>
      <c r="I147" s="10"/>
      <c r="J147" s="35"/>
      <c r="K147" s="10"/>
      <c r="L147" s="10"/>
      <c r="M147" s="3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</row>
    <row r="148" spans="2:92" x14ac:dyDescent="0.3">
      <c r="B148" s="10"/>
      <c r="C148" s="10"/>
      <c r="D148" s="35"/>
      <c r="E148" s="10"/>
      <c r="F148" s="10"/>
      <c r="G148" s="35"/>
      <c r="H148" s="10"/>
      <c r="I148" s="10"/>
      <c r="J148" s="35"/>
      <c r="K148" s="10"/>
      <c r="L148" s="10"/>
      <c r="M148" s="3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</row>
    <row r="149" spans="2:92" x14ac:dyDescent="0.3">
      <c r="B149" s="10"/>
      <c r="C149" s="10"/>
      <c r="D149" s="35"/>
      <c r="E149" s="10"/>
      <c r="F149" s="10"/>
      <c r="G149" s="35"/>
      <c r="H149" s="10"/>
      <c r="I149" s="10"/>
      <c r="J149" s="35"/>
      <c r="K149" s="10"/>
      <c r="L149" s="10"/>
      <c r="M149" s="3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2:92" x14ac:dyDescent="0.3">
      <c r="B150" s="10"/>
      <c r="C150" s="10"/>
      <c r="D150" s="35"/>
      <c r="E150" s="10"/>
      <c r="F150" s="10"/>
      <c r="G150" s="35"/>
      <c r="H150" s="10"/>
      <c r="I150" s="10"/>
      <c r="J150" s="35"/>
      <c r="K150" s="10"/>
      <c r="L150" s="10"/>
      <c r="M150" s="3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</row>
    <row r="151" spans="2:92" x14ac:dyDescent="0.3">
      <c r="B151" s="10"/>
      <c r="C151" s="10"/>
      <c r="D151" s="35"/>
      <c r="E151" s="10"/>
      <c r="F151" s="10"/>
      <c r="G151" s="35"/>
      <c r="H151" s="10"/>
      <c r="I151" s="10"/>
      <c r="J151" s="35"/>
      <c r="K151" s="10"/>
      <c r="L151" s="10"/>
      <c r="M151" s="3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</row>
    <row r="152" spans="2:92" x14ac:dyDescent="0.3">
      <c r="B152" s="10"/>
      <c r="C152" s="10"/>
      <c r="D152" s="35"/>
      <c r="E152" s="10"/>
      <c r="F152" s="10"/>
      <c r="G152" s="35"/>
      <c r="H152" s="10"/>
      <c r="I152" s="10"/>
      <c r="J152" s="35"/>
      <c r="K152" s="10"/>
      <c r="L152" s="10"/>
      <c r="M152" s="3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2:92" x14ac:dyDescent="0.3">
      <c r="B153" s="10"/>
      <c r="C153" s="10"/>
      <c r="D153" s="35"/>
      <c r="E153" s="10"/>
      <c r="F153" s="10"/>
      <c r="G153" s="35"/>
      <c r="H153" s="10"/>
      <c r="I153" s="10"/>
      <c r="J153" s="35"/>
      <c r="K153" s="10"/>
      <c r="L153" s="10"/>
      <c r="M153" s="3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2:92" x14ac:dyDescent="0.3">
      <c r="B154" s="10"/>
      <c r="C154" s="10"/>
      <c r="D154" s="35"/>
      <c r="E154" s="10"/>
      <c r="F154" s="10"/>
      <c r="G154" s="35"/>
      <c r="H154" s="10"/>
      <c r="I154" s="10"/>
      <c r="J154" s="35"/>
      <c r="K154" s="10"/>
      <c r="L154" s="10"/>
      <c r="M154" s="3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2:92" x14ac:dyDescent="0.3">
      <c r="B155" s="10"/>
      <c r="C155" s="10"/>
      <c r="D155" s="35"/>
      <c r="E155" s="10"/>
      <c r="F155" s="10"/>
      <c r="G155" s="35"/>
      <c r="H155" s="10"/>
      <c r="I155" s="10"/>
      <c r="J155" s="35"/>
      <c r="K155" s="10"/>
      <c r="L155" s="10"/>
      <c r="M155" s="3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</row>
    <row r="156" spans="2:92" x14ac:dyDescent="0.3">
      <c r="B156" s="10"/>
      <c r="C156" s="10"/>
      <c r="D156" s="35"/>
      <c r="E156" s="10"/>
      <c r="F156" s="10"/>
      <c r="G156" s="35"/>
      <c r="H156" s="10"/>
      <c r="I156" s="10"/>
      <c r="J156" s="35"/>
      <c r="K156" s="10"/>
      <c r="L156" s="10"/>
      <c r="M156" s="3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</row>
    <row r="157" spans="2:92" x14ac:dyDescent="0.3">
      <c r="B157" s="10"/>
      <c r="C157" s="10"/>
      <c r="D157" s="35"/>
      <c r="E157" s="10"/>
      <c r="F157" s="10"/>
      <c r="G157" s="35"/>
      <c r="H157" s="10"/>
      <c r="I157" s="10"/>
      <c r="J157" s="35"/>
      <c r="K157" s="10"/>
      <c r="L157" s="10"/>
      <c r="M157" s="3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</row>
    <row r="158" spans="2:92" x14ac:dyDescent="0.3">
      <c r="B158" s="10"/>
      <c r="C158" s="10"/>
      <c r="D158" s="35"/>
      <c r="E158" s="10"/>
      <c r="F158" s="10"/>
      <c r="G158" s="35"/>
      <c r="H158" s="10"/>
      <c r="I158" s="10"/>
      <c r="J158" s="35"/>
      <c r="K158" s="10"/>
      <c r="L158" s="10"/>
      <c r="M158" s="3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</row>
    <row r="159" spans="2:92" x14ac:dyDescent="0.3">
      <c r="B159" s="10"/>
      <c r="C159" s="10"/>
      <c r="D159" s="35"/>
      <c r="E159" s="10"/>
      <c r="F159" s="10"/>
      <c r="G159" s="35"/>
      <c r="H159" s="10"/>
      <c r="I159" s="10"/>
      <c r="J159" s="35"/>
      <c r="K159" s="10"/>
      <c r="L159" s="10"/>
      <c r="M159" s="3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</row>
    <row r="160" spans="2:92" x14ac:dyDescent="0.3">
      <c r="B160" s="10"/>
      <c r="C160" s="10"/>
      <c r="D160" s="35"/>
      <c r="E160" s="10"/>
      <c r="F160" s="10"/>
      <c r="G160" s="35"/>
      <c r="H160" s="10"/>
      <c r="I160" s="10"/>
      <c r="J160" s="35"/>
      <c r="K160" s="10"/>
      <c r="L160" s="10"/>
      <c r="M160" s="3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</row>
    <row r="161" spans="2:92" x14ac:dyDescent="0.3">
      <c r="B161" s="10"/>
      <c r="C161" s="10"/>
      <c r="D161" s="35"/>
      <c r="E161" s="10"/>
      <c r="F161" s="10"/>
      <c r="G161" s="35"/>
      <c r="H161" s="10"/>
      <c r="I161" s="10"/>
      <c r="J161" s="35"/>
      <c r="K161" s="10"/>
      <c r="L161" s="10"/>
      <c r="M161" s="3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</row>
    <row r="162" spans="2:92" x14ac:dyDescent="0.3">
      <c r="B162" s="10"/>
      <c r="C162" s="10"/>
      <c r="D162" s="35"/>
      <c r="E162" s="10"/>
      <c r="F162" s="10"/>
      <c r="G162" s="35"/>
      <c r="H162" s="10"/>
      <c r="I162" s="10"/>
      <c r="J162" s="35"/>
      <c r="K162" s="10"/>
      <c r="L162" s="10"/>
      <c r="M162" s="3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</row>
    <row r="163" spans="2:92" x14ac:dyDescent="0.3">
      <c r="B163" s="10"/>
      <c r="C163" s="10"/>
      <c r="D163" s="35"/>
      <c r="E163" s="10"/>
      <c r="F163" s="10"/>
      <c r="G163" s="35"/>
      <c r="H163" s="10"/>
      <c r="I163" s="10"/>
      <c r="J163" s="35"/>
      <c r="K163" s="10"/>
      <c r="L163" s="10"/>
      <c r="M163" s="3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2:92" x14ac:dyDescent="0.3">
      <c r="B164" s="10"/>
      <c r="C164" s="10"/>
      <c r="D164" s="35"/>
      <c r="E164" s="10"/>
      <c r="F164" s="10"/>
      <c r="G164" s="35"/>
      <c r="H164" s="10"/>
      <c r="I164" s="10"/>
      <c r="J164" s="35"/>
      <c r="K164" s="10"/>
      <c r="L164" s="10"/>
      <c r="M164" s="3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</row>
    <row r="165" spans="2:92" x14ac:dyDescent="0.3">
      <c r="B165" s="10"/>
      <c r="C165" s="10"/>
      <c r="D165" s="35"/>
      <c r="E165" s="10"/>
      <c r="F165" s="10"/>
      <c r="G165" s="35"/>
      <c r="H165" s="10"/>
      <c r="I165" s="10"/>
      <c r="J165" s="35"/>
      <c r="K165" s="10"/>
      <c r="L165" s="10"/>
      <c r="M165" s="3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</row>
    <row r="166" spans="2:92" x14ac:dyDescent="0.3">
      <c r="B166" s="10"/>
      <c r="C166" s="10"/>
      <c r="D166" s="35"/>
      <c r="E166" s="10"/>
      <c r="F166" s="10"/>
      <c r="G166" s="35"/>
      <c r="H166" s="10"/>
      <c r="I166" s="10"/>
      <c r="J166" s="35"/>
      <c r="K166" s="10"/>
      <c r="L166" s="10"/>
      <c r="M166" s="3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</row>
    <row r="167" spans="2:92" x14ac:dyDescent="0.3">
      <c r="B167" s="10"/>
      <c r="C167" s="10"/>
      <c r="D167" s="35"/>
      <c r="E167" s="10"/>
      <c r="F167" s="10"/>
      <c r="G167" s="35"/>
      <c r="H167" s="10"/>
      <c r="I167" s="10"/>
      <c r="J167" s="35"/>
      <c r="K167" s="10"/>
      <c r="L167" s="10"/>
      <c r="M167" s="3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</row>
    <row r="168" spans="2:92" x14ac:dyDescent="0.3">
      <c r="B168" s="10"/>
      <c r="C168" s="10"/>
      <c r="D168" s="35"/>
      <c r="E168" s="10"/>
      <c r="F168" s="10"/>
      <c r="G168" s="35"/>
      <c r="H168" s="10"/>
      <c r="I168" s="10"/>
      <c r="J168" s="35"/>
      <c r="K168" s="10"/>
      <c r="L168" s="10"/>
      <c r="M168" s="3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</row>
    <row r="169" spans="2:92" x14ac:dyDescent="0.3">
      <c r="B169" s="10"/>
      <c r="C169" s="10"/>
      <c r="D169" s="35"/>
      <c r="E169" s="10"/>
      <c r="F169" s="10"/>
      <c r="G169" s="35"/>
      <c r="H169" s="10"/>
      <c r="I169" s="10"/>
      <c r="J169" s="35"/>
      <c r="K169" s="10"/>
      <c r="L169" s="10"/>
      <c r="M169" s="3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</row>
    <row r="170" spans="2:92" x14ac:dyDescent="0.3">
      <c r="B170" s="10"/>
      <c r="C170" s="10"/>
      <c r="D170" s="35"/>
      <c r="E170" s="10"/>
      <c r="F170" s="10"/>
      <c r="G170" s="35"/>
      <c r="H170" s="10"/>
      <c r="I170" s="10"/>
      <c r="J170" s="35"/>
      <c r="K170" s="10"/>
      <c r="L170" s="10"/>
      <c r="M170" s="3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</row>
    <row r="171" spans="2:92" x14ac:dyDescent="0.3">
      <c r="B171" s="10"/>
      <c r="C171" s="10"/>
      <c r="D171" s="35"/>
      <c r="E171" s="10"/>
      <c r="F171" s="10"/>
      <c r="G171" s="35"/>
      <c r="H171" s="10"/>
      <c r="I171" s="10"/>
      <c r="J171" s="35"/>
      <c r="K171" s="10"/>
      <c r="L171" s="10"/>
      <c r="M171" s="3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</row>
    <row r="172" spans="2:92" x14ac:dyDescent="0.3">
      <c r="B172" s="10"/>
      <c r="C172" s="10"/>
      <c r="D172" s="35"/>
      <c r="E172" s="10"/>
      <c r="F172" s="10"/>
      <c r="G172" s="35"/>
      <c r="H172" s="10"/>
      <c r="I172" s="10"/>
      <c r="J172" s="35"/>
      <c r="K172" s="10"/>
      <c r="L172" s="10"/>
      <c r="M172" s="3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</row>
    <row r="173" spans="2:92" x14ac:dyDescent="0.3">
      <c r="B173" s="10"/>
      <c r="C173" s="10"/>
      <c r="D173" s="35"/>
      <c r="E173" s="10"/>
      <c r="F173" s="10"/>
      <c r="G173" s="35"/>
      <c r="H173" s="10"/>
      <c r="I173" s="10"/>
      <c r="J173" s="35"/>
      <c r="K173" s="10"/>
      <c r="L173" s="10"/>
      <c r="M173" s="3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</row>
    <row r="174" spans="2:92" x14ac:dyDescent="0.3">
      <c r="B174" s="10"/>
      <c r="C174" s="10"/>
      <c r="D174" s="35"/>
      <c r="E174" s="10"/>
      <c r="F174" s="10"/>
      <c r="G174" s="35"/>
      <c r="H174" s="10"/>
      <c r="I174" s="10"/>
      <c r="J174" s="35"/>
      <c r="K174" s="10"/>
      <c r="L174" s="10"/>
      <c r="M174" s="3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</row>
    <row r="175" spans="2:92" x14ac:dyDescent="0.3">
      <c r="B175" s="10"/>
      <c r="C175" s="10"/>
      <c r="D175" s="35"/>
      <c r="E175" s="10"/>
      <c r="F175" s="10"/>
      <c r="G175" s="35"/>
      <c r="H175" s="10"/>
      <c r="I175" s="10"/>
      <c r="J175" s="35"/>
      <c r="K175" s="10"/>
      <c r="L175" s="10"/>
      <c r="M175" s="3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2:92" x14ac:dyDescent="0.3">
      <c r="B176" s="10"/>
      <c r="C176" s="10"/>
      <c r="D176" s="35"/>
      <c r="E176" s="10"/>
      <c r="F176" s="10"/>
      <c r="G176" s="35"/>
      <c r="H176" s="10"/>
      <c r="I176" s="10"/>
      <c r="J176" s="35"/>
      <c r="K176" s="10"/>
      <c r="L176" s="10"/>
      <c r="M176" s="3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</row>
    <row r="177" spans="2:92" x14ac:dyDescent="0.3">
      <c r="B177" s="10"/>
      <c r="C177" s="10"/>
      <c r="D177" s="35"/>
      <c r="E177" s="10"/>
      <c r="F177" s="10"/>
      <c r="G177" s="35"/>
      <c r="H177" s="10"/>
      <c r="I177" s="10"/>
      <c r="J177" s="35"/>
      <c r="K177" s="10"/>
      <c r="L177" s="10"/>
      <c r="M177" s="3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</row>
    <row r="178" spans="2:92" x14ac:dyDescent="0.3">
      <c r="B178" s="10"/>
      <c r="C178" s="10"/>
      <c r="D178" s="35"/>
      <c r="E178" s="10"/>
      <c r="F178" s="10"/>
      <c r="G178" s="35"/>
      <c r="H178" s="10"/>
      <c r="I178" s="10"/>
      <c r="J178" s="35"/>
      <c r="K178" s="10"/>
      <c r="L178" s="10"/>
      <c r="M178" s="3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</row>
    <row r="179" spans="2:92" x14ac:dyDescent="0.3">
      <c r="B179" s="10"/>
      <c r="C179" s="10"/>
      <c r="D179" s="35"/>
      <c r="E179" s="10"/>
      <c r="F179" s="10"/>
      <c r="G179" s="35"/>
      <c r="H179" s="10"/>
      <c r="I179" s="10"/>
      <c r="J179" s="35"/>
      <c r="K179" s="10"/>
      <c r="L179" s="10"/>
      <c r="M179" s="3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</row>
    <row r="180" spans="2:92" x14ac:dyDescent="0.3">
      <c r="B180" s="10"/>
      <c r="C180" s="10"/>
      <c r="D180" s="35"/>
      <c r="E180" s="10"/>
      <c r="F180" s="10"/>
      <c r="G180" s="35"/>
      <c r="H180" s="10"/>
      <c r="I180" s="10"/>
      <c r="J180" s="35"/>
      <c r="K180" s="10"/>
      <c r="L180" s="10"/>
      <c r="M180" s="3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</row>
    <row r="181" spans="2:92" x14ac:dyDescent="0.3">
      <c r="B181" s="10"/>
      <c r="C181" s="10"/>
      <c r="D181" s="35"/>
      <c r="E181" s="10"/>
      <c r="F181" s="10"/>
      <c r="G181" s="35"/>
      <c r="H181" s="10"/>
      <c r="I181" s="10"/>
      <c r="J181" s="35"/>
      <c r="K181" s="10"/>
      <c r="L181" s="10"/>
      <c r="M181" s="3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</row>
    <row r="182" spans="2:92" x14ac:dyDescent="0.3">
      <c r="B182" s="10"/>
      <c r="C182" s="10"/>
      <c r="D182" s="35"/>
      <c r="E182" s="10"/>
      <c r="F182" s="10"/>
      <c r="G182" s="35"/>
      <c r="H182" s="10"/>
      <c r="I182" s="10"/>
      <c r="J182" s="35"/>
      <c r="K182" s="10"/>
      <c r="L182" s="10"/>
      <c r="M182" s="3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</row>
    <row r="183" spans="2:92" x14ac:dyDescent="0.3">
      <c r="B183" s="10"/>
      <c r="C183" s="10"/>
      <c r="D183" s="35"/>
      <c r="E183" s="10"/>
      <c r="F183" s="10"/>
      <c r="G183" s="35"/>
      <c r="H183" s="10"/>
      <c r="I183" s="10"/>
      <c r="J183" s="35"/>
      <c r="K183" s="10"/>
      <c r="L183" s="10"/>
      <c r="M183" s="3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</row>
    <row r="184" spans="2:92" x14ac:dyDescent="0.3">
      <c r="B184" s="10"/>
      <c r="C184" s="10"/>
      <c r="D184" s="35"/>
      <c r="E184" s="10"/>
      <c r="F184" s="10"/>
      <c r="G184" s="35"/>
      <c r="H184" s="10"/>
      <c r="I184" s="10"/>
      <c r="J184" s="35"/>
      <c r="K184" s="10"/>
      <c r="L184" s="10"/>
      <c r="M184" s="3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</row>
    <row r="185" spans="2:92" x14ac:dyDescent="0.3">
      <c r="B185" s="10"/>
      <c r="C185" s="10"/>
      <c r="D185" s="35"/>
      <c r="E185" s="10"/>
      <c r="F185" s="10"/>
      <c r="G185" s="35"/>
      <c r="H185" s="10"/>
      <c r="I185" s="10"/>
      <c r="J185" s="35"/>
      <c r="K185" s="10"/>
      <c r="L185" s="10"/>
      <c r="M185" s="3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</row>
    <row r="186" spans="2:92" x14ac:dyDescent="0.3">
      <c r="B186" s="10"/>
      <c r="C186" s="10"/>
      <c r="D186" s="35"/>
      <c r="E186" s="10"/>
      <c r="F186" s="10"/>
      <c r="G186" s="35"/>
      <c r="H186" s="10"/>
      <c r="I186" s="10"/>
      <c r="J186" s="35"/>
      <c r="K186" s="10"/>
      <c r="L186" s="10"/>
      <c r="M186" s="3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</row>
    <row r="187" spans="2:92" x14ac:dyDescent="0.3">
      <c r="B187" s="10"/>
      <c r="C187" s="10"/>
      <c r="D187" s="35"/>
      <c r="E187" s="10"/>
      <c r="F187" s="10"/>
      <c r="G187" s="35"/>
      <c r="H187" s="10"/>
      <c r="I187" s="10"/>
      <c r="J187" s="35"/>
      <c r="K187" s="10"/>
      <c r="L187" s="10"/>
      <c r="M187" s="3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</row>
    <row r="188" spans="2:92" x14ac:dyDescent="0.3">
      <c r="B188" s="10"/>
      <c r="C188" s="10"/>
      <c r="D188" s="35"/>
      <c r="E188" s="10"/>
      <c r="F188" s="10"/>
      <c r="G188" s="35"/>
      <c r="H188" s="10"/>
      <c r="I188" s="10"/>
      <c r="J188" s="35"/>
      <c r="K188" s="10"/>
      <c r="L188" s="10"/>
      <c r="M188" s="3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</row>
    <row r="189" spans="2:92" x14ac:dyDescent="0.3">
      <c r="B189" s="10"/>
      <c r="C189" s="10"/>
      <c r="D189" s="35"/>
      <c r="E189" s="10"/>
      <c r="F189" s="10"/>
      <c r="G189" s="35"/>
      <c r="H189" s="10"/>
      <c r="I189" s="10"/>
      <c r="J189" s="35"/>
      <c r="K189" s="10"/>
      <c r="L189" s="10"/>
      <c r="M189" s="3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2:92" x14ac:dyDescent="0.3">
      <c r="B190" s="10"/>
      <c r="C190" s="10"/>
      <c r="D190" s="35"/>
      <c r="E190" s="10"/>
      <c r="F190" s="10"/>
      <c r="G190" s="35"/>
      <c r="H190" s="10"/>
      <c r="I190" s="10"/>
      <c r="J190" s="35"/>
      <c r="K190" s="10"/>
      <c r="L190" s="10"/>
      <c r="M190" s="3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2:92" x14ac:dyDescent="0.3">
      <c r="B191" s="10"/>
      <c r="C191" s="10"/>
      <c r="D191" s="35"/>
      <c r="E191" s="10"/>
      <c r="F191" s="10"/>
      <c r="G191" s="35"/>
      <c r="H191" s="10"/>
      <c r="I191" s="10"/>
      <c r="J191" s="35"/>
      <c r="K191" s="10"/>
      <c r="L191" s="10"/>
      <c r="M191" s="3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2:92" x14ac:dyDescent="0.3">
      <c r="B192" s="10"/>
      <c r="C192" s="10"/>
      <c r="D192" s="35"/>
      <c r="E192" s="10"/>
      <c r="F192" s="10"/>
      <c r="G192" s="35"/>
      <c r="H192" s="10"/>
      <c r="I192" s="10"/>
      <c r="J192" s="35"/>
      <c r="K192" s="10"/>
      <c r="L192" s="10"/>
      <c r="M192" s="3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2:92" x14ac:dyDescent="0.3">
      <c r="B193" s="10"/>
      <c r="C193" s="10"/>
      <c r="D193" s="35"/>
      <c r="E193" s="10"/>
      <c r="F193" s="10"/>
      <c r="G193" s="35"/>
      <c r="H193" s="10"/>
      <c r="I193" s="10"/>
      <c r="J193" s="35"/>
      <c r="K193" s="10"/>
      <c r="L193" s="10"/>
      <c r="M193" s="3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2:92" x14ac:dyDescent="0.3">
      <c r="B194" s="10"/>
      <c r="C194" s="10"/>
      <c r="D194" s="35"/>
      <c r="E194" s="10"/>
      <c r="F194" s="10"/>
      <c r="G194" s="35"/>
      <c r="H194" s="10"/>
      <c r="I194" s="10"/>
      <c r="J194" s="35"/>
      <c r="K194" s="10"/>
      <c r="L194" s="10"/>
      <c r="M194" s="3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2:92" x14ac:dyDescent="0.3">
      <c r="B195" s="10"/>
      <c r="C195" s="10"/>
      <c r="D195" s="35"/>
      <c r="E195" s="10"/>
      <c r="F195" s="10"/>
      <c r="G195" s="35"/>
      <c r="H195" s="10"/>
      <c r="I195" s="10"/>
      <c r="J195" s="35"/>
      <c r="K195" s="10"/>
      <c r="L195" s="10"/>
      <c r="M195" s="3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</row>
    <row r="196" spans="2:92" x14ac:dyDescent="0.3">
      <c r="B196" s="10"/>
      <c r="C196" s="10"/>
      <c r="D196" s="35"/>
      <c r="E196" s="10"/>
      <c r="F196" s="10"/>
      <c r="G196" s="35"/>
      <c r="H196" s="10"/>
      <c r="I196" s="10"/>
      <c r="J196" s="35"/>
      <c r="K196" s="10"/>
      <c r="L196" s="10"/>
      <c r="M196" s="3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</row>
    <row r="197" spans="2:92" x14ac:dyDescent="0.3">
      <c r="B197" s="10"/>
      <c r="C197" s="10"/>
      <c r="D197" s="35"/>
      <c r="E197" s="10"/>
      <c r="F197" s="10"/>
      <c r="G197" s="35"/>
      <c r="H197" s="10"/>
      <c r="I197" s="10"/>
      <c r="J197" s="35"/>
      <c r="K197" s="10"/>
      <c r="L197" s="10"/>
      <c r="M197" s="3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</row>
    <row r="198" spans="2:92" x14ac:dyDescent="0.3">
      <c r="B198" s="10"/>
      <c r="C198" s="10"/>
      <c r="D198" s="35"/>
      <c r="E198" s="10"/>
      <c r="F198" s="10"/>
      <c r="G198" s="35"/>
      <c r="H198" s="10"/>
      <c r="I198" s="10"/>
      <c r="J198" s="35"/>
      <c r="K198" s="10"/>
      <c r="L198" s="10"/>
      <c r="M198" s="3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</row>
    <row r="199" spans="2:92" x14ac:dyDescent="0.3">
      <c r="B199" s="10"/>
      <c r="C199" s="10"/>
      <c r="D199" s="35"/>
      <c r="E199" s="10"/>
      <c r="F199" s="10"/>
      <c r="G199" s="35"/>
      <c r="H199" s="10"/>
      <c r="I199" s="10"/>
      <c r="J199" s="35"/>
      <c r="K199" s="10"/>
      <c r="L199" s="10"/>
      <c r="M199" s="3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</row>
    <row r="200" spans="2:92" x14ac:dyDescent="0.3">
      <c r="B200" s="10"/>
      <c r="C200" s="10"/>
      <c r="D200" s="35"/>
      <c r="E200" s="10"/>
      <c r="F200" s="10"/>
      <c r="G200" s="35"/>
      <c r="H200" s="10"/>
      <c r="I200" s="10"/>
      <c r="J200" s="35"/>
      <c r="K200" s="10"/>
      <c r="L200" s="10"/>
      <c r="M200" s="3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</row>
    <row r="201" spans="2:92" x14ac:dyDescent="0.3">
      <c r="B201" s="10"/>
      <c r="C201" s="10"/>
      <c r="D201" s="35"/>
      <c r="E201" s="10"/>
      <c r="F201" s="10"/>
      <c r="G201" s="35"/>
      <c r="H201" s="10"/>
      <c r="I201" s="10"/>
      <c r="J201" s="35"/>
      <c r="K201" s="10"/>
      <c r="L201" s="10"/>
      <c r="M201" s="3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</row>
    <row r="202" spans="2:92" x14ac:dyDescent="0.3">
      <c r="B202" s="10"/>
      <c r="C202" s="10"/>
      <c r="D202" s="35"/>
      <c r="E202" s="10"/>
      <c r="F202" s="10"/>
      <c r="G202" s="35"/>
      <c r="H202" s="10"/>
      <c r="I202" s="10"/>
      <c r="J202" s="35"/>
      <c r="K202" s="10"/>
      <c r="L202" s="10"/>
      <c r="M202" s="3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</row>
    <row r="203" spans="2:92" x14ac:dyDescent="0.3">
      <c r="B203" s="10"/>
      <c r="C203" s="10"/>
      <c r="D203" s="35"/>
      <c r="E203" s="10"/>
      <c r="F203" s="10"/>
      <c r="G203" s="35"/>
      <c r="H203" s="10"/>
      <c r="I203" s="10"/>
      <c r="J203" s="35"/>
      <c r="K203" s="10"/>
      <c r="L203" s="10"/>
      <c r="M203" s="3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</row>
    <row r="204" spans="2:92" x14ac:dyDescent="0.3">
      <c r="B204" s="10"/>
      <c r="C204" s="10"/>
      <c r="D204" s="35"/>
      <c r="E204" s="10"/>
      <c r="F204" s="10"/>
      <c r="G204" s="35"/>
      <c r="H204" s="10"/>
      <c r="I204" s="10"/>
      <c r="J204" s="35"/>
      <c r="K204" s="10"/>
      <c r="L204" s="10"/>
      <c r="M204" s="3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</row>
    <row r="205" spans="2:92" x14ac:dyDescent="0.3">
      <c r="B205" s="10"/>
      <c r="C205" s="10"/>
      <c r="D205" s="35"/>
      <c r="E205" s="10"/>
      <c r="F205" s="10"/>
      <c r="G205" s="35"/>
      <c r="H205" s="10"/>
      <c r="I205" s="10"/>
      <c r="J205" s="35"/>
      <c r="K205" s="10"/>
      <c r="L205" s="10"/>
      <c r="M205" s="3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</row>
    <row r="206" spans="2:92" x14ac:dyDescent="0.3">
      <c r="B206" s="10"/>
      <c r="C206" s="10"/>
      <c r="D206" s="35"/>
      <c r="E206" s="10"/>
      <c r="F206" s="10"/>
      <c r="G206" s="35"/>
      <c r="H206" s="10"/>
      <c r="I206" s="10"/>
      <c r="J206" s="35"/>
      <c r="K206" s="10"/>
      <c r="L206" s="10"/>
      <c r="M206" s="3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</row>
    <row r="207" spans="2:92" x14ac:dyDescent="0.3">
      <c r="B207" s="10"/>
      <c r="C207" s="10"/>
      <c r="D207" s="35"/>
      <c r="E207" s="10"/>
      <c r="F207" s="10"/>
      <c r="G207" s="35"/>
      <c r="H207" s="10"/>
      <c r="I207" s="10"/>
      <c r="J207" s="35"/>
      <c r="K207" s="10"/>
      <c r="L207" s="10"/>
      <c r="M207" s="3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</row>
    <row r="208" spans="2:92" x14ac:dyDescent="0.3">
      <c r="B208" s="10"/>
      <c r="C208" s="10"/>
      <c r="D208" s="35"/>
      <c r="E208" s="10"/>
      <c r="F208" s="10"/>
      <c r="G208" s="35"/>
      <c r="H208" s="10"/>
      <c r="I208" s="10"/>
      <c r="J208" s="35"/>
      <c r="K208" s="10"/>
      <c r="L208" s="10"/>
      <c r="M208" s="3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</row>
    <row r="209" spans="2:92" x14ac:dyDescent="0.3">
      <c r="B209" s="10"/>
      <c r="C209" s="10"/>
      <c r="D209" s="35"/>
      <c r="E209" s="10"/>
      <c r="F209" s="10"/>
      <c r="G209" s="35"/>
      <c r="H209" s="10"/>
      <c r="I209" s="10"/>
      <c r="J209" s="35"/>
      <c r="K209" s="10"/>
      <c r="L209" s="10"/>
      <c r="M209" s="3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</row>
    <row r="210" spans="2:92" x14ac:dyDescent="0.3">
      <c r="B210" s="10"/>
      <c r="C210" s="10"/>
      <c r="D210" s="35"/>
      <c r="E210" s="10"/>
      <c r="F210" s="10"/>
      <c r="G210" s="35"/>
      <c r="H210" s="10"/>
      <c r="I210" s="10"/>
      <c r="J210" s="35"/>
      <c r="K210" s="10"/>
      <c r="L210" s="10"/>
      <c r="M210" s="3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2:92" x14ac:dyDescent="0.3">
      <c r="B211" s="10"/>
      <c r="C211" s="10"/>
      <c r="D211" s="35"/>
      <c r="E211" s="10"/>
      <c r="F211" s="10"/>
      <c r="G211" s="35"/>
      <c r="H211" s="10"/>
      <c r="I211" s="10"/>
      <c r="J211" s="35"/>
      <c r="K211" s="10"/>
      <c r="L211" s="10"/>
      <c r="M211" s="3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</row>
    <row r="212" spans="2:92" x14ac:dyDescent="0.3">
      <c r="B212" s="10"/>
      <c r="C212" s="10"/>
      <c r="D212" s="35"/>
      <c r="E212" s="10"/>
      <c r="F212" s="10"/>
      <c r="G212" s="35"/>
      <c r="H212" s="10"/>
      <c r="I212" s="10"/>
      <c r="J212" s="35"/>
      <c r="K212" s="10"/>
      <c r="L212" s="10"/>
      <c r="M212" s="3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</row>
    <row r="213" spans="2:92" x14ac:dyDescent="0.3">
      <c r="B213" s="10"/>
      <c r="C213" s="10"/>
      <c r="D213" s="35"/>
      <c r="E213" s="10"/>
      <c r="F213" s="10"/>
      <c r="G213" s="35"/>
      <c r="H213" s="10"/>
      <c r="I213" s="10"/>
      <c r="J213" s="35"/>
      <c r="K213" s="10"/>
      <c r="L213" s="10"/>
      <c r="M213" s="3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</row>
    <row r="214" spans="2:92" x14ac:dyDescent="0.3">
      <c r="B214" s="10"/>
      <c r="C214" s="10"/>
      <c r="D214" s="35"/>
      <c r="E214" s="10"/>
      <c r="F214" s="10"/>
      <c r="G214" s="35"/>
      <c r="H214" s="10"/>
      <c r="I214" s="10"/>
      <c r="J214" s="35"/>
      <c r="K214" s="10"/>
      <c r="L214" s="10"/>
      <c r="M214" s="3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</row>
    <row r="215" spans="2:92" x14ac:dyDescent="0.3">
      <c r="B215" s="10"/>
      <c r="C215" s="10"/>
      <c r="D215" s="35"/>
      <c r="E215" s="10"/>
      <c r="F215" s="10"/>
      <c r="G215" s="35"/>
      <c r="H215" s="10"/>
      <c r="I215" s="10"/>
      <c r="J215" s="35"/>
      <c r="K215" s="10"/>
      <c r="L215" s="10"/>
      <c r="M215" s="3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</row>
    <row r="216" spans="2:92" x14ac:dyDescent="0.3">
      <c r="B216" s="10"/>
      <c r="C216" s="10"/>
      <c r="D216" s="35"/>
      <c r="E216" s="10"/>
      <c r="F216" s="10"/>
      <c r="G216" s="35"/>
      <c r="H216" s="10"/>
      <c r="I216" s="10"/>
      <c r="J216" s="35"/>
      <c r="K216" s="10"/>
      <c r="L216" s="10"/>
      <c r="M216" s="3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</row>
    <row r="217" spans="2:92" x14ac:dyDescent="0.3">
      <c r="B217" s="10"/>
      <c r="C217" s="10"/>
      <c r="D217" s="35"/>
      <c r="E217" s="10"/>
      <c r="F217" s="10"/>
      <c r="G217" s="35"/>
      <c r="H217" s="10"/>
      <c r="I217" s="10"/>
      <c r="J217" s="35"/>
      <c r="K217" s="10"/>
      <c r="L217" s="10"/>
      <c r="M217" s="3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</row>
    <row r="218" spans="2:92" x14ac:dyDescent="0.3">
      <c r="B218" s="10"/>
      <c r="C218" s="10"/>
      <c r="D218" s="35"/>
      <c r="E218" s="10"/>
      <c r="F218" s="10"/>
      <c r="G218" s="35"/>
      <c r="H218" s="10"/>
      <c r="I218" s="10"/>
      <c r="J218" s="35"/>
      <c r="K218" s="10"/>
      <c r="L218" s="10"/>
      <c r="M218" s="3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</row>
    <row r="219" spans="2:92" x14ac:dyDescent="0.3">
      <c r="B219" s="10"/>
      <c r="C219" s="10"/>
      <c r="D219" s="35"/>
      <c r="E219" s="10"/>
      <c r="F219" s="10"/>
      <c r="G219" s="35"/>
      <c r="H219" s="10"/>
      <c r="I219" s="10"/>
      <c r="J219" s="35"/>
      <c r="K219" s="10"/>
      <c r="L219" s="10"/>
      <c r="M219" s="3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</row>
    <row r="220" spans="2:92" x14ac:dyDescent="0.3">
      <c r="B220" s="10"/>
      <c r="C220" s="10"/>
      <c r="D220" s="35"/>
      <c r="E220" s="10"/>
      <c r="F220" s="10"/>
      <c r="G220" s="35"/>
      <c r="H220" s="10"/>
      <c r="I220" s="10"/>
      <c r="J220" s="35"/>
      <c r="K220" s="10"/>
      <c r="L220" s="10"/>
      <c r="M220" s="3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</row>
    <row r="221" spans="2:92" x14ac:dyDescent="0.3">
      <c r="B221" s="10"/>
      <c r="C221" s="10"/>
      <c r="D221" s="35"/>
      <c r="E221" s="10"/>
      <c r="F221" s="10"/>
      <c r="G221" s="35"/>
      <c r="H221" s="10"/>
      <c r="I221" s="10"/>
      <c r="J221" s="35"/>
      <c r="K221" s="10"/>
      <c r="L221" s="10"/>
      <c r="M221" s="3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</row>
    <row r="222" spans="2:92" x14ac:dyDescent="0.3">
      <c r="B222" s="10"/>
      <c r="C222" s="10"/>
      <c r="D222" s="35"/>
      <c r="E222" s="10"/>
      <c r="F222" s="10"/>
      <c r="G222" s="35"/>
      <c r="H222" s="10"/>
      <c r="I222" s="10"/>
      <c r="J222" s="35"/>
      <c r="K222" s="10"/>
      <c r="L222" s="10"/>
      <c r="M222" s="3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</row>
    <row r="223" spans="2:92" x14ac:dyDescent="0.3">
      <c r="B223" s="10"/>
      <c r="C223" s="10"/>
      <c r="D223" s="35"/>
      <c r="E223" s="10"/>
      <c r="F223" s="10"/>
      <c r="G223" s="35"/>
      <c r="H223" s="10"/>
      <c r="I223" s="10"/>
      <c r="J223" s="35"/>
      <c r="K223" s="10"/>
      <c r="L223" s="10"/>
      <c r="M223" s="3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</row>
    <row r="224" spans="2:92" x14ac:dyDescent="0.3">
      <c r="B224" s="10"/>
      <c r="C224" s="10"/>
      <c r="D224" s="35"/>
      <c r="E224" s="10"/>
      <c r="F224" s="10"/>
      <c r="G224" s="35"/>
      <c r="H224" s="10"/>
      <c r="I224" s="10"/>
      <c r="J224" s="35"/>
      <c r="K224" s="10"/>
      <c r="L224" s="10"/>
      <c r="M224" s="3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</row>
    <row r="225" spans="2:92" x14ac:dyDescent="0.3">
      <c r="B225" s="10"/>
      <c r="C225" s="10"/>
      <c r="D225" s="35"/>
      <c r="E225" s="10"/>
      <c r="F225" s="10"/>
      <c r="G225" s="35"/>
      <c r="H225" s="10"/>
      <c r="I225" s="10"/>
      <c r="J225" s="35"/>
      <c r="K225" s="10"/>
      <c r="L225" s="10"/>
      <c r="M225" s="3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</row>
    <row r="226" spans="2:92" x14ac:dyDescent="0.3">
      <c r="B226" s="10"/>
      <c r="C226" s="10"/>
      <c r="D226" s="35"/>
      <c r="E226" s="10"/>
      <c r="F226" s="10"/>
      <c r="G226" s="35"/>
      <c r="H226" s="10"/>
      <c r="I226" s="10"/>
      <c r="J226" s="35"/>
      <c r="K226" s="10"/>
      <c r="L226" s="10"/>
      <c r="M226" s="3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</row>
    <row r="227" spans="2:92" x14ac:dyDescent="0.3">
      <c r="B227" s="10"/>
      <c r="C227" s="10"/>
      <c r="D227" s="35"/>
      <c r="E227" s="10"/>
      <c r="F227" s="10"/>
      <c r="G227" s="35"/>
      <c r="H227" s="10"/>
      <c r="I227" s="10"/>
      <c r="J227" s="35"/>
      <c r="K227" s="10"/>
      <c r="L227" s="10"/>
      <c r="M227" s="3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</row>
    <row r="228" spans="2:92" x14ac:dyDescent="0.3">
      <c r="B228" s="10"/>
      <c r="C228" s="10"/>
      <c r="D228" s="35"/>
      <c r="E228" s="10"/>
      <c r="F228" s="10"/>
      <c r="G228" s="35"/>
      <c r="H228" s="10"/>
      <c r="I228" s="10"/>
      <c r="J228" s="35"/>
      <c r="K228" s="10"/>
      <c r="L228" s="10"/>
      <c r="M228" s="3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</row>
    <row r="229" spans="2:92" x14ac:dyDescent="0.3">
      <c r="B229" s="10"/>
      <c r="C229" s="10"/>
      <c r="D229" s="35"/>
      <c r="E229" s="10"/>
      <c r="F229" s="10"/>
      <c r="G229" s="35"/>
      <c r="H229" s="10"/>
      <c r="I229" s="10"/>
      <c r="J229" s="35"/>
      <c r="K229" s="10"/>
      <c r="L229" s="10"/>
      <c r="M229" s="3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</row>
    <row r="230" spans="2:92" x14ac:dyDescent="0.3">
      <c r="B230" s="10"/>
      <c r="C230" s="10"/>
      <c r="D230" s="35"/>
      <c r="E230" s="10"/>
      <c r="F230" s="10"/>
      <c r="G230" s="35"/>
      <c r="H230" s="10"/>
      <c r="I230" s="10"/>
      <c r="J230" s="35"/>
      <c r="K230" s="10"/>
      <c r="L230" s="10"/>
      <c r="M230" s="3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</row>
    <row r="231" spans="2:92" x14ac:dyDescent="0.3">
      <c r="B231" s="10"/>
      <c r="C231" s="10"/>
      <c r="D231" s="35"/>
      <c r="E231" s="10"/>
      <c r="F231" s="10"/>
      <c r="G231" s="35"/>
      <c r="H231" s="10"/>
      <c r="I231" s="10"/>
      <c r="J231" s="35"/>
      <c r="K231" s="10"/>
      <c r="L231" s="10"/>
      <c r="M231" s="3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</row>
    <row r="232" spans="2:92" x14ac:dyDescent="0.3">
      <c r="B232" s="10"/>
      <c r="C232" s="10"/>
      <c r="D232" s="35"/>
      <c r="E232" s="10"/>
      <c r="F232" s="10"/>
      <c r="G232" s="35"/>
      <c r="H232" s="10"/>
      <c r="I232" s="10"/>
      <c r="J232" s="35"/>
      <c r="K232" s="10"/>
      <c r="L232" s="10"/>
      <c r="M232" s="3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2:92" x14ac:dyDescent="0.3">
      <c r="B233" s="10"/>
      <c r="C233" s="10"/>
      <c r="D233" s="35"/>
      <c r="E233" s="10"/>
      <c r="F233" s="10"/>
      <c r="G233" s="35"/>
      <c r="H233" s="10"/>
      <c r="I233" s="10"/>
      <c r="J233" s="35"/>
      <c r="K233" s="10"/>
      <c r="L233" s="10"/>
      <c r="M233" s="3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</row>
    <row r="234" spans="2:92" x14ac:dyDescent="0.3">
      <c r="B234" s="10"/>
      <c r="C234" s="10"/>
      <c r="D234" s="35"/>
      <c r="E234" s="10"/>
      <c r="F234" s="10"/>
      <c r="G234" s="35"/>
      <c r="H234" s="10"/>
      <c r="I234" s="10"/>
      <c r="J234" s="35"/>
      <c r="K234" s="10"/>
      <c r="L234" s="10"/>
      <c r="M234" s="3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</row>
    <row r="235" spans="2:92" x14ac:dyDescent="0.3">
      <c r="B235" s="10"/>
      <c r="C235" s="10"/>
      <c r="D235" s="35"/>
      <c r="E235" s="10"/>
      <c r="F235" s="10"/>
      <c r="G235" s="35"/>
      <c r="H235" s="10"/>
      <c r="I235" s="10"/>
      <c r="J235" s="35"/>
      <c r="K235" s="10"/>
      <c r="L235" s="10"/>
      <c r="M235" s="3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</row>
    <row r="236" spans="2:92" x14ac:dyDescent="0.3">
      <c r="B236" s="10"/>
      <c r="C236" s="10"/>
      <c r="D236" s="35"/>
      <c r="E236" s="10"/>
      <c r="F236" s="10"/>
      <c r="G236" s="35"/>
      <c r="H236" s="10"/>
      <c r="I236" s="10"/>
      <c r="J236" s="35"/>
      <c r="K236" s="10"/>
      <c r="L236" s="10"/>
      <c r="M236" s="3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</row>
    <row r="237" spans="2:92" x14ac:dyDescent="0.3">
      <c r="B237" s="10"/>
      <c r="C237" s="10"/>
      <c r="D237" s="35"/>
      <c r="E237" s="10"/>
      <c r="F237" s="10"/>
      <c r="G237" s="35"/>
      <c r="H237" s="10"/>
      <c r="I237" s="10"/>
      <c r="J237" s="35"/>
      <c r="K237" s="10"/>
      <c r="L237" s="10"/>
      <c r="M237" s="3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</row>
    <row r="238" spans="2:92" x14ac:dyDescent="0.3">
      <c r="B238" s="10"/>
      <c r="C238" s="10"/>
      <c r="D238" s="35"/>
      <c r="E238" s="10"/>
      <c r="F238" s="10"/>
      <c r="G238" s="35"/>
      <c r="H238" s="10"/>
      <c r="I238" s="10"/>
      <c r="J238" s="35"/>
      <c r="K238" s="10"/>
      <c r="L238" s="10"/>
      <c r="M238" s="3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</row>
    <row r="239" spans="2:92" x14ac:dyDescent="0.3">
      <c r="B239" s="10"/>
      <c r="C239" s="10"/>
      <c r="D239" s="35"/>
      <c r="E239" s="10"/>
      <c r="F239" s="10"/>
      <c r="G239" s="35"/>
      <c r="H239" s="10"/>
      <c r="I239" s="10"/>
      <c r="J239" s="35"/>
      <c r="K239" s="10"/>
      <c r="L239" s="10"/>
      <c r="M239" s="3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</row>
    <row r="240" spans="2:92" x14ac:dyDescent="0.3">
      <c r="B240" s="10"/>
      <c r="C240" s="10"/>
      <c r="D240" s="35"/>
      <c r="E240" s="10"/>
      <c r="F240" s="10"/>
      <c r="G240" s="35"/>
      <c r="H240" s="10"/>
      <c r="I240" s="10"/>
      <c r="J240" s="35"/>
      <c r="K240" s="10"/>
      <c r="L240" s="10"/>
      <c r="M240" s="3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</row>
    <row r="241" spans="2:92" x14ac:dyDescent="0.3">
      <c r="B241" s="10"/>
      <c r="C241" s="10"/>
      <c r="D241" s="35"/>
      <c r="E241" s="10"/>
      <c r="F241" s="10"/>
      <c r="G241" s="35"/>
      <c r="H241" s="10"/>
      <c r="I241" s="10"/>
      <c r="J241" s="35"/>
      <c r="K241" s="10"/>
      <c r="L241" s="10"/>
      <c r="M241" s="3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</row>
    <row r="242" spans="2:92" x14ac:dyDescent="0.3">
      <c r="B242" s="10"/>
      <c r="C242" s="10"/>
      <c r="D242" s="35"/>
      <c r="E242" s="10"/>
      <c r="F242" s="10"/>
      <c r="G242" s="35"/>
      <c r="H242" s="10"/>
      <c r="I242" s="10"/>
      <c r="J242" s="35"/>
      <c r="K242" s="10"/>
      <c r="L242" s="10"/>
      <c r="M242" s="3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</row>
    <row r="243" spans="2:92" x14ac:dyDescent="0.3">
      <c r="B243" s="10"/>
      <c r="C243" s="10"/>
      <c r="D243" s="35"/>
      <c r="E243" s="10"/>
      <c r="F243" s="10"/>
      <c r="G243" s="35"/>
      <c r="H243" s="10"/>
      <c r="I243" s="10"/>
      <c r="J243" s="35"/>
      <c r="K243" s="10"/>
      <c r="L243" s="10"/>
      <c r="M243" s="3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</row>
    <row r="244" spans="2:92" x14ac:dyDescent="0.3">
      <c r="B244" s="10"/>
      <c r="C244" s="10"/>
      <c r="D244" s="35"/>
      <c r="E244" s="10"/>
      <c r="F244" s="10"/>
      <c r="G244" s="35"/>
      <c r="H244" s="10"/>
      <c r="I244" s="10"/>
      <c r="J244" s="35"/>
      <c r="K244" s="10"/>
      <c r="L244" s="10"/>
      <c r="M244" s="3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2:92" x14ac:dyDescent="0.3">
      <c r="B245" s="10"/>
      <c r="C245" s="10"/>
      <c r="D245" s="35"/>
      <c r="E245" s="10"/>
      <c r="F245" s="10"/>
      <c r="G245" s="35"/>
      <c r="H245" s="10"/>
      <c r="I245" s="10"/>
      <c r="J245" s="35"/>
      <c r="K245" s="10"/>
      <c r="L245" s="10"/>
      <c r="M245" s="3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</row>
    <row r="246" spans="2:92" x14ac:dyDescent="0.3">
      <c r="B246" s="10"/>
      <c r="C246" s="10"/>
      <c r="D246" s="35"/>
      <c r="E246" s="10"/>
      <c r="F246" s="10"/>
      <c r="G246" s="35"/>
      <c r="H246" s="10"/>
      <c r="I246" s="10"/>
      <c r="J246" s="35"/>
      <c r="K246" s="10"/>
      <c r="L246" s="10"/>
      <c r="M246" s="3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</row>
    <row r="247" spans="2:92" x14ac:dyDescent="0.3">
      <c r="B247" s="10"/>
      <c r="C247" s="10"/>
      <c r="D247" s="35"/>
      <c r="E247" s="10"/>
      <c r="F247" s="10"/>
      <c r="G247" s="35"/>
      <c r="H247" s="10"/>
      <c r="I247" s="10"/>
      <c r="J247" s="35"/>
      <c r="K247" s="10"/>
      <c r="L247" s="10"/>
      <c r="M247" s="3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</row>
    <row r="248" spans="2:92" x14ac:dyDescent="0.3">
      <c r="B248" s="10"/>
      <c r="C248" s="10"/>
      <c r="D248" s="35"/>
      <c r="E248" s="10"/>
      <c r="F248" s="10"/>
      <c r="G248" s="35"/>
      <c r="H248" s="10"/>
      <c r="I248" s="10"/>
      <c r="J248" s="35"/>
      <c r="K248" s="10"/>
      <c r="L248" s="10"/>
      <c r="M248" s="3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</row>
    <row r="249" spans="2:92" x14ac:dyDescent="0.3">
      <c r="B249" s="10"/>
      <c r="C249" s="10"/>
      <c r="D249" s="35"/>
      <c r="E249" s="10"/>
      <c r="F249" s="10"/>
      <c r="G249" s="35"/>
      <c r="H249" s="10"/>
      <c r="I249" s="10"/>
      <c r="J249" s="35"/>
      <c r="K249" s="10"/>
      <c r="L249" s="10"/>
      <c r="M249" s="3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</row>
    <row r="250" spans="2:92" x14ac:dyDescent="0.3">
      <c r="B250" s="10"/>
      <c r="C250" s="10"/>
      <c r="D250" s="35"/>
      <c r="E250" s="10"/>
      <c r="F250" s="10"/>
      <c r="G250" s="35"/>
      <c r="H250" s="10"/>
      <c r="I250" s="10"/>
      <c r="J250" s="35"/>
      <c r="K250" s="10"/>
      <c r="L250" s="10"/>
      <c r="M250" s="3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</row>
    <row r="251" spans="2:92" x14ac:dyDescent="0.3">
      <c r="B251" s="10"/>
      <c r="C251" s="10"/>
      <c r="D251" s="35"/>
      <c r="E251" s="10"/>
      <c r="F251" s="10"/>
      <c r="G251" s="35"/>
      <c r="H251" s="10"/>
      <c r="I251" s="10"/>
      <c r="J251" s="35"/>
      <c r="K251" s="10"/>
      <c r="L251" s="10"/>
      <c r="M251" s="3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</row>
    <row r="252" spans="2:92" x14ac:dyDescent="0.3">
      <c r="B252" s="10"/>
      <c r="C252" s="10"/>
      <c r="D252" s="35"/>
      <c r="E252" s="10"/>
      <c r="F252" s="10"/>
      <c r="G252" s="35"/>
      <c r="H252" s="10"/>
      <c r="I252" s="10"/>
      <c r="J252" s="35"/>
      <c r="K252" s="10"/>
      <c r="L252" s="10"/>
      <c r="M252" s="3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</row>
    <row r="253" spans="2:92" x14ac:dyDescent="0.3">
      <c r="B253" s="10"/>
      <c r="C253" s="10"/>
      <c r="D253" s="35"/>
      <c r="E253" s="10"/>
      <c r="F253" s="10"/>
      <c r="G253" s="35"/>
      <c r="H253" s="10"/>
      <c r="I253" s="10"/>
      <c r="J253" s="35"/>
      <c r="K253" s="10"/>
      <c r="L253" s="10"/>
      <c r="M253" s="3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</row>
    <row r="254" spans="2:92" x14ac:dyDescent="0.3">
      <c r="B254" s="10"/>
      <c r="C254" s="10"/>
      <c r="D254" s="35"/>
      <c r="E254" s="10"/>
      <c r="F254" s="10"/>
      <c r="G254" s="35"/>
      <c r="H254" s="10"/>
      <c r="I254" s="10"/>
      <c r="J254" s="35"/>
      <c r="K254" s="10"/>
      <c r="L254" s="10"/>
      <c r="M254" s="3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</row>
    <row r="255" spans="2:92" x14ac:dyDescent="0.3">
      <c r="B255" s="10"/>
      <c r="C255" s="10"/>
      <c r="D255" s="35"/>
      <c r="E255" s="10"/>
      <c r="F255" s="10"/>
      <c r="G255" s="35"/>
      <c r="H255" s="10"/>
      <c r="I255" s="10"/>
      <c r="J255" s="35"/>
      <c r="K255" s="10"/>
      <c r="L255" s="10"/>
      <c r="M255" s="3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</row>
    <row r="256" spans="2:92" x14ac:dyDescent="0.3">
      <c r="B256" s="10"/>
      <c r="C256" s="10"/>
      <c r="D256" s="35"/>
      <c r="E256" s="10"/>
      <c r="F256" s="10"/>
      <c r="G256" s="35"/>
      <c r="H256" s="10"/>
      <c r="I256" s="10"/>
      <c r="J256" s="35"/>
      <c r="K256" s="10"/>
      <c r="L256" s="10"/>
      <c r="M256" s="3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</row>
    <row r="257" spans="2:92" x14ac:dyDescent="0.3">
      <c r="B257" s="10"/>
      <c r="C257" s="10"/>
      <c r="D257" s="35"/>
      <c r="E257" s="10"/>
      <c r="F257" s="10"/>
      <c r="G257" s="35"/>
      <c r="H257" s="10"/>
      <c r="I257" s="10"/>
      <c r="J257" s="35"/>
      <c r="K257" s="10"/>
      <c r="L257" s="10"/>
      <c r="M257" s="3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</row>
    <row r="258" spans="2:92" x14ac:dyDescent="0.3">
      <c r="B258" s="10"/>
      <c r="C258" s="10"/>
      <c r="D258" s="35"/>
      <c r="E258" s="10"/>
      <c r="F258" s="10"/>
      <c r="G258" s="35"/>
      <c r="H258" s="10"/>
      <c r="I258" s="10"/>
      <c r="J258" s="35"/>
      <c r="K258" s="10"/>
      <c r="L258" s="10"/>
      <c r="M258" s="3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</row>
    <row r="259" spans="2:92" x14ac:dyDescent="0.3">
      <c r="B259" s="10"/>
      <c r="C259" s="10"/>
      <c r="D259" s="35"/>
      <c r="E259" s="10"/>
      <c r="F259" s="10"/>
      <c r="G259" s="35"/>
      <c r="H259" s="10"/>
      <c r="I259" s="10"/>
      <c r="J259" s="35"/>
      <c r="K259" s="10"/>
      <c r="L259" s="10"/>
      <c r="M259" s="3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</row>
    <row r="260" spans="2:92" x14ac:dyDescent="0.3">
      <c r="B260" s="10"/>
      <c r="C260" s="10"/>
      <c r="D260" s="35"/>
      <c r="E260" s="10"/>
      <c r="F260" s="10"/>
      <c r="G260" s="35"/>
      <c r="H260" s="10"/>
      <c r="I260" s="10"/>
      <c r="J260" s="35"/>
      <c r="K260" s="10"/>
      <c r="L260" s="10"/>
      <c r="M260" s="3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</row>
    <row r="261" spans="2:92" x14ac:dyDescent="0.3">
      <c r="B261" s="10"/>
      <c r="C261" s="10"/>
      <c r="D261" s="35"/>
      <c r="E261" s="10"/>
      <c r="F261" s="10"/>
      <c r="G261" s="35"/>
      <c r="H261" s="10"/>
      <c r="I261" s="10"/>
      <c r="J261" s="35"/>
      <c r="K261" s="10"/>
      <c r="L261" s="10"/>
      <c r="M261" s="3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</row>
    <row r="262" spans="2:92" x14ac:dyDescent="0.3">
      <c r="B262" s="10"/>
      <c r="C262" s="10"/>
      <c r="D262" s="35"/>
      <c r="E262" s="10"/>
      <c r="F262" s="10"/>
      <c r="G262" s="35"/>
      <c r="H262" s="10"/>
      <c r="I262" s="10"/>
      <c r="J262" s="35"/>
      <c r="K262" s="10"/>
      <c r="L262" s="10"/>
      <c r="M262" s="3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</row>
    <row r="263" spans="2:92" x14ac:dyDescent="0.3">
      <c r="B263" s="10"/>
      <c r="C263" s="10"/>
      <c r="D263" s="35"/>
      <c r="E263" s="10"/>
      <c r="F263" s="10"/>
      <c r="G263" s="35"/>
      <c r="H263" s="10"/>
      <c r="I263" s="10"/>
      <c r="J263" s="35"/>
      <c r="K263" s="10"/>
      <c r="L263" s="10"/>
      <c r="M263" s="3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</row>
    <row r="264" spans="2:92" x14ac:dyDescent="0.3">
      <c r="B264" s="10"/>
      <c r="C264" s="10"/>
      <c r="D264" s="35"/>
      <c r="E264" s="10"/>
      <c r="F264" s="10"/>
      <c r="G264" s="35"/>
      <c r="H264" s="10"/>
      <c r="I264" s="10"/>
      <c r="J264" s="35"/>
      <c r="K264" s="10"/>
      <c r="L264" s="10"/>
      <c r="M264" s="3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</row>
    <row r="265" spans="2:92" x14ac:dyDescent="0.3">
      <c r="B265" s="10"/>
      <c r="C265" s="10"/>
      <c r="D265" s="35"/>
      <c r="E265" s="10"/>
      <c r="F265" s="10"/>
      <c r="G265" s="35"/>
      <c r="H265" s="10"/>
      <c r="I265" s="10"/>
      <c r="J265" s="35"/>
      <c r="K265" s="10"/>
      <c r="L265" s="10"/>
      <c r="M265" s="3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</row>
    <row r="266" spans="2:92" x14ac:dyDescent="0.3">
      <c r="B266" s="10"/>
      <c r="C266" s="10"/>
      <c r="D266" s="35"/>
      <c r="E266" s="10"/>
      <c r="F266" s="10"/>
      <c r="G266" s="35"/>
      <c r="H266" s="10"/>
      <c r="I266" s="10"/>
      <c r="J266" s="35"/>
      <c r="K266" s="10"/>
      <c r="L266" s="10"/>
      <c r="M266" s="3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</row>
    <row r="267" spans="2:92" x14ac:dyDescent="0.3">
      <c r="B267" s="10"/>
      <c r="C267" s="10"/>
      <c r="D267" s="35"/>
      <c r="E267" s="10"/>
      <c r="F267" s="10"/>
      <c r="G267" s="35"/>
      <c r="H267" s="10"/>
      <c r="I267" s="10"/>
      <c r="J267" s="35"/>
      <c r="K267" s="10"/>
      <c r="L267" s="10"/>
      <c r="M267" s="3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</row>
    <row r="268" spans="2:92" x14ac:dyDescent="0.3">
      <c r="B268" s="10"/>
      <c r="C268" s="10"/>
      <c r="D268" s="35"/>
      <c r="E268" s="10"/>
      <c r="F268" s="10"/>
      <c r="G268" s="35"/>
      <c r="H268" s="10"/>
      <c r="I268" s="10"/>
      <c r="J268" s="35"/>
      <c r="K268" s="10"/>
      <c r="L268" s="10"/>
      <c r="M268" s="3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</row>
    <row r="269" spans="2:92" x14ac:dyDescent="0.3">
      <c r="B269" s="10"/>
      <c r="C269" s="10"/>
      <c r="D269" s="35"/>
      <c r="E269" s="10"/>
      <c r="F269" s="10"/>
      <c r="G269" s="35"/>
      <c r="H269" s="10"/>
      <c r="I269" s="10"/>
      <c r="J269" s="35"/>
      <c r="K269" s="10"/>
      <c r="L269" s="10"/>
      <c r="M269" s="3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</row>
    <row r="270" spans="2:92" x14ac:dyDescent="0.3">
      <c r="B270" s="10"/>
      <c r="C270" s="10"/>
      <c r="D270" s="35"/>
      <c r="E270" s="10"/>
      <c r="F270" s="10"/>
      <c r="G270" s="35"/>
      <c r="H270" s="10"/>
      <c r="I270" s="10"/>
      <c r="J270" s="35"/>
      <c r="K270" s="10"/>
      <c r="L270" s="10"/>
      <c r="M270" s="3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</row>
    <row r="271" spans="2:92" x14ac:dyDescent="0.3">
      <c r="B271" s="10"/>
      <c r="C271" s="10"/>
      <c r="D271" s="35"/>
      <c r="E271" s="10"/>
      <c r="F271" s="10"/>
      <c r="G271" s="35"/>
      <c r="H271" s="10"/>
      <c r="I271" s="10"/>
      <c r="J271" s="35"/>
      <c r="K271" s="10"/>
      <c r="L271" s="10"/>
      <c r="M271" s="3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</row>
    <row r="272" spans="2:92" x14ac:dyDescent="0.3">
      <c r="B272" s="10"/>
      <c r="C272" s="10"/>
      <c r="D272" s="35"/>
      <c r="E272" s="10"/>
      <c r="F272" s="10"/>
      <c r="G272" s="35"/>
      <c r="H272" s="10"/>
      <c r="I272" s="10"/>
      <c r="J272" s="35"/>
      <c r="K272" s="10"/>
      <c r="L272" s="10"/>
      <c r="M272" s="3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</row>
    <row r="273" spans="2:92" x14ac:dyDescent="0.3">
      <c r="B273" s="10"/>
      <c r="C273" s="10"/>
      <c r="D273" s="35"/>
      <c r="E273" s="10"/>
      <c r="F273" s="10"/>
      <c r="G273" s="35"/>
      <c r="H273" s="10"/>
      <c r="I273" s="10"/>
      <c r="J273" s="35"/>
      <c r="K273" s="10"/>
      <c r="L273" s="10"/>
      <c r="M273" s="3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</row>
    <row r="274" spans="2:92" x14ac:dyDescent="0.3">
      <c r="B274" s="10"/>
      <c r="C274" s="10"/>
      <c r="D274" s="35"/>
      <c r="E274" s="10"/>
      <c r="F274" s="10"/>
      <c r="G274" s="35"/>
      <c r="H274" s="10"/>
      <c r="I274" s="10"/>
      <c r="J274" s="35"/>
      <c r="K274" s="10"/>
      <c r="L274" s="10"/>
      <c r="M274" s="3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</row>
    <row r="275" spans="2:92" x14ac:dyDescent="0.3">
      <c r="B275" s="10"/>
      <c r="C275" s="10"/>
      <c r="D275" s="35"/>
      <c r="E275" s="10"/>
      <c r="F275" s="10"/>
      <c r="G275" s="35"/>
      <c r="H275" s="10"/>
      <c r="I275" s="10"/>
      <c r="J275" s="35"/>
      <c r="K275" s="10"/>
      <c r="L275" s="10"/>
      <c r="M275" s="3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</row>
    <row r="276" spans="2:92" x14ac:dyDescent="0.3">
      <c r="B276" s="10"/>
      <c r="C276" s="10"/>
      <c r="D276" s="35"/>
      <c r="E276" s="10"/>
      <c r="F276" s="10"/>
      <c r="G276" s="35"/>
      <c r="H276" s="10"/>
      <c r="I276" s="10"/>
      <c r="J276" s="35"/>
      <c r="K276" s="10"/>
      <c r="L276" s="10"/>
      <c r="M276" s="3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</row>
    <row r="277" spans="2:92" x14ac:dyDescent="0.3">
      <c r="B277" s="10"/>
      <c r="C277" s="10"/>
      <c r="D277" s="35"/>
      <c r="E277" s="10"/>
      <c r="F277" s="10"/>
      <c r="G277" s="35"/>
      <c r="H277" s="10"/>
      <c r="I277" s="10"/>
      <c r="J277" s="35"/>
      <c r="K277" s="10"/>
      <c r="L277" s="10"/>
      <c r="M277" s="3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</row>
    <row r="278" spans="2:92" x14ac:dyDescent="0.3">
      <c r="B278" s="10"/>
      <c r="C278" s="10"/>
      <c r="D278" s="35"/>
      <c r="E278" s="10"/>
      <c r="F278" s="10"/>
      <c r="G278" s="35"/>
      <c r="H278" s="10"/>
      <c r="I278" s="10"/>
      <c r="J278" s="35"/>
      <c r="K278" s="10"/>
      <c r="L278" s="10"/>
      <c r="M278" s="3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</row>
    <row r="279" spans="2:92" x14ac:dyDescent="0.3">
      <c r="B279" s="10"/>
      <c r="C279" s="10"/>
      <c r="D279" s="35"/>
      <c r="E279" s="10"/>
      <c r="F279" s="10"/>
      <c r="G279" s="35"/>
      <c r="H279" s="10"/>
      <c r="I279" s="10"/>
      <c r="J279" s="35"/>
      <c r="K279" s="10"/>
      <c r="L279" s="10"/>
      <c r="M279" s="3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</row>
    <row r="280" spans="2:92" x14ac:dyDescent="0.3">
      <c r="B280" s="10"/>
      <c r="C280" s="10"/>
      <c r="D280" s="35"/>
      <c r="E280" s="10"/>
      <c r="F280" s="10"/>
      <c r="G280" s="35"/>
      <c r="H280" s="10"/>
      <c r="I280" s="10"/>
      <c r="J280" s="35"/>
      <c r="K280" s="10"/>
      <c r="L280" s="10"/>
      <c r="M280" s="3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</row>
    <row r="281" spans="2:92" x14ac:dyDescent="0.3">
      <c r="B281" s="10"/>
      <c r="C281" s="10"/>
      <c r="D281" s="35"/>
      <c r="E281" s="10"/>
      <c r="F281" s="10"/>
      <c r="G281" s="35"/>
      <c r="H281" s="10"/>
      <c r="I281" s="10"/>
      <c r="J281" s="35"/>
      <c r="K281" s="10"/>
      <c r="L281" s="10"/>
      <c r="M281" s="3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</row>
    <row r="282" spans="2:92" x14ac:dyDescent="0.3">
      <c r="B282" s="10"/>
      <c r="C282" s="10"/>
      <c r="D282" s="35"/>
      <c r="E282" s="10"/>
      <c r="F282" s="10"/>
      <c r="G282" s="35"/>
      <c r="H282" s="10"/>
      <c r="I282" s="10"/>
      <c r="J282" s="35"/>
      <c r="K282" s="10"/>
      <c r="L282" s="10"/>
      <c r="M282" s="3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</row>
    <row r="283" spans="2:92" x14ac:dyDescent="0.3">
      <c r="B283" s="10"/>
      <c r="C283" s="10"/>
      <c r="D283" s="35"/>
      <c r="E283" s="10"/>
      <c r="F283" s="10"/>
      <c r="G283" s="35"/>
      <c r="H283" s="10"/>
      <c r="I283" s="10"/>
      <c r="J283" s="35"/>
      <c r="K283" s="10"/>
      <c r="L283" s="10"/>
      <c r="M283" s="3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2:92" x14ac:dyDescent="0.3">
      <c r="B284" s="10"/>
      <c r="C284" s="10"/>
      <c r="D284" s="35"/>
      <c r="E284" s="10"/>
      <c r="F284" s="10"/>
      <c r="G284" s="35"/>
      <c r="H284" s="10"/>
      <c r="I284" s="10"/>
      <c r="J284" s="35"/>
      <c r="K284" s="10"/>
      <c r="L284" s="10"/>
      <c r="M284" s="3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</row>
    <row r="285" spans="2:92" x14ac:dyDescent="0.3">
      <c r="B285" s="10"/>
      <c r="C285" s="10"/>
      <c r="D285" s="35"/>
      <c r="E285" s="10"/>
      <c r="F285" s="10"/>
      <c r="G285" s="35"/>
      <c r="H285" s="10"/>
      <c r="I285" s="10"/>
      <c r="J285" s="35"/>
      <c r="K285" s="10"/>
      <c r="L285" s="10"/>
      <c r="M285" s="3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</row>
    <row r="286" spans="2:92" x14ac:dyDescent="0.3">
      <c r="B286" s="10"/>
      <c r="C286" s="10"/>
      <c r="D286" s="35"/>
      <c r="E286" s="10"/>
      <c r="F286" s="10"/>
      <c r="G286" s="35"/>
      <c r="H286" s="10"/>
      <c r="I286" s="10"/>
      <c r="J286" s="35"/>
      <c r="K286" s="10"/>
      <c r="L286" s="10"/>
      <c r="M286" s="3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</row>
    <row r="287" spans="2:92" x14ac:dyDescent="0.3">
      <c r="B287" s="10"/>
      <c r="C287" s="10"/>
      <c r="D287" s="35"/>
      <c r="E287" s="10"/>
      <c r="F287" s="10"/>
      <c r="G287" s="35"/>
      <c r="H287" s="10"/>
      <c r="I287" s="10"/>
      <c r="J287" s="35"/>
      <c r="K287" s="10"/>
      <c r="L287" s="10"/>
      <c r="M287" s="3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2:92" x14ac:dyDescent="0.3">
      <c r="B288" s="10"/>
      <c r="C288" s="10"/>
      <c r="D288" s="35"/>
      <c r="E288" s="10"/>
      <c r="F288" s="10"/>
      <c r="G288" s="35"/>
      <c r="H288" s="10"/>
      <c r="I288" s="10"/>
      <c r="J288" s="35"/>
      <c r="K288" s="10"/>
      <c r="L288" s="10"/>
      <c r="M288" s="3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</row>
    <row r="289" spans="2:92" x14ac:dyDescent="0.3">
      <c r="B289" s="10"/>
      <c r="C289" s="10"/>
      <c r="D289" s="35"/>
      <c r="E289" s="10"/>
      <c r="F289" s="10"/>
      <c r="G289" s="35"/>
      <c r="H289" s="10"/>
      <c r="I289" s="10"/>
      <c r="J289" s="35"/>
      <c r="K289" s="10"/>
      <c r="L289" s="10"/>
      <c r="M289" s="3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</row>
    <row r="290" spans="2:92" x14ac:dyDescent="0.3">
      <c r="B290" s="10"/>
      <c r="C290" s="10"/>
      <c r="D290" s="35"/>
      <c r="E290" s="10"/>
      <c r="F290" s="10"/>
      <c r="G290" s="35"/>
      <c r="H290" s="10"/>
      <c r="I290" s="10"/>
      <c r="J290" s="35"/>
      <c r="K290" s="10"/>
      <c r="L290" s="10"/>
      <c r="M290" s="3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</row>
    <row r="291" spans="2:92" x14ac:dyDescent="0.3">
      <c r="B291" s="10"/>
      <c r="C291" s="10"/>
      <c r="D291" s="35"/>
      <c r="E291" s="10"/>
      <c r="F291" s="10"/>
      <c r="G291" s="35"/>
      <c r="H291" s="10"/>
      <c r="I291" s="10"/>
      <c r="J291" s="35"/>
      <c r="K291" s="10"/>
      <c r="L291" s="10"/>
      <c r="M291" s="3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</row>
    <row r="292" spans="2:92" x14ac:dyDescent="0.3">
      <c r="B292" s="10"/>
      <c r="C292" s="10"/>
      <c r="D292" s="35"/>
      <c r="E292" s="10"/>
      <c r="F292" s="10"/>
      <c r="G292" s="35"/>
      <c r="H292" s="10"/>
      <c r="I292" s="10"/>
      <c r="J292" s="35"/>
      <c r="K292" s="10"/>
      <c r="L292" s="10"/>
      <c r="M292" s="3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</row>
    <row r="293" spans="2:92" x14ac:dyDescent="0.3">
      <c r="B293" s="10"/>
      <c r="C293" s="10"/>
      <c r="D293" s="35"/>
      <c r="E293" s="10"/>
      <c r="F293" s="10"/>
      <c r="G293" s="35"/>
      <c r="H293" s="10"/>
      <c r="I293" s="10"/>
      <c r="J293" s="35"/>
      <c r="K293" s="10"/>
      <c r="L293" s="10"/>
      <c r="M293" s="3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</row>
    <row r="294" spans="2:92" x14ac:dyDescent="0.3">
      <c r="B294" s="10"/>
      <c r="C294" s="10"/>
      <c r="D294" s="35"/>
      <c r="E294" s="10"/>
      <c r="F294" s="10"/>
      <c r="G294" s="35"/>
      <c r="H294" s="10"/>
      <c r="I294" s="10"/>
      <c r="J294" s="35"/>
      <c r="K294" s="10"/>
      <c r="L294" s="10"/>
      <c r="M294" s="3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</row>
    <row r="295" spans="2:92" x14ac:dyDescent="0.3">
      <c r="B295" s="10"/>
      <c r="C295" s="10"/>
      <c r="D295" s="35"/>
      <c r="E295" s="10"/>
      <c r="F295" s="10"/>
      <c r="G295" s="35"/>
      <c r="H295" s="10"/>
      <c r="I295" s="10"/>
      <c r="J295" s="35"/>
      <c r="K295" s="10"/>
      <c r="L295" s="10"/>
      <c r="M295" s="3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</row>
    <row r="296" spans="2:92" x14ac:dyDescent="0.3">
      <c r="B296" s="10"/>
      <c r="C296" s="10"/>
      <c r="D296" s="35"/>
      <c r="E296" s="10"/>
      <c r="F296" s="10"/>
      <c r="G296" s="35"/>
      <c r="H296" s="10"/>
      <c r="I296" s="10"/>
      <c r="J296" s="35"/>
      <c r="K296" s="10"/>
      <c r="L296" s="10"/>
      <c r="M296" s="3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</row>
    <row r="297" spans="2:92" x14ac:dyDescent="0.3">
      <c r="B297" s="10"/>
      <c r="C297" s="10"/>
      <c r="D297" s="35"/>
      <c r="E297" s="10"/>
      <c r="F297" s="10"/>
      <c r="G297" s="35"/>
      <c r="H297" s="10"/>
      <c r="I297" s="10"/>
      <c r="J297" s="35"/>
      <c r="K297" s="10"/>
      <c r="L297" s="10"/>
      <c r="M297" s="3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</row>
    <row r="298" spans="2:92" x14ac:dyDescent="0.3">
      <c r="B298" s="10"/>
      <c r="C298" s="10"/>
      <c r="D298" s="35"/>
      <c r="E298" s="10"/>
      <c r="F298" s="10"/>
      <c r="G298" s="35"/>
      <c r="H298" s="10"/>
      <c r="I298" s="10"/>
      <c r="J298" s="35"/>
      <c r="K298" s="10"/>
      <c r="L298" s="10"/>
      <c r="M298" s="3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</row>
    <row r="299" spans="2:92" x14ac:dyDescent="0.3">
      <c r="B299" s="10"/>
      <c r="C299" s="10"/>
      <c r="D299" s="35"/>
      <c r="E299" s="10"/>
      <c r="F299" s="10"/>
      <c r="G299" s="35"/>
      <c r="H299" s="10"/>
      <c r="I299" s="10"/>
      <c r="J299" s="35"/>
      <c r="K299" s="10"/>
      <c r="L299" s="10"/>
      <c r="M299" s="3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</row>
    <row r="300" spans="2:92" x14ac:dyDescent="0.3">
      <c r="B300" s="10"/>
      <c r="C300" s="10"/>
      <c r="D300" s="35"/>
      <c r="E300" s="10"/>
      <c r="F300" s="10"/>
      <c r="G300" s="35"/>
      <c r="H300" s="10"/>
      <c r="I300" s="10"/>
      <c r="J300" s="35"/>
      <c r="K300" s="10"/>
      <c r="L300" s="10"/>
      <c r="M300" s="3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</row>
    <row r="301" spans="2:92" x14ac:dyDescent="0.3">
      <c r="B301" s="10"/>
      <c r="C301" s="10"/>
      <c r="D301" s="35"/>
      <c r="E301" s="10"/>
      <c r="F301" s="10"/>
      <c r="G301" s="35"/>
      <c r="H301" s="10"/>
      <c r="I301" s="10"/>
      <c r="J301" s="35"/>
      <c r="K301" s="10"/>
      <c r="L301" s="10"/>
      <c r="M301" s="3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</row>
    <row r="302" spans="2:92" x14ac:dyDescent="0.3">
      <c r="B302" s="10"/>
      <c r="C302" s="10"/>
      <c r="D302" s="35"/>
      <c r="E302" s="10"/>
      <c r="F302" s="10"/>
      <c r="G302" s="35"/>
      <c r="H302" s="10"/>
      <c r="I302" s="10"/>
      <c r="J302" s="35"/>
      <c r="K302" s="10"/>
      <c r="L302" s="10"/>
      <c r="M302" s="3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</row>
    <row r="303" spans="2:92" x14ac:dyDescent="0.3">
      <c r="B303" s="10"/>
      <c r="C303" s="10"/>
      <c r="D303" s="35"/>
      <c r="E303" s="10"/>
      <c r="F303" s="10"/>
      <c r="G303" s="35"/>
      <c r="H303" s="10"/>
      <c r="I303" s="10"/>
      <c r="J303" s="35"/>
      <c r="K303" s="10"/>
      <c r="L303" s="10"/>
      <c r="M303" s="3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</row>
    <row r="304" spans="2:92" x14ac:dyDescent="0.3">
      <c r="B304" s="10"/>
      <c r="C304" s="10"/>
      <c r="D304" s="35"/>
      <c r="E304" s="10"/>
      <c r="F304" s="10"/>
      <c r="G304" s="35"/>
      <c r="H304" s="10"/>
      <c r="I304" s="10"/>
      <c r="J304" s="35"/>
      <c r="K304" s="10"/>
      <c r="L304" s="10"/>
      <c r="M304" s="3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</row>
    <row r="305" spans="2:92" x14ac:dyDescent="0.3">
      <c r="B305" s="10"/>
      <c r="C305" s="10"/>
      <c r="D305" s="35"/>
      <c r="E305" s="10"/>
      <c r="F305" s="10"/>
      <c r="G305" s="35"/>
      <c r="H305" s="10"/>
      <c r="I305" s="10"/>
      <c r="J305" s="35"/>
      <c r="K305" s="10"/>
      <c r="L305" s="10"/>
      <c r="M305" s="3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</row>
    <row r="306" spans="2:92" x14ac:dyDescent="0.3">
      <c r="B306" s="10"/>
      <c r="C306" s="10"/>
      <c r="D306" s="35"/>
      <c r="E306" s="10"/>
      <c r="F306" s="10"/>
      <c r="G306" s="35"/>
      <c r="H306" s="10"/>
      <c r="I306" s="10"/>
      <c r="J306" s="35"/>
      <c r="K306" s="10"/>
      <c r="L306" s="10"/>
      <c r="M306" s="3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</row>
    <row r="307" spans="2:92" x14ac:dyDescent="0.3">
      <c r="B307" s="10"/>
      <c r="C307" s="10"/>
      <c r="D307" s="35"/>
      <c r="E307" s="10"/>
      <c r="F307" s="10"/>
      <c r="G307" s="35"/>
      <c r="H307" s="10"/>
      <c r="I307" s="10"/>
      <c r="J307" s="35"/>
      <c r="K307" s="10"/>
      <c r="L307" s="10"/>
      <c r="M307" s="3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</row>
    <row r="308" spans="2:92" x14ac:dyDescent="0.3">
      <c r="B308" s="10"/>
      <c r="C308" s="10"/>
      <c r="D308" s="35"/>
      <c r="E308" s="10"/>
      <c r="F308" s="10"/>
      <c r="G308" s="35"/>
      <c r="H308" s="10"/>
      <c r="I308" s="10"/>
      <c r="J308" s="35"/>
      <c r="K308" s="10"/>
      <c r="L308" s="10"/>
      <c r="M308" s="3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</row>
    <row r="309" spans="2:92" x14ac:dyDescent="0.3">
      <c r="B309" s="10"/>
      <c r="C309" s="10"/>
      <c r="D309" s="35"/>
      <c r="E309" s="10"/>
      <c r="F309" s="10"/>
      <c r="G309" s="35"/>
      <c r="H309" s="10"/>
      <c r="I309" s="10"/>
      <c r="J309" s="35"/>
      <c r="K309" s="10"/>
      <c r="L309" s="10"/>
      <c r="M309" s="3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</row>
    <row r="310" spans="2:92" x14ac:dyDescent="0.3">
      <c r="B310" s="10"/>
      <c r="C310" s="10"/>
      <c r="D310" s="35"/>
      <c r="E310" s="10"/>
      <c r="F310" s="10"/>
      <c r="G310" s="35"/>
      <c r="H310" s="10"/>
      <c r="I310" s="10"/>
      <c r="J310" s="35"/>
      <c r="K310" s="10"/>
      <c r="L310" s="10"/>
      <c r="M310" s="3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</row>
    <row r="311" spans="2:92" x14ac:dyDescent="0.3">
      <c r="B311" s="10"/>
      <c r="C311" s="10"/>
      <c r="D311" s="35"/>
      <c r="E311" s="10"/>
      <c r="F311" s="10"/>
      <c r="G311" s="35"/>
      <c r="H311" s="10"/>
      <c r="I311" s="10"/>
      <c r="J311" s="35"/>
      <c r="K311" s="10"/>
      <c r="L311" s="10"/>
      <c r="M311" s="3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</row>
    <row r="312" spans="2:92" x14ac:dyDescent="0.3">
      <c r="B312" s="10"/>
      <c r="C312" s="10"/>
      <c r="D312" s="35"/>
      <c r="E312" s="10"/>
      <c r="F312" s="10"/>
      <c r="G312" s="35"/>
      <c r="H312" s="10"/>
      <c r="I312" s="10"/>
      <c r="J312" s="35"/>
      <c r="K312" s="10"/>
      <c r="L312" s="10"/>
      <c r="M312" s="3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</row>
    <row r="313" spans="2:92" x14ac:dyDescent="0.3">
      <c r="B313" s="10"/>
      <c r="C313" s="10"/>
      <c r="D313" s="35"/>
      <c r="E313" s="10"/>
      <c r="F313" s="10"/>
      <c r="G313" s="35"/>
      <c r="H313" s="10"/>
      <c r="I313" s="10"/>
      <c r="J313" s="35"/>
      <c r="K313" s="10"/>
      <c r="L313" s="10"/>
      <c r="M313" s="3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</row>
    <row r="314" spans="2:92" x14ac:dyDescent="0.3">
      <c r="B314" s="10"/>
      <c r="C314" s="10"/>
      <c r="D314" s="35"/>
      <c r="E314" s="10"/>
      <c r="F314" s="10"/>
      <c r="G314" s="35"/>
      <c r="H314" s="10"/>
      <c r="I314" s="10"/>
      <c r="J314" s="35"/>
      <c r="K314" s="10"/>
      <c r="L314" s="10"/>
      <c r="M314" s="3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</row>
    <row r="315" spans="2:92" x14ac:dyDescent="0.3">
      <c r="B315" s="10"/>
      <c r="C315" s="10"/>
      <c r="D315" s="35"/>
      <c r="E315" s="10"/>
      <c r="F315" s="10"/>
      <c r="G315" s="35"/>
      <c r="H315" s="10"/>
      <c r="I315" s="10"/>
      <c r="J315" s="35"/>
      <c r="K315" s="10"/>
      <c r="L315" s="10"/>
      <c r="M315" s="3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</row>
    <row r="316" spans="2:92" x14ac:dyDescent="0.3">
      <c r="B316" s="10"/>
      <c r="C316" s="10"/>
      <c r="D316" s="35"/>
      <c r="E316" s="10"/>
      <c r="F316" s="10"/>
      <c r="G316" s="35"/>
      <c r="H316" s="10"/>
      <c r="I316" s="10"/>
      <c r="J316" s="35"/>
      <c r="K316" s="10"/>
      <c r="L316" s="10"/>
      <c r="M316" s="3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</row>
    <row r="317" spans="2:92" x14ac:dyDescent="0.3">
      <c r="B317" s="10"/>
      <c r="C317" s="10"/>
      <c r="D317" s="35"/>
      <c r="E317" s="10"/>
      <c r="F317" s="10"/>
      <c r="G317" s="35"/>
      <c r="H317" s="10"/>
      <c r="I317" s="10"/>
      <c r="J317" s="35"/>
      <c r="K317" s="10"/>
      <c r="L317" s="10"/>
      <c r="M317" s="3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</row>
    <row r="318" spans="2:92" x14ac:dyDescent="0.3">
      <c r="B318" s="10"/>
      <c r="C318" s="10"/>
      <c r="D318" s="35"/>
      <c r="E318" s="10"/>
      <c r="F318" s="10"/>
      <c r="G318" s="35"/>
      <c r="H318" s="10"/>
      <c r="I318" s="10"/>
      <c r="J318" s="35"/>
      <c r="K318" s="10"/>
      <c r="L318" s="10"/>
      <c r="M318" s="3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</row>
    <row r="319" spans="2:92" x14ac:dyDescent="0.3">
      <c r="B319" s="10"/>
      <c r="C319" s="10"/>
      <c r="D319" s="35"/>
      <c r="E319" s="10"/>
      <c r="F319" s="10"/>
      <c r="G319" s="35"/>
      <c r="H319" s="10"/>
      <c r="I319" s="10"/>
      <c r="J319" s="35"/>
      <c r="K319" s="10"/>
      <c r="L319" s="10"/>
      <c r="M319" s="3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</row>
    <row r="320" spans="2:92" x14ac:dyDescent="0.3">
      <c r="B320" s="10"/>
      <c r="C320" s="10"/>
      <c r="D320" s="35"/>
      <c r="E320" s="10"/>
      <c r="F320" s="10"/>
      <c r="G320" s="35"/>
      <c r="H320" s="10"/>
      <c r="I320" s="10"/>
      <c r="J320" s="35"/>
      <c r="K320" s="10"/>
      <c r="L320" s="10"/>
      <c r="M320" s="3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</row>
    <row r="321" spans="2:92" x14ac:dyDescent="0.3">
      <c r="B321" s="10"/>
      <c r="C321" s="10"/>
      <c r="D321" s="35"/>
      <c r="E321" s="10"/>
      <c r="F321" s="10"/>
      <c r="G321" s="35"/>
      <c r="H321" s="10"/>
      <c r="I321" s="10"/>
      <c r="J321" s="35"/>
      <c r="K321" s="10"/>
      <c r="L321" s="10"/>
      <c r="M321" s="3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</row>
    <row r="322" spans="2:92" x14ac:dyDescent="0.3">
      <c r="B322" s="10"/>
      <c r="C322" s="10"/>
      <c r="D322" s="35"/>
      <c r="E322" s="10"/>
      <c r="F322" s="10"/>
      <c r="G322" s="35"/>
      <c r="H322" s="10"/>
      <c r="I322" s="10"/>
      <c r="J322" s="35"/>
      <c r="K322" s="10"/>
      <c r="L322" s="10"/>
      <c r="M322" s="3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</row>
    <row r="323" spans="2:92" x14ac:dyDescent="0.3">
      <c r="B323" s="10"/>
      <c r="C323" s="10"/>
      <c r="D323" s="35"/>
      <c r="E323" s="10"/>
      <c r="F323" s="10"/>
      <c r="G323" s="35"/>
      <c r="H323" s="10"/>
      <c r="I323" s="10"/>
      <c r="J323" s="35"/>
      <c r="K323" s="10"/>
      <c r="L323" s="10"/>
      <c r="M323" s="3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</row>
    <row r="324" spans="2:92" x14ac:dyDescent="0.3">
      <c r="B324" s="10"/>
      <c r="C324" s="10"/>
      <c r="D324" s="35"/>
      <c r="E324" s="10"/>
      <c r="F324" s="10"/>
      <c r="G324" s="35"/>
      <c r="H324" s="10"/>
      <c r="I324" s="10"/>
      <c r="J324" s="35"/>
      <c r="K324" s="10"/>
      <c r="L324" s="10"/>
      <c r="M324" s="3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</row>
    <row r="325" spans="2:92" x14ac:dyDescent="0.3">
      <c r="B325" s="10"/>
      <c r="C325" s="10"/>
      <c r="D325" s="35"/>
      <c r="E325" s="10"/>
      <c r="F325" s="10"/>
      <c r="G325" s="35"/>
      <c r="H325" s="10"/>
      <c r="I325" s="10"/>
      <c r="J325" s="35"/>
      <c r="K325" s="10"/>
      <c r="L325" s="10"/>
      <c r="M325" s="3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</row>
    <row r="326" spans="2:92" x14ac:dyDescent="0.3">
      <c r="B326" s="10"/>
      <c r="C326" s="10"/>
      <c r="D326" s="35"/>
      <c r="E326" s="10"/>
      <c r="F326" s="10"/>
      <c r="G326" s="35"/>
      <c r="H326" s="10"/>
      <c r="I326" s="10"/>
      <c r="J326" s="35"/>
      <c r="K326" s="10"/>
      <c r="L326" s="10"/>
      <c r="M326" s="3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</row>
    <row r="327" spans="2:92" x14ac:dyDescent="0.3">
      <c r="B327" s="10"/>
      <c r="C327" s="10"/>
      <c r="D327" s="35"/>
      <c r="E327" s="10"/>
      <c r="F327" s="10"/>
      <c r="G327" s="35"/>
      <c r="H327" s="10"/>
      <c r="I327" s="10"/>
      <c r="J327" s="35"/>
      <c r="K327" s="10"/>
      <c r="L327" s="10"/>
      <c r="M327" s="3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</row>
    <row r="328" spans="2:92" x14ac:dyDescent="0.3">
      <c r="B328" s="10"/>
      <c r="C328" s="10"/>
      <c r="D328" s="35"/>
      <c r="E328" s="10"/>
      <c r="F328" s="10"/>
      <c r="G328" s="35"/>
      <c r="H328" s="10"/>
      <c r="I328" s="10"/>
      <c r="J328" s="35"/>
      <c r="K328" s="10"/>
      <c r="L328" s="10"/>
      <c r="M328" s="3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</row>
    <row r="329" spans="2:92" x14ac:dyDescent="0.3">
      <c r="B329" s="10"/>
      <c r="C329" s="10"/>
      <c r="D329" s="35"/>
      <c r="E329" s="10"/>
      <c r="F329" s="10"/>
      <c r="G329" s="35"/>
      <c r="H329" s="10"/>
      <c r="I329" s="10"/>
      <c r="J329" s="35"/>
      <c r="K329" s="10"/>
      <c r="L329" s="10"/>
      <c r="M329" s="3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</row>
    <row r="330" spans="2:92" x14ac:dyDescent="0.3">
      <c r="B330" s="10"/>
      <c r="C330" s="10"/>
      <c r="D330" s="35"/>
      <c r="E330" s="10"/>
      <c r="F330" s="10"/>
      <c r="G330" s="35"/>
      <c r="H330" s="10"/>
      <c r="I330" s="10"/>
      <c r="J330" s="35"/>
      <c r="K330" s="10"/>
      <c r="L330" s="10"/>
      <c r="M330" s="3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</row>
    <row r="331" spans="2:92" x14ac:dyDescent="0.3">
      <c r="B331" s="10"/>
      <c r="C331" s="10"/>
      <c r="D331" s="35"/>
      <c r="E331" s="10"/>
      <c r="F331" s="10"/>
      <c r="G331" s="35"/>
      <c r="H331" s="10"/>
      <c r="I331" s="10"/>
      <c r="J331" s="35"/>
      <c r="K331" s="10"/>
      <c r="L331" s="10"/>
      <c r="M331" s="3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</row>
    <row r="332" spans="2:92" x14ac:dyDescent="0.3">
      <c r="B332" s="10"/>
      <c r="C332" s="10"/>
      <c r="D332" s="35"/>
      <c r="E332" s="10"/>
      <c r="F332" s="10"/>
      <c r="G332" s="35"/>
      <c r="H332" s="10"/>
      <c r="I332" s="10"/>
      <c r="J332" s="35"/>
      <c r="K332" s="10"/>
      <c r="L332" s="10"/>
      <c r="M332" s="3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</row>
    <row r="333" spans="2:92" x14ac:dyDescent="0.3">
      <c r="B333" s="10"/>
      <c r="C333" s="10"/>
      <c r="D333" s="35"/>
      <c r="E333" s="10"/>
      <c r="F333" s="10"/>
      <c r="G333" s="35"/>
      <c r="H333" s="10"/>
      <c r="I333" s="10"/>
      <c r="J333" s="35"/>
      <c r="K333" s="10"/>
      <c r="L333" s="10"/>
      <c r="M333" s="3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</row>
    <row r="334" spans="2:92" x14ac:dyDescent="0.3">
      <c r="B334" s="10"/>
      <c r="C334" s="10"/>
      <c r="D334" s="35"/>
      <c r="E334" s="10"/>
      <c r="F334" s="10"/>
      <c r="G334" s="35"/>
      <c r="H334" s="10"/>
      <c r="I334" s="10"/>
      <c r="J334" s="35"/>
      <c r="K334" s="10"/>
      <c r="L334" s="10"/>
      <c r="M334" s="3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</row>
    <row r="335" spans="2:92" x14ac:dyDescent="0.3">
      <c r="B335" s="10"/>
      <c r="C335" s="10"/>
      <c r="D335" s="35"/>
      <c r="E335" s="10"/>
      <c r="F335" s="10"/>
      <c r="G335" s="35"/>
      <c r="H335" s="10"/>
      <c r="I335" s="10"/>
      <c r="J335" s="35"/>
      <c r="K335" s="10"/>
      <c r="L335" s="10"/>
      <c r="M335" s="3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</row>
    <row r="336" spans="2:92" x14ac:dyDescent="0.3">
      <c r="B336" s="10"/>
      <c r="C336" s="10"/>
      <c r="D336" s="35"/>
      <c r="E336" s="10"/>
      <c r="F336" s="10"/>
      <c r="G336" s="35"/>
      <c r="H336" s="10"/>
      <c r="I336" s="10"/>
      <c r="J336" s="35"/>
      <c r="K336" s="10"/>
      <c r="L336" s="10"/>
      <c r="M336" s="3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</row>
    <row r="337" spans="2:92" x14ac:dyDescent="0.3">
      <c r="B337" s="10"/>
      <c r="C337" s="10"/>
      <c r="D337" s="35"/>
      <c r="E337" s="10"/>
      <c r="F337" s="10"/>
      <c r="G337" s="35"/>
      <c r="H337" s="10"/>
      <c r="I337" s="10"/>
      <c r="J337" s="35"/>
      <c r="K337" s="10"/>
      <c r="L337" s="10"/>
      <c r="M337" s="3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</row>
    <row r="338" spans="2:92" x14ac:dyDescent="0.3">
      <c r="B338" s="10"/>
      <c r="C338" s="10"/>
      <c r="D338" s="35"/>
      <c r="E338" s="10"/>
      <c r="F338" s="10"/>
      <c r="G338" s="35"/>
      <c r="H338" s="10"/>
      <c r="I338" s="10"/>
      <c r="J338" s="35"/>
      <c r="K338" s="10"/>
      <c r="L338" s="10"/>
      <c r="M338" s="3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</row>
    <row r="339" spans="2:92" x14ac:dyDescent="0.3">
      <c r="B339" s="10"/>
      <c r="C339" s="10"/>
      <c r="D339" s="35"/>
      <c r="E339" s="10"/>
      <c r="F339" s="10"/>
      <c r="G339" s="35"/>
      <c r="H339" s="10"/>
      <c r="I339" s="10"/>
      <c r="J339" s="35"/>
      <c r="K339" s="10"/>
      <c r="L339" s="10"/>
      <c r="M339" s="3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</row>
    <row r="340" spans="2:92" x14ac:dyDescent="0.3">
      <c r="B340" s="10"/>
      <c r="C340" s="10"/>
      <c r="D340" s="35"/>
      <c r="E340" s="10"/>
      <c r="F340" s="10"/>
      <c r="G340" s="35"/>
      <c r="H340" s="10"/>
      <c r="I340" s="10"/>
      <c r="J340" s="35"/>
      <c r="K340" s="10"/>
      <c r="L340" s="10"/>
      <c r="M340" s="3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</row>
    <row r="341" spans="2:92" x14ac:dyDescent="0.3">
      <c r="B341" s="10"/>
      <c r="C341" s="10"/>
      <c r="D341" s="35"/>
      <c r="E341" s="10"/>
      <c r="F341" s="10"/>
      <c r="G341" s="35"/>
      <c r="H341" s="10"/>
      <c r="I341" s="10"/>
      <c r="J341" s="35"/>
      <c r="K341" s="10"/>
      <c r="L341" s="10"/>
      <c r="M341" s="3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</row>
    <row r="342" spans="2:92" x14ac:dyDescent="0.3">
      <c r="B342" s="10"/>
      <c r="C342" s="10"/>
      <c r="D342" s="35"/>
      <c r="E342" s="10"/>
      <c r="F342" s="10"/>
      <c r="G342" s="35"/>
      <c r="H342" s="10"/>
      <c r="I342" s="10"/>
      <c r="J342" s="35"/>
      <c r="K342" s="10"/>
      <c r="L342" s="10"/>
      <c r="M342" s="3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</row>
    <row r="343" spans="2:92" x14ac:dyDescent="0.3">
      <c r="B343" s="10"/>
      <c r="C343" s="10"/>
      <c r="D343" s="35"/>
      <c r="E343" s="10"/>
      <c r="F343" s="10"/>
      <c r="G343" s="35"/>
      <c r="H343" s="10"/>
      <c r="I343" s="10"/>
      <c r="J343" s="35"/>
      <c r="K343" s="10"/>
      <c r="L343" s="10"/>
      <c r="M343" s="3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</row>
    <row r="344" spans="2:92" x14ac:dyDescent="0.3">
      <c r="B344" s="10"/>
      <c r="C344" s="10"/>
      <c r="D344" s="35"/>
      <c r="E344" s="10"/>
      <c r="F344" s="10"/>
      <c r="G344" s="35"/>
      <c r="H344" s="10"/>
      <c r="I344" s="10"/>
      <c r="J344" s="35"/>
      <c r="K344" s="10"/>
      <c r="L344" s="10"/>
      <c r="M344" s="3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</row>
    <row r="345" spans="2:92" x14ac:dyDescent="0.3">
      <c r="B345" s="10"/>
      <c r="C345" s="10"/>
      <c r="D345" s="35"/>
      <c r="E345" s="10"/>
      <c r="F345" s="10"/>
      <c r="G345" s="35"/>
      <c r="H345" s="10"/>
      <c r="I345" s="10"/>
      <c r="J345" s="35"/>
      <c r="K345" s="10"/>
      <c r="L345" s="10"/>
      <c r="M345" s="3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</row>
    <row r="346" spans="2:92" x14ac:dyDescent="0.3">
      <c r="B346" s="10"/>
      <c r="C346" s="10"/>
      <c r="D346" s="35"/>
      <c r="E346" s="10"/>
      <c r="F346" s="10"/>
      <c r="G346" s="35"/>
      <c r="H346" s="10"/>
      <c r="I346" s="10"/>
      <c r="J346" s="35"/>
      <c r="K346" s="10"/>
      <c r="L346" s="10"/>
      <c r="M346" s="3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</row>
    <row r="347" spans="2:92" x14ac:dyDescent="0.3">
      <c r="B347" s="10"/>
      <c r="C347" s="10"/>
      <c r="D347" s="35"/>
      <c r="E347" s="10"/>
      <c r="F347" s="10"/>
      <c r="G347" s="35"/>
      <c r="H347" s="10"/>
      <c r="I347" s="10"/>
      <c r="J347" s="35"/>
      <c r="K347" s="10"/>
      <c r="L347" s="10"/>
      <c r="M347" s="3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</row>
    <row r="348" spans="2:92" x14ac:dyDescent="0.3">
      <c r="B348" s="10"/>
      <c r="C348" s="10"/>
      <c r="D348" s="35"/>
      <c r="E348" s="10"/>
      <c r="F348" s="10"/>
      <c r="G348" s="35"/>
      <c r="H348" s="10"/>
      <c r="I348" s="10"/>
      <c r="J348" s="35"/>
      <c r="K348" s="10"/>
      <c r="L348" s="10"/>
      <c r="M348" s="3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</row>
    <row r="349" spans="2:92" x14ac:dyDescent="0.3">
      <c r="B349" s="10"/>
      <c r="C349" s="10"/>
      <c r="D349" s="35"/>
      <c r="E349" s="10"/>
      <c r="F349" s="10"/>
      <c r="G349" s="35"/>
      <c r="H349" s="10"/>
      <c r="I349" s="10"/>
      <c r="J349" s="35"/>
      <c r="K349" s="10"/>
      <c r="L349" s="10"/>
      <c r="M349" s="3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</row>
    <row r="350" spans="2:92" x14ac:dyDescent="0.3">
      <c r="B350" s="10"/>
      <c r="C350" s="10"/>
      <c r="D350" s="35"/>
      <c r="E350" s="10"/>
      <c r="F350" s="10"/>
      <c r="G350" s="35"/>
      <c r="H350" s="10"/>
      <c r="I350" s="10"/>
      <c r="J350" s="35"/>
      <c r="K350" s="10"/>
      <c r="L350" s="10"/>
      <c r="M350" s="3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</row>
    <row r="351" spans="2:92" x14ac:dyDescent="0.3">
      <c r="B351" s="10"/>
      <c r="C351" s="10"/>
      <c r="D351" s="35"/>
      <c r="E351" s="10"/>
      <c r="F351" s="10"/>
      <c r="G351" s="35"/>
      <c r="H351" s="10"/>
      <c r="I351" s="10"/>
      <c r="J351" s="35"/>
      <c r="K351" s="10"/>
      <c r="L351" s="10"/>
      <c r="M351" s="3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</row>
    <row r="352" spans="2:92" x14ac:dyDescent="0.3">
      <c r="B352" s="10"/>
      <c r="C352" s="10"/>
      <c r="D352" s="35"/>
      <c r="E352" s="10"/>
      <c r="F352" s="10"/>
      <c r="G352" s="35"/>
      <c r="H352" s="10"/>
      <c r="I352" s="10"/>
      <c r="J352" s="35"/>
      <c r="K352" s="10"/>
      <c r="L352" s="10"/>
      <c r="M352" s="3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</row>
    <row r="353" spans="2:92" x14ac:dyDescent="0.3">
      <c r="B353" s="10"/>
      <c r="C353" s="10"/>
      <c r="D353" s="35"/>
      <c r="E353" s="10"/>
      <c r="F353" s="10"/>
      <c r="G353" s="35"/>
      <c r="H353" s="10"/>
      <c r="I353" s="10"/>
      <c r="J353" s="35"/>
      <c r="K353" s="10"/>
      <c r="L353" s="10"/>
      <c r="M353" s="3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</row>
    <row r="354" spans="2:92" x14ac:dyDescent="0.3">
      <c r="B354" s="10"/>
      <c r="C354" s="10"/>
      <c r="D354" s="35"/>
      <c r="E354" s="10"/>
      <c r="F354" s="10"/>
      <c r="G354" s="35"/>
      <c r="H354" s="10"/>
      <c r="I354" s="10"/>
      <c r="J354" s="35"/>
      <c r="K354" s="10"/>
      <c r="L354" s="10"/>
      <c r="M354" s="3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</row>
    <row r="355" spans="2:92" x14ac:dyDescent="0.3">
      <c r="B355" s="10"/>
      <c r="C355" s="10"/>
      <c r="D355" s="35"/>
      <c r="E355" s="10"/>
      <c r="F355" s="10"/>
      <c r="G355" s="35"/>
      <c r="H355" s="10"/>
      <c r="I355" s="10"/>
      <c r="J355" s="35"/>
      <c r="K355" s="10"/>
      <c r="L355" s="10"/>
      <c r="M355" s="3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</row>
    <row r="356" spans="2:92" x14ac:dyDescent="0.3">
      <c r="B356" s="10"/>
      <c r="C356" s="10"/>
      <c r="D356" s="35"/>
      <c r="E356" s="10"/>
      <c r="F356" s="10"/>
      <c r="G356" s="35"/>
      <c r="H356" s="10"/>
      <c r="I356" s="10"/>
      <c r="J356" s="35"/>
      <c r="K356" s="10"/>
      <c r="L356" s="10"/>
      <c r="M356" s="3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</row>
    <row r="357" spans="2:92" x14ac:dyDescent="0.3">
      <c r="B357" s="10"/>
      <c r="C357" s="10"/>
      <c r="D357" s="35"/>
      <c r="E357" s="10"/>
      <c r="F357" s="10"/>
      <c r="G357" s="35"/>
      <c r="H357" s="10"/>
      <c r="I357" s="10"/>
      <c r="J357" s="35"/>
      <c r="K357" s="10"/>
      <c r="L357" s="10"/>
      <c r="M357" s="3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</row>
    <row r="358" spans="2:92" x14ac:dyDescent="0.3">
      <c r="B358" s="10"/>
      <c r="C358" s="10"/>
      <c r="D358" s="35"/>
      <c r="E358" s="10"/>
      <c r="F358" s="10"/>
      <c r="G358" s="35"/>
      <c r="H358" s="10"/>
      <c r="I358" s="10"/>
      <c r="J358" s="35"/>
      <c r="K358" s="10"/>
      <c r="L358" s="10"/>
      <c r="M358" s="3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</row>
    <row r="359" spans="2:92" x14ac:dyDescent="0.3">
      <c r="B359" s="10"/>
      <c r="C359" s="10"/>
      <c r="D359" s="35"/>
      <c r="E359" s="10"/>
      <c r="F359" s="10"/>
      <c r="G359" s="35"/>
      <c r="H359" s="10"/>
      <c r="I359" s="10"/>
      <c r="J359" s="35"/>
      <c r="K359" s="10"/>
      <c r="L359" s="10"/>
      <c r="M359" s="3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</row>
    <row r="360" spans="2:92" x14ac:dyDescent="0.3">
      <c r="B360" s="10"/>
      <c r="C360" s="10"/>
      <c r="D360" s="35"/>
      <c r="E360" s="10"/>
      <c r="F360" s="10"/>
      <c r="G360" s="35"/>
      <c r="H360" s="10"/>
      <c r="I360" s="10"/>
      <c r="J360" s="35"/>
      <c r="K360" s="10"/>
      <c r="L360" s="10"/>
      <c r="M360" s="3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</row>
    <row r="361" spans="2:92" x14ac:dyDescent="0.3">
      <c r="B361" s="10"/>
      <c r="C361" s="10"/>
      <c r="D361" s="35"/>
      <c r="E361" s="10"/>
      <c r="F361" s="10"/>
      <c r="G361" s="35"/>
      <c r="H361" s="10"/>
      <c r="I361" s="10"/>
      <c r="J361" s="35"/>
      <c r="K361" s="10"/>
      <c r="L361" s="10"/>
      <c r="M361" s="3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</row>
    <row r="362" spans="2:92" x14ac:dyDescent="0.3">
      <c r="B362" s="10"/>
      <c r="C362" s="10"/>
      <c r="D362" s="35"/>
      <c r="E362" s="10"/>
      <c r="F362" s="10"/>
      <c r="G362" s="35"/>
      <c r="H362" s="10"/>
      <c r="I362" s="10"/>
      <c r="J362" s="35"/>
      <c r="K362" s="10"/>
      <c r="L362" s="10"/>
      <c r="M362" s="3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</row>
    <row r="363" spans="2:92" x14ac:dyDescent="0.3">
      <c r="B363" s="10"/>
      <c r="C363" s="10"/>
      <c r="D363" s="35"/>
      <c r="E363" s="10"/>
      <c r="F363" s="10"/>
      <c r="G363" s="35"/>
      <c r="H363" s="10"/>
      <c r="I363" s="10"/>
      <c r="J363" s="35"/>
      <c r="K363" s="10"/>
      <c r="L363" s="10"/>
      <c r="M363" s="3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</row>
    <row r="364" spans="2:92" x14ac:dyDescent="0.3">
      <c r="B364" s="10"/>
      <c r="C364" s="10"/>
      <c r="D364" s="35"/>
      <c r="E364" s="10"/>
      <c r="F364" s="10"/>
      <c r="G364" s="35"/>
      <c r="H364" s="10"/>
      <c r="I364" s="10"/>
      <c r="J364" s="35"/>
      <c r="K364" s="10"/>
      <c r="L364" s="10"/>
      <c r="M364" s="3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</row>
    <row r="365" spans="2:92" x14ac:dyDescent="0.3">
      <c r="B365" s="10"/>
      <c r="C365" s="10"/>
      <c r="D365" s="35"/>
      <c r="E365" s="10"/>
      <c r="F365" s="10"/>
      <c r="G365" s="35"/>
      <c r="H365" s="10"/>
      <c r="I365" s="10"/>
      <c r="J365" s="35"/>
      <c r="K365" s="10"/>
      <c r="L365" s="10"/>
      <c r="M365" s="3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</row>
    <row r="366" spans="2:92" x14ac:dyDescent="0.3">
      <c r="B366" s="10"/>
      <c r="C366" s="10"/>
      <c r="D366" s="35"/>
      <c r="E366" s="10"/>
      <c r="F366" s="10"/>
      <c r="G366" s="35"/>
      <c r="H366" s="10"/>
      <c r="I366" s="10"/>
      <c r="J366" s="35"/>
      <c r="K366" s="10"/>
      <c r="L366" s="10"/>
      <c r="M366" s="3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</row>
    <row r="367" spans="2:92" x14ac:dyDescent="0.3">
      <c r="B367" s="10"/>
      <c r="C367" s="10"/>
      <c r="D367" s="35"/>
      <c r="E367" s="10"/>
      <c r="F367" s="10"/>
      <c r="G367" s="35"/>
      <c r="H367" s="10"/>
      <c r="I367" s="10"/>
      <c r="J367" s="35"/>
      <c r="K367" s="10"/>
      <c r="L367" s="10"/>
      <c r="M367" s="3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</row>
    <row r="368" spans="2:92" x14ac:dyDescent="0.3">
      <c r="B368" s="10"/>
      <c r="C368" s="10"/>
      <c r="D368" s="35"/>
      <c r="E368" s="10"/>
      <c r="F368" s="10"/>
      <c r="G368" s="35"/>
      <c r="H368" s="10"/>
      <c r="I368" s="10"/>
      <c r="J368" s="35"/>
      <c r="K368" s="10"/>
      <c r="L368" s="10"/>
      <c r="M368" s="3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</row>
    <row r="369" spans="2:92" x14ac:dyDescent="0.3">
      <c r="B369" s="10"/>
      <c r="C369" s="10"/>
      <c r="D369" s="35"/>
      <c r="E369" s="10"/>
      <c r="F369" s="10"/>
      <c r="G369" s="35"/>
      <c r="H369" s="10"/>
      <c r="I369" s="10"/>
      <c r="J369" s="35"/>
      <c r="K369" s="10"/>
      <c r="L369" s="10"/>
      <c r="M369" s="3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</row>
    <row r="370" spans="2:92" x14ac:dyDescent="0.3">
      <c r="B370" s="10"/>
      <c r="C370" s="10"/>
      <c r="D370" s="35"/>
      <c r="E370" s="10"/>
      <c r="F370" s="10"/>
      <c r="G370" s="35"/>
      <c r="H370" s="10"/>
      <c r="I370" s="10"/>
      <c r="J370" s="35"/>
      <c r="K370" s="10"/>
      <c r="L370" s="10"/>
      <c r="M370" s="3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</row>
    <row r="371" spans="2:92" x14ac:dyDescent="0.3">
      <c r="B371" s="10"/>
      <c r="C371" s="10"/>
      <c r="D371" s="35"/>
      <c r="E371" s="10"/>
      <c r="F371" s="10"/>
      <c r="G371" s="35"/>
      <c r="H371" s="10"/>
      <c r="I371" s="10"/>
      <c r="J371" s="35"/>
      <c r="K371" s="10"/>
      <c r="L371" s="10"/>
      <c r="M371" s="3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</row>
    <row r="372" spans="2:92" x14ac:dyDescent="0.3">
      <c r="B372" s="10"/>
      <c r="C372" s="10"/>
      <c r="D372" s="35"/>
      <c r="E372" s="10"/>
      <c r="F372" s="10"/>
      <c r="G372" s="35"/>
      <c r="H372" s="10"/>
      <c r="I372" s="10"/>
      <c r="J372" s="35"/>
      <c r="K372" s="10"/>
      <c r="L372" s="10"/>
      <c r="M372" s="3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</row>
    <row r="373" spans="2:92" x14ac:dyDescent="0.3">
      <c r="B373" s="10"/>
      <c r="C373" s="10"/>
      <c r="D373" s="35"/>
      <c r="E373" s="10"/>
      <c r="F373" s="10"/>
      <c r="G373" s="35"/>
      <c r="H373" s="10"/>
      <c r="I373" s="10"/>
      <c r="J373" s="35"/>
      <c r="K373" s="10"/>
      <c r="L373" s="10"/>
      <c r="M373" s="3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</row>
    <row r="374" spans="2:92" x14ac:dyDescent="0.3">
      <c r="B374" s="10"/>
      <c r="C374" s="10"/>
      <c r="D374" s="35"/>
      <c r="E374" s="10"/>
      <c r="F374" s="10"/>
      <c r="G374" s="35"/>
      <c r="H374" s="10"/>
      <c r="I374" s="10"/>
      <c r="J374" s="35"/>
      <c r="K374" s="10"/>
      <c r="L374" s="10"/>
      <c r="M374" s="3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</row>
    <row r="375" spans="2:92" x14ac:dyDescent="0.3">
      <c r="B375" s="10"/>
      <c r="C375" s="10"/>
      <c r="D375" s="35"/>
      <c r="E375" s="10"/>
      <c r="F375" s="10"/>
      <c r="G375" s="35"/>
      <c r="H375" s="10"/>
      <c r="I375" s="10"/>
      <c r="J375" s="35"/>
      <c r="K375" s="10"/>
      <c r="L375" s="10"/>
      <c r="M375" s="3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</row>
    <row r="376" spans="2:92" x14ac:dyDescent="0.3">
      <c r="B376" s="10"/>
      <c r="C376" s="10"/>
      <c r="D376" s="35"/>
      <c r="E376" s="10"/>
      <c r="F376" s="10"/>
      <c r="G376" s="35"/>
      <c r="H376" s="10"/>
      <c r="I376" s="10"/>
      <c r="J376" s="35"/>
      <c r="K376" s="10"/>
      <c r="L376" s="10"/>
      <c r="M376" s="3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</row>
    <row r="377" spans="2:92" x14ac:dyDescent="0.3">
      <c r="B377" s="10"/>
      <c r="C377" s="10"/>
      <c r="D377" s="35"/>
      <c r="E377" s="10"/>
      <c r="F377" s="10"/>
      <c r="G377" s="35"/>
      <c r="H377" s="10"/>
      <c r="I377" s="10"/>
      <c r="J377" s="35"/>
      <c r="K377" s="10"/>
      <c r="L377" s="10"/>
      <c r="M377" s="3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</row>
    <row r="378" spans="2:92" x14ac:dyDescent="0.3">
      <c r="B378" s="10"/>
      <c r="C378" s="10"/>
      <c r="D378" s="35"/>
      <c r="E378" s="10"/>
      <c r="F378" s="10"/>
      <c r="G378" s="35"/>
      <c r="H378" s="10"/>
      <c r="I378" s="10"/>
      <c r="J378" s="35"/>
      <c r="K378" s="10"/>
      <c r="L378" s="10"/>
      <c r="M378" s="3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</row>
    <row r="379" spans="2:92" x14ac:dyDescent="0.3">
      <c r="B379" s="10"/>
      <c r="C379" s="10"/>
      <c r="D379" s="35"/>
      <c r="E379" s="10"/>
      <c r="F379" s="10"/>
      <c r="G379" s="35"/>
      <c r="H379" s="10"/>
      <c r="I379" s="10"/>
      <c r="J379" s="35"/>
      <c r="K379" s="10"/>
      <c r="L379" s="10"/>
      <c r="M379" s="3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</row>
    <row r="380" spans="2:92" x14ac:dyDescent="0.3">
      <c r="B380" s="10"/>
      <c r="C380" s="10"/>
      <c r="D380" s="35"/>
      <c r="E380" s="10"/>
      <c r="F380" s="10"/>
      <c r="G380" s="35"/>
      <c r="H380" s="10"/>
      <c r="I380" s="10"/>
      <c r="J380" s="35"/>
      <c r="K380" s="10"/>
      <c r="L380" s="10"/>
      <c r="M380" s="3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</row>
    <row r="381" spans="2:92" x14ac:dyDescent="0.3">
      <c r="B381" s="10"/>
      <c r="C381" s="10"/>
      <c r="D381" s="35"/>
      <c r="E381" s="10"/>
      <c r="F381" s="10"/>
      <c r="G381" s="35"/>
      <c r="H381" s="10"/>
      <c r="I381" s="10"/>
      <c r="J381" s="35"/>
      <c r="K381" s="10"/>
      <c r="L381" s="10"/>
      <c r="M381" s="3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</row>
    <row r="382" spans="2:92" x14ac:dyDescent="0.3">
      <c r="B382" s="10"/>
      <c r="C382" s="10"/>
      <c r="D382" s="35"/>
      <c r="E382" s="10"/>
      <c r="F382" s="10"/>
      <c r="G382" s="35"/>
      <c r="H382" s="10"/>
      <c r="I382" s="10"/>
      <c r="J382" s="35"/>
      <c r="K382" s="10"/>
      <c r="L382" s="10"/>
      <c r="M382" s="3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</row>
    <row r="383" spans="2:92" x14ac:dyDescent="0.3">
      <c r="B383" s="10"/>
      <c r="C383" s="10"/>
      <c r="D383" s="35"/>
      <c r="E383" s="10"/>
      <c r="F383" s="10"/>
      <c r="G383" s="35"/>
      <c r="H383" s="10"/>
      <c r="I383" s="10"/>
      <c r="J383" s="35"/>
      <c r="K383" s="10"/>
      <c r="L383" s="10"/>
      <c r="M383" s="3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</row>
    <row r="384" spans="2:92" x14ac:dyDescent="0.3">
      <c r="B384" s="10"/>
      <c r="C384" s="10"/>
      <c r="D384" s="35"/>
      <c r="E384" s="10"/>
      <c r="F384" s="10"/>
      <c r="G384" s="35"/>
      <c r="H384" s="10"/>
      <c r="I384" s="10"/>
      <c r="J384" s="35"/>
      <c r="K384" s="10"/>
      <c r="L384" s="10"/>
      <c r="M384" s="3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</row>
    <row r="385" spans="2:92" x14ac:dyDescent="0.3">
      <c r="B385" s="10"/>
      <c r="C385" s="10"/>
      <c r="D385" s="35"/>
      <c r="E385" s="10"/>
      <c r="F385" s="10"/>
      <c r="G385" s="35"/>
      <c r="H385" s="10"/>
      <c r="I385" s="10"/>
      <c r="J385" s="35"/>
      <c r="K385" s="10"/>
      <c r="L385" s="10"/>
      <c r="M385" s="3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</row>
    <row r="386" spans="2:92" x14ac:dyDescent="0.3">
      <c r="B386" s="10"/>
      <c r="C386" s="10"/>
      <c r="D386" s="35"/>
      <c r="E386" s="10"/>
      <c r="F386" s="10"/>
      <c r="G386" s="35"/>
      <c r="H386" s="10"/>
      <c r="I386" s="10"/>
      <c r="J386" s="35"/>
      <c r="K386" s="10"/>
      <c r="L386" s="10"/>
      <c r="M386" s="3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</row>
    <row r="387" spans="2:92" x14ac:dyDescent="0.3">
      <c r="B387" s="10"/>
      <c r="C387" s="10"/>
      <c r="D387" s="35"/>
      <c r="E387" s="10"/>
      <c r="F387" s="10"/>
      <c r="G387" s="35"/>
      <c r="H387" s="10"/>
      <c r="I387" s="10"/>
      <c r="J387" s="35"/>
      <c r="K387" s="10"/>
      <c r="L387" s="10"/>
      <c r="M387" s="3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</row>
    <row r="388" spans="2:92" x14ac:dyDescent="0.3">
      <c r="B388" s="10"/>
      <c r="C388" s="10"/>
      <c r="D388" s="35"/>
      <c r="E388" s="10"/>
      <c r="F388" s="10"/>
      <c r="G388" s="35"/>
      <c r="H388" s="10"/>
      <c r="I388" s="10"/>
      <c r="J388" s="35"/>
      <c r="K388" s="10"/>
      <c r="L388" s="10"/>
      <c r="M388" s="3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</row>
    <row r="389" spans="2:92" x14ac:dyDescent="0.3">
      <c r="B389" s="10"/>
      <c r="C389" s="10"/>
      <c r="D389" s="35"/>
      <c r="E389" s="10"/>
      <c r="F389" s="10"/>
      <c r="G389" s="35"/>
      <c r="H389" s="10"/>
      <c r="I389" s="10"/>
      <c r="J389" s="35"/>
      <c r="K389" s="10"/>
      <c r="L389" s="10"/>
      <c r="M389" s="3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</row>
    <row r="390" spans="2:92" x14ac:dyDescent="0.3">
      <c r="B390" s="10"/>
      <c r="C390" s="10"/>
      <c r="D390" s="35"/>
      <c r="E390" s="10"/>
      <c r="F390" s="10"/>
      <c r="G390" s="35"/>
      <c r="H390" s="10"/>
      <c r="I390" s="10"/>
      <c r="J390" s="35"/>
      <c r="K390" s="10"/>
      <c r="L390" s="10"/>
      <c r="M390" s="3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</row>
    <row r="391" spans="2:92" x14ac:dyDescent="0.3">
      <c r="B391" s="10"/>
      <c r="C391" s="10"/>
      <c r="D391" s="35"/>
      <c r="E391" s="10"/>
      <c r="F391" s="10"/>
      <c r="G391" s="35"/>
      <c r="H391" s="10"/>
      <c r="I391" s="10"/>
      <c r="J391" s="35"/>
      <c r="K391" s="10"/>
      <c r="L391" s="10"/>
      <c r="M391" s="3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</row>
    <row r="392" spans="2:92" x14ac:dyDescent="0.3">
      <c r="B392" s="10"/>
      <c r="C392" s="10"/>
      <c r="D392" s="35"/>
      <c r="E392" s="10"/>
      <c r="F392" s="10"/>
      <c r="G392" s="35"/>
      <c r="H392" s="10"/>
      <c r="I392" s="10"/>
      <c r="J392" s="35"/>
      <c r="K392" s="10"/>
      <c r="L392" s="10"/>
      <c r="M392" s="3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</row>
    <row r="393" spans="2:92" x14ac:dyDescent="0.3">
      <c r="B393" s="10"/>
      <c r="C393" s="10"/>
      <c r="D393" s="35"/>
      <c r="E393" s="10"/>
      <c r="F393" s="10"/>
      <c r="G393" s="35"/>
      <c r="H393" s="10"/>
      <c r="I393" s="10"/>
      <c r="J393" s="35"/>
      <c r="K393" s="10"/>
      <c r="L393" s="10"/>
      <c r="M393" s="3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</row>
    <row r="394" spans="2:92" x14ac:dyDescent="0.3">
      <c r="B394" s="10"/>
      <c r="C394" s="10"/>
      <c r="D394" s="35"/>
      <c r="E394" s="10"/>
      <c r="F394" s="10"/>
      <c r="G394" s="35"/>
      <c r="H394" s="10"/>
      <c r="I394" s="10"/>
      <c r="J394" s="35"/>
      <c r="K394" s="10"/>
      <c r="L394" s="10"/>
      <c r="M394" s="3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</row>
    <row r="395" spans="2:92" x14ac:dyDescent="0.3">
      <c r="B395" s="10"/>
      <c r="C395" s="10"/>
      <c r="D395" s="35"/>
      <c r="E395" s="10"/>
      <c r="F395" s="10"/>
      <c r="G395" s="35"/>
      <c r="H395" s="10"/>
      <c r="I395" s="10"/>
      <c r="J395" s="35"/>
      <c r="K395" s="10"/>
      <c r="L395" s="10"/>
      <c r="M395" s="3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</row>
    <row r="396" spans="2:92" x14ac:dyDescent="0.3">
      <c r="B396" s="10"/>
      <c r="C396" s="10"/>
      <c r="D396" s="35"/>
      <c r="E396" s="10"/>
      <c r="F396" s="10"/>
      <c r="G396" s="35"/>
      <c r="H396" s="10"/>
      <c r="I396" s="10"/>
      <c r="J396" s="35"/>
      <c r="K396" s="10"/>
      <c r="L396" s="10"/>
      <c r="M396" s="3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</row>
    <row r="397" spans="2:92" x14ac:dyDescent="0.3">
      <c r="B397" s="10"/>
      <c r="C397" s="10"/>
      <c r="D397" s="35"/>
      <c r="E397" s="10"/>
      <c r="F397" s="10"/>
      <c r="G397" s="35"/>
      <c r="H397" s="10"/>
      <c r="I397" s="10"/>
      <c r="J397" s="35"/>
      <c r="K397" s="10"/>
      <c r="L397" s="10"/>
      <c r="M397" s="3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</row>
    <row r="398" spans="2:92" x14ac:dyDescent="0.3">
      <c r="B398" s="10"/>
      <c r="C398" s="10"/>
      <c r="D398" s="35"/>
      <c r="E398" s="10"/>
      <c r="F398" s="10"/>
      <c r="G398" s="35"/>
      <c r="H398" s="10"/>
      <c r="I398" s="10"/>
      <c r="J398" s="35"/>
      <c r="K398" s="10"/>
      <c r="L398" s="10"/>
      <c r="M398" s="3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</row>
    <row r="399" spans="2:92" x14ac:dyDescent="0.3">
      <c r="B399" s="10"/>
      <c r="C399" s="10"/>
      <c r="D399" s="35"/>
      <c r="E399" s="10"/>
      <c r="F399" s="10"/>
      <c r="G399" s="35"/>
      <c r="H399" s="10"/>
      <c r="I399" s="10"/>
      <c r="J399" s="35"/>
      <c r="K399" s="10"/>
      <c r="L399" s="10"/>
      <c r="M399" s="3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</row>
    <row r="400" spans="2:92" x14ac:dyDescent="0.3">
      <c r="B400" s="10"/>
      <c r="C400" s="10"/>
      <c r="D400" s="35"/>
      <c r="E400" s="10"/>
      <c r="F400" s="10"/>
      <c r="G400" s="35"/>
      <c r="H400" s="10"/>
      <c r="I400" s="10"/>
      <c r="J400" s="35"/>
      <c r="K400" s="10"/>
      <c r="L400" s="10"/>
      <c r="M400" s="3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</row>
    <row r="401" spans="2:92" x14ac:dyDescent="0.3">
      <c r="B401" s="10"/>
      <c r="C401" s="10"/>
      <c r="D401" s="35"/>
      <c r="E401" s="10"/>
      <c r="F401" s="10"/>
      <c r="G401" s="35"/>
      <c r="H401" s="10"/>
      <c r="I401" s="10"/>
      <c r="J401" s="35"/>
      <c r="K401" s="10"/>
      <c r="L401" s="10"/>
      <c r="M401" s="3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</row>
    <row r="402" spans="2:92" x14ac:dyDescent="0.3">
      <c r="B402" s="10"/>
      <c r="C402" s="10"/>
      <c r="D402" s="35"/>
      <c r="E402" s="10"/>
      <c r="F402" s="10"/>
      <c r="G402" s="35"/>
      <c r="H402" s="10"/>
      <c r="I402" s="10"/>
      <c r="J402" s="35"/>
      <c r="K402" s="10"/>
      <c r="L402" s="10"/>
      <c r="M402" s="3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</row>
    <row r="403" spans="2:92" x14ac:dyDescent="0.3">
      <c r="B403" s="10"/>
      <c r="C403" s="10"/>
      <c r="D403" s="35"/>
      <c r="E403" s="10"/>
      <c r="F403" s="10"/>
      <c r="G403" s="35"/>
      <c r="H403" s="10"/>
      <c r="I403" s="10"/>
      <c r="J403" s="35"/>
      <c r="K403" s="10"/>
      <c r="L403" s="10"/>
      <c r="M403" s="3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</row>
    <row r="404" spans="2:92" x14ac:dyDescent="0.3">
      <c r="B404" s="10"/>
      <c r="C404" s="10"/>
      <c r="D404" s="35"/>
      <c r="E404" s="10"/>
      <c r="F404" s="10"/>
      <c r="G404" s="35"/>
      <c r="H404" s="10"/>
      <c r="I404" s="10"/>
      <c r="J404" s="35"/>
      <c r="K404" s="10"/>
      <c r="L404" s="10"/>
      <c r="M404" s="3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</row>
    <row r="405" spans="2:92" x14ac:dyDescent="0.3">
      <c r="B405" s="10"/>
      <c r="C405" s="10"/>
      <c r="D405" s="35"/>
      <c r="E405" s="10"/>
      <c r="F405" s="10"/>
      <c r="G405" s="35"/>
      <c r="H405" s="10"/>
      <c r="I405" s="10"/>
      <c r="J405" s="35"/>
      <c r="K405" s="10"/>
      <c r="L405" s="10"/>
      <c r="M405" s="3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</row>
    <row r="406" spans="2:92" x14ac:dyDescent="0.3">
      <c r="B406" s="10"/>
      <c r="C406" s="10"/>
      <c r="D406" s="35"/>
      <c r="E406" s="10"/>
      <c r="F406" s="10"/>
      <c r="G406" s="35"/>
      <c r="H406" s="10"/>
      <c r="I406" s="10"/>
      <c r="J406" s="35"/>
      <c r="K406" s="10"/>
      <c r="L406" s="10"/>
      <c r="M406" s="3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</row>
    <row r="407" spans="2:92" x14ac:dyDescent="0.3">
      <c r="B407" s="10"/>
      <c r="C407" s="10"/>
      <c r="D407" s="35"/>
      <c r="E407" s="10"/>
      <c r="F407" s="10"/>
      <c r="G407" s="35"/>
      <c r="H407" s="10"/>
      <c r="I407" s="10"/>
      <c r="J407" s="35"/>
      <c r="K407" s="10"/>
      <c r="L407" s="10"/>
      <c r="M407" s="3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</row>
    <row r="408" spans="2:92" x14ac:dyDescent="0.3">
      <c r="B408" s="10"/>
      <c r="C408" s="10"/>
      <c r="D408" s="35"/>
      <c r="E408" s="10"/>
      <c r="F408" s="10"/>
      <c r="G408" s="35"/>
      <c r="H408" s="10"/>
      <c r="I408" s="10"/>
      <c r="J408" s="35"/>
      <c r="K408" s="10"/>
      <c r="L408" s="10"/>
      <c r="M408" s="3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</row>
    <row r="409" spans="2:92" x14ac:dyDescent="0.3">
      <c r="B409" s="10"/>
      <c r="C409" s="10"/>
      <c r="D409" s="35"/>
      <c r="E409" s="10"/>
      <c r="F409" s="10"/>
      <c r="G409" s="35"/>
      <c r="H409" s="10"/>
      <c r="I409" s="10"/>
      <c r="J409" s="35"/>
      <c r="K409" s="10"/>
      <c r="L409" s="10"/>
      <c r="M409" s="3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</row>
    <row r="410" spans="2:92" x14ac:dyDescent="0.3">
      <c r="B410" s="10"/>
      <c r="C410" s="10"/>
      <c r="D410" s="35"/>
      <c r="E410" s="10"/>
      <c r="F410" s="10"/>
      <c r="G410" s="35"/>
      <c r="H410" s="10"/>
      <c r="I410" s="10"/>
      <c r="J410" s="35"/>
      <c r="K410" s="10"/>
      <c r="L410" s="10"/>
      <c r="M410" s="3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</row>
    <row r="411" spans="2:92" x14ac:dyDescent="0.3">
      <c r="B411" s="10"/>
      <c r="C411" s="10"/>
      <c r="D411" s="35"/>
      <c r="E411" s="10"/>
      <c r="F411" s="10"/>
      <c r="G411" s="35"/>
      <c r="H411" s="10"/>
      <c r="I411" s="10"/>
      <c r="J411" s="35"/>
      <c r="K411" s="10"/>
      <c r="L411" s="10"/>
      <c r="M411" s="3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</row>
  </sheetData>
  <mergeCells count="29">
    <mergeCell ref="C9:T9"/>
    <mergeCell ref="L2:M2"/>
    <mergeCell ref="N2:O2"/>
    <mergeCell ref="B2:B3"/>
    <mergeCell ref="B9:B13"/>
    <mergeCell ref="C10:D10"/>
    <mergeCell ref="G10:H10"/>
    <mergeCell ref="D2:E2"/>
    <mergeCell ref="F2:G2"/>
    <mergeCell ref="L8:BP8"/>
    <mergeCell ref="J2:K2"/>
    <mergeCell ref="I10:J10"/>
    <mergeCell ref="M10:N10"/>
    <mergeCell ref="C2:C3"/>
    <mergeCell ref="H2:I2"/>
    <mergeCell ref="E10:F10"/>
    <mergeCell ref="B19:B21"/>
    <mergeCell ref="C20:E20"/>
    <mergeCell ref="F20:H20"/>
    <mergeCell ref="I20:K20"/>
    <mergeCell ref="L20:N20"/>
    <mergeCell ref="U20:W20"/>
    <mergeCell ref="C19:W19"/>
    <mergeCell ref="S10:T10"/>
    <mergeCell ref="O10:P10"/>
    <mergeCell ref="Q10:R10"/>
    <mergeCell ref="O20:Q20"/>
    <mergeCell ref="R20:T20"/>
    <mergeCell ref="K10:L10"/>
  </mergeCells>
  <pageMargins left="0.7" right="0.7" top="0.75" bottom="0.75" header="0.3" footer="0.3"/>
  <ignoredErrors>
    <ignoredError sqref="N5 N6:N7" formula="1"/>
    <ignoredError sqref="E4 E7 E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PTAP INVENTARIO</vt:lpstr>
      <vt:lpstr>DB QUIMICA</vt:lpstr>
      <vt:lpstr>CONSUMO QUÍMICA-CAUDALES GEM  </vt:lpstr>
      <vt:lpstr>INVENTARIO INSUMOS QUÍMICOS 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2026-04-13T21:49:34Z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