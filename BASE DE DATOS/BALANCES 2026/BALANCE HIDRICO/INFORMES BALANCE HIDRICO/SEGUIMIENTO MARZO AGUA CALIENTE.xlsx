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T:\2026\BALANCES 2026\BALANCE HIDRICO\INFORMES BALANCE HIDRICO\"/>
    </mc:Choice>
  </mc:AlternateContent>
  <xr:revisionPtr revIDLastSave="0" documentId="8_{68EA418E-2AC4-4B06-B4B8-EB1AAECA9928}" xr6:coauthVersionLast="47" xr6:coauthVersionMax="47" xr10:uidLastSave="{00000000-0000-0000-0000-000000000000}"/>
  <bookViews>
    <workbookView xWindow="-108" yWindow="-108" windowWidth="19416" windowHeight="10296" xr2:uid="{C46426C7-BE76-4695-9B85-241F72C71BE3}"/>
  </bookViews>
  <sheets>
    <sheet name="Hoja2" sheetId="2" r:id="rId1"/>
    <sheet name="Hoja1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2" l="1"/>
  <c r="J24" i="2"/>
  <c r="K24" i="2"/>
  <c r="H24" i="2"/>
  <c r="G24" i="2"/>
  <c r="I24" i="2" l="1"/>
  <c r="L24" i="2"/>
</calcChain>
</file>

<file path=xl/sharedStrings.xml><?xml version="1.0" encoding="utf-8"?>
<sst xmlns="http://schemas.openxmlformats.org/spreadsheetml/2006/main" count="19" uniqueCount="15">
  <si>
    <t>FECHA</t>
  </si>
  <si>
    <t>AGUA CALIENTE</t>
  </si>
  <si>
    <t xml:space="preserve">VOLUMEN CONSUMO TOTAL TINTORERIA (m3) </t>
  </si>
  <si>
    <t xml:space="preserve">AGUA CALIENTE </t>
  </si>
  <si>
    <t xml:space="preserve">AGUA FRIA TINTORERIA </t>
  </si>
  <si>
    <t>Total general</t>
  </si>
  <si>
    <t xml:space="preserve">AGUA FRIA TINTORERIA  </t>
  </si>
  <si>
    <t xml:space="preserve">AGUA CALIENTE  </t>
  </si>
  <si>
    <t xml:space="preserve">VOLUMEN CONSUMO TOTAL TINTORERIA (m3)  </t>
  </si>
  <si>
    <t>CONSOLIDADO</t>
  </si>
  <si>
    <t xml:space="preserve"> TOTAL (m3)</t>
  </si>
  <si>
    <t>(m3)</t>
  </si>
  <si>
    <t>%</t>
  </si>
  <si>
    <t>Promedio diario</t>
  </si>
  <si>
    <t xml:space="preserve">AGUA FRIA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</si>
</sst>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MARZO AGUA CALIENTE.xlsx]Hoja2!TablaDinámica1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VOLUMEN</a:t>
            </a:r>
            <a:r>
              <a:rPr lang="es-CO" baseline="0">
                <a:solidFill>
                  <a:schemeClr val="tx1"/>
                </a:solidFill>
              </a:rPr>
              <a:t> CONSUMO AGUA CALIENTE</a:t>
            </a:r>
            <a:endParaRPr lang="es-CO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Hoja2!$C$1</c:f>
              <c:strCache>
                <c:ptCount val="1"/>
                <c:pt idx="0">
                  <c:v>AGUA CALIENTE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Hoja2!$A$2:$A$14</c:f>
              <c:strCache>
                <c:ptCount val="12"/>
                <c:pt idx="0">
                  <c:v>26/02/2026</c:v>
                </c:pt>
                <c:pt idx="1">
                  <c:v>27/02/2026</c:v>
                </c:pt>
                <c:pt idx="2">
                  <c:v>28/02/2026</c:v>
                </c:pt>
                <c:pt idx="3">
                  <c:v>1/03/2026</c:v>
                </c:pt>
                <c:pt idx="4">
                  <c:v>2/03/2026</c:v>
                </c:pt>
                <c:pt idx="5">
                  <c:v>3/03/2026</c:v>
                </c:pt>
                <c:pt idx="6">
                  <c:v>4/03/2026</c:v>
                </c:pt>
                <c:pt idx="7">
                  <c:v>5/03/2026</c:v>
                </c:pt>
                <c:pt idx="8">
                  <c:v>6/03/2026</c:v>
                </c:pt>
                <c:pt idx="9">
                  <c:v>7/03/2026</c:v>
                </c:pt>
                <c:pt idx="10">
                  <c:v>8/03/2026</c:v>
                </c:pt>
                <c:pt idx="11">
                  <c:v>9/03/2026</c:v>
                </c:pt>
              </c:strCache>
            </c:strRef>
          </c:cat>
          <c:val>
            <c:numRef>
              <c:f>Hoja2!$C$2:$C$14</c:f>
              <c:numCache>
                <c:formatCode>0</c:formatCode>
                <c:ptCount val="12"/>
                <c:pt idx="0">
                  <c:v>51</c:v>
                </c:pt>
                <c:pt idx="1">
                  <c:v>43</c:v>
                </c:pt>
                <c:pt idx="2">
                  <c:v>36</c:v>
                </c:pt>
                <c:pt idx="3">
                  <c:v>0</c:v>
                </c:pt>
                <c:pt idx="4">
                  <c:v>28.599999999999994</c:v>
                </c:pt>
                <c:pt idx="5">
                  <c:v>17.224999999999994</c:v>
                </c:pt>
                <c:pt idx="6">
                  <c:v>23.675000000000011</c:v>
                </c:pt>
                <c:pt idx="7">
                  <c:v>58</c:v>
                </c:pt>
                <c:pt idx="8">
                  <c:v>72</c:v>
                </c:pt>
                <c:pt idx="9">
                  <c:v>45</c:v>
                </c:pt>
                <c:pt idx="10">
                  <c:v>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8-421C-9F55-9F5721AE0506}"/>
            </c:ext>
          </c:extLst>
        </c:ser>
        <c:ser>
          <c:idx val="2"/>
          <c:order val="2"/>
          <c:tx>
            <c:strRef>
              <c:f>Hoja2!$D$1</c:f>
              <c:strCache>
                <c:ptCount val="1"/>
                <c:pt idx="0">
                  <c:v>AGUA FRIA TINTORERIA 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Hoja2!$A$2:$A$14</c:f>
              <c:strCache>
                <c:ptCount val="12"/>
                <c:pt idx="0">
                  <c:v>26/02/2026</c:v>
                </c:pt>
                <c:pt idx="1">
                  <c:v>27/02/2026</c:v>
                </c:pt>
                <c:pt idx="2">
                  <c:v>28/02/2026</c:v>
                </c:pt>
                <c:pt idx="3">
                  <c:v>1/03/2026</c:v>
                </c:pt>
                <c:pt idx="4">
                  <c:v>2/03/2026</c:v>
                </c:pt>
                <c:pt idx="5">
                  <c:v>3/03/2026</c:v>
                </c:pt>
                <c:pt idx="6">
                  <c:v>4/03/2026</c:v>
                </c:pt>
                <c:pt idx="7">
                  <c:v>5/03/2026</c:v>
                </c:pt>
                <c:pt idx="8">
                  <c:v>6/03/2026</c:v>
                </c:pt>
                <c:pt idx="9">
                  <c:v>7/03/2026</c:v>
                </c:pt>
                <c:pt idx="10">
                  <c:v>8/03/2026</c:v>
                </c:pt>
                <c:pt idx="11">
                  <c:v>9/03/2026</c:v>
                </c:pt>
              </c:strCache>
            </c:strRef>
          </c:cat>
          <c:val>
            <c:numRef>
              <c:f>Hoja2!$D$2:$D$14</c:f>
              <c:numCache>
                <c:formatCode>0</c:formatCode>
                <c:ptCount val="12"/>
                <c:pt idx="0">
                  <c:v>277</c:v>
                </c:pt>
                <c:pt idx="1">
                  <c:v>240</c:v>
                </c:pt>
                <c:pt idx="2">
                  <c:v>213</c:v>
                </c:pt>
                <c:pt idx="3">
                  <c:v>0</c:v>
                </c:pt>
                <c:pt idx="4">
                  <c:v>262.39999999999998</c:v>
                </c:pt>
                <c:pt idx="5">
                  <c:v>530.77499999999998</c:v>
                </c:pt>
                <c:pt idx="6">
                  <c:v>533.32500000000005</c:v>
                </c:pt>
                <c:pt idx="7">
                  <c:v>428</c:v>
                </c:pt>
                <c:pt idx="8">
                  <c:v>616</c:v>
                </c:pt>
                <c:pt idx="9">
                  <c:v>373</c:v>
                </c:pt>
                <c:pt idx="10">
                  <c:v>0</c:v>
                </c:pt>
                <c:pt idx="11">
                  <c:v>565.5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08-421C-9F55-9F5721AE0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884197392"/>
        <c:axId val="1951850704"/>
      </c:barChart>
      <c:lineChart>
        <c:grouping val="standar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VOLUMEN CONSUMO TOTAL TINTORERIA (m3)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Hoja2!$A$2:$A$14</c:f>
              <c:strCache>
                <c:ptCount val="12"/>
                <c:pt idx="0">
                  <c:v>26/02/2026</c:v>
                </c:pt>
                <c:pt idx="1">
                  <c:v>27/02/2026</c:v>
                </c:pt>
                <c:pt idx="2">
                  <c:v>28/02/2026</c:v>
                </c:pt>
                <c:pt idx="3">
                  <c:v>1/03/2026</c:v>
                </c:pt>
                <c:pt idx="4">
                  <c:v>2/03/2026</c:v>
                </c:pt>
                <c:pt idx="5">
                  <c:v>3/03/2026</c:v>
                </c:pt>
                <c:pt idx="6">
                  <c:v>4/03/2026</c:v>
                </c:pt>
                <c:pt idx="7">
                  <c:v>5/03/2026</c:v>
                </c:pt>
                <c:pt idx="8">
                  <c:v>6/03/2026</c:v>
                </c:pt>
                <c:pt idx="9">
                  <c:v>7/03/2026</c:v>
                </c:pt>
                <c:pt idx="10">
                  <c:v>8/03/2026</c:v>
                </c:pt>
                <c:pt idx="11">
                  <c:v>9/03/2026</c:v>
                </c:pt>
              </c:strCache>
            </c:strRef>
          </c:cat>
          <c:val>
            <c:numRef>
              <c:f>Hoja2!$B$2:$B$14</c:f>
              <c:numCache>
                <c:formatCode>0</c:formatCode>
                <c:ptCount val="12"/>
                <c:pt idx="0">
                  <c:v>328</c:v>
                </c:pt>
                <c:pt idx="1">
                  <c:v>283</c:v>
                </c:pt>
                <c:pt idx="2">
                  <c:v>249</c:v>
                </c:pt>
                <c:pt idx="3">
                  <c:v>0</c:v>
                </c:pt>
                <c:pt idx="4">
                  <c:v>291</c:v>
                </c:pt>
                <c:pt idx="5">
                  <c:v>548</c:v>
                </c:pt>
                <c:pt idx="6">
                  <c:v>557</c:v>
                </c:pt>
                <c:pt idx="7">
                  <c:v>486</c:v>
                </c:pt>
                <c:pt idx="8">
                  <c:v>688</c:v>
                </c:pt>
                <c:pt idx="9">
                  <c:v>418</c:v>
                </c:pt>
                <c:pt idx="10">
                  <c:v>0</c:v>
                </c:pt>
                <c:pt idx="11">
                  <c:v>588.5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8-421C-9F55-9F5721AE0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4197392"/>
        <c:axId val="1951850704"/>
      </c:lineChart>
      <c:catAx>
        <c:axId val="18841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1850704"/>
        <c:crosses val="autoZero"/>
        <c:auto val="1"/>
        <c:lblAlgn val="ctr"/>
        <c:lblOffset val="100"/>
        <c:noMultiLvlLbl val="0"/>
      </c:catAx>
      <c:valAx>
        <c:axId val="19518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chemeClr val="tx1"/>
                    </a:solidFill>
                  </a:rPr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4197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</xdr:row>
      <xdr:rowOff>38100</xdr:rowOff>
    </xdr:from>
    <xdr:to>
      <xdr:col>19</xdr:col>
      <xdr:colOff>281940</xdr:colOff>
      <xdr:row>18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9CCA6-1626-EBCA-CAB5-EE624A237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2.321161805557" createdVersion="8" refreshedVersion="8" minRefreshableVersion="3" recordCount="16" xr:uid="{54D56406-7611-45C5-8B11-5BE4E6695424}">
  <cacheSource type="worksheet">
    <worksheetSource ref="A1:D17" sheet="Hoja1"/>
  </cacheSource>
  <cacheFields count="4">
    <cacheField name="FECHA" numFmtId="14">
      <sharedItems containsSemiMixedTypes="0" containsNonDate="0" containsDate="1" containsString="0" minDate="2026-02-26T00:00:00" maxDate="2026-03-14T00:00:00" count="16"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</sharedItems>
    </cacheField>
    <cacheField name="VOLUMEN CONSUMO TOTAL TINTORERIA (m3) " numFmtId="0">
      <sharedItems containsSemiMixedTypes="0" containsString="0" containsNumber="1" minValue="0" maxValue="688"/>
    </cacheField>
    <cacheField name="AGUA CALIENTE " numFmtId="1">
      <sharedItems containsSemiMixedTypes="0" containsString="0" containsNumber="1" minValue="0" maxValue="72"/>
    </cacheField>
    <cacheField name="AGUA FRIA TINTORERIA " numFmtId="0">
      <sharedItems containsSemiMixedTypes="0" containsString="0" containsNumber="1" minValue="0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328"/>
    <n v="51"/>
    <n v="277"/>
  </r>
  <r>
    <x v="1"/>
    <n v="283"/>
    <n v="43"/>
    <n v="240"/>
  </r>
  <r>
    <x v="2"/>
    <n v="249"/>
    <n v="36"/>
    <n v="213"/>
  </r>
  <r>
    <x v="3"/>
    <n v="0"/>
    <n v="0"/>
    <n v="0"/>
  </r>
  <r>
    <x v="4"/>
    <n v="291"/>
    <n v="28.599999999999994"/>
    <n v="262.39999999999998"/>
  </r>
  <r>
    <x v="5"/>
    <n v="548"/>
    <n v="17.224999999999994"/>
    <n v="530.77499999999998"/>
  </r>
  <r>
    <x v="6"/>
    <n v="557"/>
    <n v="23.675000000000011"/>
    <n v="533.32500000000005"/>
  </r>
  <r>
    <x v="7"/>
    <n v="486"/>
    <n v="58"/>
    <n v="428"/>
  </r>
  <r>
    <x v="8"/>
    <n v="688"/>
    <n v="72"/>
    <n v="616"/>
  </r>
  <r>
    <x v="9"/>
    <n v="418"/>
    <n v="45"/>
    <n v="373"/>
  </r>
  <r>
    <x v="10"/>
    <n v="0"/>
    <n v="0"/>
    <n v="0"/>
  </r>
  <r>
    <x v="11"/>
    <n v="588.5"/>
    <n v="23"/>
    <n v="565.5"/>
  </r>
  <r>
    <x v="12"/>
    <n v="503.5"/>
    <n v="1"/>
    <n v="502.5"/>
  </r>
  <r>
    <x v="13"/>
    <n v="501"/>
    <n v="3"/>
    <n v="498"/>
  </r>
  <r>
    <x v="14"/>
    <n v="528"/>
    <n v="2"/>
    <n v="526"/>
  </r>
  <r>
    <x v="15"/>
    <n v="482"/>
    <n v="1"/>
    <n v="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85B94-4244-4D2F-A96A-4408C866893A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FECHA">
  <location ref="A1:D14" firstHeaderRow="0" firstDataRow="1" firstDataCol="1"/>
  <pivotFields count="4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h="1" x="13"/>
        <item h="1" x="14"/>
        <item h="1" x="15"/>
        <item t="default"/>
      </items>
    </pivotField>
    <pivotField dataField="1" showAll="0"/>
    <pivotField dataField="1" numFmtI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CONSUMO TOTAL TINTORERIA (m3)  " fld="1" baseField="0" baseItem="0"/>
    <dataField name="AGUA CALIENTE  " fld="2" baseField="0" baseItem="0" numFmtId="1"/>
    <dataField name="AGUA FRIA TINTORERIA  " fld="3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46B5-29E9-421A-AB28-7D4637A42459}">
  <dimension ref="A1:M24"/>
  <sheetViews>
    <sheetView tabSelected="1" topLeftCell="A7" zoomScale="85" zoomScaleNormal="85" workbookViewId="0">
      <selection activeCell="K29" activeCellId="1" sqref="C22 K29"/>
    </sheetView>
  </sheetViews>
  <sheetFormatPr baseColWidth="10" defaultRowHeight="14.4" x14ac:dyDescent="0.3"/>
  <cols>
    <col min="1" max="1" width="11.88671875" bestFit="1" customWidth="1"/>
    <col min="2" max="2" width="41" bestFit="1" customWidth="1"/>
    <col min="3" max="3" width="15.21875" bestFit="1" customWidth="1"/>
    <col min="4" max="4" width="21.33203125" bestFit="1" customWidth="1"/>
  </cols>
  <sheetData>
    <row r="1" spans="1:4" x14ac:dyDescent="0.3">
      <c r="A1" s="12" t="s">
        <v>0</v>
      </c>
      <c r="B1" t="s">
        <v>8</v>
      </c>
      <c r="C1" t="s">
        <v>7</v>
      </c>
      <c r="D1" t="s">
        <v>6</v>
      </c>
    </row>
    <row r="2" spans="1:4" x14ac:dyDescent="0.3">
      <c r="A2" s="3">
        <v>46079</v>
      </c>
      <c r="B2" s="1">
        <v>328</v>
      </c>
      <c r="C2" s="1">
        <v>51</v>
      </c>
      <c r="D2" s="1">
        <v>277</v>
      </c>
    </row>
    <row r="3" spans="1:4" x14ac:dyDescent="0.3">
      <c r="A3" s="3">
        <v>46080</v>
      </c>
      <c r="B3" s="1">
        <v>283</v>
      </c>
      <c r="C3" s="1">
        <v>43</v>
      </c>
      <c r="D3" s="1">
        <v>240</v>
      </c>
    </row>
    <row r="4" spans="1:4" x14ac:dyDescent="0.3">
      <c r="A4" s="3">
        <v>46081</v>
      </c>
      <c r="B4" s="1">
        <v>249</v>
      </c>
      <c r="C4" s="1">
        <v>36</v>
      </c>
      <c r="D4" s="1">
        <v>213</v>
      </c>
    </row>
    <row r="5" spans="1:4" x14ac:dyDescent="0.3">
      <c r="A5" s="3">
        <v>46082</v>
      </c>
      <c r="B5" s="1">
        <v>0</v>
      </c>
      <c r="C5" s="1">
        <v>0</v>
      </c>
      <c r="D5" s="1">
        <v>0</v>
      </c>
    </row>
    <row r="6" spans="1:4" x14ac:dyDescent="0.3">
      <c r="A6" s="3">
        <v>46083</v>
      </c>
      <c r="B6" s="1">
        <v>291</v>
      </c>
      <c r="C6" s="1">
        <v>28.599999999999994</v>
      </c>
      <c r="D6" s="1">
        <v>262.39999999999998</v>
      </c>
    </row>
    <row r="7" spans="1:4" x14ac:dyDescent="0.3">
      <c r="A7" s="3">
        <v>46084</v>
      </c>
      <c r="B7" s="1">
        <v>548</v>
      </c>
      <c r="C7" s="1">
        <v>17.224999999999994</v>
      </c>
      <c r="D7" s="1">
        <v>530.77499999999998</v>
      </c>
    </row>
    <row r="8" spans="1:4" x14ac:dyDescent="0.3">
      <c r="A8" s="3">
        <v>46085</v>
      </c>
      <c r="B8" s="1">
        <v>557</v>
      </c>
      <c r="C8" s="1">
        <v>23.675000000000011</v>
      </c>
      <c r="D8" s="1">
        <v>533.32500000000005</v>
      </c>
    </row>
    <row r="9" spans="1:4" x14ac:dyDescent="0.3">
      <c r="A9" s="3">
        <v>46086</v>
      </c>
      <c r="B9" s="1">
        <v>486</v>
      </c>
      <c r="C9" s="1">
        <v>58</v>
      </c>
      <c r="D9" s="1">
        <v>428</v>
      </c>
    </row>
    <row r="10" spans="1:4" x14ac:dyDescent="0.3">
      <c r="A10" s="3">
        <v>46087</v>
      </c>
      <c r="B10" s="1">
        <v>688</v>
      </c>
      <c r="C10" s="1">
        <v>72</v>
      </c>
      <c r="D10" s="1">
        <v>616</v>
      </c>
    </row>
    <row r="11" spans="1:4" x14ac:dyDescent="0.3">
      <c r="A11" s="3">
        <v>46088</v>
      </c>
      <c r="B11" s="1">
        <v>418</v>
      </c>
      <c r="C11" s="1">
        <v>45</v>
      </c>
      <c r="D11" s="1">
        <v>373</v>
      </c>
    </row>
    <row r="12" spans="1:4" x14ac:dyDescent="0.3">
      <c r="A12" s="3">
        <v>46089</v>
      </c>
      <c r="B12" s="1">
        <v>0</v>
      </c>
      <c r="C12" s="1">
        <v>0</v>
      </c>
      <c r="D12" s="1">
        <v>0</v>
      </c>
    </row>
    <row r="13" spans="1:4" x14ac:dyDescent="0.3">
      <c r="A13" s="3">
        <v>46090</v>
      </c>
      <c r="B13" s="1">
        <v>588.5</v>
      </c>
      <c r="C13" s="1">
        <v>23</v>
      </c>
      <c r="D13" s="1">
        <v>565.5</v>
      </c>
    </row>
    <row r="14" spans="1:4" x14ac:dyDescent="0.3">
      <c r="A14" s="13" t="s">
        <v>5</v>
      </c>
      <c r="B14" s="14">
        <v>4436.5</v>
      </c>
      <c r="C14" s="1">
        <v>397.5</v>
      </c>
      <c r="D14" s="14">
        <v>4039</v>
      </c>
    </row>
    <row r="21" spans="7:13" ht="18" x14ac:dyDescent="0.3">
      <c r="G21" s="15" t="s">
        <v>9</v>
      </c>
      <c r="H21" s="15"/>
      <c r="I21" s="15"/>
      <c r="J21" s="15"/>
      <c r="K21" s="15"/>
      <c r="L21" s="15"/>
      <c r="M21" s="15"/>
    </row>
    <row r="22" spans="7:13" ht="14.4" customHeight="1" x14ac:dyDescent="0.3">
      <c r="G22" s="18" t="s">
        <v>10</v>
      </c>
      <c r="H22" s="21" t="s">
        <v>14</v>
      </c>
      <c r="I22" s="21"/>
      <c r="J22" s="21"/>
      <c r="K22" s="22" t="s">
        <v>1</v>
      </c>
      <c r="L22" s="22"/>
      <c r="M22" s="22"/>
    </row>
    <row r="23" spans="7:13" ht="28.8" x14ac:dyDescent="0.3">
      <c r="G23" s="18"/>
      <c r="H23" s="16" t="s">
        <v>11</v>
      </c>
      <c r="I23" s="16" t="s">
        <v>12</v>
      </c>
      <c r="J23" s="16" t="s">
        <v>13</v>
      </c>
      <c r="K23" s="16" t="s">
        <v>11</v>
      </c>
      <c r="L23" s="16" t="s">
        <v>12</v>
      </c>
      <c r="M23" s="16" t="s">
        <v>13</v>
      </c>
    </row>
    <row r="24" spans="7:13" x14ac:dyDescent="0.3">
      <c r="G24" s="17">
        <f>GETPIVOTDATA("VOLUMEN CONSUMO TOTAL TINTORERIA (m3)  ",$A$1)</f>
        <v>4436.5</v>
      </c>
      <c r="H24" s="17">
        <f>+GETPIVOTDATA("AGUA FRIA TINTORERIA  ",$A$1)</f>
        <v>4039</v>
      </c>
      <c r="I24" s="19">
        <f>H24/G24</f>
        <v>0.91040234419024002</v>
      </c>
      <c r="J24" s="20">
        <f>AVERAGE(D2:D4,D6:D11,D13:D17)</f>
        <v>734.36363636363637</v>
      </c>
      <c r="K24" s="17">
        <f>+GETPIVOTDATA("AGUA CALIENTE  ",$A$1)</f>
        <v>397.5</v>
      </c>
      <c r="L24" s="19">
        <f>K24/G24</f>
        <v>8.9597655809759952E-2</v>
      </c>
      <c r="M24" s="20">
        <f>AVERAGE(C13:C17,C6:C11,C2:C4)</f>
        <v>72.272727272727266</v>
      </c>
    </row>
  </sheetData>
  <mergeCells count="4">
    <mergeCell ref="G22:G23"/>
    <mergeCell ref="H22:J22"/>
    <mergeCell ref="K22:M22"/>
    <mergeCell ref="G21:M2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0DAE-10D6-4F5E-9BFD-B71CF3D8E11E}">
  <dimension ref="A1:D49"/>
  <sheetViews>
    <sheetView topLeftCell="A2" workbookViewId="0">
      <selection activeCell="C18" sqref="C18"/>
    </sheetView>
  </sheetViews>
  <sheetFormatPr baseColWidth="10" defaultRowHeight="14.4" x14ac:dyDescent="0.3"/>
  <sheetData>
    <row r="1" spans="1:4" ht="72" x14ac:dyDescent="0.3">
      <c r="A1" s="10" t="s">
        <v>0</v>
      </c>
      <c r="B1" s="11" t="s">
        <v>2</v>
      </c>
      <c r="C1" s="11" t="s">
        <v>3</v>
      </c>
      <c r="D1" s="11" t="s">
        <v>4</v>
      </c>
    </row>
    <row r="2" spans="1:4" x14ac:dyDescent="0.3">
      <c r="A2" s="4">
        <v>46079</v>
      </c>
      <c r="B2" s="5">
        <v>328</v>
      </c>
      <c r="C2" s="6">
        <v>51</v>
      </c>
      <c r="D2" s="5">
        <v>277</v>
      </c>
    </row>
    <row r="3" spans="1:4" x14ac:dyDescent="0.3">
      <c r="A3" s="4">
        <v>46080</v>
      </c>
      <c r="B3" s="5">
        <v>283</v>
      </c>
      <c r="C3" s="6">
        <v>43</v>
      </c>
      <c r="D3" s="5">
        <v>240</v>
      </c>
    </row>
    <row r="4" spans="1:4" x14ac:dyDescent="0.3">
      <c r="A4" s="4">
        <v>46081</v>
      </c>
      <c r="B4" s="5">
        <v>249</v>
      </c>
      <c r="C4" s="6">
        <v>36</v>
      </c>
      <c r="D4" s="5">
        <v>213</v>
      </c>
    </row>
    <row r="5" spans="1:4" x14ac:dyDescent="0.3">
      <c r="A5" s="4">
        <v>46082</v>
      </c>
      <c r="B5" s="5">
        <v>0</v>
      </c>
      <c r="C5" s="6">
        <v>0</v>
      </c>
      <c r="D5" s="5">
        <v>0</v>
      </c>
    </row>
    <row r="6" spans="1:4" x14ac:dyDescent="0.3">
      <c r="A6" s="4">
        <v>46083</v>
      </c>
      <c r="B6" s="5">
        <v>291</v>
      </c>
      <c r="C6" s="6">
        <v>28.599999999999994</v>
      </c>
      <c r="D6" s="6">
        <v>262.39999999999998</v>
      </c>
    </row>
    <row r="7" spans="1:4" x14ac:dyDescent="0.3">
      <c r="A7" s="4">
        <v>46084</v>
      </c>
      <c r="B7" s="5">
        <v>548</v>
      </c>
      <c r="C7" s="6">
        <v>17.224999999999994</v>
      </c>
      <c r="D7" s="6">
        <v>530.77499999999998</v>
      </c>
    </row>
    <row r="8" spans="1:4" x14ac:dyDescent="0.3">
      <c r="A8" s="4">
        <v>46085</v>
      </c>
      <c r="B8" s="5">
        <v>557</v>
      </c>
      <c r="C8" s="6">
        <v>23.675000000000011</v>
      </c>
      <c r="D8" s="6">
        <v>533.32500000000005</v>
      </c>
    </row>
    <row r="9" spans="1:4" x14ac:dyDescent="0.3">
      <c r="A9" s="4">
        <v>46086</v>
      </c>
      <c r="B9" s="5">
        <v>486</v>
      </c>
      <c r="C9" s="6">
        <v>58</v>
      </c>
      <c r="D9" s="6">
        <v>428</v>
      </c>
    </row>
    <row r="10" spans="1:4" x14ac:dyDescent="0.3">
      <c r="A10" s="4">
        <v>46087</v>
      </c>
      <c r="B10" s="5">
        <v>688</v>
      </c>
      <c r="C10" s="6">
        <v>72</v>
      </c>
      <c r="D10" s="6">
        <v>616</v>
      </c>
    </row>
    <row r="11" spans="1:4" x14ac:dyDescent="0.3">
      <c r="A11" s="4">
        <v>46088</v>
      </c>
      <c r="B11" s="5">
        <v>418</v>
      </c>
      <c r="C11" s="6">
        <v>45</v>
      </c>
      <c r="D11" s="6">
        <v>373</v>
      </c>
    </row>
    <row r="12" spans="1:4" x14ac:dyDescent="0.3">
      <c r="A12" s="4">
        <v>46089</v>
      </c>
      <c r="B12" s="5">
        <v>0</v>
      </c>
      <c r="C12" s="6">
        <v>0</v>
      </c>
      <c r="D12" s="6">
        <v>0</v>
      </c>
    </row>
    <row r="13" spans="1:4" x14ac:dyDescent="0.3">
      <c r="A13" s="4">
        <v>46090</v>
      </c>
      <c r="B13" s="6">
        <v>588.5</v>
      </c>
      <c r="C13" s="6">
        <v>23</v>
      </c>
      <c r="D13" s="6">
        <v>565.5</v>
      </c>
    </row>
    <row r="14" spans="1:4" x14ac:dyDescent="0.3">
      <c r="A14" s="4">
        <v>46091</v>
      </c>
      <c r="B14" s="6">
        <v>503.5</v>
      </c>
      <c r="C14" s="6">
        <v>0</v>
      </c>
      <c r="D14" s="6">
        <v>502.5</v>
      </c>
    </row>
    <row r="15" spans="1:4" x14ac:dyDescent="0.3">
      <c r="A15" s="4">
        <v>46092</v>
      </c>
      <c r="B15" s="5">
        <v>501</v>
      </c>
      <c r="C15" s="6">
        <v>0</v>
      </c>
      <c r="D15" s="5">
        <v>498</v>
      </c>
    </row>
    <row r="16" spans="1:4" x14ac:dyDescent="0.3">
      <c r="A16" s="4">
        <v>46093</v>
      </c>
      <c r="B16" s="5">
        <v>528</v>
      </c>
      <c r="C16" s="6">
        <v>0</v>
      </c>
      <c r="D16" s="5">
        <v>526</v>
      </c>
    </row>
    <row r="17" spans="1:4" x14ac:dyDescent="0.3">
      <c r="A17" s="4">
        <v>46094</v>
      </c>
      <c r="B17" s="5">
        <v>482</v>
      </c>
      <c r="C17" s="6">
        <v>0</v>
      </c>
      <c r="D17" s="5">
        <v>481</v>
      </c>
    </row>
    <row r="18" spans="1:4" x14ac:dyDescent="0.3">
      <c r="A18" s="7"/>
      <c r="B18" s="8"/>
      <c r="C18" s="9"/>
      <c r="D18" s="9"/>
    </row>
    <row r="19" spans="1:4" x14ac:dyDescent="0.3">
      <c r="A19" s="2"/>
      <c r="D19" s="1"/>
    </row>
    <row r="20" spans="1:4" x14ac:dyDescent="0.3">
      <c r="A20" s="2"/>
      <c r="D20" s="1"/>
    </row>
    <row r="21" spans="1:4" x14ac:dyDescent="0.3">
      <c r="A21" s="2"/>
      <c r="D21" s="1"/>
    </row>
    <row r="22" spans="1:4" x14ac:dyDescent="0.3">
      <c r="A22" s="2"/>
      <c r="D22" s="1"/>
    </row>
    <row r="23" spans="1:4" x14ac:dyDescent="0.3">
      <c r="A23" s="2"/>
      <c r="D23" s="1"/>
    </row>
    <row r="24" spans="1:4" x14ac:dyDescent="0.3">
      <c r="A24" s="2"/>
      <c r="D24" s="1"/>
    </row>
    <row r="25" spans="1:4" x14ac:dyDescent="0.3">
      <c r="A25" s="2"/>
      <c r="D25" s="1"/>
    </row>
    <row r="26" spans="1:4" x14ac:dyDescent="0.3">
      <c r="A26" s="2"/>
      <c r="D26" s="1"/>
    </row>
    <row r="27" spans="1:4" x14ac:dyDescent="0.3">
      <c r="A27" s="2"/>
      <c r="D27" s="1"/>
    </row>
    <row r="28" spans="1:4" x14ac:dyDescent="0.3">
      <c r="A28" s="2"/>
      <c r="D28" s="1"/>
    </row>
    <row r="29" spans="1:4" x14ac:dyDescent="0.3">
      <c r="A29" s="2"/>
      <c r="D29" s="1"/>
    </row>
    <row r="30" spans="1:4" x14ac:dyDescent="0.3">
      <c r="A30" s="2"/>
      <c r="D30" s="1"/>
    </row>
    <row r="31" spans="1:4" x14ac:dyDescent="0.3">
      <c r="A31" s="2"/>
      <c r="D31" s="1"/>
    </row>
    <row r="32" spans="1:4" x14ac:dyDescent="0.3">
      <c r="A32" s="2"/>
      <c r="D32" s="1"/>
    </row>
    <row r="33" spans="1:4" x14ac:dyDescent="0.3">
      <c r="A33" s="2"/>
      <c r="D33" s="1"/>
    </row>
    <row r="34" spans="1:4" x14ac:dyDescent="0.3">
      <c r="A34" s="2"/>
      <c r="D34" s="1"/>
    </row>
    <row r="35" spans="1:4" x14ac:dyDescent="0.3">
      <c r="A35" s="2"/>
      <c r="D35" s="1"/>
    </row>
    <row r="36" spans="1:4" x14ac:dyDescent="0.3">
      <c r="A36" s="2"/>
      <c r="D36" s="1"/>
    </row>
    <row r="37" spans="1:4" x14ac:dyDescent="0.3">
      <c r="A37" s="2"/>
      <c r="D37" s="1"/>
    </row>
    <row r="38" spans="1:4" x14ac:dyDescent="0.3">
      <c r="A38" s="2"/>
      <c r="D38" s="1"/>
    </row>
    <row r="39" spans="1:4" x14ac:dyDescent="0.3">
      <c r="A39" s="2"/>
      <c r="D39" s="1"/>
    </row>
    <row r="40" spans="1:4" x14ac:dyDescent="0.3">
      <c r="A40" s="2"/>
      <c r="D40" s="1"/>
    </row>
    <row r="41" spans="1:4" x14ac:dyDescent="0.3">
      <c r="A41" s="2"/>
      <c r="D41" s="1"/>
    </row>
    <row r="42" spans="1:4" x14ac:dyDescent="0.3">
      <c r="A42" s="2"/>
      <c r="D42" s="1"/>
    </row>
    <row r="43" spans="1:4" x14ac:dyDescent="0.3">
      <c r="A43" s="2"/>
      <c r="D43" s="1"/>
    </row>
    <row r="44" spans="1:4" x14ac:dyDescent="0.3">
      <c r="A44" s="2"/>
      <c r="D44" s="1"/>
    </row>
    <row r="45" spans="1:4" x14ac:dyDescent="0.3">
      <c r="A45" s="2"/>
      <c r="D45" s="1"/>
    </row>
    <row r="46" spans="1:4" x14ac:dyDescent="0.3">
      <c r="A46" s="2"/>
      <c r="D46" s="1"/>
    </row>
    <row r="47" spans="1:4" x14ac:dyDescent="0.3">
      <c r="A47" s="2"/>
      <c r="D47" s="1"/>
    </row>
    <row r="48" spans="1:4" x14ac:dyDescent="0.3">
      <c r="A48" s="2"/>
      <c r="D48" s="1"/>
    </row>
    <row r="49" spans="1:4" x14ac:dyDescent="0.3">
      <c r="A49" s="2"/>
      <c r="D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2026-04-10T12:27:45Z</dcterms:created>
  <dcterms:modified xsi:type="dcterms:W3CDTF">2026-04-10T13:01:21Z</dcterms:modified>
</cp:coreProperties>
</file>