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ermodaco-my.sharepoint.com/personal/lunaop_permoda_com_co/Documents/Documentos/Claude/Projects/App PTAR 2/"/>
    </mc:Choice>
  </mc:AlternateContent>
  <xr:revisionPtr revIDLastSave="268" documentId="11_B369F5E2D67A48D2ED5FE8518B8BBD6ABD925144" xr6:coauthVersionLast="47" xr6:coauthVersionMax="47" xr10:uidLastSave="{E14A77FB-9133-41BA-93E4-95EE0440B78D}"/>
  <bookViews>
    <workbookView xWindow="23880" yWindow="1830" windowWidth="20730" windowHeight="11040" tabRatio="500" activeTab="1" xr2:uid="{00000000-000D-0000-FFFF-FFFF00000000}"/>
  </bookViews>
  <sheets>
    <sheet name="1. PRODUCCIÓN" sheetId="1" r:id="rId1"/>
    <sheet name="2. FUENTES DE AGUA" sheetId="2" r:id="rId2"/>
    <sheet name="3. QUÍMICOS F2 (GEM)" sheetId="3" r:id="rId3"/>
    <sheet name="4. QUÍMICOS F3 (RO)" sheetId="4" r:id="rId4"/>
    <sheet name="5. LODOS" sheetId="5" r:id="rId5"/>
    <sheet name="6. CONSUMIBLES" sheetId="6" r:id="rId6"/>
    <sheet name="7. RESUMEN" sheetId="7" r:id="rId7"/>
  </sheets>
  <definedNames>
    <definedName name="_xlnm.Print_Area" localSheetId="0">'1. PRODUCCIÓN'!$A$1:$BE$11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3" l="1"/>
  <c r="I15" i="3" s="1"/>
  <c r="P13" i="3"/>
  <c r="Q13" i="3"/>
  <c r="L13" i="3"/>
  <c r="M13" i="3"/>
  <c r="H13" i="3"/>
  <c r="I13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H15" i="3"/>
  <c r="O13" i="2"/>
  <c r="O12" i="2"/>
  <c r="O11" i="2"/>
  <c r="O10" i="2"/>
  <c r="M10" i="2"/>
  <c r="M11" i="2"/>
  <c r="M12" i="2"/>
  <c r="M13" i="2"/>
  <c r="K10" i="2"/>
  <c r="K13" i="2"/>
  <c r="K12" i="2"/>
  <c r="K11" i="2"/>
  <c r="G11" i="2"/>
  <c r="G12" i="2"/>
  <c r="G13" i="2"/>
  <c r="G10" i="2"/>
  <c r="I10" i="2"/>
  <c r="K9" i="2"/>
  <c r="AV12" i="2"/>
  <c r="AR11" i="2"/>
  <c r="AR10" i="2"/>
  <c r="AJ13" i="2"/>
  <c r="AJ11" i="2"/>
  <c r="AJ10" i="2"/>
  <c r="AF12" i="2"/>
  <c r="AB11" i="2"/>
  <c r="AB10" i="2"/>
  <c r="T13" i="2"/>
  <c r="T11" i="2"/>
  <c r="T10" i="2"/>
  <c r="P12" i="2"/>
  <c r="L11" i="2"/>
  <c r="L10" i="2"/>
  <c r="D11" i="2"/>
  <c r="D13" i="2"/>
  <c r="D10" i="2"/>
  <c r="H6" i="1"/>
  <c r="N11" i="1"/>
  <c r="M11" i="1"/>
  <c r="N10" i="1"/>
  <c r="N7" i="1"/>
  <c r="J10" i="1"/>
  <c r="K10" i="1" s="1"/>
  <c r="J7" i="1"/>
  <c r="I7" i="1"/>
  <c r="M7" i="1" s="1"/>
  <c r="BA7" i="1" s="1"/>
  <c r="J11" i="1"/>
  <c r="L11" i="1" s="1"/>
  <c r="I11" i="1"/>
  <c r="I10" i="1"/>
  <c r="E11" i="1"/>
  <c r="F11" i="1"/>
  <c r="F7" i="1"/>
  <c r="H7" i="1" s="1"/>
  <c r="F10" i="1"/>
  <c r="G10" i="1" s="1"/>
  <c r="BE11" i="6"/>
  <c r="AZ11" i="6"/>
  <c r="AY11" i="6"/>
  <c r="AV11" i="6"/>
  <c r="AU11" i="6"/>
  <c r="AR11" i="6"/>
  <c r="AQ11" i="6"/>
  <c r="AN11" i="6"/>
  <c r="AM11" i="6"/>
  <c r="AJ11" i="6"/>
  <c r="AI11" i="6"/>
  <c r="AF11" i="6"/>
  <c r="AE11" i="6"/>
  <c r="AB11" i="6"/>
  <c r="AA11" i="6"/>
  <c r="X11" i="6"/>
  <c r="W11" i="6"/>
  <c r="T11" i="6"/>
  <c r="S11" i="6"/>
  <c r="P11" i="6"/>
  <c r="O11" i="6"/>
  <c r="L11" i="6"/>
  <c r="K11" i="6"/>
  <c r="H11" i="6"/>
  <c r="G11" i="6"/>
  <c r="BB10" i="6"/>
  <c r="BD10" i="6" s="1"/>
  <c r="BA10" i="6"/>
  <c r="AZ10" i="6"/>
  <c r="AY10" i="6"/>
  <c r="AV10" i="6"/>
  <c r="AU10" i="6"/>
  <c r="AR10" i="6"/>
  <c r="AQ10" i="6"/>
  <c r="AN10" i="6"/>
  <c r="AM10" i="6"/>
  <c r="AJ10" i="6"/>
  <c r="AI10" i="6"/>
  <c r="AF10" i="6"/>
  <c r="AE10" i="6"/>
  <c r="AB10" i="6"/>
  <c r="AA10" i="6"/>
  <c r="X10" i="6"/>
  <c r="W10" i="6"/>
  <c r="T10" i="6"/>
  <c r="S10" i="6"/>
  <c r="P10" i="6"/>
  <c r="O10" i="6"/>
  <c r="L10" i="6"/>
  <c r="K10" i="6"/>
  <c r="H10" i="6"/>
  <c r="G10" i="6"/>
  <c r="BB9" i="6"/>
  <c r="BD9" i="6" s="1"/>
  <c r="BA9" i="6"/>
  <c r="AZ9" i="6"/>
  <c r="AY9" i="6"/>
  <c r="AV9" i="6"/>
  <c r="AU9" i="6"/>
  <c r="AR9" i="6"/>
  <c r="AQ9" i="6"/>
  <c r="AN9" i="6"/>
  <c r="AM9" i="6"/>
  <c r="AJ9" i="6"/>
  <c r="AI9" i="6"/>
  <c r="AF9" i="6"/>
  <c r="AE9" i="6"/>
  <c r="AB9" i="6"/>
  <c r="AA9" i="6"/>
  <c r="X9" i="6"/>
  <c r="W9" i="6"/>
  <c r="T9" i="6"/>
  <c r="S9" i="6"/>
  <c r="P9" i="6"/>
  <c r="O9" i="6"/>
  <c r="L9" i="6"/>
  <c r="K9" i="6"/>
  <c r="H9" i="6"/>
  <c r="G9" i="6"/>
  <c r="BD8" i="6"/>
  <c r="BC8" i="6"/>
  <c r="BB8" i="6"/>
  <c r="BA8" i="6"/>
  <c r="AZ8" i="6"/>
  <c r="AY8" i="6"/>
  <c r="AV8" i="6"/>
  <c r="AU8" i="6"/>
  <c r="AR8" i="6"/>
  <c r="AQ8" i="6"/>
  <c r="AN8" i="6"/>
  <c r="AM8" i="6"/>
  <c r="AJ8" i="6"/>
  <c r="AI8" i="6"/>
  <c r="AF8" i="6"/>
  <c r="AE8" i="6"/>
  <c r="AB8" i="6"/>
  <c r="AA8" i="6"/>
  <c r="X8" i="6"/>
  <c r="W8" i="6"/>
  <c r="T8" i="6"/>
  <c r="S8" i="6"/>
  <c r="P8" i="6"/>
  <c r="O8" i="6"/>
  <c r="L8" i="6"/>
  <c r="K8" i="6"/>
  <c r="H8" i="6"/>
  <c r="G8" i="6"/>
  <c r="BD7" i="6"/>
  <c r="BC7" i="6"/>
  <c r="BB7" i="6"/>
  <c r="BA7" i="6"/>
  <c r="AZ7" i="6"/>
  <c r="AY7" i="6"/>
  <c r="AV7" i="6"/>
  <c r="AU7" i="6"/>
  <c r="AR7" i="6"/>
  <c r="AQ7" i="6"/>
  <c r="AN7" i="6"/>
  <c r="AM7" i="6"/>
  <c r="AJ7" i="6"/>
  <c r="AI7" i="6"/>
  <c r="AF7" i="6"/>
  <c r="AE7" i="6"/>
  <c r="AB7" i="6"/>
  <c r="AA7" i="6"/>
  <c r="X7" i="6"/>
  <c r="W7" i="6"/>
  <c r="T7" i="6"/>
  <c r="S7" i="6"/>
  <c r="P7" i="6"/>
  <c r="O7" i="6"/>
  <c r="L7" i="6"/>
  <c r="K7" i="6"/>
  <c r="H7" i="6"/>
  <c r="G7" i="6"/>
  <c r="BD6" i="6"/>
  <c r="BC6" i="6"/>
  <c r="BB6" i="6"/>
  <c r="BA6" i="6"/>
  <c r="AZ6" i="6"/>
  <c r="AY6" i="6"/>
  <c r="AV6" i="6"/>
  <c r="AU6" i="6"/>
  <c r="AR6" i="6"/>
  <c r="AQ6" i="6"/>
  <c r="AN6" i="6"/>
  <c r="AM6" i="6"/>
  <c r="AJ6" i="6"/>
  <c r="AI6" i="6"/>
  <c r="AF6" i="6"/>
  <c r="AE6" i="6"/>
  <c r="AB6" i="6"/>
  <c r="AA6" i="6"/>
  <c r="X6" i="6"/>
  <c r="W6" i="6"/>
  <c r="T6" i="6"/>
  <c r="S6" i="6"/>
  <c r="P6" i="6"/>
  <c r="O6" i="6"/>
  <c r="L6" i="6"/>
  <c r="K6" i="6"/>
  <c r="H6" i="6"/>
  <c r="G6" i="6"/>
  <c r="AX12" i="5"/>
  <c r="AW12" i="5"/>
  <c r="AT12" i="5"/>
  <c r="AS12" i="5"/>
  <c r="AP12" i="5"/>
  <c r="AO12" i="5"/>
  <c r="AL12" i="5"/>
  <c r="AK12" i="5"/>
  <c r="AH12" i="5"/>
  <c r="AG12" i="5"/>
  <c r="AD12" i="5"/>
  <c r="AC12" i="5"/>
  <c r="Z12" i="5"/>
  <c r="Y12" i="5"/>
  <c r="V12" i="5"/>
  <c r="U12" i="5"/>
  <c r="R12" i="5"/>
  <c r="Q12" i="5"/>
  <c r="N12" i="5"/>
  <c r="M12" i="5"/>
  <c r="J12" i="5"/>
  <c r="I12" i="5"/>
  <c r="F12" i="5"/>
  <c r="E12" i="5"/>
  <c r="AX11" i="5"/>
  <c r="AW11" i="5"/>
  <c r="AT11" i="5"/>
  <c r="AS11" i="5"/>
  <c r="AP11" i="5"/>
  <c r="AO11" i="5"/>
  <c r="AL11" i="5"/>
  <c r="AK11" i="5"/>
  <c r="AH11" i="5"/>
  <c r="AG11" i="5"/>
  <c r="AD11" i="5"/>
  <c r="AC11" i="5"/>
  <c r="Z11" i="5"/>
  <c r="Y11" i="5"/>
  <c r="V11" i="5"/>
  <c r="U11" i="5"/>
  <c r="R11" i="5"/>
  <c r="Q11" i="5"/>
  <c r="N11" i="5"/>
  <c r="M11" i="5"/>
  <c r="J11" i="5"/>
  <c r="I11" i="5"/>
  <c r="F11" i="5"/>
  <c r="E11" i="5"/>
  <c r="AZ10" i="5"/>
  <c r="AY10" i="5"/>
  <c r="AV10" i="5"/>
  <c r="AU10" i="5"/>
  <c r="AR10" i="5"/>
  <c r="AQ10" i="5"/>
  <c r="AN10" i="5"/>
  <c r="AM10" i="5"/>
  <c r="AJ10" i="5"/>
  <c r="AI10" i="5"/>
  <c r="AF10" i="5"/>
  <c r="AE10" i="5"/>
  <c r="AB10" i="5"/>
  <c r="AA10" i="5"/>
  <c r="X10" i="5"/>
  <c r="W10" i="5"/>
  <c r="T10" i="5"/>
  <c r="S10" i="5"/>
  <c r="P10" i="5"/>
  <c r="O10" i="5"/>
  <c r="L10" i="5"/>
  <c r="K10" i="5"/>
  <c r="H10" i="5"/>
  <c r="G10" i="5"/>
  <c r="BD9" i="5"/>
  <c r="BC9" i="5"/>
  <c r="BB9" i="5"/>
  <c r="BA9" i="5"/>
  <c r="AZ9" i="5"/>
  <c r="AY9" i="5"/>
  <c r="AV9" i="5"/>
  <c r="AU9" i="5"/>
  <c r="AR9" i="5"/>
  <c r="AQ9" i="5"/>
  <c r="AN9" i="5"/>
  <c r="AM9" i="5"/>
  <c r="AJ9" i="5"/>
  <c r="AI9" i="5"/>
  <c r="AF9" i="5"/>
  <c r="AE9" i="5"/>
  <c r="AB9" i="5"/>
  <c r="AA9" i="5"/>
  <c r="X9" i="5"/>
  <c r="W9" i="5"/>
  <c r="T9" i="5"/>
  <c r="S9" i="5"/>
  <c r="P9" i="5"/>
  <c r="O9" i="5"/>
  <c r="L9" i="5"/>
  <c r="K9" i="5"/>
  <c r="H9" i="5"/>
  <c r="G9" i="5"/>
  <c r="BD8" i="5"/>
  <c r="BC8" i="5"/>
  <c r="BB8" i="5"/>
  <c r="BA8" i="5"/>
  <c r="AZ8" i="5"/>
  <c r="AY8" i="5"/>
  <c r="AV8" i="5"/>
  <c r="AU8" i="5"/>
  <c r="AR8" i="5"/>
  <c r="AQ8" i="5"/>
  <c r="AN8" i="5"/>
  <c r="AM8" i="5"/>
  <c r="AJ8" i="5"/>
  <c r="AI8" i="5"/>
  <c r="AF8" i="5"/>
  <c r="AE8" i="5"/>
  <c r="AB8" i="5"/>
  <c r="AA8" i="5"/>
  <c r="X8" i="5"/>
  <c r="W8" i="5"/>
  <c r="T8" i="5"/>
  <c r="S8" i="5"/>
  <c r="P8" i="5"/>
  <c r="O8" i="5"/>
  <c r="L8" i="5"/>
  <c r="K8" i="5"/>
  <c r="H8" i="5"/>
  <c r="G8" i="5"/>
  <c r="BD7" i="5"/>
  <c r="BC7" i="5"/>
  <c r="BB7" i="5"/>
  <c r="BA7" i="5"/>
  <c r="AZ7" i="5"/>
  <c r="AY7" i="5"/>
  <c r="AV7" i="5"/>
  <c r="AU7" i="5"/>
  <c r="AR7" i="5"/>
  <c r="AQ7" i="5"/>
  <c r="AN7" i="5"/>
  <c r="AM7" i="5"/>
  <c r="AJ7" i="5"/>
  <c r="AI7" i="5"/>
  <c r="AF7" i="5"/>
  <c r="AE7" i="5"/>
  <c r="AB7" i="5"/>
  <c r="AA7" i="5"/>
  <c r="X7" i="5"/>
  <c r="W7" i="5"/>
  <c r="T7" i="5"/>
  <c r="S7" i="5"/>
  <c r="P7" i="5"/>
  <c r="O7" i="5"/>
  <c r="L7" i="5"/>
  <c r="K7" i="5"/>
  <c r="H7" i="5"/>
  <c r="G7" i="5"/>
  <c r="BD6" i="5"/>
  <c r="BC6" i="5"/>
  <c r="BB6" i="5"/>
  <c r="BA6" i="5"/>
  <c r="AZ6" i="5"/>
  <c r="AY6" i="5"/>
  <c r="AV6" i="5"/>
  <c r="AU6" i="5"/>
  <c r="AR6" i="5"/>
  <c r="AQ6" i="5"/>
  <c r="AN6" i="5"/>
  <c r="AM6" i="5"/>
  <c r="AJ6" i="5"/>
  <c r="AI6" i="5"/>
  <c r="AF6" i="5"/>
  <c r="AE6" i="5"/>
  <c r="AB6" i="5"/>
  <c r="AA6" i="5"/>
  <c r="X6" i="5"/>
  <c r="W6" i="5"/>
  <c r="T6" i="5"/>
  <c r="S6" i="5"/>
  <c r="P6" i="5"/>
  <c r="O6" i="5"/>
  <c r="L6" i="5"/>
  <c r="K6" i="5"/>
  <c r="H6" i="5"/>
  <c r="G6" i="5"/>
  <c r="BJ15" i="4"/>
  <c r="BH15" i="4"/>
  <c r="BE15" i="4"/>
  <c r="BC15" i="4"/>
  <c r="AZ15" i="4"/>
  <c r="AX15" i="4"/>
  <c r="AU15" i="4"/>
  <c r="AS15" i="4"/>
  <c r="AP15" i="4"/>
  <c r="AN15" i="4"/>
  <c r="AK15" i="4"/>
  <c r="AI15" i="4"/>
  <c r="AF15" i="4"/>
  <c r="AD15" i="4"/>
  <c r="AA15" i="4"/>
  <c r="Y15" i="4"/>
  <c r="V15" i="4"/>
  <c r="T15" i="4"/>
  <c r="Q15" i="4"/>
  <c r="O15" i="4"/>
  <c r="L15" i="4"/>
  <c r="J15" i="4"/>
  <c r="G15" i="4"/>
  <c r="E15" i="4"/>
  <c r="BQ14" i="4"/>
  <c r="BP14" i="4"/>
  <c r="BO14" i="4"/>
  <c r="BM14" i="4"/>
  <c r="BL14" i="4"/>
  <c r="BK14" i="4"/>
  <c r="BG14" i="4"/>
  <c r="BF14" i="4"/>
  <c r="BB14" i="4"/>
  <c r="BA14" i="4"/>
  <c r="AW14" i="4"/>
  <c r="AV14" i="4"/>
  <c r="AR14" i="4"/>
  <c r="AQ14" i="4"/>
  <c r="AM14" i="4"/>
  <c r="AL14" i="4"/>
  <c r="AH14" i="4"/>
  <c r="AG14" i="4"/>
  <c r="AC14" i="4"/>
  <c r="AB14" i="4"/>
  <c r="X14" i="4"/>
  <c r="W14" i="4"/>
  <c r="S14" i="4"/>
  <c r="R14" i="4"/>
  <c r="N14" i="4"/>
  <c r="M14" i="4"/>
  <c r="I14" i="4"/>
  <c r="H14" i="4"/>
  <c r="BJ13" i="4"/>
  <c r="BI13" i="4"/>
  <c r="BH13" i="4"/>
  <c r="BE13" i="4"/>
  <c r="BD13" i="4"/>
  <c r="BC13" i="4"/>
  <c r="AZ13" i="4"/>
  <c r="AY13" i="4"/>
  <c r="AX13" i="4"/>
  <c r="AU13" i="4"/>
  <c r="AT13" i="4"/>
  <c r="AS13" i="4"/>
  <c r="AP13" i="4"/>
  <c r="AO13" i="4"/>
  <c r="AN13" i="4"/>
  <c r="AK13" i="4"/>
  <c r="AJ13" i="4"/>
  <c r="AI13" i="4"/>
  <c r="AF13" i="4"/>
  <c r="AE13" i="4"/>
  <c r="AD13" i="4"/>
  <c r="AA13" i="4"/>
  <c r="Z13" i="4"/>
  <c r="Y13" i="4"/>
  <c r="V13" i="4"/>
  <c r="U13" i="4"/>
  <c r="T13" i="4"/>
  <c r="Q13" i="4"/>
  <c r="P13" i="4"/>
  <c r="O13" i="4"/>
  <c r="L13" i="4"/>
  <c r="K13" i="4"/>
  <c r="J13" i="4"/>
  <c r="G13" i="4"/>
  <c r="F13" i="4"/>
  <c r="E13" i="4"/>
  <c r="BO12" i="4"/>
  <c r="BQ12" i="4" s="1"/>
  <c r="BN12" i="4"/>
  <c r="BM12" i="4"/>
  <c r="BL12" i="4"/>
  <c r="BK12" i="4"/>
  <c r="BG12" i="4"/>
  <c r="BF12" i="4"/>
  <c r="BB12" i="4"/>
  <c r="BA12" i="4"/>
  <c r="AW12" i="4"/>
  <c r="AV12" i="4"/>
  <c r="AR12" i="4"/>
  <c r="AQ12" i="4"/>
  <c r="AM12" i="4"/>
  <c r="AL12" i="4"/>
  <c r="AH12" i="4"/>
  <c r="AG12" i="4"/>
  <c r="AC12" i="4"/>
  <c r="AB12" i="4"/>
  <c r="X12" i="4"/>
  <c r="W12" i="4"/>
  <c r="S12" i="4"/>
  <c r="R12" i="4"/>
  <c r="N12" i="4"/>
  <c r="M12" i="4"/>
  <c r="I12" i="4"/>
  <c r="H12" i="4"/>
  <c r="BO11" i="4"/>
  <c r="BQ11" i="4" s="1"/>
  <c r="BN11" i="4"/>
  <c r="BM11" i="4"/>
  <c r="BL11" i="4"/>
  <c r="BK11" i="4"/>
  <c r="BG11" i="4"/>
  <c r="BF11" i="4"/>
  <c r="BB11" i="4"/>
  <c r="BA11" i="4"/>
  <c r="AW11" i="4"/>
  <c r="AV11" i="4"/>
  <c r="AR11" i="4"/>
  <c r="AQ11" i="4"/>
  <c r="AM11" i="4"/>
  <c r="AL11" i="4"/>
  <c r="AH11" i="4"/>
  <c r="AG11" i="4"/>
  <c r="AC11" i="4"/>
  <c r="AB11" i="4"/>
  <c r="X11" i="4"/>
  <c r="W11" i="4"/>
  <c r="S11" i="4"/>
  <c r="R11" i="4"/>
  <c r="N11" i="4"/>
  <c r="M11" i="4"/>
  <c r="I11" i="4"/>
  <c r="H11" i="4"/>
  <c r="BO10" i="4"/>
  <c r="BQ10" i="4" s="1"/>
  <c r="BN10" i="4"/>
  <c r="BM10" i="4"/>
  <c r="BL10" i="4"/>
  <c r="BK10" i="4"/>
  <c r="BG10" i="4"/>
  <c r="BF10" i="4"/>
  <c r="BB10" i="4"/>
  <c r="BA10" i="4"/>
  <c r="AW10" i="4"/>
  <c r="AV10" i="4"/>
  <c r="AR10" i="4"/>
  <c r="AQ10" i="4"/>
  <c r="AM10" i="4"/>
  <c r="AL10" i="4"/>
  <c r="AH10" i="4"/>
  <c r="AG10" i="4"/>
  <c r="AC10" i="4"/>
  <c r="AB10" i="4"/>
  <c r="X10" i="4"/>
  <c r="W10" i="4"/>
  <c r="S10" i="4"/>
  <c r="R10" i="4"/>
  <c r="N10" i="4"/>
  <c r="M10" i="4"/>
  <c r="I10" i="4"/>
  <c r="H10" i="4"/>
  <c r="BQ9" i="4"/>
  <c r="BO9" i="4"/>
  <c r="BP9" i="4" s="1"/>
  <c r="BN9" i="4"/>
  <c r="BM9" i="4"/>
  <c r="BL9" i="4"/>
  <c r="BK9" i="4"/>
  <c r="BG9" i="4"/>
  <c r="BF9" i="4"/>
  <c r="BB9" i="4"/>
  <c r="BA9" i="4"/>
  <c r="AW9" i="4"/>
  <c r="AV9" i="4"/>
  <c r="AR9" i="4"/>
  <c r="AQ9" i="4"/>
  <c r="AM9" i="4"/>
  <c r="AL9" i="4"/>
  <c r="AH9" i="4"/>
  <c r="AG9" i="4"/>
  <c r="AC9" i="4"/>
  <c r="AB9" i="4"/>
  <c r="X9" i="4"/>
  <c r="W9" i="4"/>
  <c r="S9" i="4"/>
  <c r="R9" i="4"/>
  <c r="N9" i="4"/>
  <c r="M9" i="4"/>
  <c r="I9" i="4"/>
  <c r="H9" i="4"/>
  <c r="BO8" i="4"/>
  <c r="BP8" i="4" s="1"/>
  <c r="BN8" i="4"/>
  <c r="BM8" i="4"/>
  <c r="BQ8" i="4" s="1"/>
  <c r="BL8" i="4"/>
  <c r="BK8" i="4"/>
  <c r="BG8" i="4"/>
  <c r="BF8" i="4"/>
  <c r="BB8" i="4"/>
  <c r="BA8" i="4"/>
  <c r="AW8" i="4"/>
  <c r="AV8" i="4"/>
  <c r="AR8" i="4"/>
  <c r="AQ8" i="4"/>
  <c r="AM8" i="4"/>
  <c r="AL8" i="4"/>
  <c r="AH8" i="4"/>
  <c r="AG8" i="4"/>
  <c r="AC8" i="4"/>
  <c r="AB8" i="4"/>
  <c r="X8" i="4"/>
  <c r="W8" i="4"/>
  <c r="S8" i="4"/>
  <c r="R8" i="4"/>
  <c r="N8" i="4"/>
  <c r="M8" i="4"/>
  <c r="I8" i="4"/>
  <c r="H8" i="4"/>
  <c r="BO7" i="4"/>
  <c r="BP7" i="4" s="1"/>
  <c r="BN7" i="4"/>
  <c r="BN13" i="4" s="1"/>
  <c r="BM7" i="4"/>
  <c r="BM13" i="4" s="1"/>
  <c r="BL7" i="4"/>
  <c r="BK7" i="4"/>
  <c r="BK13" i="4" s="1"/>
  <c r="BG7" i="4"/>
  <c r="BF7" i="4"/>
  <c r="BF13" i="4" s="1"/>
  <c r="BB7" i="4"/>
  <c r="BA7" i="4"/>
  <c r="BA13" i="4" s="1"/>
  <c r="AW7" i="4"/>
  <c r="AV7" i="4"/>
  <c r="AV13" i="4" s="1"/>
  <c r="AR7" i="4"/>
  <c r="AQ7" i="4"/>
  <c r="AQ13" i="4" s="1"/>
  <c r="AM7" i="4"/>
  <c r="AL7" i="4"/>
  <c r="AL13" i="4" s="1"/>
  <c r="AH7" i="4"/>
  <c r="AG7" i="4"/>
  <c r="AG13" i="4" s="1"/>
  <c r="AC7" i="4"/>
  <c r="AB7" i="4"/>
  <c r="AB13" i="4" s="1"/>
  <c r="X7" i="4"/>
  <c r="W7" i="4"/>
  <c r="W13" i="4" s="1"/>
  <c r="S7" i="4"/>
  <c r="R7" i="4"/>
  <c r="R13" i="4" s="1"/>
  <c r="N7" i="4"/>
  <c r="M7" i="4"/>
  <c r="M13" i="4" s="1"/>
  <c r="I7" i="4"/>
  <c r="H7" i="4"/>
  <c r="H13" i="4" s="1"/>
  <c r="BH24" i="3"/>
  <c r="BF24" i="3"/>
  <c r="BC24" i="3"/>
  <c r="BA24" i="3"/>
  <c r="AX24" i="3"/>
  <c r="AV24" i="3"/>
  <c r="AS24" i="3"/>
  <c r="AQ24" i="3"/>
  <c r="AN24" i="3"/>
  <c r="AL24" i="3"/>
  <c r="AI24" i="3"/>
  <c r="AG24" i="3"/>
  <c r="AD24" i="3"/>
  <c r="AB24" i="3"/>
  <c r="Y24" i="3"/>
  <c r="W24" i="3"/>
  <c r="T24" i="3"/>
  <c r="R24" i="3"/>
  <c r="O24" i="3"/>
  <c r="N24" i="3"/>
  <c r="K24" i="3"/>
  <c r="J24" i="3"/>
  <c r="F24" i="3"/>
  <c r="BM25" i="3"/>
  <c r="BK25" i="3"/>
  <c r="BJ25" i="3"/>
  <c r="BI25" i="3"/>
  <c r="BE25" i="3"/>
  <c r="BD25" i="3"/>
  <c r="AZ25" i="3"/>
  <c r="AY25" i="3"/>
  <c r="AU25" i="3"/>
  <c r="AT25" i="3"/>
  <c r="AP25" i="3"/>
  <c r="AO25" i="3"/>
  <c r="AK25" i="3"/>
  <c r="AJ25" i="3"/>
  <c r="AF25" i="3"/>
  <c r="AE25" i="3"/>
  <c r="AA25" i="3"/>
  <c r="Z25" i="3"/>
  <c r="V25" i="3"/>
  <c r="U25" i="3"/>
  <c r="Q25" i="3"/>
  <c r="P25" i="3"/>
  <c r="M25" i="3"/>
  <c r="L25" i="3"/>
  <c r="I25" i="3"/>
  <c r="H25" i="3"/>
  <c r="BM12" i="3"/>
  <c r="BN12" i="3" s="1"/>
  <c r="BL12" i="3"/>
  <c r="BK12" i="3"/>
  <c r="BJ12" i="3"/>
  <c r="BI12" i="3"/>
  <c r="BE12" i="3"/>
  <c r="BD12" i="3"/>
  <c r="AZ12" i="3"/>
  <c r="AY12" i="3"/>
  <c r="AU12" i="3"/>
  <c r="AT12" i="3"/>
  <c r="AP12" i="3"/>
  <c r="AO12" i="3"/>
  <c r="AK12" i="3"/>
  <c r="AJ12" i="3"/>
  <c r="AF12" i="3"/>
  <c r="AE12" i="3"/>
  <c r="AA12" i="3"/>
  <c r="Z12" i="3"/>
  <c r="V12" i="3"/>
  <c r="U12" i="3"/>
  <c r="Q12" i="3"/>
  <c r="P12" i="3"/>
  <c r="M12" i="3"/>
  <c r="L12" i="3"/>
  <c r="I12" i="3"/>
  <c r="H12" i="3"/>
  <c r="BM11" i="3"/>
  <c r="BN11" i="3" s="1"/>
  <c r="BL11" i="3"/>
  <c r="BK11" i="3"/>
  <c r="BJ11" i="3"/>
  <c r="BI11" i="3"/>
  <c r="BE11" i="3"/>
  <c r="BD11" i="3"/>
  <c r="AZ11" i="3"/>
  <c r="AY11" i="3"/>
  <c r="AU11" i="3"/>
  <c r="AT11" i="3"/>
  <c r="AP11" i="3"/>
  <c r="AO11" i="3"/>
  <c r="AK11" i="3"/>
  <c r="AJ11" i="3"/>
  <c r="AF11" i="3"/>
  <c r="AE11" i="3"/>
  <c r="AA11" i="3"/>
  <c r="Z11" i="3"/>
  <c r="V11" i="3"/>
  <c r="U11" i="3"/>
  <c r="Q11" i="3"/>
  <c r="P11" i="3"/>
  <c r="M11" i="3"/>
  <c r="L11" i="3"/>
  <c r="I11" i="3"/>
  <c r="H11" i="3"/>
  <c r="BM10" i="3"/>
  <c r="BN10" i="3" s="1"/>
  <c r="BL10" i="3"/>
  <c r="BK10" i="3"/>
  <c r="BJ10" i="3"/>
  <c r="BI10" i="3"/>
  <c r="BE10" i="3"/>
  <c r="BD10" i="3"/>
  <c r="AZ10" i="3"/>
  <c r="AY10" i="3"/>
  <c r="AU10" i="3"/>
  <c r="AT10" i="3"/>
  <c r="AP10" i="3"/>
  <c r="AO10" i="3"/>
  <c r="AK10" i="3"/>
  <c r="AJ10" i="3"/>
  <c r="AF10" i="3"/>
  <c r="AE10" i="3"/>
  <c r="AA10" i="3"/>
  <c r="Z10" i="3"/>
  <c r="V10" i="3"/>
  <c r="U10" i="3"/>
  <c r="Q10" i="3"/>
  <c r="P10" i="3"/>
  <c r="M10" i="3"/>
  <c r="L10" i="3"/>
  <c r="I10" i="3"/>
  <c r="H10" i="3"/>
  <c r="BM9" i="3"/>
  <c r="BL9" i="3"/>
  <c r="BK9" i="3"/>
  <c r="BJ9" i="3"/>
  <c r="BI9" i="3"/>
  <c r="BE9" i="3"/>
  <c r="BD9" i="3"/>
  <c r="AZ9" i="3"/>
  <c r="AY9" i="3"/>
  <c r="AU9" i="3"/>
  <c r="AT9" i="3"/>
  <c r="AP9" i="3"/>
  <c r="AO9" i="3"/>
  <c r="AK9" i="3"/>
  <c r="AJ9" i="3"/>
  <c r="AF9" i="3"/>
  <c r="AE9" i="3"/>
  <c r="AA9" i="3"/>
  <c r="Z9" i="3"/>
  <c r="V9" i="3"/>
  <c r="U9" i="3"/>
  <c r="Q9" i="3"/>
  <c r="P9" i="3"/>
  <c r="M9" i="3"/>
  <c r="L9" i="3"/>
  <c r="I9" i="3"/>
  <c r="H9" i="3"/>
  <c r="BM8" i="3"/>
  <c r="BN8" i="3" s="1"/>
  <c r="BL8" i="3"/>
  <c r="BK8" i="3"/>
  <c r="BJ8" i="3"/>
  <c r="BI8" i="3"/>
  <c r="BE8" i="3"/>
  <c r="BD8" i="3"/>
  <c r="AZ8" i="3"/>
  <c r="AY8" i="3"/>
  <c r="AU8" i="3"/>
  <c r="AT8" i="3"/>
  <c r="AP8" i="3"/>
  <c r="AO8" i="3"/>
  <c r="AK8" i="3"/>
  <c r="AJ8" i="3"/>
  <c r="AF8" i="3"/>
  <c r="AE8" i="3"/>
  <c r="AA8" i="3"/>
  <c r="Z8" i="3"/>
  <c r="V8" i="3"/>
  <c r="U8" i="3"/>
  <c r="Q8" i="3"/>
  <c r="P8" i="3"/>
  <c r="M8" i="3"/>
  <c r="L8" i="3"/>
  <c r="I8" i="3"/>
  <c r="H8" i="3"/>
  <c r="BM7" i="3"/>
  <c r="BN7" i="3" s="1"/>
  <c r="BL7" i="3"/>
  <c r="BK7" i="3"/>
  <c r="BJ7" i="3"/>
  <c r="BI7" i="3"/>
  <c r="BE7" i="3"/>
  <c r="BD7" i="3"/>
  <c r="AZ7" i="3"/>
  <c r="AY7" i="3"/>
  <c r="AU7" i="3"/>
  <c r="AT7" i="3"/>
  <c r="AP7" i="3"/>
  <c r="AO7" i="3"/>
  <c r="AK7" i="3"/>
  <c r="AJ7" i="3"/>
  <c r="AF7" i="3"/>
  <c r="AE7" i="3"/>
  <c r="AA7" i="3"/>
  <c r="Z7" i="3"/>
  <c r="V7" i="3"/>
  <c r="U7" i="3"/>
  <c r="Q7" i="3"/>
  <c r="P7" i="3"/>
  <c r="M7" i="3"/>
  <c r="L7" i="3"/>
  <c r="I7" i="3"/>
  <c r="H7" i="3"/>
  <c r="BM6" i="3"/>
  <c r="BL6" i="3"/>
  <c r="BK6" i="3"/>
  <c r="BJ6" i="3"/>
  <c r="BI6" i="3"/>
  <c r="BE6" i="3"/>
  <c r="BD6" i="3"/>
  <c r="AZ6" i="3"/>
  <c r="AY6" i="3"/>
  <c r="AU6" i="3"/>
  <c r="AT6" i="3"/>
  <c r="AP6" i="3"/>
  <c r="AO6" i="3"/>
  <c r="AK6" i="3"/>
  <c r="AJ6" i="3"/>
  <c r="AF6" i="3"/>
  <c r="AE6" i="3"/>
  <c r="AA6" i="3"/>
  <c r="Z6" i="3"/>
  <c r="V6" i="3"/>
  <c r="U6" i="3"/>
  <c r="Q6" i="3"/>
  <c r="P6" i="3"/>
  <c r="M6" i="3"/>
  <c r="L6" i="3"/>
  <c r="I6" i="3"/>
  <c r="H6" i="3"/>
  <c r="BM5" i="3"/>
  <c r="BL5" i="3"/>
  <c r="BK5" i="3"/>
  <c r="BJ5" i="3"/>
  <c r="BI5" i="3"/>
  <c r="BE5" i="3"/>
  <c r="BD5" i="3"/>
  <c r="AZ5" i="3"/>
  <c r="AY5" i="3"/>
  <c r="AU5" i="3"/>
  <c r="AT5" i="3"/>
  <c r="AP5" i="3"/>
  <c r="AO5" i="3"/>
  <c r="AK5" i="3"/>
  <c r="AJ5" i="3"/>
  <c r="AF5" i="3"/>
  <c r="AE5" i="3"/>
  <c r="AA5" i="3"/>
  <c r="Z5" i="3"/>
  <c r="V5" i="3"/>
  <c r="U5" i="3"/>
  <c r="Q5" i="3"/>
  <c r="P5" i="3"/>
  <c r="M5" i="3"/>
  <c r="L5" i="3"/>
  <c r="I5" i="3"/>
  <c r="H5" i="3"/>
  <c r="BM4" i="3"/>
  <c r="BN4" i="3" s="1"/>
  <c r="BL4" i="3"/>
  <c r="BK4" i="3"/>
  <c r="BJ4" i="3"/>
  <c r="BI4" i="3"/>
  <c r="BE4" i="3"/>
  <c r="BD4" i="3"/>
  <c r="AZ4" i="3"/>
  <c r="AY4" i="3"/>
  <c r="AU4" i="3"/>
  <c r="AT4" i="3"/>
  <c r="AP4" i="3"/>
  <c r="AO4" i="3"/>
  <c r="AK4" i="3"/>
  <c r="AJ4" i="3"/>
  <c r="AF4" i="3"/>
  <c r="AE4" i="3"/>
  <c r="AA4" i="3"/>
  <c r="Z4" i="3"/>
  <c r="V4" i="3"/>
  <c r="U4" i="3"/>
  <c r="Q4" i="3"/>
  <c r="P4" i="3"/>
  <c r="M4" i="3"/>
  <c r="L4" i="3"/>
  <c r="I4" i="3"/>
  <c r="H4" i="3"/>
  <c r="AW9" i="2"/>
  <c r="AW10" i="2" s="1"/>
  <c r="AW11" i="2" s="1"/>
  <c r="AW15" i="2" s="1"/>
  <c r="AV9" i="2"/>
  <c r="AV13" i="2" s="1"/>
  <c r="AS9" i="2"/>
  <c r="AS10" i="2" s="1"/>
  <c r="AS11" i="2" s="1"/>
  <c r="AS15" i="2" s="1"/>
  <c r="AR9" i="2"/>
  <c r="AR13" i="2" s="1"/>
  <c r="AO9" i="2"/>
  <c r="AO10" i="2" s="1"/>
  <c r="AO11" i="2" s="1"/>
  <c r="AO15" i="2" s="1"/>
  <c r="AN9" i="2"/>
  <c r="AN13" i="2" s="1"/>
  <c r="AK9" i="2"/>
  <c r="AK10" i="2" s="1"/>
  <c r="AK11" i="2" s="1"/>
  <c r="AK15" i="2" s="1"/>
  <c r="AJ9" i="2"/>
  <c r="AJ12" i="2" s="1"/>
  <c r="AG9" i="2"/>
  <c r="AH9" i="2" s="1"/>
  <c r="AF9" i="2"/>
  <c r="AF13" i="2" s="1"/>
  <c r="AC9" i="2"/>
  <c r="AC10" i="2" s="1"/>
  <c r="AC11" i="2" s="1"/>
  <c r="AC15" i="2" s="1"/>
  <c r="AB9" i="2"/>
  <c r="AB13" i="2" s="1"/>
  <c r="Y9" i="2"/>
  <c r="Z9" i="2" s="1"/>
  <c r="X9" i="2"/>
  <c r="X13" i="2" s="1"/>
  <c r="U9" i="2"/>
  <c r="V9" i="2" s="1"/>
  <c r="T9" i="2"/>
  <c r="T12" i="2" s="1"/>
  <c r="Q9" i="2"/>
  <c r="Q10" i="2" s="1"/>
  <c r="Q11" i="2" s="1"/>
  <c r="Q15" i="2" s="1"/>
  <c r="P9" i="2"/>
  <c r="P13" i="2" s="1"/>
  <c r="M9" i="2"/>
  <c r="L9" i="2"/>
  <c r="L13" i="2" s="1"/>
  <c r="I9" i="2"/>
  <c r="H9" i="2"/>
  <c r="H13" i="2" s="1"/>
  <c r="E9" i="2"/>
  <c r="E10" i="2" s="1"/>
  <c r="D9" i="2"/>
  <c r="D12" i="2" s="1"/>
  <c r="BA8" i="2"/>
  <c r="AZ8" i="2"/>
  <c r="AY8" i="2"/>
  <c r="AX8" i="2"/>
  <c r="AU8" i="2"/>
  <c r="AT8" i="2"/>
  <c r="AQ8" i="2"/>
  <c r="AP8" i="2"/>
  <c r="AM8" i="2"/>
  <c r="AL8" i="2"/>
  <c r="AI8" i="2"/>
  <c r="AH8" i="2"/>
  <c r="AE8" i="2"/>
  <c r="AD8" i="2"/>
  <c r="AA8" i="2"/>
  <c r="Z8" i="2"/>
  <c r="W8" i="2"/>
  <c r="V8" i="2"/>
  <c r="S8" i="2"/>
  <c r="R8" i="2"/>
  <c r="O8" i="2"/>
  <c r="N8" i="2"/>
  <c r="K8" i="2"/>
  <c r="J8" i="2"/>
  <c r="G8" i="2"/>
  <c r="F8" i="2"/>
  <c r="BA7" i="2"/>
  <c r="AZ7" i="2"/>
  <c r="AY7" i="2"/>
  <c r="AX7" i="2"/>
  <c r="AU7" i="2"/>
  <c r="AT7" i="2"/>
  <c r="AQ7" i="2"/>
  <c r="AP7" i="2"/>
  <c r="AM7" i="2"/>
  <c r="AL7" i="2"/>
  <c r="AI7" i="2"/>
  <c r="AH7" i="2"/>
  <c r="AE7" i="2"/>
  <c r="AD7" i="2"/>
  <c r="AA7" i="2"/>
  <c r="Z7" i="2"/>
  <c r="W7" i="2"/>
  <c r="V7" i="2"/>
  <c r="S7" i="2"/>
  <c r="R7" i="2"/>
  <c r="O7" i="2"/>
  <c r="N7" i="2"/>
  <c r="K7" i="2"/>
  <c r="J7" i="2"/>
  <c r="G7" i="2"/>
  <c r="F7" i="2"/>
  <c r="BA6" i="2"/>
  <c r="AZ6" i="2"/>
  <c r="AZ9" i="2" s="1"/>
  <c r="AY6" i="2"/>
  <c r="AX6" i="2"/>
  <c r="AU6" i="2"/>
  <c r="AT6" i="2"/>
  <c r="AQ6" i="2"/>
  <c r="AP6" i="2"/>
  <c r="AM6" i="2"/>
  <c r="AL6" i="2"/>
  <c r="AI6" i="2"/>
  <c r="AH6" i="2"/>
  <c r="AE6" i="2"/>
  <c r="AD6" i="2"/>
  <c r="AA6" i="2"/>
  <c r="Z6" i="2"/>
  <c r="W6" i="2"/>
  <c r="V6" i="2"/>
  <c r="S6" i="2"/>
  <c r="R6" i="2"/>
  <c r="O6" i="2"/>
  <c r="N6" i="2"/>
  <c r="K6" i="2"/>
  <c r="J6" i="2"/>
  <c r="G6" i="2"/>
  <c r="F6" i="2"/>
  <c r="BA5" i="2"/>
  <c r="BB5" i="2" s="1"/>
  <c r="AZ5" i="2"/>
  <c r="AY5" i="2"/>
  <c r="AX5" i="2"/>
  <c r="AU5" i="2"/>
  <c r="AT5" i="2"/>
  <c r="AQ5" i="2"/>
  <c r="AP5" i="2"/>
  <c r="AM5" i="2"/>
  <c r="AL5" i="2"/>
  <c r="AI5" i="2"/>
  <c r="AH5" i="2"/>
  <c r="AE5" i="2"/>
  <c r="AD5" i="2"/>
  <c r="AA5" i="2"/>
  <c r="Z5" i="2"/>
  <c r="W5" i="2"/>
  <c r="V5" i="2"/>
  <c r="S5" i="2"/>
  <c r="R5" i="2"/>
  <c r="O5" i="2"/>
  <c r="N5" i="2"/>
  <c r="K5" i="2"/>
  <c r="J5" i="2"/>
  <c r="G5" i="2"/>
  <c r="F5" i="2"/>
  <c r="AZ11" i="1"/>
  <c r="AY11" i="1"/>
  <c r="AV11" i="1"/>
  <c r="AU11" i="1"/>
  <c r="AR11" i="1"/>
  <c r="AQ11" i="1"/>
  <c r="AN11" i="1"/>
  <c r="AM11" i="1"/>
  <c r="AJ11" i="1"/>
  <c r="AI11" i="1"/>
  <c r="AF11" i="1"/>
  <c r="AE11" i="1"/>
  <c r="AB11" i="1"/>
  <c r="AA11" i="1"/>
  <c r="X11" i="1"/>
  <c r="W11" i="1"/>
  <c r="T11" i="1"/>
  <c r="S11" i="1"/>
  <c r="AZ10" i="1"/>
  <c r="AY10" i="1"/>
  <c r="AV10" i="1"/>
  <c r="AU10" i="1"/>
  <c r="AR10" i="1"/>
  <c r="AQ10" i="1"/>
  <c r="AN10" i="1"/>
  <c r="AM10" i="1"/>
  <c r="AJ10" i="1"/>
  <c r="AI10" i="1"/>
  <c r="AF10" i="1"/>
  <c r="AE10" i="1"/>
  <c r="AB10" i="1"/>
  <c r="AA10" i="1"/>
  <c r="X10" i="1"/>
  <c r="W10" i="1"/>
  <c r="T10" i="1"/>
  <c r="S10" i="1"/>
  <c r="BB9" i="1"/>
  <c r="BA9" i="1"/>
  <c r="AZ9" i="1"/>
  <c r="AY9" i="1"/>
  <c r="AV9" i="1"/>
  <c r="AU9" i="1"/>
  <c r="AR9" i="1"/>
  <c r="AQ9" i="1"/>
  <c r="AN9" i="1"/>
  <c r="AM9" i="1"/>
  <c r="AJ9" i="1"/>
  <c r="AI9" i="1"/>
  <c r="AF9" i="1"/>
  <c r="AE9" i="1"/>
  <c r="AB9" i="1"/>
  <c r="AA9" i="1"/>
  <c r="X9" i="1"/>
  <c r="W9" i="1"/>
  <c r="T9" i="1"/>
  <c r="S9" i="1"/>
  <c r="P9" i="1"/>
  <c r="O9" i="1"/>
  <c r="L9" i="1"/>
  <c r="K9" i="1"/>
  <c r="H9" i="1"/>
  <c r="G9" i="1"/>
  <c r="BB8" i="1"/>
  <c r="BA8" i="1"/>
  <c r="AZ8" i="1"/>
  <c r="AY8" i="1"/>
  <c r="AV8" i="1"/>
  <c r="AU8" i="1"/>
  <c r="AR8" i="1"/>
  <c r="AQ8" i="1"/>
  <c r="AN8" i="1"/>
  <c r="AM8" i="1"/>
  <c r="AJ8" i="1"/>
  <c r="AI8" i="1"/>
  <c r="AF8" i="1"/>
  <c r="AE8" i="1"/>
  <c r="AB8" i="1"/>
  <c r="AA8" i="1"/>
  <c r="X8" i="1"/>
  <c r="W8" i="1"/>
  <c r="T8" i="1"/>
  <c r="S8" i="1"/>
  <c r="P8" i="1"/>
  <c r="O8" i="1"/>
  <c r="L8" i="1"/>
  <c r="K8" i="1"/>
  <c r="H8" i="1"/>
  <c r="G8" i="1"/>
  <c r="AZ7" i="1"/>
  <c r="AY7" i="1"/>
  <c r="AV7" i="1"/>
  <c r="AU7" i="1"/>
  <c r="AR7" i="1"/>
  <c r="AQ7" i="1"/>
  <c r="AN7" i="1"/>
  <c r="AM7" i="1"/>
  <c r="AJ7" i="1"/>
  <c r="AI7" i="1"/>
  <c r="AF7" i="1"/>
  <c r="AE7" i="1"/>
  <c r="AB7" i="1"/>
  <c r="AA7" i="1"/>
  <c r="X7" i="1"/>
  <c r="W7" i="1"/>
  <c r="T7" i="1"/>
  <c r="S7" i="1"/>
  <c r="BB6" i="1"/>
  <c r="BA6" i="1"/>
  <c r="AZ6" i="1"/>
  <c r="AY6" i="1"/>
  <c r="AV6" i="1"/>
  <c r="AU6" i="1"/>
  <c r="AR6" i="1"/>
  <c r="AQ6" i="1"/>
  <c r="AN6" i="1"/>
  <c r="AM6" i="1"/>
  <c r="AJ6" i="1"/>
  <c r="AI6" i="1"/>
  <c r="AF6" i="1"/>
  <c r="AE6" i="1"/>
  <c r="AB6" i="1"/>
  <c r="AA6" i="1"/>
  <c r="X6" i="1"/>
  <c r="W6" i="1"/>
  <c r="T6" i="1"/>
  <c r="S6" i="1"/>
  <c r="P6" i="1"/>
  <c r="O6" i="1"/>
  <c r="L6" i="1"/>
  <c r="K6" i="1"/>
  <c r="G6" i="1"/>
  <c r="BB5" i="1"/>
  <c r="BA5" i="1"/>
  <c r="AZ5" i="1"/>
  <c r="AY5" i="1"/>
  <c r="AV5" i="1"/>
  <c r="AU5" i="1"/>
  <c r="AR5" i="1"/>
  <c r="AQ5" i="1"/>
  <c r="AN5" i="1"/>
  <c r="AM5" i="1"/>
  <c r="AJ5" i="1"/>
  <c r="AI5" i="1"/>
  <c r="AF5" i="1"/>
  <c r="AE5" i="1"/>
  <c r="AB5" i="1"/>
  <c r="AA5" i="1"/>
  <c r="X5" i="1"/>
  <c r="W5" i="1"/>
  <c r="T5" i="1"/>
  <c r="S5" i="1"/>
  <c r="P5" i="1"/>
  <c r="O5" i="1"/>
  <c r="L5" i="1"/>
  <c r="K5" i="1"/>
  <c r="H5" i="1"/>
  <c r="G5" i="1"/>
  <c r="BO25" i="3" l="1"/>
  <c r="BO8" i="3"/>
  <c r="BO9" i="3"/>
  <c r="BO4" i="3"/>
  <c r="BO5" i="3"/>
  <c r="BO6" i="3"/>
  <c r="BO7" i="3"/>
  <c r="BO11" i="3"/>
  <c r="BO12" i="3"/>
  <c r="M15" i="2"/>
  <c r="AZ13" i="2"/>
  <c r="AZ11" i="2"/>
  <c r="BC6" i="2"/>
  <c r="I15" i="2"/>
  <c r="L12" i="2"/>
  <c r="AB12" i="2"/>
  <c r="AR12" i="2"/>
  <c r="G9" i="2"/>
  <c r="I11" i="2"/>
  <c r="I12" i="2"/>
  <c r="H10" i="2"/>
  <c r="P10" i="2"/>
  <c r="X10" i="2"/>
  <c r="AF10" i="2"/>
  <c r="AN10" i="2"/>
  <c r="AV10" i="2"/>
  <c r="I13" i="2"/>
  <c r="H11" i="2"/>
  <c r="P11" i="2"/>
  <c r="X11" i="2"/>
  <c r="AF11" i="2"/>
  <c r="AN11" i="2"/>
  <c r="AV11" i="2"/>
  <c r="H12" i="2"/>
  <c r="X12" i="2"/>
  <c r="AN12" i="2"/>
  <c r="J9" i="2"/>
  <c r="F9" i="2"/>
  <c r="E13" i="2"/>
  <c r="E12" i="2"/>
  <c r="E11" i="2"/>
  <c r="AZ12" i="2"/>
  <c r="AZ10" i="2"/>
  <c r="AX9" i="2"/>
  <c r="AP9" i="2"/>
  <c r="N9" i="2"/>
  <c r="BC7" i="2"/>
  <c r="BC5" i="2"/>
  <c r="BC8" i="2"/>
  <c r="G7" i="1"/>
  <c r="BB11" i="1"/>
  <c r="L10" i="1"/>
  <c r="M10" i="1"/>
  <c r="P11" i="1"/>
  <c r="G11" i="1"/>
  <c r="K11" i="1"/>
  <c r="P7" i="1"/>
  <c r="O7" i="1"/>
  <c r="K7" i="1"/>
  <c r="O11" i="1"/>
  <c r="BB7" i="1"/>
  <c r="BC7" i="1" s="1"/>
  <c r="L7" i="1"/>
  <c r="BA11" i="1"/>
  <c r="H11" i="1"/>
  <c r="BB10" i="1"/>
  <c r="H10" i="1"/>
  <c r="BD5" i="1"/>
  <c r="BD9" i="1"/>
  <c r="BD8" i="1"/>
  <c r="BD6" i="1"/>
  <c r="BC5" i="1"/>
  <c r="BC9" i="1"/>
  <c r="BB7" i="2"/>
  <c r="AL9" i="2"/>
  <c r="BO10" i="3"/>
  <c r="BQ7" i="4"/>
  <c r="BQ13" i="4" s="1"/>
  <c r="BP12" i="4"/>
  <c r="R9" i="2"/>
  <c r="AG10" i="2"/>
  <c r="AG11" i="2" s="1"/>
  <c r="AG15" i="2" s="1"/>
  <c r="BC9" i="6"/>
  <c r="AD9" i="2"/>
  <c r="BN9" i="3"/>
  <c r="BN25" i="3"/>
  <c r="U10" i="2"/>
  <c r="U11" i="2" s="1"/>
  <c r="U15" i="2" s="1"/>
  <c r="BN6" i="3"/>
  <c r="BP11" i="4"/>
  <c r="BC6" i="1"/>
  <c r="BC8" i="1"/>
  <c r="BB6" i="2"/>
  <c r="BB8" i="2"/>
  <c r="BO13" i="4"/>
  <c r="Y10" i="2"/>
  <c r="Y11" i="2" s="1"/>
  <c r="Y15" i="2" s="1"/>
  <c r="BC10" i="6"/>
  <c r="AT9" i="2"/>
  <c r="BN5" i="3"/>
  <c r="BP10" i="4"/>
  <c r="BP13" i="4" s="1"/>
  <c r="E15" i="2" l="1"/>
  <c r="BD11" i="1"/>
  <c r="BC11" i="1"/>
  <c r="BA10" i="1"/>
  <c r="BC10" i="1" s="1"/>
  <c r="P10" i="1"/>
  <c r="O10" i="1"/>
  <c r="BD7" i="1"/>
  <c r="BD10" i="1"/>
</calcChain>
</file>

<file path=xl/sharedStrings.xml><?xml version="1.0" encoding="utf-8"?>
<sst xmlns="http://schemas.openxmlformats.org/spreadsheetml/2006/main" count="676" uniqueCount="163">
  <si>
    <t>📊  SEGUIMIENTO PRODUCCIÓN Y CONSUMO HÍDRICO — PROYECCIÓN vs REAL 2026 | PTAR 2 BOGOTÁ</t>
  </si>
  <si>
    <t>🔵 Azul = Dato Proyectado (Plan Maestro)   |   🟡 Amarillo = Celda de ingreso (dato real)   |   🟢 Verde = Fórmula calculada automáticamente   |   %CUMPL: verde ≤ 100% (bajo meta consumo), rojo &gt; 100%</t>
  </si>
  <si>
    <t>CATEGORÍA</t>
  </si>
  <si>
    <t>ÍTEM / INDICADOR</t>
  </si>
  <si>
    <t>UNIDAD</t>
  </si>
  <si>
    <t>META / REF.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</si>
  <si>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</si>
  <si>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</si>
  <si>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</si>
  <si>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</si>
  <si>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</si>
  <si>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</si>
  <si>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</si>
  <si>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</si>
  <si>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</si>
  <si>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</si>
  <si>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</si>
  <si>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</si>
  <si>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ACUMULADO AÑO</t>
  </si>
  <si>
    <t>PROY</t>
  </si>
  <si>
    <t>REAL</t>
  </si>
  <si>
    <t>DESV</t>
  </si>
  <si>
    <t>%CUMPL</t>
  </si>
  <si>
    <t>Producción — Kg tela teñidos</t>
  </si>
  <si>
    <t>kg</t>
  </si>
  <si>
    <t>Consumo agua tintorería total</t>
  </si>
  <si>
    <t>m³</t>
  </si>
  <si>
    <t>Indicador hídrico tintorería</t>
  </si>
  <si>
    <t>L/kg</t>
  </si>
  <si>
    <t>60,0 L/kg (meta)</t>
  </si>
  <si>
    <t>Producción — Unidades efectivas</t>
  </si>
  <si>
    <t>und ef.</t>
  </si>
  <si>
    <t>Consumo agua lavandería total</t>
  </si>
  <si>
    <t>Indicador hídrico lavandería</t>
  </si>
  <si>
    <t>L/und ef.</t>
  </si>
  <si>
    <t>34,0 L/und (meta)</t>
  </si>
  <si>
    <t>Consumo agua total producción</t>
  </si>
  <si>
    <t>💧  SEGUIMIENTO FUENTES DE ABASTECIMIENTO DE AGUA — PROYECCIÓN vs REAL 2026 | PTAR 2 BOGOTÁ</t>
  </si>
  <si>
    <t>🔵 Proyectado = Plan Maestro 2026   |   🟡 Real = dato mensual a registrar   |   🟢 Fórmulas automáticas   |   Meta: maximizar fuentes internas (RO + PTAP), minimizar externas (Acueducto + Carrotanques)</t>
  </si>
  <si>
    <t>TIPO</t>
  </si>
  <si>
    <t>FUENTE DE ABASTECIMIENTO</t>
  </si>
  <si>
    <t>PROY (m³)</t>
  </si>
  <si>
    <t>REAL (m³)</t>
  </si>
  <si>
    <t>DESV (m³)</t>
  </si>
  <si>
    <t>% CUMPL</t>
  </si>
  <si>
    <t>EXTERNA</t>
  </si>
  <si>
    <t>Acueducto</t>
  </si>
  <si>
    <t>Carrotanques</t>
  </si>
  <si>
    <t>INTERNA</t>
  </si>
  <si>
    <t>Ósmosis Inversa (permeado RO)</t>
  </si>
  <si>
    <t>PTAP (pozo profundo)</t>
  </si>
  <si>
    <t>COSTO TOTAL ABASTECIMIENTO (COP)</t>
  </si>
  <si>
    <t>COSTO UNITARIO ABASTECIMIENTO ($/m³)</t>
  </si>
  <si>
    <t>🧪  SEGUIMIENTO QUÍMICOS FASE 2 — GEM/MBR | PROYECCIÓN vs REAL 2026 | PTAR 2 BOGOTÁ</t>
  </si>
  <si>
    <t>🔵 Proyectado = Plan Maestro 2026 (texto azul)   |   🟡 SOLIC = Cantidad solicitada al proveedor   |   🟡 REAL = Cantidad consumida (a registrar)   |   🟢 DESV y %CUMPL = Cálculo automático   |   %CUMPL: ≤100% favorable (menos consumo que proyectado)</t>
  </si>
  <si>
    <t>VOL. GEM PLAN MAESTRO (m³)</t>
  </si>
  <si>
    <t>CLASIFICACIÓN</t>
  </si>
  <si>
    <t>QUÍMICO / INSUMO</t>
  </si>
  <si>
    <t>DOSIF.
(kg/m³)</t>
  </si>
  <si>
    <t>SOLIC</t>
  </si>
  <si>
    <t>PTAR Fase 2</t>
  </si>
  <si>
    <t>Ácido clorhídrico 31,5%</t>
  </si>
  <si>
    <t>Sodio bisulfito</t>
  </si>
  <si>
    <t>Nitrato de plata</t>
  </si>
  <si>
    <t>Acidificante (COF 280)</t>
  </si>
  <si>
    <t>Floculante catiónico (COF 494)</t>
  </si>
  <si>
    <t>Floculante aniónico (COF 440)</t>
  </si>
  <si>
    <t>Coagulante (COF 235)</t>
  </si>
  <si>
    <t>Decolorante (COF 255)</t>
  </si>
  <si>
    <t>Hipoclorito de sodio</t>
  </si>
  <si>
    <t>SUBTOTAL CANTIDAD (kg)</t>
  </si>
  <si>
    <t>COSTO TOTAL QUÍMICOS (COP) — ingresar</t>
  </si>
  <si>
    <t>INDICADOR $/m³ GEM (costo/volumen tratado)</t>
  </si>
  <si>
    <t>Meta: ≤ $3.599/m³</t>
  </si>
  <si>
    <t xml:space="preserve">   Fuente: Plan Maestro 2026 — PTAR 2 Bogotá | Dosificaciones base en kg/m³ referenciadas al volumen GEM tratado</t>
  </si>
  <si>
    <t>🔬  SEGUIMIENTO QUÍMICOS FASE 3 — ÓSMOSIS INVERSA | PROYECCIÓN vs REAL 2026 | PTAR 2 BOGOTÁ</t>
  </si>
  <si>
    <t xml:space="preserve">  Ósmosis Inversa</t>
  </si>
  <si>
    <t>Ósmosis Inversa</t>
  </si>
  <si>
    <t>Soda cáustica líquida 48%</t>
  </si>
  <si>
    <t>Antincrustante RO (VITEC)</t>
  </si>
  <si>
    <t>CIP alcalino RO (ROCLEAN)</t>
  </si>
  <si>
    <t>CIP ácido RO (ROCLEAN)</t>
  </si>
  <si>
    <t>Biodispersante RO (KURIVERTER)</t>
  </si>
  <si>
    <t>Ácido cítrico</t>
  </si>
  <si>
    <t>🏭  SEGUIMIENTO LODOS Y RESIDUOS — PROYECCIÓN vs REAL 2026 | PTAR 2 BOGOTÁ</t>
  </si>
  <si>
    <t>🔵 Proyectado = Plan Maestro 2026   |   🟡 Real = dato mensual a registrar   |   Precio disposición: $96/kg   |   Costo transporte: $750.000/viaje</t>
  </si>
  <si>
    <t>ÍTEM</t>
  </si>
  <si>
    <t>GENERACIÓN/REF.</t>
  </si>
  <si>
    <t>Residuos y Lodos</t>
  </si>
  <si>
    <t>Disposición residuos (mota, piedra, tela)</t>
  </si>
  <si>
    <t>2,6 kg/m³</t>
  </si>
  <si>
    <t>Lavado de tanques (2, 15, 30 y 60 m³)</t>
  </si>
  <si>
    <t>COP/mes</t>
  </si>
  <si>
    <t>Fijo</t>
  </si>
  <si>
    <t>Disposición lodos deshidratados GEM</t>
  </si>
  <si>
    <t>3,4 kg/m³</t>
  </si>
  <si>
    <t>Transporte lodos deshidratados</t>
  </si>
  <si>
    <t>viajes</t>
  </si>
  <si>
    <t>5.500 kg/viaje</t>
  </si>
  <si>
    <t>COSTO TOTAL LODOS (COP) — ingresar</t>
  </si>
  <si>
    <t>INDICADOR $/m³ GEM (costo lodos / volumen tratado)</t>
  </si>
  <si>
    <t>FACTOR GENERACIÓN LODOS (kg lodo / m³ agua) — calcular</t>
  </si>
  <si>
    <t>Ref. 2024: 2,3 kg/m³</t>
  </si>
  <si>
    <t>🔧  SEGUIMIENTO CONSUMIBLES — PROYECCIÓN vs REAL 2026 | PTAR 2 BOGOTÁ</t>
  </si>
  <si>
    <t>🔵 Proyectado = Plan Maestro 2026   |   🟡 Real = cantidades o costos reales a registrar   |   N/A = ítem con compra anual o bianual (registrar en el mes de la compra)</t>
  </si>
  <si>
    <t>CONSUMIBLE</t>
  </si>
  <si>
    <t>REFERENCIA</t>
  </si>
  <si>
    <t>ACUMULADO</t>
  </si>
  <si>
    <t>PROY.
COSTO AÑO</t>
  </si>
  <si>
    <t>$ Total
Plan Maestro</t>
  </si>
  <si>
    <t>Consumibles PTAR</t>
  </si>
  <si>
    <t>Membranas RO 1</t>
  </si>
  <si>
    <t>und</t>
  </si>
  <si>
    <t>72 und/año</t>
  </si>
  <si>
    <t>Cartuchos 5 micras</t>
  </si>
  <si>
    <t>0,018 und/m³</t>
  </si>
  <si>
    <t>Resina catiónica</t>
  </si>
  <si>
    <t>Global</t>
  </si>
  <si>
    <t>Bianual</t>
  </si>
  <si>
    <t>Reactivos HACH</t>
  </si>
  <si>
    <t>Anual</t>
  </si>
  <si>
    <t>Consumibles laboratorio</t>
  </si>
  <si>
    <t>COSTO TOTAL CONSUMIBLES (COP) — ingresar</t>
  </si>
  <si>
    <t>📋  RESUMEN EJECUTIVO — SEGUIMIENTO PROYECCIÓN vs REAL 2026 | PTAR 2 BOGOTÁ</t>
  </si>
  <si>
    <t>Este resumen se actualiza automáticamente a medida que se ingresan los datos reales en cada hoja. Use como punto de partida para los informes mensuales.</t>
  </si>
  <si>
    <t>#</t>
  </si>
  <si>
    <t>CATEGORÍA / INDICADOR CLAVE</t>
  </si>
  <si>
    <t>PROY. AÑO (Plan Maestro)</t>
  </si>
  <si>
    <t>REAL ACUM. (a la fecha)</t>
  </si>
  <si>
    <t>DESVIACIÓN ACUM.</t>
  </si>
  <si>
    <t>% CUMPL.</t>
  </si>
  <si>
    <t>ESTADO</t>
  </si>
  <si>
    <t>1</t>
  </si>
  <si>
    <t>Volumen total tratado GEM (m³)</t>
  </si>
  <si>
    <t>— ingresar —</t>
  </si>
  <si>
    <t>2</t>
  </si>
  <si>
    <t>Consumo agua acueducto (m³)</t>
  </si>
  <si>
    <t>3</t>
  </si>
  <si>
    <t>Consumo agua RO recirculada (m³)</t>
  </si>
  <si>
    <t>4</t>
  </si>
  <si>
    <t>Consumo agua PTAP (m³)</t>
  </si>
  <si>
    <t>5</t>
  </si>
  <si>
    <t>Consumo carrotanques (m³)</t>
  </si>
  <si>
    <t>6</t>
  </si>
  <si>
    <t>Acidificante proyectado año (kg)</t>
  </si>
  <si>
    <t>7</t>
  </si>
  <si>
    <t>Coagulante proyectado año (kg)</t>
  </si>
  <si>
    <t>8</t>
  </si>
  <si>
    <t>Decolorante proyectado año (kg)</t>
  </si>
  <si>
    <t>9</t>
  </si>
  <si>
    <t>Lodos deshidratados proyectados (kg)</t>
  </si>
  <si>
    <t>10</t>
  </si>
  <si>
    <t>Costo total lodos proyectado (COP)</t>
  </si>
  <si>
    <t>📌  Instrucciones: Complete los datos reales en las hojas 1–6 mes a mes. Los %CUMPL en verde (≤100%) indican consumo dentro de proyección. Rojo (&gt;100%) indica desvío desfavorable.</t>
  </si>
  <si>
    <t>TINTORERIA</t>
  </si>
  <si>
    <t>LAVANDERIA</t>
  </si>
  <si>
    <t>PLANTA</t>
  </si>
  <si>
    <t>%</t>
  </si>
  <si>
    <t>VOLUMEN DE ABASTECIMIENTO</t>
  </si>
  <si>
    <t>% DE ABASTECIMIENTO</t>
  </si>
  <si>
    <t>VOLUMEN  TRATADO (m³)</t>
  </si>
  <si>
    <t>$Kg</t>
  </si>
  <si>
    <t>$/m³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</si>
</sst>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0.0%"/>
    <numFmt numFmtId="165" formatCode="\$#,##0"/>
    <numFmt numFmtId="166" formatCode="0.000000"/>
    <numFmt numFmtId="167" formatCode="#,##0.0"/>
    <numFmt numFmtId="168" formatCode="#,##0.000"/>
    <numFmt numFmtId="170" formatCode="_-&quot;$&quot;\ * #,##0_-;\-&quot;$&quot;\ * #,##0_-;_-&quot;$&quot;\ * &quot;-&quot;??_-;_-@_-"/>
  </numFmts>
  <fonts count="26" x14ac:knownFonts="1">
    <font>
      <sz val="11"/>
      <color theme="1"/>
      <name val="Calibri"/>
      <family val="2"/>
      <charset val="1"/>
    </font>
    <font>
      <sz val="10"/>
      <name val="Arial"/>
    </font>
    <font>
      <b/>
      <sz val="12"/>
      <color rgb="FFFFFFFF"/>
      <name val="Arial"/>
      <charset val="1"/>
    </font>
    <font>
      <sz val="8"/>
      <color rgb="FF404040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8"/>
      <color rgb="FF00008B"/>
      <name val="Arial"/>
      <charset val="1"/>
    </font>
    <font>
      <b/>
      <sz val="8"/>
      <color rgb="FF000000"/>
      <name val="Arial"/>
      <charset val="1"/>
    </font>
    <font>
      <b/>
      <sz val="9"/>
      <color rgb="FF1F4E79"/>
      <name val="Arial"/>
      <charset val="1"/>
    </font>
    <font>
      <sz val="8"/>
      <color rgb="FF555555"/>
      <name val="Arial"/>
      <charset val="1"/>
    </font>
    <font>
      <sz val="9"/>
      <color rgb="FF00008B"/>
      <name val="Arial"/>
      <charset val="1"/>
    </font>
    <font>
      <b/>
      <sz val="9"/>
      <color rgb="FF000000"/>
      <name val="Arial"/>
      <charset val="1"/>
    </font>
    <font>
      <b/>
      <sz val="9"/>
      <color rgb="FF00008B"/>
      <name val="Arial"/>
      <charset val="1"/>
    </font>
    <font>
      <sz val="8"/>
      <color rgb="FF00008B"/>
      <name val="Arial"/>
      <charset val="1"/>
    </font>
    <font>
      <sz val="8"/>
      <color rgb="FF000000"/>
      <name val="Arial"/>
      <charset val="1"/>
    </font>
    <font>
      <b/>
      <sz val="9"/>
      <color rgb="FF7B3F00"/>
      <name val="Arial"/>
      <charset val="1"/>
    </font>
    <font>
      <i/>
      <sz val="8"/>
      <color rgb="FF555555"/>
      <name val="Arial"/>
      <charset val="1"/>
    </font>
    <font>
      <i/>
      <sz val="8"/>
      <color rgb="FF808080"/>
      <name val="Arial"/>
      <charset val="1"/>
    </font>
    <font>
      <b/>
      <sz val="8"/>
      <color rgb="FFFFFFFF"/>
      <name val="Arial"/>
      <charset val="1"/>
    </font>
    <font>
      <b/>
      <sz val="13"/>
      <color rgb="FFFFFFFF"/>
      <name val="Arial"/>
      <charset val="1"/>
    </font>
    <font>
      <i/>
      <sz val="9"/>
      <color rgb="FF404040"/>
      <name val="Arial"/>
      <charset val="1"/>
    </font>
    <font>
      <i/>
      <sz val="8"/>
      <color rgb="FF999999"/>
      <name val="Arial"/>
      <charset val="1"/>
    </font>
    <font>
      <i/>
      <sz val="9"/>
      <color rgb="FF1F4E79"/>
      <name val="Arial"/>
      <charset val="1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8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5F5F5"/>
      </patternFill>
    </fill>
    <fill>
      <patternFill patternType="solid">
        <fgColor rgb="FFE2EFDA"/>
        <bgColor rgb="FFDEEAF1"/>
      </patternFill>
    </fill>
    <fill>
      <patternFill patternType="solid">
        <fgColor rgb="FFF5F5F5"/>
        <bgColor rgb="FFFFFFFF"/>
      </patternFill>
    </fill>
    <fill>
      <patternFill patternType="solid">
        <fgColor rgb="FFFFCCCC"/>
        <bgColor rgb="FFFFC7CE"/>
      </patternFill>
    </fill>
    <fill>
      <patternFill patternType="solid">
        <fgColor rgb="FFBDD7EE"/>
        <bgColor rgb="FFC6EFCE"/>
      </patternFill>
    </fill>
    <fill>
      <patternFill patternType="solid">
        <fgColor rgb="FFFFFFFF"/>
        <bgColor rgb="FFF5F5F5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</cellStyleXfs>
  <cellXfs count="74">
    <xf numFmtId="0" fontId="0" fillId="0" borderId="0" xfId="0"/>
    <xf numFmtId="0" fontId="2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3" fontId="10" fillId="5" borderId="1" xfId="0" applyNumberFormat="1" applyFont="1" applyFill="1" applyBorder="1" applyAlignment="1">
      <alignment horizontal="right" vertical="center"/>
    </xf>
    <xf numFmtId="4" fontId="5" fillId="6" borderId="1" xfId="0" applyNumberFormat="1" applyFont="1" applyFill="1" applyBorder="1" applyAlignment="1">
      <alignment horizontal="left" vertical="center"/>
    </xf>
    <xf numFmtId="4" fontId="5" fillId="7" borderId="1" xfId="0" applyNumberFormat="1" applyFont="1" applyFill="1" applyBorder="1" applyAlignment="1">
      <alignment horizontal="right" vertical="center"/>
    </xf>
    <xf numFmtId="164" fontId="5" fillId="7" borderId="1" xfId="0" applyNumberFormat="1" applyFont="1" applyFill="1" applyBorder="1" applyAlignment="1">
      <alignment horizontal="center" vertical="center"/>
    </xf>
    <xf numFmtId="4" fontId="10" fillId="5" borderId="1" xfId="0" applyNumberFormat="1" applyFont="1" applyFill="1" applyBorder="1" applyAlignment="1">
      <alignment horizontal="right" vertical="center"/>
    </xf>
    <xf numFmtId="4" fontId="5" fillId="6" borderId="1" xfId="0" applyNumberFormat="1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left" vertical="center"/>
    </xf>
    <xf numFmtId="3" fontId="5" fillId="7" borderId="1" xfId="0" applyNumberFormat="1" applyFont="1" applyFill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/>
    </xf>
    <xf numFmtId="3" fontId="12" fillId="10" borderId="1" xfId="0" applyNumberFormat="1" applyFont="1" applyFill="1" applyBorder="1" applyAlignment="1">
      <alignment horizontal="right" vertical="center"/>
    </xf>
    <xf numFmtId="3" fontId="11" fillId="10" borderId="1" xfId="0" applyNumberFormat="1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left" vertical="center"/>
    </xf>
    <xf numFmtId="164" fontId="14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5" fontId="10" fillId="5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5" fontId="5" fillId="7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166" fontId="10" fillId="8" borderId="1" xfId="0" applyNumberFormat="1" applyFont="1" applyFill="1" applyBorder="1" applyAlignment="1">
      <alignment horizontal="right" vertical="center"/>
    </xf>
    <xf numFmtId="4" fontId="11" fillId="10" borderId="1" xfId="0" applyNumberFormat="1" applyFont="1" applyFill="1" applyBorder="1" applyAlignment="1">
      <alignment horizontal="right" vertical="center"/>
    </xf>
    <xf numFmtId="165" fontId="12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165" fontId="11" fillId="6" borderId="1" xfId="0" applyNumberFormat="1" applyFont="1" applyFill="1" applyBorder="1" applyAlignment="1">
      <alignment horizontal="right" vertical="center"/>
    </xf>
    <xf numFmtId="165" fontId="11" fillId="7" borderId="1" xfId="0" applyNumberFormat="1" applyFont="1" applyFill="1" applyBorder="1" applyAlignment="1">
      <alignment horizontal="right" vertical="center"/>
    </xf>
    <xf numFmtId="164" fontId="11" fillId="7" borderId="1" xfId="0" applyNumberFormat="1" applyFont="1" applyFill="1" applyBorder="1" applyAlignment="1">
      <alignment horizontal="center" vertical="center"/>
    </xf>
    <xf numFmtId="165" fontId="10" fillId="7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2" fontId="10" fillId="5" borderId="1" xfId="0" applyNumberFormat="1" applyFont="1" applyFill="1" applyBorder="1" applyAlignment="1">
      <alignment horizontal="right" vertical="center"/>
    </xf>
    <xf numFmtId="2" fontId="5" fillId="7" borderId="1" xfId="0" applyNumberFormat="1" applyFont="1" applyFill="1" applyBorder="1" applyAlignment="1">
      <alignment horizontal="right" vertical="center"/>
    </xf>
    <xf numFmtId="0" fontId="18" fillId="2" borderId="1" xfId="0" applyFont="1" applyFill="1" applyBorder="1" applyAlignment="1">
      <alignment horizontal="center" vertical="center" wrapText="1"/>
    </xf>
    <xf numFmtId="165" fontId="12" fillId="10" borderId="1" xfId="0" applyNumberFormat="1" applyFont="1" applyFill="1" applyBorder="1" applyAlignment="1">
      <alignment horizontal="right" vertical="center"/>
    </xf>
    <xf numFmtId="0" fontId="5" fillId="11" borderId="1" xfId="0" applyFont="1" applyFill="1" applyBorder="1" applyAlignment="1">
      <alignment horizontal="left" vertical="center"/>
    </xf>
    <xf numFmtId="0" fontId="21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vertical="center"/>
    </xf>
    <xf numFmtId="168" fontId="5" fillId="6" borderId="1" xfId="0" applyNumberFormat="1" applyFont="1" applyFill="1" applyBorder="1" applyAlignment="1">
      <alignment vertical="center"/>
    </xf>
    <xf numFmtId="167" fontId="5" fillId="6" borderId="1" xfId="0" applyNumberFormat="1" applyFont="1" applyFill="1" applyBorder="1" applyAlignment="1">
      <alignment horizontal="right" vertical="center"/>
    </xf>
    <xf numFmtId="168" fontId="5" fillId="6" borderId="1" xfId="0" applyNumberFormat="1" applyFont="1" applyFill="1" applyBorder="1" applyAlignment="1">
      <alignment horizontal="right" vertical="center"/>
    </xf>
    <xf numFmtId="0" fontId="23" fillId="8" borderId="1" xfId="0" applyFont="1" applyFill="1" applyBorder="1" applyAlignment="1">
      <alignment horizontal="left" vertical="center"/>
    </xf>
    <xf numFmtId="0" fontId="23" fillId="8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10" fontId="13" fillId="3" borderId="1" xfId="0" applyNumberFormat="1" applyFont="1" applyFill="1" applyBorder="1" applyAlignment="1">
      <alignment horizontal="center" vertical="center"/>
    </xf>
    <xf numFmtId="3" fontId="23" fillId="10" borderId="1" xfId="0" applyNumberFormat="1" applyFont="1" applyFill="1" applyBorder="1" applyAlignment="1">
      <alignment horizontal="right" vertical="center"/>
    </xf>
    <xf numFmtId="10" fontId="5" fillId="3" borderId="1" xfId="0" applyNumberFormat="1" applyFont="1" applyFill="1" applyBorder="1" applyAlignment="1">
      <alignment horizontal="right" vertical="center"/>
    </xf>
    <xf numFmtId="9" fontId="1" fillId="12" borderId="1" xfId="2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 wrapText="1"/>
    </xf>
    <xf numFmtId="170" fontId="1" fillId="0" borderId="1" xfId="1" applyNumberFormat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356"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B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F5F5F5"/>
      <rgbColor rgb="FFFFC7CE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7B3F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1"/>
  <sheetViews>
    <sheetView showGridLines="0"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H19" sqref="H19"/>
    </sheetView>
  </sheetViews>
  <sheetFormatPr baseColWidth="10" defaultColWidth="8.6640625" defaultRowHeight="14.4" x14ac:dyDescent="0.3"/>
  <cols>
    <col min="1" max="1" width="16" customWidth="1"/>
    <col min="2" max="2" width="36" customWidth="1"/>
    <col min="3" max="3" width="12" customWidth="1"/>
    <col min="4" max="4" width="14" customWidth="1"/>
    <col min="5" max="6" width="13" customWidth="1"/>
    <col min="7" max="7" width="12" customWidth="1"/>
    <col min="8" max="8" width="10" customWidth="1"/>
    <col min="9" max="10" width="13" customWidth="1"/>
    <col min="11" max="11" width="12" customWidth="1"/>
    <col min="12" max="12" width="10" customWidth="1"/>
    <col min="13" max="14" width="13" customWidth="1"/>
    <col min="15" max="15" width="12" customWidth="1"/>
    <col min="16" max="16" width="10" customWidth="1"/>
    <col min="17" max="18" width="13" customWidth="1"/>
    <col min="19" max="19" width="12" customWidth="1"/>
    <col min="20" max="20" width="10" customWidth="1"/>
    <col min="21" max="22" width="13" customWidth="1"/>
    <col min="23" max="23" width="12" customWidth="1"/>
    <col min="24" max="24" width="10" customWidth="1"/>
    <col min="25" max="26" width="13" customWidth="1"/>
    <col min="27" max="27" width="12" customWidth="1"/>
    <col min="28" max="28" width="10" customWidth="1"/>
    <col min="29" max="30" width="13" customWidth="1"/>
    <col min="31" max="31" width="12" customWidth="1"/>
    <col min="32" max="32" width="10" customWidth="1"/>
    <col min="33" max="34" width="13" customWidth="1"/>
    <col min="35" max="35" width="12" customWidth="1"/>
    <col min="36" max="36" width="10" customWidth="1"/>
    <col min="37" max="38" width="13" customWidth="1"/>
    <col min="39" max="39" width="12" customWidth="1"/>
    <col min="40" max="40" width="10" customWidth="1"/>
    <col min="41" max="42" width="13" customWidth="1"/>
    <col min="43" max="43" width="12" customWidth="1"/>
    <col min="44" max="44" width="10" customWidth="1"/>
    <col min="45" max="46" width="13" customWidth="1"/>
    <col min="47" max="47" width="12" customWidth="1"/>
    <col min="48" max="48" width="10" customWidth="1"/>
    <col min="49" max="50" width="13" customWidth="1"/>
    <col min="51" max="51" width="12" customWidth="1"/>
    <col min="52" max="52" width="10" customWidth="1"/>
    <col min="53" max="56" width="13" customWidth="1"/>
  </cols>
  <sheetData>
    <row r="1" spans="1:57" ht="27.7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</row>
    <row r="2" spans="1:57" ht="18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spans="1:57" ht="36" customHeight="1" x14ac:dyDescent="0.3">
      <c r="A3" s="14" t="s">
        <v>2</v>
      </c>
      <c r="B3" s="14" t="s">
        <v>3</v>
      </c>
      <c r="C3" s="14" t="s">
        <v>4</v>
      </c>
      <c r="D3" s="14" t="s">
        <v>5</v>
      </c>
      <c r="E3" s="11" t="s">
        <v>6</v>
      </c>
      <c r="F3" s="11"/>
      <c r="G3" s="11"/>
      <c r="H3" s="11"/>
      <c r="I3" s="11" t="s">
        <v>7</v>
      </c>
      <c r="J3" s="11"/>
      <c r="K3" s="11"/>
      <c r="L3" s="11"/>
      <c r="M3" s="11" t="s">
        <v>8</v>
      </c>
      <c r="N3" s="11"/>
      <c r="O3" s="11"/>
      <c r="P3" s="11"/>
      <c r="Q3" s="11" t="s">
        <v>9</v>
      </c>
      <c r="R3" s="11"/>
      <c r="S3" s="11"/>
      <c r="T3" s="11"/>
      <c r="U3" s="11" t="s">
        <v>10</v>
      </c>
      <c r="V3" s="11"/>
      <c r="W3" s="11"/>
      <c r="X3" s="11"/>
      <c r="Y3" s="11" t="s">
        <v>11</v>
      </c>
      <c r="Z3" s="11"/>
      <c r="AA3" s="11"/>
      <c r="AB3" s="11"/>
      <c r="AC3" s="11" t="s">
        <v>12</v>
      </c>
      <c r="AD3" s="11"/>
      <c r="AE3" s="11"/>
      <c r="AF3" s="11"/>
      <c r="AG3" s="11" t="s">
        <v>13</v>
      </c>
      <c r="AH3" s="11"/>
      <c r="AI3" s="11"/>
      <c r="AJ3" s="11"/>
      <c r="AK3" s="11" t="s">
        <v>14</v>
      </c>
      <c r="AL3" s="11"/>
      <c r="AM3" s="11"/>
      <c r="AN3" s="11"/>
      <c r="AO3" s="11" t="s">
        <v>15</v>
      </c>
      <c r="AP3" s="11"/>
      <c r="AQ3" s="11"/>
      <c r="AR3" s="11"/>
      <c r="AS3" s="11" t="s">
        <v>16</v>
      </c>
      <c r="AT3" s="11"/>
      <c r="AU3" s="11"/>
      <c r="AV3" s="11"/>
      <c r="AW3" s="11" t="s">
        <v>17</v>
      </c>
      <c r="AX3" s="11"/>
      <c r="AY3" s="11"/>
      <c r="AZ3" s="11"/>
      <c r="BA3" s="10" t="s">
        <v>18</v>
      </c>
      <c r="BB3" s="10"/>
      <c r="BC3" s="10"/>
      <c r="BD3" s="10"/>
    </row>
    <row r="4" spans="1:57" ht="30" customHeight="1" x14ac:dyDescent="0.3">
      <c r="A4" s="16"/>
      <c r="B4" s="16"/>
      <c r="C4" s="16"/>
      <c r="D4" s="16"/>
      <c r="E4" s="17" t="s">
        <v>19</v>
      </c>
      <c r="F4" s="18" t="s">
        <v>20</v>
      </c>
      <c r="G4" s="19" t="s">
        <v>21</v>
      </c>
      <c r="H4" s="19" t="s">
        <v>22</v>
      </c>
      <c r="I4" s="17" t="s">
        <v>19</v>
      </c>
      <c r="J4" s="18" t="s">
        <v>20</v>
      </c>
      <c r="K4" s="19" t="s">
        <v>21</v>
      </c>
      <c r="L4" s="19" t="s">
        <v>22</v>
      </c>
      <c r="M4" s="17" t="s">
        <v>19</v>
      </c>
      <c r="N4" s="18" t="s">
        <v>20</v>
      </c>
      <c r="O4" s="19" t="s">
        <v>21</v>
      </c>
      <c r="P4" s="19" t="s">
        <v>22</v>
      </c>
      <c r="Q4" s="17" t="s">
        <v>19</v>
      </c>
      <c r="R4" s="18" t="s">
        <v>20</v>
      </c>
      <c r="S4" s="19" t="s">
        <v>21</v>
      </c>
      <c r="T4" s="19" t="s">
        <v>22</v>
      </c>
      <c r="U4" s="17" t="s">
        <v>19</v>
      </c>
      <c r="V4" s="18" t="s">
        <v>20</v>
      </c>
      <c r="W4" s="19" t="s">
        <v>21</v>
      </c>
      <c r="X4" s="19" t="s">
        <v>22</v>
      </c>
      <c r="Y4" s="17" t="s">
        <v>19</v>
      </c>
      <c r="Z4" s="18" t="s">
        <v>20</v>
      </c>
      <c r="AA4" s="19" t="s">
        <v>21</v>
      </c>
      <c r="AB4" s="19" t="s">
        <v>22</v>
      </c>
      <c r="AC4" s="17" t="s">
        <v>19</v>
      </c>
      <c r="AD4" s="18" t="s">
        <v>20</v>
      </c>
      <c r="AE4" s="19" t="s">
        <v>21</v>
      </c>
      <c r="AF4" s="19" t="s">
        <v>22</v>
      </c>
      <c r="AG4" s="17" t="s">
        <v>19</v>
      </c>
      <c r="AH4" s="18" t="s">
        <v>20</v>
      </c>
      <c r="AI4" s="19" t="s">
        <v>21</v>
      </c>
      <c r="AJ4" s="19" t="s">
        <v>22</v>
      </c>
      <c r="AK4" s="17" t="s">
        <v>19</v>
      </c>
      <c r="AL4" s="18" t="s">
        <v>20</v>
      </c>
      <c r="AM4" s="19" t="s">
        <v>21</v>
      </c>
      <c r="AN4" s="19" t="s">
        <v>22</v>
      </c>
      <c r="AO4" s="17" t="s">
        <v>19</v>
      </c>
      <c r="AP4" s="18" t="s">
        <v>20</v>
      </c>
      <c r="AQ4" s="19" t="s">
        <v>21</v>
      </c>
      <c r="AR4" s="19" t="s">
        <v>22</v>
      </c>
      <c r="AS4" s="17" t="s">
        <v>19</v>
      </c>
      <c r="AT4" s="18" t="s">
        <v>20</v>
      </c>
      <c r="AU4" s="19" t="s">
        <v>21</v>
      </c>
      <c r="AV4" s="19" t="s">
        <v>22</v>
      </c>
      <c r="AW4" s="17" t="s">
        <v>19</v>
      </c>
      <c r="AX4" s="18" t="s">
        <v>20</v>
      </c>
      <c r="AY4" s="19" t="s">
        <v>21</v>
      </c>
      <c r="AZ4" s="19" t="s">
        <v>22</v>
      </c>
      <c r="BA4" s="20" t="s">
        <v>19</v>
      </c>
      <c r="BB4" s="18" t="s">
        <v>20</v>
      </c>
      <c r="BC4" s="19" t="s">
        <v>21</v>
      </c>
      <c r="BD4" s="19" t="s">
        <v>22</v>
      </c>
    </row>
    <row r="5" spans="1:57" ht="19.5" customHeight="1" x14ac:dyDescent="0.3">
      <c r="A5" s="65" t="s">
        <v>154</v>
      </c>
      <c r="B5" s="21" t="s">
        <v>23</v>
      </c>
      <c r="C5" s="22" t="s">
        <v>24</v>
      </c>
      <c r="D5" s="23"/>
      <c r="E5" s="24">
        <v>206773</v>
      </c>
      <c r="F5" s="61">
        <v>206773</v>
      </c>
      <c r="G5" s="26">
        <f>IF(ISNUMBER(F5),F5-E5,"")</f>
        <v>0</v>
      </c>
      <c r="H5" s="27">
        <f>IF(AND(ISNUMBER(F5),E5&lt;&gt;0),F5/E5,"")</f>
        <v>1</v>
      </c>
      <c r="I5" s="24">
        <v>181024</v>
      </c>
      <c r="J5" s="63">
        <v>130962</v>
      </c>
      <c r="K5" s="26">
        <f>IF(ISNUMBER(J5),J5-I5,"")</f>
        <v>-50062</v>
      </c>
      <c r="L5" s="27">
        <f>IF(AND(ISNUMBER(J5),I5&lt;&gt;0),J5/I5,"")</f>
        <v>0.72345103411702316</v>
      </c>
      <c r="M5" s="24">
        <v>161904</v>
      </c>
      <c r="N5" s="25">
        <v>229502</v>
      </c>
      <c r="O5" s="26">
        <f>IF(ISNUMBER(N5),N5-M5,"")</f>
        <v>67598</v>
      </c>
      <c r="P5" s="27">
        <f>IF(AND(ISNUMBER(N5),M5&lt;&gt;0),N5/M5,"")</f>
        <v>1.4175190236189348</v>
      </c>
      <c r="Q5" s="24">
        <v>235634</v>
      </c>
      <c r="R5" s="25"/>
      <c r="S5" s="26" t="str">
        <f>IF(ISNUMBER(R5),R5-Q5,"")</f>
        <v/>
      </c>
      <c r="T5" s="27" t="str">
        <f>IF(AND(ISNUMBER(R5),Q5&lt;&gt;0),R5/Q5,"")</f>
        <v/>
      </c>
      <c r="U5" s="24">
        <v>235827</v>
      </c>
      <c r="V5" s="25"/>
      <c r="W5" s="26" t="str">
        <f>IF(ISNUMBER(V5),V5-U5,"")</f>
        <v/>
      </c>
      <c r="X5" s="27" t="str">
        <f>IF(AND(ISNUMBER(V5),U5&lt;&gt;0),V5/U5,"")</f>
        <v/>
      </c>
      <c r="Y5" s="24">
        <v>269355</v>
      </c>
      <c r="Z5" s="25"/>
      <c r="AA5" s="26" t="str">
        <f>IF(ISNUMBER(Z5),Z5-Y5,"")</f>
        <v/>
      </c>
      <c r="AB5" s="27" t="str">
        <f>IF(AND(ISNUMBER(Z5),Y5&lt;&gt;0),Z5/Y5,"")</f>
        <v/>
      </c>
      <c r="AC5" s="24">
        <v>335662</v>
      </c>
      <c r="AD5" s="25"/>
      <c r="AE5" s="26" t="str">
        <f>IF(ISNUMBER(AD5),AD5-AC5,"")</f>
        <v/>
      </c>
      <c r="AF5" s="27" t="str">
        <f>IF(AND(ISNUMBER(AD5),AC5&lt;&gt;0),AD5/AC5,"")</f>
        <v/>
      </c>
      <c r="AG5" s="24">
        <v>368145</v>
      </c>
      <c r="AH5" s="25"/>
      <c r="AI5" s="26" t="str">
        <f>IF(ISNUMBER(AH5),AH5-AG5,"")</f>
        <v/>
      </c>
      <c r="AJ5" s="27" t="str">
        <f>IF(AND(ISNUMBER(AH5),AG5&lt;&gt;0),AH5/AG5,"")</f>
        <v/>
      </c>
      <c r="AK5" s="24">
        <v>352204</v>
      </c>
      <c r="AL5" s="25"/>
      <c r="AM5" s="26" t="str">
        <f>IF(ISNUMBER(AL5),AL5-AK5,"")</f>
        <v/>
      </c>
      <c r="AN5" s="27" t="str">
        <f>IF(AND(ISNUMBER(AL5),AK5&lt;&gt;0),AL5/AK5,"")</f>
        <v/>
      </c>
      <c r="AO5" s="24">
        <v>318383</v>
      </c>
      <c r="AP5" s="25"/>
      <c r="AQ5" s="26" t="str">
        <f>IF(ISNUMBER(AP5),AP5-AO5,"")</f>
        <v/>
      </c>
      <c r="AR5" s="27" t="str">
        <f>IF(AND(ISNUMBER(AP5),AO5&lt;&gt;0),AP5/AO5,"")</f>
        <v/>
      </c>
      <c r="AS5" s="24">
        <v>117403</v>
      </c>
      <c r="AT5" s="25"/>
      <c r="AU5" s="26" t="str">
        <f>IF(ISNUMBER(AT5),AT5-AS5,"")</f>
        <v/>
      </c>
      <c r="AV5" s="27" t="str">
        <f>IF(AND(ISNUMBER(AT5),AS5&lt;&gt;0),AT5/AS5,"")</f>
        <v/>
      </c>
      <c r="AW5" s="24">
        <v>108687</v>
      </c>
      <c r="AX5" s="25"/>
      <c r="AY5" s="26" t="str">
        <f>IF(ISNUMBER(AX5),AX5-AW5,"")</f>
        <v/>
      </c>
      <c r="AZ5" s="27" t="str">
        <f>IF(AND(ISNUMBER(AX5),AW5&lt;&gt;0),AX5/AW5,"")</f>
        <v/>
      </c>
      <c r="BA5" s="28">
        <f>SUM(E5,I5,M5,Q5,U5,Y5,AC5,AG5,AK5,AO5,AS5,AW5)</f>
        <v>2891001</v>
      </c>
      <c r="BB5" s="29">
        <f>IF(COUNTA(F5,J5,N5,R5,V5,Z5,AD5,AH5,AL5,AP5,AT5,AX5)&gt;0,SUM(F5,J5,N5,R5,V5,Z5,AD5,AH5,AL5,AP5,AT5,AX5),"")</f>
        <v>567237</v>
      </c>
      <c r="BC5" s="26">
        <f>IF(ISNUMBER(BB5),BB5-BA5,"")</f>
        <v>-2323764</v>
      </c>
      <c r="BD5" s="27">
        <f>IF(AND(ISNUMBER(BB5),BA5&lt;&gt;0),BB5/BA5,"")</f>
        <v>0.19620781867595341</v>
      </c>
    </row>
    <row r="6" spans="1:57" ht="19.5" customHeight="1" x14ac:dyDescent="0.3">
      <c r="A6" s="65" t="s">
        <v>154</v>
      </c>
      <c r="B6" s="21" t="s">
        <v>25</v>
      </c>
      <c r="C6" s="22" t="s">
        <v>26</v>
      </c>
      <c r="D6" s="23"/>
      <c r="E6" s="24">
        <v>12406</v>
      </c>
      <c r="F6" s="61">
        <v>10753</v>
      </c>
      <c r="G6" s="26">
        <f>IF(ISNUMBER(F6),F6-E6,"")</f>
        <v>-1653</v>
      </c>
      <c r="H6" s="27">
        <f t="shared" ref="H6:H7" si="0">IF(AND(ISNUMBER(F6),E6&lt;&gt;0),F6/E6,"")</f>
        <v>0.86675802031275184</v>
      </c>
      <c r="I6" s="24">
        <v>10861</v>
      </c>
      <c r="J6" s="63">
        <v>5575</v>
      </c>
      <c r="K6" s="26">
        <f>IF(ISNUMBER(J6),J6-I6,"")</f>
        <v>-5286</v>
      </c>
      <c r="L6" s="27">
        <f>IF(AND(ISNUMBER(J6),I6&lt;&gt;0),J6/I6,"")</f>
        <v>0.51330448393333949</v>
      </c>
      <c r="M6" s="24">
        <v>9714</v>
      </c>
      <c r="N6" s="25">
        <v>11919</v>
      </c>
      <c r="O6" s="26">
        <f>IF(ISNUMBER(N6),N6-M6,"")</f>
        <v>2205</v>
      </c>
      <c r="P6" s="27">
        <f>IF(AND(ISNUMBER(N6),M6&lt;&gt;0),N6/M6,"")</f>
        <v>1.2269919703520691</v>
      </c>
      <c r="Q6" s="24">
        <v>14138</v>
      </c>
      <c r="R6" s="25"/>
      <c r="S6" s="26" t="str">
        <f>IF(ISNUMBER(R6),R6-Q6,"")</f>
        <v/>
      </c>
      <c r="T6" s="27" t="str">
        <f>IF(AND(ISNUMBER(R6),Q6&lt;&gt;0),R6/Q6,"")</f>
        <v/>
      </c>
      <c r="U6" s="24">
        <v>14150</v>
      </c>
      <c r="V6" s="25"/>
      <c r="W6" s="26" t="str">
        <f>IF(ISNUMBER(V6),V6-U6,"")</f>
        <v/>
      </c>
      <c r="X6" s="27" t="str">
        <f>IF(AND(ISNUMBER(V6),U6&lt;&gt;0),V6/U6,"")</f>
        <v/>
      </c>
      <c r="Y6" s="24">
        <v>16161</v>
      </c>
      <c r="Z6" s="25"/>
      <c r="AA6" s="26" t="str">
        <f>IF(ISNUMBER(Z6),Z6-Y6,"")</f>
        <v/>
      </c>
      <c r="AB6" s="27" t="str">
        <f>IF(AND(ISNUMBER(Z6),Y6&lt;&gt;0),Z6/Y6,"")</f>
        <v/>
      </c>
      <c r="AC6" s="24">
        <v>20140</v>
      </c>
      <c r="AD6" s="25"/>
      <c r="AE6" s="26" t="str">
        <f>IF(ISNUMBER(AD6),AD6-AC6,"")</f>
        <v/>
      </c>
      <c r="AF6" s="27" t="str">
        <f>IF(AND(ISNUMBER(AD6),AC6&lt;&gt;0),AD6/AC6,"")</f>
        <v/>
      </c>
      <c r="AG6" s="24">
        <v>22089</v>
      </c>
      <c r="AH6" s="25"/>
      <c r="AI6" s="26" t="str">
        <f>IF(ISNUMBER(AH6),AH6-AG6,"")</f>
        <v/>
      </c>
      <c r="AJ6" s="27" t="str">
        <f>IF(AND(ISNUMBER(AH6),AG6&lt;&gt;0),AH6/AG6,"")</f>
        <v/>
      </c>
      <c r="AK6" s="24">
        <v>21132</v>
      </c>
      <c r="AL6" s="25"/>
      <c r="AM6" s="26" t="str">
        <f>IF(ISNUMBER(AL6),AL6-AK6,"")</f>
        <v/>
      </c>
      <c r="AN6" s="27" t="str">
        <f>IF(AND(ISNUMBER(AL6),AK6&lt;&gt;0),AL6/AK6,"")</f>
        <v/>
      </c>
      <c r="AO6" s="24">
        <v>19103</v>
      </c>
      <c r="AP6" s="25"/>
      <c r="AQ6" s="26" t="str">
        <f>IF(ISNUMBER(AP6),AP6-AO6,"")</f>
        <v/>
      </c>
      <c r="AR6" s="27" t="str">
        <f>IF(AND(ISNUMBER(AP6),AO6&lt;&gt;0),AP6/AO6,"")</f>
        <v/>
      </c>
      <c r="AS6" s="24">
        <v>7044</v>
      </c>
      <c r="AT6" s="25"/>
      <c r="AU6" s="26" t="str">
        <f>IF(ISNUMBER(AT6),AT6-AS6,"")</f>
        <v/>
      </c>
      <c r="AV6" s="27" t="str">
        <f>IF(AND(ISNUMBER(AT6),AS6&lt;&gt;0),AT6/AS6,"")</f>
        <v/>
      </c>
      <c r="AW6" s="24">
        <v>6521</v>
      </c>
      <c r="AX6" s="25"/>
      <c r="AY6" s="26" t="str">
        <f>IF(ISNUMBER(AX6),AX6-AW6,"")</f>
        <v/>
      </c>
      <c r="AZ6" s="27" t="str">
        <f>IF(AND(ISNUMBER(AX6),AW6&lt;&gt;0),AX6/AW6,"")</f>
        <v/>
      </c>
      <c r="BA6" s="28">
        <f>SUM(E6,I6,M6,Q6,U6,Y6,AC6,AG6,AK6,AO6,AS6,AW6)</f>
        <v>173459</v>
      </c>
      <c r="BB6" s="29">
        <f>IF(COUNTA(F6,J6,N6,R6,V6,Z6,AD6,AH6,AL6,AP6,AT6,AX6)&gt;0,SUM(F6,J6,N6,R6,V6,Z6,AD6,AH6,AL6,AP6,AT6,AX6),"")</f>
        <v>28247</v>
      </c>
      <c r="BC6" s="26">
        <f>IF(ISNUMBER(BB6),BB6-BA6,"")</f>
        <v>-145212</v>
      </c>
      <c r="BD6" s="27">
        <f>IF(AND(ISNUMBER(BB6),BA6&lt;&gt;0),BB6/BA6,"")</f>
        <v>0.16284539862445879</v>
      </c>
    </row>
    <row r="7" spans="1:57" ht="19.5" customHeight="1" x14ac:dyDescent="0.3">
      <c r="A7" s="65" t="s">
        <v>154</v>
      </c>
      <c r="B7" s="21" t="s">
        <v>27</v>
      </c>
      <c r="C7" s="22" t="s">
        <v>28</v>
      </c>
      <c r="D7" s="23" t="s">
        <v>29</v>
      </c>
      <c r="E7" s="24">
        <v>60</v>
      </c>
      <c r="F7" s="62">
        <f>(F6*1000)/F5</f>
        <v>52.003888321976277</v>
      </c>
      <c r="G7" s="26">
        <f>IF(ISNUMBER(F7),F7-E7,"")</f>
        <v>-7.9961116780237234</v>
      </c>
      <c r="H7" s="27">
        <f t="shared" si="0"/>
        <v>0.86673147203293799</v>
      </c>
      <c r="I7" s="24">
        <f>E7</f>
        <v>60</v>
      </c>
      <c r="J7" s="64">
        <f>(J6*1000)/J5</f>
        <v>42.569600342083966</v>
      </c>
      <c r="K7" s="26">
        <f>IF(ISNUMBER(J7),J7-I7,"")</f>
        <v>-17.430399657916034</v>
      </c>
      <c r="L7" s="27">
        <f>IF(AND(ISNUMBER(J7),I7&lt;&gt;0),J7/I7,"")</f>
        <v>0.70949333903473277</v>
      </c>
      <c r="M7" s="24">
        <f>I7</f>
        <v>60</v>
      </c>
      <c r="N7" s="64">
        <f>(N6*1000)/N5</f>
        <v>51.934187937360022</v>
      </c>
      <c r="O7" s="26">
        <f>IF(ISNUMBER(N7),N7-M7,"")</f>
        <v>-8.0658120626399779</v>
      </c>
      <c r="P7" s="27">
        <f>IF(AND(ISNUMBER(N7),M7&lt;&gt;0),N7/M7,"")</f>
        <v>0.86556979895600039</v>
      </c>
      <c r="Q7" s="24"/>
      <c r="R7" s="25"/>
      <c r="S7" s="26" t="str">
        <f>IF(ISNUMBER(R7),R7-Q7,"")</f>
        <v/>
      </c>
      <c r="T7" s="27" t="str">
        <f>IF(AND(ISNUMBER(R7),Q7&lt;&gt;0),R7/Q7,"")</f>
        <v/>
      </c>
      <c r="U7" s="24"/>
      <c r="V7" s="25"/>
      <c r="W7" s="26" t="str">
        <f>IF(ISNUMBER(V7),V7-U7,"")</f>
        <v/>
      </c>
      <c r="X7" s="27" t="str">
        <f>IF(AND(ISNUMBER(V7),U7&lt;&gt;0),V7/U7,"")</f>
        <v/>
      </c>
      <c r="Y7" s="24"/>
      <c r="Z7" s="25"/>
      <c r="AA7" s="26" t="str">
        <f>IF(ISNUMBER(Z7),Z7-Y7,"")</f>
        <v/>
      </c>
      <c r="AB7" s="27" t="str">
        <f>IF(AND(ISNUMBER(Z7),Y7&lt;&gt;0),Z7/Y7,"")</f>
        <v/>
      </c>
      <c r="AC7" s="24"/>
      <c r="AD7" s="25"/>
      <c r="AE7" s="26" t="str">
        <f>IF(ISNUMBER(AD7),AD7-AC7,"")</f>
        <v/>
      </c>
      <c r="AF7" s="27" t="str">
        <f>IF(AND(ISNUMBER(AD7),AC7&lt;&gt;0),AD7/AC7,"")</f>
        <v/>
      </c>
      <c r="AG7" s="24"/>
      <c r="AH7" s="25"/>
      <c r="AI7" s="26" t="str">
        <f>IF(ISNUMBER(AH7),AH7-AG7,"")</f>
        <v/>
      </c>
      <c r="AJ7" s="27" t="str">
        <f>IF(AND(ISNUMBER(AH7),AG7&lt;&gt;0),AH7/AG7,"")</f>
        <v/>
      </c>
      <c r="AK7" s="24"/>
      <c r="AL7" s="25"/>
      <c r="AM7" s="26" t="str">
        <f>IF(ISNUMBER(AL7),AL7-AK7,"")</f>
        <v/>
      </c>
      <c r="AN7" s="27" t="str">
        <f>IF(AND(ISNUMBER(AL7),AK7&lt;&gt;0),AL7/AK7,"")</f>
        <v/>
      </c>
      <c r="AO7" s="24"/>
      <c r="AP7" s="25"/>
      <c r="AQ7" s="26" t="str">
        <f>IF(ISNUMBER(AP7),AP7-AO7,"")</f>
        <v/>
      </c>
      <c r="AR7" s="27" t="str">
        <f>IF(AND(ISNUMBER(AP7),AO7&lt;&gt;0),AP7/AO7,"")</f>
        <v/>
      </c>
      <c r="AS7" s="24"/>
      <c r="AT7" s="25"/>
      <c r="AU7" s="26" t="str">
        <f>IF(ISNUMBER(AT7),AT7-AS7,"")</f>
        <v/>
      </c>
      <c r="AV7" s="27" t="str">
        <f>IF(AND(ISNUMBER(AT7),AS7&lt;&gt;0),AT7/AS7,"")</f>
        <v/>
      </c>
      <c r="AW7" s="24"/>
      <c r="AX7" s="25"/>
      <c r="AY7" s="26" t="str">
        <f>IF(ISNUMBER(AX7),AX7-AW7,"")</f>
        <v/>
      </c>
      <c r="AZ7" s="27" t="str">
        <f>IF(AND(ISNUMBER(AX7),AW7&lt;&gt;0),AX7/AW7,"")</f>
        <v/>
      </c>
      <c r="BA7" s="28">
        <f>SUM(E7,I7,M7,Q7,U7,Y7,AC7,AG7,AK7,AO7,AS7,AW7)</f>
        <v>180</v>
      </c>
      <c r="BB7" s="29">
        <f>IF(COUNTA(F7,J7,N7,R7,V7,Z7,AD7,AH7,AL7,AP7,AT7,AX7)&gt;0,SUM(F7,J7,N7,R7,V7,Z7,AD7,AH7,AL7,AP7,AT7,AX7),"")</f>
        <v>146.50767660142026</v>
      </c>
      <c r="BC7" s="26">
        <f>IF(ISNUMBER(BB7),BB7-BA7,"")</f>
        <v>-33.492323398579742</v>
      </c>
      <c r="BD7" s="27">
        <f>IF(AND(ISNUMBER(BB7),BA7&lt;&gt;0),BB7/BA7,"")</f>
        <v>0.81393153667455698</v>
      </c>
    </row>
    <row r="8" spans="1:57" ht="19.5" customHeight="1" x14ac:dyDescent="0.3">
      <c r="A8" s="65" t="s">
        <v>155</v>
      </c>
      <c r="B8" s="21" t="s">
        <v>30</v>
      </c>
      <c r="C8" s="22" t="s">
        <v>31</v>
      </c>
      <c r="D8" s="23"/>
      <c r="E8" s="24">
        <v>361783</v>
      </c>
      <c r="F8" s="61">
        <v>361783</v>
      </c>
      <c r="G8" s="26">
        <f>IF(ISNUMBER(F8),F8-E8,"")</f>
        <v>0</v>
      </c>
      <c r="H8" s="27">
        <f>IF(AND(ISNUMBER(F8),E8&lt;&gt;0),F8/E8,"")</f>
        <v>1</v>
      </c>
      <c r="I8" s="24">
        <v>464000</v>
      </c>
      <c r="J8" s="29">
        <v>450288</v>
      </c>
      <c r="K8" s="26">
        <f>IF(ISNUMBER(J8),J8-I8,"")</f>
        <v>-13712</v>
      </c>
      <c r="L8" s="27">
        <f>IF(AND(ISNUMBER(J8),I8&lt;&gt;0),J8/I8,"")</f>
        <v>0.97044827586206894</v>
      </c>
      <c r="M8" s="24">
        <v>460500</v>
      </c>
      <c r="N8" s="25">
        <v>397881</v>
      </c>
      <c r="O8" s="26">
        <f>IF(ISNUMBER(N8),N8-M8,"")</f>
        <v>-62619</v>
      </c>
      <c r="P8" s="27">
        <f>IF(AND(ISNUMBER(N8),M8&lt;&gt;0),N8/M8,"")</f>
        <v>0.86401954397394132</v>
      </c>
      <c r="Q8" s="24">
        <v>437000</v>
      </c>
      <c r="R8" s="25"/>
      <c r="S8" s="26" t="str">
        <f>IF(ISNUMBER(R8),R8-Q8,"")</f>
        <v/>
      </c>
      <c r="T8" s="27" t="str">
        <f>IF(AND(ISNUMBER(R8),Q8&lt;&gt;0),R8/Q8,"")</f>
        <v/>
      </c>
      <c r="U8" s="24">
        <v>508000</v>
      </c>
      <c r="V8" s="25"/>
      <c r="W8" s="26" t="str">
        <f>IF(ISNUMBER(V8),V8-U8,"")</f>
        <v/>
      </c>
      <c r="X8" s="27" t="str">
        <f>IF(AND(ISNUMBER(V8),U8&lt;&gt;0),V8/U8,"")</f>
        <v/>
      </c>
      <c r="Y8" s="24">
        <v>532000</v>
      </c>
      <c r="Z8" s="25"/>
      <c r="AA8" s="26" t="str">
        <f>IF(ISNUMBER(Z8),Z8-Y8,"")</f>
        <v/>
      </c>
      <c r="AB8" s="27" t="str">
        <f>IF(AND(ISNUMBER(Z8),Y8&lt;&gt;0),Z8/Y8,"")</f>
        <v/>
      </c>
      <c r="AC8" s="24">
        <v>599100</v>
      </c>
      <c r="AD8" s="25"/>
      <c r="AE8" s="26" t="str">
        <f>IF(ISNUMBER(AD8),AD8-AC8,"")</f>
        <v/>
      </c>
      <c r="AF8" s="27" t="str">
        <f>IF(AND(ISNUMBER(AD8),AC8&lt;&gt;0),AD8/AC8,"")</f>
        <v/>
      </c>
      <c r="AG8" s="24">
        <v>535200</v>
      </c>
      <c r="AH8" s="25"/>
      <c r="AI8" s="26" t="str">
        <f>IF(ISNUMBER(AH8),AH8-AG8,"")</f>
        <v/>
      </c>
      <c r="AJ8" s="27" t="str">
        <f>IF(AND(ISNUMBER(AH8),AG8&lt;&gt;0),AH8/AG8,"")</f>
        <v/>
      </c>
      <c r="AK8" s="24">
        <v>657359</v>
      </c>
      <c r="AL8" s="25"/>
      <c r="AM8" s="26" t="str">
        <f>IF(ISNUMBER(AL8),AL8-AK8,"")</f>
        <v/>
      </c>
      <c r="AN8" s="27" t="str">
        <f>IF(AND(ISNUMBER(AL8),AK8&lt;&gt;0),AL8/AK8,"")</f>
        <v/>
      </c>
      <c r="AO8" s="24">
        <v>639859</v>
      </c>
      <c r="AP8" s="25"/>
      <c r="AQ8" s="26" t="str">
        <f>IF(ISNUMBER(AP8),AP8-AO8,"")</f>
        <v/>
      </c>
      <c r="AR8" s="27" t="str">
        <f>IF(AND(ISNUMBER(AP8),AO8&lt;&gt;0),AP8/AO8,"")</f>
        <v/>
      </c>
      <c r="AS8" s="24">
        <v>577691</v>
      </c>
      <c r="AT8" s="25"/>
      <c r="AU8" s="26" t="str">
        <f>IF(ISNUMBER(AT8),AT8-AS8,"")</f>
        <v/>
      </c>
      <c r="AV8" s="27" t="str">
        <f>IF(AND(ISNUMBER(AT8),AS8&lt;&gt;0),AT8/AS8,"")</f>
        <v/>
      </c>
      <c r="AW8" s="24">
        <v>202979</v>
      </c>
      <c r="AX8" s="25"/>
      <c r="AY8" s="26" t="str">
        <f>IF(ISNUMBER(AX8),AX8-AW8,"")</f>
        <v/>
      </c>
      <c r="AZ8" s="27" t="str">
        <f>IF(AND(ISNUMBER(AX8),AW8&lt;&gt;0),AX8/AW8,"")</f>
        <v/>
      </c>
      <c r="BA8" s="28">
        <f>SUM(E8,I8,M8,Q8,U8,Y8,AC8,AG8,AK8,AO8,AS8,AW8)</f>
        <v>5975471</v>
      </c>
      <c r="BB8" s="29">
        <f>IF(COUNTA(F8,J8,N8,R8,V8,Z8,AD8,AH8,AL8,AP8,AT8,AX8)&gt;0,SUM(F8,J8,N8,R8,V8,Z8,AD8,AH8,AL8,AP8,AT8,AX8),"")</f>
        <v>1209952</v>
      </c>
      <c r="BC8" s="26">
        <f>IF(ISNUMBER(BB8),BB8-BA8,"")</f>
        <v>-4765519</v>
      </c>
      <c r="BD8" s="27">
        <f>IF(AND(ISNUMBER(BB8),BA8&lt;&gt;0),BB8/BA8,"")</f>
        <v>0.20248646508367291</v>
      </c>
    </row>
    <row r="9" spans="1:57" ht="19.5" customHeight="1" x14ac:dyDescent="0.3">
      <c r="A9" s="65" t="s">
        <v>155</v>
      </c>
      <c r="B9" s="21" t="s">
        <v>32</v>
      </c>
      <c r="C9" s="22" t="s">
        <v>26</v>
      </c>
      <c r="D9" s="23"/>
      <c r="E9" s="24">
        <v>12301</v>
      </c>
      <c r="F9" s="61">
        <v>16476</v>
      </c>
      <c r="G9" s="26">
        <f>IF(ISNUMBER(F9),F9-E9,"")</f>
        <v>4175</v>
      </c>
      <c r="H9" s="27">
        <f>IF(AND(ISNUMBER(F9),E9&lt;&gt;0),F9/E9,"")</f>
        <v>1.3394033005446713</v>
      </c>
      <c r="I9" s="24">
        <v>15776</v>
      </c>
      <c r="J9" s="29">
        <v>20569</v>
      </c>
      <c r="K9" s="26">
        <f>IF(ISNUMBER(J9),J9-I9,"")</f>
        <v>4793</v>
      </c>
      <c r="L9" s="27">
        <f>IF(AND(ISNUMBER(J9),I9&lt;&gt;0),J9/I9,"")</f>
        <v>1.3038159229208925</v>
      </c>
      <c r="M9" s="24">
        <v>15657</v>
      </c>
      <c r="N9" s="25">
        <v>18633</v>
      </c>
      <c r="O9" s="26">
        <f>IF(ISNUMBER(N9),N9-M9,"")</f>
        <v>2976</v>
      </c>
      <c r="P9" s="27">
        <f>IF(AND(ISNUMBER(N9),M9&lt;&gt;0),N9/M9,"")</f>
        <v>1.1900747269591876</v>
      </c>
      <c r="Q9" s="24">
        <v>14858</v>
      </c>
      <c r="R9" s="25"/>
      <c r="S9" s="26" t="str">
        <f>IF(ISNUMBER(R9),R9-Q9,"")</f>
        <v/>
      </c>
      <c r="T9" s="27" t="str">
        <f>IF(AND(ISNUMBER(R9),Q9&lt;&gt;0),R9/Q9,"")</f>
        <v/>
      </c>
      <c r="U9" s="24">
        <v>17272</v>
      </c>
      <c r="V9" s="25"/>
      <c r="W9" s="26" t="str">
        <f>IF(ISNUMBER(V9),V9-U9,"")</f>
        <v/>
      </c>
      <c r="X9" s="27" t="str">
        <f>IF(AND(ISNUMBER(V9),U9&lt;&gt;0),V9/U9,"")</f>
        <v/>
      </c>
      <c r="Y9" s="24">
        <v>18088</v>
      </c>
      <c r="Z9" s="25"/>
      <c r="AA9" s="26" t="str">
        <f>IF(ISNUMBER(Z9),Z9-Y9,"")</f>
        <v/>
      </c>
      <c r="AB9" s="27" t="str">
        <f>IF(AND(ISNUMBER(Z9),Y9&lt;&gt;0),Z9/Y9,"")</f>
        <v/>
      </c>
      <c r="AC9" s="24">
        <v>20369</v>
      </c>
      <c r="AD9" s="25"/>
      <c r="AE9" s="26" t="str">
        <f>IF(ISNUMBER(AD9),AD9-AC9,"")</f>
        <v/>
      </c>
      <c r="AF9" s="27" t="str">
        <f>IF(AND(ISNUMBER(AD9),AC9&lt;&gt;0),AD9/AC9,"")</f>
        <v/>
      </c>
      <c r="AG9" s="24">
        <v>18197</v>
      </c>
      <c r="AH9" s="25"/>
      <c r="AI9" s="26" t="str">
        <f>IF(ISNUMBER(AH9),AH9-AG9,"")</f>
        <v/>
      </c>
      <c r="AJ9" s="27" t="str">
        <f>IF(AND(ISNUMBER(AH9),AG9&lt;&gt;0),AH9/AG9,"")</f>
        <v/>
      </c>
      <c r="AK9" s="24">
        <v>22350</v>
      </c>
      <c r="AL9" s="25"/>
      <c r="AM9" s="26" t="str">
        <f>IF(ISNUMBER(AL9),AL9-AK9,"")</f>
        <v/>
      </c>
      <c r="AN9" s="27" t="str">
        <f>IF(AND(ISNUMBER(AL9),AK9&lt;&gt;0),AL9/AK9,"")</f>
        <v/>
      </c>
      <c r="AO9" s="24">
        <v>21755</v>
      </c>
      <c r="AP9" s="25"/>
      <c r="AQ9" s="26" t="str">
        <f>IF(ISNUMBER(AP9),AP9-AO9,"")</f>
        <v/>
      </c>
      <c r="AR9" s="27" t="str">
        <f>IF(AND(ISNUMBER(AP9),AO9&lt;&gt;0),AP9/AO9,"")</f>
        <v/>
      </c>
      <c r="AS9" s="24">
        <v>19641</v>
      </c>
      <c r="AT9" s="25"/>
      <c r="AU9" s="26" t="str">
        <f>IF(ISNUMBER(AT9),AT9-AS9,"")</f>
        <v/>
      </c>
      <c r="AV9" s="27" t="str">
        <f>IF(AND(ISNUMBER(AT9),AS9&lt;&gt;0),AT9/AS9,"")</f>
        <v/>
      </c>
      <c r="AW9" s="24">
        <v>6901</v>
      </c>
      <c r="AX9" s="25"/>
      <c r="AY9" s="26" t="str">
        <f>IF(ISNUMBER(AX9),AX9-AW9,"")</f>
        <v/>
      </c>
      <c r="AZ9" s="27" t="str">
        <f>IF(AND(ISNUMBER(AX9),AW9&lt;&gt;0),AX9/AW9,"")</f>
        <v/>
      </c>
      <c r="BA9" s="28">
        <f>SUM(E9,I9,M9,Q9,U9,Y9,AC9,AG9,AK9,AO9,AS9,AW9)</f>
        <v>203165</v>
      </c>
      <c r="BB9" s="29">
        <f>IF(COUNTA(F9,J9,N9,R9,V9,Z9,AD9,AH9,AL9,AP9,AT9,AX9)&gt;0,SUM(F9,J9,N9,R9,V9,Z9,AD9,AH9,AL9,AP9,AT9,AX9),"")</f>
        <v>55678</v>
      </c>
      <c r="BC9" s="26">
        <f>IF(ISNUMBER(BB9),BB9-BA9,"")</f>
        <v>-147487</v>
      </c>
      <c r="BD9" s="27">
        <f>IF(AND(ISNUMBER(BB9),BA9&lt;&gt;0),BB9/BA9,"")</f>
        <v>0.27405310954150569</v>
      </c>
    </row>
    <row r="10" spans="1:57" ht="19.5" customHeight="1" x14ac:dyDescent="0.3">
      <c r="A10" s="65" t="s">
        <v>155</v>
      </c>
      <c r="B10" s="21" t="s">
        <v>33</v>
      </c>
      <c r="C10" s="22" t="s">
        <v>34</v>
      </c>
      <c r="D10" s="23" t="s">
        <v>35</v>
      </c>
      <c r="E10" s="24">
        <v>34</v>
      </c>
      <c r="F10" s="62">
        <f>(F9*1000)/F8</f>
        <v>45.541111660857474</v>
      </c>
      <c r="G10" s="26">
        <f>IF(ISNUMBER(F10),F10-E10,"")</f>
        <v>11.541111660857474</v>
      </c>
      <c r="H10" s="27">
        <f>IF(AND(ISNUMBER(F10),E10&lt;&gt;0),F10/E10,"")</f>
        <v>1.3394444606134552</v>
      </c>
      <c r="I10" s="24">
        <f>E10</f>
        <v>34</v>
      </c>
      <c r="J10" s="64">
        <f>(J9*1000)/J8</f>
        <v>45.679653910386243</v>
      </c>
      <c r="K10" s="26">
        <f>IF(ISNUMBER(J10),J10-I10,"")</f>
        <v>11.679653910386243</v>
      </c>
      <c r="L10" s="27">
        <f>IF(AND(ISNUMBER(J10),I10&lt;&gt;0),J10/I10,"")</f>
        <v>1.3435192326584189</v>
      </c>
      <c r="M10" s="24">
        <f>I10</f>
        <v>34</v>
      </c>
      <c r="N10" s="64">
        <f>(N9*1000)/N8</f>
        <v>46.830585024165515</v>
      </c>
      <c r="O10" s="26">
        <f>IF(ISNUMBER(N10),N10-M10,"")</f>
        <v>12.830585024165515</v>
      </c>
      <c r="P10" s="27">
        <f>IF(AND(ISNUMBER(N10),M10&lt;&gt;0),N10/M10,"")</f>
        <v>1.3773701477695739</v>
      </c>
      <c r="Q10" s="24"/>
      <c r="R10" s="25"/>
      <c r="S10" s="26" t="str">
        <f>IF(ISNUMBER(R10),R10-Q10,"")</f>
        <v/>
      </c>
      <c r="T10" s="27" t="str">
        <f>IF(AND(ISNUMBER(R10),Q10&lt;&gt;0),R10/Q10,"")</f>
        <v/>
      </c>
      <c r="U10" s="24"/>
      <c r="V10" s="25"/>
      <c r="W10" s="26" t="str">
        <f>IF(ISNUMBER(V10),V10-U10,"")</f>
        <v/>
      </c>
      <c r="X10" s="27" t="str">
        <f>IF(AND(ISNUMBER(V10),U10&lt;&gt;0),V10/U10,"")</f>
        <v/>
      </c>
      <c r="Y10" s="24"/>
      <c r="Z10" s="25"/>
      <c r="AA10" s="26" t="str">
        <f>IF(ISNUMBER(Z10),Z10-Y10,"")</f>
        <v/>
      </c>
      <c r="AB10" s="27" t="str">
        <f>IF(AND(ISNUMBER(Z10),Y10&lt;&gt;0),Z10/Y10,"")</f>
        <v/>
      </c>
      <c r="AC10" s="24"/>
      <c r="AD10" s="25"/>
      <c r="AE10" s="26" t="str">
        <f>IF(ISNUMBER(AD10),AD10-AC10,"")</f>
        <v/>
      </c>
      <c r="AF10" s="27" t="str">
        <f>IF(AND(ISNUMBER(AD10),AC10&lt;&gt;0),AD10/AC10,"")</f>
        <v/>
      </c>
      <c r="AG10" s="24"/>
      <c r="AH10" s="25"/>
      <c r="AI10" s="26" t="str">
        <f>IF(ISNUMBER(AH10),AH10-AG10,"")</f>
        <v/>
      </c>
      <c r="AJ10" s="27" t="str">
        <f>IF(AND(ISNUMBER(AH10),AG10&lt;&gt;0),AH10/AG10,"")</f>
        <v/>
      </c>
      <c r="AK10" s="24"/>
      <c r="AL10" s="25"/>
      <c r="AM10" s="26" t="str">
        <f>IF(ISNUMBER(AL10),AL10-AK10,"")</f>
        <v/>
      </c>
      <c r="AN10" s="27" t="str">
        <f>IF(AND(ISNUMBER(AL10),AK10&lt;&gt;0),AL10/AK10,"")</f>
        <v/>
      </c>
      <c r="AO10" s="24"/>
      <c r="AP10" s="25"/>
      <c r="AQ10" s="26" t="str">
        <f>IF(ISNUMBER(AP10),AP10-AO10,"")</f>
        <v/>
      </c>
      <c r="AR10" s="27" t="str">
        <f>IF(AND(ISNUMBER(AP10),AO10&lt;&gt;0),AP10/AO10,"")</f>
        <v/>
      </c>
      <c r="AS10" s="24"/>
      <c r="AT10" s="25"/>
      <c r="AU10" s="26" t="str">
        <f>IF(ISNUMBER(AT10),AT10-AS10,"")</f>
        <v/>
      </c>
      <c r="AV10" s="27" t="str">
        <f>IF(AND(ISNUMBER(AT10),AS10&lt;&gt;0),AT10/AS10,"")</f>
        <v/>
      </c>
      <c r="AW10" s="24"/>
      <c r="AX10" s="25"/>
      <c r="AY10" s="26" t="str">
        <f>IF(ISNUMBER(AX10),AX10-AW10,"")</f>
        <v/>
      </c>
      <c r="AZ10" s="27" t="str">
        <f>IF(AND(ISNUMBER(AX10),AW10&lt;&gt;0),AX10/AW10,"")</f>
        <v/>
      </c>
      <c r="BA10" s="28">
        <f>SUM(E10,I10,M10,Q10,U10,Y10,AC10,AG10,AK10,AO10,AS10,AW10)</f>
        <v>102</v>
      </c>
      <c r="BB10" s="29">
        <f>IF(COUNTA(F10,J10,N10,R10,V10,Z10,AD10,AH10,AL10,AP10,AT10,AX10)&gt;0,SUM(F10,J10,N10,R10,V10,Z10,AD10,AH10,AL10,AP10,AT10,AX10),"")</f>
        <v>138.05135059540925</v>
      </c>
      <c r="BC10" s="26">
        <f>IF(ISNUMBER(BB10),BB10-BA10,"")</f>
        <v>36.051350595409247</v>
      </c>
      <c r="BD10" s="27">
        <f>IF(AND(ISNUMBER(BB10),BA10&lt;&gt;0),BB10/BA10,"")</f>
        <v>1.3534446136804827</v>
      </c>
    </row>
    <row r="11" spans="1:57" ht="19.5" customHeight="1" x14ac:dyDescent="0.3">
      <c r="A11" s="65" t="s">
        <v>156</v>
      </c>
      <c r="B11" s="21" t="s">
        <v>36</v>
      </c>
      <c r="C11" s="22" t="s">
        <v>26</v>
      </c>
      <c r="D11" s="23"/>
      <c r="E11" s="24">
        <f>+E9+E6</f>
        <v>24707</v>
      </c>
      <c r="F11" s="25">
        <f>+F9+F6</f>
        <v>27229</v>
      </c>
      <c r="G11" s="26">
        <f>IF(ISNUMBER(F11),F11-E11,"")</f>
        <v>2522</v>
      </c>
      <c r="H11" s="27">
        <f>IF(AND(ISNUMBER(F11),E11&lt;&gt;0),F11/E11,"")</f>
        <v>1.1020763346420044</v>
      </c>
      <c r="I11" s="24">
        <f>+I9+I6</f>
        <v>26637</v>
      </c>
      <c r="J11" s="25">
        <f>+J9+J6</f>
        <v>26144</v>
      </c>
      <c r="K11" s="26">
        <f>IF(ISNUMBER(J11),J11-I11,"")</f>
        <v>-493</v>
      </c>
      <c r="L11" s="27">
        <f>IF(AND(ISNUMBER(J11),I11&lt;&gt;0),J11/I11,"")</f>
        <v>0.98149190974959644</v>
      </c>
      <c r="M11" s="24">
        <f>+M9+M6</f>
        <v>25371</v>
      </c>
      <c r="N11" s="25">
        <f>+N9+N6</f>
        <v>30552</v>
      </c>
      <c r="O11" s="26">
        <f>IF(ISNUMBER(N11),N11-M11,"")</f>
        <v>5181</v>
      </c>
      <c r="P11" s="27">
        <f>IF(AND(ISNUMBER(N11),M11&lt;&gt;0),N11/M11,"")</f>
        <v>1.2042095305663947</v>
      </c>
      <c r="Q11" s="24">
        <v>28996.04</v>
      </c>
      <c r="R11" s="25"/>
      <c r="S11" s="26" t="str">
        <f>IF(ISNUMBER(R11),R11-Q11,"")</f>
        <v/>
      </c>
      <c r="T11" s="27" t="str">
        <f>IF(AND(ISNUMBER(R11),Q11&lt;&gt;0),R11/Q11,"")</f>
        <v/>
      </c>
      <c r="U11" s="24">
        <v>31421.599999999999</v>
      </c>
      <c r="V11" s="25"/>
      <c r="W11" s="26" t="str">
        <f>IF(ISNUMBER(V11),V11-U11,"")</f>
        <v/>
      </c>
      <c r="X11" s="27" t="str">
        <f>IF(AND(ISNUMBER(V11),U11&lt;&gt;0),V11/U11,"")</f>
        <v/>
      </c>
      <c r="Y11" s="24">
        <v>34249.300000000003</v>
      </c>
      <c r="Z11" s="25"/>
      <c r="AA11" s="26" t="str">
        <f>IF(ISNUMBER(Z11),Z11-Y11,"")</f>
        <v/>
      </c>
      <c r="AB11" s="27" t="str">
        <f>IF(AND(ISNUMBER(Z11),Y11&lt;&gt;0),Z11/Y11,"")</f>
        <v/>
      </c>
      <c r="AC11" s="24">
        <v>40509.089999999997</v>
      </c>
      <c r="AD11" s="25"/>
      <c r="AE11" s="26" t="str">
        <f>IF(ISNUMBER(AD11),AD11-AC11,"")</f>
        <v/>
      </c>
      <c r="AF11" s="27" t="str">
        <f>IF(AND(ISNUMBER(AD11),AC11&lt;&gt;0),AD11/AC11,"")</f>
        <v/>
      </c>
      <c r="AG11" s="24">
        <v>40285.49</v>
      </c>
      <c r="AH11" s="25"/>
      <c r="AI11" s="26" t="str">
        <f>IF(ISNUMBER(AH11),AH11-AG11,"")</f>
        <v/>
      </c>
      <c r="AJ11" s="27" t="str">
        <f>IF(AND(ISNUMBER(AH11),AG11&lt;&gt;0),AH11/AG11,"")</f>
        <v/>
      </c>
      <c r="AK11" s="24">
        <v>43482.44</v>
      </c>
      <c r="AL11" s="25"/>
      <c r="AM11" s="26" t="str">
        <f>IF(ISNUMBER(AL11),AL11-AK11,"")</f>
        <v/>
      </c>
      <c r="AN11" s="27" t="str">
        <f>IF(AND(ISNUMBER(AL11),AK11&lt;&gt;0),AL11/AK11,"")</f>
        <v/>
      </c>
      <c r="AO11" s="24">
        <v>40858.19</v>
      </c>
      <c r="AP11" s="25"/>
      <c r="AQ11" s="26" t="str">
        <f>IF(ISNUMBER(AP11),AP11-AO11,"")</f>
        <v/>
      </c>
      <c r="AR11" s="27" t="str">
        <f>IF(AND(ISNUMBER(AP11),AO11&lt;&gt;0),AP11/AO11,"")</f>
        <v/>
      </c>
      <c r="AS11" s="24">
        <v>26685.68</v>
      </c>
      <c r="AT11" s="25"/>
      <c r="AU11" s="26" t="str">
        <f>IF(ISNUMBER(AT11),AT11-AS11,"")</f>
        <v/>
      </c>
      <c r="AV11" s="27" t="str">
        <f>IF(AND(ISNUMBER(AT11),AS11&lt;&gt;0),AT11/AS11,"")</f>
        <v/>
      </c>
      <c r="AW11" s="24">
        <v>13422.47</v>
      </c>
      <c r="AX11" s="25"/>
      <c r="AY11" s="26" t="str">
        <f>IF(ISNUMBER(AX11),AX11-AW11,"")</f>
        <v/>
      </c>
      <c r="AZ11" s="27" t="str">
        <f>IF(AND(ISNUMBER(AX11),AW11&lt;&gt;0),AX11/AW11,"")</f>
        <v/>
      </c>
      <c r="BA11" s="28">
        <f>SUM(E11,I11,M11,Q11,U11,Y11,AC11,AG11,AK11,AO11,AS11,AW11)</f>
        <v>376625.29999999993</v>
      </c>
      <c r="BB11" s="29">
        <f>IF(COUNTA(F11,J11,N11,R11,V11,Z11,AD11,AH11,AL11,AP11,AT11,AX11)&gt;0,SUM(F11,J11,N11,R11,V11,Z11,AD11,AH11,AL11,AP11,AT11,AX11),"")</f>
        <v>83925</v>
      </c>
      <c r="BC11" s="26">
        <f>IF(ISNUMBER(BB11),BB11-BA11,"")</f>
        <v>-292700.29999999993</v>
      </c>
      <c r="BD11" s="27">
        <f>IF(AND(ISNUMBER(BB11),BA11&lt;&gt;0),BB11/BA11,"")</f>
        <v>0.22283420683634375</v>
      </c>
    </row>
  </sheetData>
  <mergeCells count="15">
    <mergeCell ref="A1:BE1"/>
    <mergeCell ref="A2:BE2"/>
    <mergeCell ref="E3:H3"/>
    <mergeCell ref="I3:L3"/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</mergeCells>
  <conditionalFormatting sqref="H5">
    <cfRule type="cellIs" dxfId="355" priority="200" operator="equal">
      <formula>1</formula>
    </cfRule>
    <cfRule type="cellIs" dxfId="354" priority="201" operator="lessThan">
      <formula>1</formula>
    </cfRule>
    <cfRule type="cellIs" dxfId="353" priority="202" operator="greaterThan">
      <formula>1</formula>
    </cfRule>
  </conditionalFormatting>
  <conditionalFormatting sqref="H6:H7">
    <cfRule type="cellIs" dxfId="352" priority="198" operator="lessThan">
      <formula>1</formula>
    </cfRule>
    <cfRule type="cellIs" dxfId="351" priority="199" operator="greaterThan">
      <formula>1</formula>
    </cfRule>
  </conditionalFormatting>
  <conditionalFormatting sqref="H8">
    <cfRule type="cellIs" dxfId="350" priority="195" operator="equal">
      <formula>1</formula>
    </cfRule>
    <cfRule type="cellIs" dxfId="349" priority="196" operator="lessThan">
      <formula>1</formula>
    </cfRule>
    <cfRule type="cellIs" dxfId="348" priority="197" operator="greaterThan">
      <formula>1</formula>
    </cfRule>
  </conditionalFormatting>
  <conditionalFormatting sqref="H9:H10">
    <cfRule type="cellIs" dxfId="347" priority="193" operator="lessThan">
      <formula>1</formula>
    </cfRule>
    <cfRule type="cellIs" dxfId="346" priority="194" operator="greaterThan">
      <formula>1</formula>
    </cfRule>
  </conditionalFormatting>
  <conditionalFormatting sqref="H11">
    <cfRule type="cellIs" dxfId="345" priority="188" operator="lessThan">
      <formula>1</formula>
    </cfRule>
    <cfRule type="cellIs" dxfId="344" priority="189" operator="greaterThan">
      <formula>1</formula>
    </cfRule>
  </conditionalFormatting>
  <conditionalFormatting sqref="L5">
    <cfRule type="cellIs" dxfId="343" priority="130" operator="equal">
      <formula>1</formula>
    </cfRule>
    <cfRule type="cellIs" dxfId="342" priority="131" operator="lessThan">
      <formula>1</formula>
    </cfRule>
    <cfRule type="cellIs" dxfId="341" priority="132" operator="greaterThan">
      <formula>1</formula>
    </cfRule>
  </conditionalFormatting>
  <conditionalFormatting sqref="L6:L7">
    <cfRule type="cellIs" dxfId="340" priority="128" operator="lessThan">
      <formula>1</formula>
    </cfRule>
    <cfRule type="cellIs" dxfId="339" priority="129" operator="greaterThan">
      <formula>1</formula>
    </cfRule>
  </conditionalFormatting>
  <conditionalFormatting sqref="L8">
    <cfRule type="cellIs" dxfId="338" priority="125" operator="equal">
      <formula>1</formula>
    </cfRule>
    <cfRule type="cellIs" dxfId="337" priority="126" operator="lessThan">
      <formula>1</formula>
    </cfRule>
    <cfRule type="cellIs" dxfId="336" priority="127" operator="greaterThan">
      <formula>1</formula>
    </cfRule>
  </conditionalFormatting>
  <conditionalFormatting sqref="L9:L10">
    <cfRule type="cellIs" dxfId="335" priority="123" operator="lessThan">
      <formula>1</formula>
    </cfRule>
    <cfRule type="cellIs" dxfId="334" priority="124" operator="greaterThan">
      <formula>1</formula>
    </cfRule>
  </conditionalFormatting>
  <conditionalFormatting sqref="L11">
    <cfRule type="cellIs" dxfId="333" priority="121" operator="lessThan">
      <formula>1</formula>
    </cfRule>
    <cfRule type="cellIs" dxfId="332" priority="122" operator="greaterThan">
      <formula>1</formula>
    </cfRule>
  </conditionalFormatting>
  <conditionalFormatting sqref="P5">
    <cfRule type="cellIs" dxfId="331" priority="118" operator="equal">
      <formula>1</formula>
    </cfRule>
    <cfRule type="cellIs" dxfId="330" priority="119" operator="lessThan">
      <formula>1</formula>
    </cfRule>
    <cfRule type="cellIs" dxfId="329" priority="120" operator="greaterThan">
      <formula>1</formula>
    </cfRule>
  </conditionalFormatting>
  <conditionalFormatting sqref="P6:P7">
    <cfRule type="cellIs" dxfId="328" priority="116" operator="lessThan">
      <formula>1</formula>
    </cfRule>
    <cfRule type="cellIs" dxfId="327" priority="117" operator="greaterThan">
      <formula>1</formula>
    </cfRule>
  </conditionalFormatting>
  <conditionalFormatting sqref="P8">
    <cfRule type="cellIs" dxfId="326" priority="113" operator="equal">
      <formula>1</formula>
    </cfRule>
    <cfRule type="cellIs" dxfId="325" priority="114" operator="lessThan">
      <formula>1</formula>
    </cfRule>
    <cfRule type="cellIs" dxfId="324" priority="115" operator="greaterThan">
      <formula>1</formula>
    </cfRule>
  </conditionalFormatting>
  <conditionalFormatting sqref="P9:P10">
    <cfRule type="cellIs" dxfId="323" priority="111" operator="lessThan">
      <formula>1</formula>
    </cfRule>
    <cfRule type="cellIs" dxfId="322" priority="112" operator="greaterThan">
      <formula>1</formula>
    </cfRule>
  </conditionalFormatting>
  <conditionalFormatting sqref="P11">
    <cfRule type="cellIs" dxfId="321" priority="109" operator="lessThan">
      <formula>1</formula>
    </cfRule>
    <cfRule type="cellIs" dxfId="320" priority="110" operator="greaterThan">
      <formula>1</formula>
    </cfRule>
  </conditionalFormatting>
  <conditionalFormatting sqref="T5">
    <cfRule type="cellIs" dxfId="319" priority="106" operator="equal">
      <formula>1</formula>
    </cfRule>
    <cfRule type="cellIs" dxfId="318" priority="107" operator="lessThan">
      <formula>1</formula>
    </cfRule>
    <cfRule type="cellIs" dxfId="317" priority="108" operator="greaterThan">
      <formula>1</formula>
    </cfRule>
  </conditionalFormatting>
  <conditionalFormatting sqref="T6:T7">
    <cfRule type="cellIs" dxfId="316" priority="104" operator="lessThan">
      <formula>1</formula>
    </cfRule>
    <cfRule type="cellIs" dxfId="315" priority="105" operator="greaterThan">
      <formula>1</formula>
    </cfRule>
  </conditionalFormatting>
  <conditionalFormatting sqref="T8">
    <cfRule type="cellIs" dxfId="314" priority="101" operator="equal">
      <formula>1</formula>
    </cfRule>
    <cfRule type="cellIs" dxfId="313" priority="102" operator="lessThan">
      <formula>1</formula>
    </cfRule>
    <cfRule type="cellIs" dxfId="312" priority="103" operator="greaterThan">
      <formula>1</formula>
    </cfRule>
  </conditionalFormatting>
  <conditionalFormatting sqref="T9:T10">
    <cfRule type="cellIs" dxfId="311" priority="99" operator="lessThan">
      <formula>1</formula>
    </cfRule>
    <cfRule type="cellIs" dxfId="310" priority="100" operator="greaterThan">
      <formula>1</formula>
    </cfRule>
  </conditionalFormatting>
  <conditionalFormatting sqref="T11">
    <cfRule type="cellIs" dxfId="309" priority="97" operator="lessThan">
      <formula>1</formula>
    </cfRule>
    <cfRule type="cellIs" dxfId="308" priority="98" operator="greaterThan">
      <formula>1</formula>
    </cfRule>
  </conditionalFormatting>
  <conditionalFormatting sqref="X5">
    <cfRule type="cellIs" dxfId="307" priority="94" operator="equal">
      <formula>1</formula>
    </cfRule>
    <cfRule type="cellIs" dxfId="306" priority="95" operator="lessThan">
      <formula>1</formula>
    </cfRule>
    <cfRule type="cellIs" dxfId="305" priority="96" operator="greaterThan">
      <formula>1</formula>
    </cfRule>
  </conditionalFormatting>
  <conditionalFormatting sqref="X6:X7">
    <cfRule type="cellIs" dxfId="304" priority="92" operator="lessThan">
      <formula>1</formula>
    </cfRule>
    <cfRule type="cellIs" dxfId="303" priority="93" operator="greaterThan">
      <formula>1</formula>
    </cfRule>
  </conditionalFormatting>
  <conditionalFormatting sqref="X8">
    <cfRule type="cellIs" dxfId="302" priority="89" operator="equal">
      <formula>1</formula>
    </cfRule>
    <cfRule type="cellIs" dxfId="301" priority="90" operator="lessThan">
      <formula>1</formula>
    </cfRule>
    <cfRule type="cellIs" dxfId="300" priority="91" operator="greaterThan">
      <formula>1</formula>
    </cfRule>
  </conditionalFormatting>
  <conditionalFormatting sqref="X9:X10">
    <cfRule type="cellIs" dxfId="299" priority="87" operator="lessThan">
      <formula>1</formula>
    </cfRule>
    <cfRule type="cellIs" dxfId="298" priority="88" operator="greaterThan">
      <formula>1</formula>
    </cfRule>
  </conditionalFormatting>
  <conditionalFormatting sqref="X11">
    <cfRule type="cellIs" dxfId="297" priority="85" operator="lessThan">
      <formula>1</formula>
    </cfRule>
    <cfRule type="cellIs" dxfId="296" priority="86" operator="greaterThan">
      <formula>1</formula>
    </cfRule>
  </conditionalFormatting>
  <conditionalFormatting sqref="AB5">
    <cfRule type="cellIs" dxfId="295" priority="82" operator="equal">
      <formula>1</formula>
    </cfRule>
    <cfRule type="cellIs" dxfId="294" priority="83" operator="lessThan">
      <formula>1</formula>
    </cfRule>
    <cfRule type="cellIs" dxfId="293" priority="84" operator="greaterThan">
      <formula>1</formula>
    </cfRule>
  </conditionalFormatting>
  <conditionalFormatting sqref="AB6:AB7">
    <cfRule type="cellIs" dxfId="292" priority="80" operator="lessThan">
      <formula>1</formula>
    </cfRule>
    <cfRule type="cellIs" dxfId="291" priority="81" operator="greaterThan">
      <formula>1</formula>
    </cfRule>
  </conditionalFormatting>
  <conditionalFormatting sqref="AB8">
    <cfRule type="cellIs" dxfId="290" priority="77" operator="equal">
      <formula>1</formula>
    </cfRule>
    <cfRule type="cellIs" dxfId="289" priority="78" operator="lessThan">
      <formula>1</formula>
    </cfRule>
    <cfRule type="cellIs" dxfId="288" priority="79" operator="greaterThan">
      <formula>1</formula>
    </cfRule>
  </conditionalFormatting>
  <conditionalFormatting sqref="AB9:AB10">
    <cfRule type="cellIs" dxfId="287" priority="75" operator="lessThan">
      <formula>1</formula>
    </cfRule>
    <cfRule type="cellIs" dxfId="286" priority="76" operator="greaterThan">
      <formula>1</formula>
    </cfRule>
  </conditionalFormatting>
  <conditionalFormatting sqref="AB11">
    <cfRule type="cellIs" dxfId="285" priority="73" operator="lessThan">
      <formula>1</formula>
    </cfRule>
    <cfRule type="cellIs" dxfId="284" priority="74" operator="greaterThan">
      <formula>1</formula>
    </cfRule>
  </conditionalFormatting>
  <conditionalFormatting sqref="AF5">
    <cfRule type="cellIs" dxfId="283" priority="70" operator="equal">
      <formula>1</formula>
    </cfRule>
    <cfRule type="cellIs" dxfId="282" priority="71" operator="lessThan">
      <formula>1</formula>
    </cfRule>
    <cfRule type="cellIs" dxfId="281" priority="72" operator="greaterThan">
      <formula>1</formula>
    </cfRule>
  </conditionalFormatting>
  <conditionalFormatting sqref="AF6:AF7">
    <cfRule type="cellIs" dxfId="280" priority="68" operator="lessThan">
      <formula>1</formula>
    </cfRule>
    <cfRule type="cellIs" dxfId="279" priority="69" operator="greaterThan">
      <formula>1</formula>
    </cfRule>
  </conditionalFormatting>
  <conditionalFormatting sqref="AF8">
    <cfRule type="cellIs" dxfId="278" priority="65" operator="equal">
      <formula>1</formula>
    </cfRule>
    <cfRule type="cellIs" dxfId="277" priority="66" operator="lessThan">
      <formula>1</formula>
    </cfRule>
    <cfRule type="cellIs" dxfId="276" priority="67" operator="greaterThan">
      <formula>1</formula>
    </cfRule>
  </conditionalFormatting>
  <conditionalFormatting sqref="AF9:AF10">
    <cfRule type="cellIs" dxfId="275" priority="63" operator="lessThan">
      <formula>1</formula>
    </cfRule>
    <cfRule type="cellIs" dxfId="274" priority="64" operator="greaterThan">
      <formula>1</formula>
    </cfRule>
  </conditionalFormatting>
  <conditionalFormatting sqref="AF11">
    <cfRule type="cellIs" dxfId="273" priority="61" operator="lessThan">
      <formula>1</formula>
    </cfRule>
    <cfRule type="cellIs" dxfId="272" priority="62" operator="greaterThan">
      <formula>1</formula>
    </cfRule>
  </conditionalFormatting>
  <conditionalFormatting sqref="AJ5">
    <cfRule type="cellIs" dxfId="271" priority="58" operator="equal">
      <formula>1</formula>
    </cfRule>
    <cfRule type="cellIs" dxfId="270" priority="59" operator="lessThan">
      <formula>1</formula>
    </cfRule>
    <cfRule type="cellIs" dxfId="269" priority="60" operator="greaterThan">
      <formula>1</formula>
    </cfRule>
  </conditionalFormatting>
  <conditionalFormatting sqref="AJ6:AJ7">
    <cfRule type="cellIs" dxfId="268" priority="56" operator="lessThan">
      <formula>1</formula>
    </cfRule>
    <cfRule type="cellIs" dxfId="267" priority="57" operator="greaterThan">
      <formula>1</formula>
    </cfRule>
  </conditionalFormatting>
  <conditionalFormatting sqref="AJ8">
    <cfRule type="cellIs" dxfId="266" priority="53" operator="equal">
      <formula>1</formula>
    </cfRule>
    <cfRule type="cellIs" dxfId="265" priority="54" operator="lessThan">
      <formula>1</formula>
    </cfRule>
    <cfRule type="cellIs" dxfId="264" priority="55" operator="greaterThan">
      <formula>1</formula>
    </cfRule>
  </conditionalFormatting>
  <conditionalFormatting sqref="AJ9:AJ10">
    <cfRule type="cellIs" dxfId="263" priority="51" operator="lessThan">
      <formula>1</formula>
    </cfRule>
    <cfRule type="cellIs" dxfId="262" priority="52" operator="greaterThan">
      <formula>1</formula>
    </cfRule>
  </conditionalFormatting>
  <conditionalFormatting sqref="AJ11">
    <cfRule type="cellIs" dxfId="261" priority="49" operator="lessThan">
      <formula>1</formula>
    </cfRule>
    <cfRule type="cellIs" dxfId="260" priority="50" operator="greaterThan">
      <formula>1</formula>
    </cfRule>
  </conditionalFormatting>
  <conditionalFormatting sqref="AN5">
    <cfRule type="cellIs" dxfId="259" priority="46" operator="equal">
      <formula>1</formula>
    </cfRule>
    <cfRule type="cellIs" dxfId="258" priority="47" operator="lessThan">
      <formula>1</formula>
    </cfRule>
    <cfRule type="cellIs" dxfId="257" priority="48" operator="greaterThan">
      <formula>1</formula>
    </cfRule>
  </conditionalFormatting>
  <conditionalFormatting sqref="AN6:AN7">
    <cfRule type="cellIs" dxfId="256" priority="44" operator="lessThan">
      <formula>1</formula>
    </cfRule>
    <cfRule type="cellIs" dxfId="255" priority="45" operator="greaterThan">
      <formula>1</formula>
    </cfRule>
  </conditionalFormatting>
  <conditionalFormatting sqref="AN8">
    <cfRule type="cellIs" dxfId="254" priority="41" operator="equal">
      <formula>1</formula>
    </cfRule>
    <cfRule type="cellIs" dxfId="253" priority="42" operator="lessThan">
      <formula>1</formula>
    </cfRule>
    <cfRule type="cellIs" dxfId="252" priority="43" operator="greaterThan">
      <formula>1</formula>
    </cfRule>
  </conditionalFormatting>
  <conditionalFormatting sqref="AN9:AN10">
    <cfRule type="cellIs" dxfId="251" priority="39" operator="lessThan">
      <formula>1</formula>
    </cfRule>
    <cfRule type="cellIs" dxfId="250" priority="40" operator="greaterThan">
      <formula>1</formula>
    </cfRule>
  </conditionalFormatting>
  <conditionalFormatting sqref="AN11">
    <cfRule type="cellIs" dxfId="249" priority="37" operator="lessThan">
      <formula>1</formula>
    </cfRule>
    <cfRule type="cellIs" dxfId="248" priority="38" operator="greaterThan">
      <formula>1</formula>
    </cfRule>
  </conditionalFormatting>
  <conditionalFormatting sqref="AR5">
    <cfRule type="cellIs" dxfId="247" priority="34" operator="equal">
      <formula>1</formula>
    </cfRule>
    <cfRule type="cellIs" dxfId="246" priority="35" operator="lessThan">
      <formula>1</formula>
    </cfRule>
    <cfRule type="cellIs" dxfId="245" priority="36" operator="greaterThan">
      <formula>1</formula>
    </cfRule>
  </conditionalFormatting>
  <conditionalFormatting sqref="AR6:AR7">
    <cfRule type="cellIs" dxfId="244" priority="32" operator="lessThan">
      <formula>1</formula>
    </cfRule>
    <cfRule type="cellIs" dxfId="243" priority="33" operator="greaterThan">
      <formula>1</formula>
    </cfRule>
  </conditionalFormatting>
  <conditionalFormatting sqref="AR8">
    <cfRule type="cellIs" dxfId="242" priority="29" operator="equal">
      <formula>1</formula>
    </cfRule>
    <cfRule type="cellIs" dxfId="241" priority="30" operator="lessThan">
      <formula>1</formula>
    </cfRule>
    <cfRule type="cellIs" dxfId="240" priority="31" operator="greaterThan">
      <formula>1</formula>
    </cfRule>
  </conditionalFormatting>
  <conditionalFormatting sqref="AR9:AR10">
    <cfRule type="cellIs" dxfId="239" priority="27" operator="lessThan">
      <formula>1</formula>
    </cfRule>
    <cfRule type="cellIs" dxfId="238" priority="28" operator="greaterThan">
      <formula>1</formula>
    </cfRule>
  </conditionalFormatting>
  <conditionalFormatting sqref="AR11">
    <cfRule type="cellIs" dxfId="237" priority="25" operator="lessThan">
      <formula>1</formula>
    </cfRule>
    <cfRule type="cellIs" dxfId="236" priority="26" operator="greaterThan">
      <formula>1</formula>
    </cfRule>
  </conditionalFormatting>
  <conditionalFormatting sqref="AV5">
    <cfRule type="cellIs" dxfId="235" priority="22" operator="equal">
      <formula>1</formula>
    </cfRule>
    <cfRule type="cellIs" dxfId="234" priority="23" operator="lessThan">
      <formula>1</formula>
    </cfRule>
    <cfRule type="cellIs" dxfId="233" priority="24" operator="greaterThan">
      <formula>1</formula>
    </cfRule>
  </conditionalFormatting>
  <conditionalFormatting sqref="AV6:AV7">
    <cfRule type="cellIs" dxfId="232" priority="20" operator="lessThan">
      <formula>1</formula>
    </cfRule>
    <cfRule type="cellIs" dxfId="231" priority="21" operator="greaterThan">
      <formula>1</formula>
    </cfRule>
  </conditionalFormatting>
  <conditionalFormatting sqref="AV8">
    <cfRule type="cellIs" dxfId="230" priority="17" operator="equal">
      <formula>1</formula>
    </cfRule>
    <cfRule type="cellIs" dxfId="229" priority="18" operator="lessThan">
      <formula>1</formula>
    </cfRule>
    <cfRule type="cellIs" dxfId="228" priority="19" operator="greaterThan">
      <formula>1</formula>
    </cfRule>
  </conditionalFormatting>
  <conditionalFormatting sqref="AV9:AV10">
    <cfRule type="cellIs" dxfId="227" priority="15" operator="lessThan">
      <formula>1</formula>
    </cfRule>
    <cfRule type="cellIs" dxfId="226" priority="16" operator="greaterThan">
      <formula>1</formula>
    </cfRule>
  </conditionalFormatting>
  <conditionalFormatting sqref="AV11">
    <cfRule type="cellIs" dxfId="225" priority="13" operator="lessThan">
      <formula>1</formula>
    </cfRule>
    <cfRule type="cellIs" dxfId="224" priority="14" operator="greaterThan">
      <formula>1</formula>
    </cfRule>
  </conditionalFormatting>
  <conditionalFormatting sqref="AZ5">
    <cfRule type="cellIs" dxfId="223" priority="10" operator="equal">
      <formula>1</formula>
    </cfRule>
    <cfRule type="cellIs" dxfId="222" priority="11" operator="lessThan">
      <formula>1</formula>
    </cfRule>
    <cfRule type="cellIs" dxfId="221" priority="12" operator="greaterThan">
      <formula>1</formula>
    </cfRule>
  </conditionalFormatting>
  <conditionalFormatting sqref="AZ6:AZ7">
    <cfRule type="cellIs" dxfId="220" priority="8" operator="lessThan">
      <formula>1</formula>
    </cfRule>
    <cfRule type="cellIs" dxfId="219" priority="9" operator="greaterThan">
      <formula>1</formula>
    </cfRule>
  </conditionalFormatting>
  <conditionalFormatting sqref="AZ8">
    <cfRule type="cellIs" dxfId="218" priority="5" operator="equal">
      <formula>1</formula>
    </cfRule>
    <cfRule type="cellIs" dxfId="217" priority="6" operator="lessThan">
      <formula>1</formula>
    </cfRule>
    <cfRule type="cellIs" dxfId="216" priority="7" operator="greaterThan">
      <formula>1</formula>
    </cfRule>
  </conditionalFormatting>
  <conditionalFormatting sqref="AZ9:AZ10">
    <cfRule type="cellIs" dxfId="215" priority="3" operator="lessThan">
      <formula>1</formula>
    </cfRule>
    <cfRule type="cellIs" dxfId="214" priority="4" operator="greaterThan">
      <formula>1</formula>
    </cfRule>
  </conditionalFormatting>
  <conditionalFormatting sqref="AZ11">
    <cfRule type="cellIs" dxfId="213" priority="1" operator="lessThan">
      <formula>1</formula>
    </cfRule>
    <cfRule type="cellIs" dxfId="212" priority="2" operator="greaterThan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5"/>
  <sheetViews>
    <sheetView showGridLines="0" tabSelected="1" zoomScale="115" zoomScaleNormal="11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I10" sqref="I10"/>
    </sheetView>
  </sheetViews>
  <sheetFormatPr baseColWidth="10" defaultColWidth="8.6640625" defaultRowHeight="14.4" x14ac:dyDescent="0.3"/>
  <cols>
    <col min="1" max="1" width="14" customWidth="1"/>
    <col min="2" max="2" width="38" customWidth="1"/>
    <col min="3" max="5" width="12" customWidth="1"/>
    <col min="6" max="6" width="11" hidden="1" customWidth="1"/>
    <col min="7" max="7" width="9" hidden="1" customWidth="1"/>
    <col min="8" max="9" width="12" customWidth="1"/>
    <col min="10" max="10" width="11" hidden="1" customWidth="1"/>
    <col min="11" max="11" width="9" hidden="1" customWidth="1"/>
    <col min="12" max="13" width="12" customWidth="1"/>
    <col min="14" max="14" width="11" customWidth="1"/>
    <col min="15" max="15" width="9" customWidth="1"/>
    <col min="16" max="17" width="12" customWidth="1"/>
    <col min="18" max="18" width="11" customWidth="1"/>
    <col min="19" max="19" width="9" customWidth="1"/>
    <col min="20" max="21" width="12" customWidth="1"/>
    <col min="22" max="22" width="11" customWidth="1"/>
    <col min="23" max="23" width="9" customWidth="1"/>
    <col min="24" max="25" width="12" customWidth="1"/>
    <col min="26" max="26" width="11" customWidth="1"/>
    <col min="27" max="27" width="9" customWidth="1"/>
    <col min="28" max="29" width="12" customWidth="1"/>
    <col min="30" max="30" width="11" customWidth="1"/>
    <col min="31" max="31" width="9" customWidth="1"/>
    <col min="32" max="33" width="12" customWidth="1"/>
    <col min="34" max="34" width="11" customWidth="1"/>
    <col min="35" max="35" width="9" customWidth="1"/>
    <col min="36" max="37" width="12" customWidth="1"/>
    <col min="38" max="38" width="11" customWidth="1"/>
    <col min="39" max="39" width="9" customWidth="1"/>
    <col min="40" max="41" width="12" customWidth="1"/>
    <col min="42" max="42" width="11" customWidth="1"/>
    <col min="43" max="43" width="9" customWidth="1"/>
    <col min="44" max="45" width="12" customWidth="1"/>
    <col min="46" max="46" width="11" customWidth="1"/>
    <col min="47" max="47" width="9" customWidth="1"/>
    <col min="48" max="49" width="12" customWidth="1"/>
    <col min="50" max="50" width="11" customWidth="1"/>
    <col min="51" max="51" width="9" customWidth="1"/>
    <col min="52" max="55" width="12" customWidth="1"/>
  </cols>
  <sheetData>
    <row r="1" spans="1:56" ht="27.75" customHeight="1" x14ac:dyDescent="0.3">
      <c r="A1" s="13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</row>
    <row r="2" spans="1:56" ht="18" customHeight="1" x14ac:dyDescent="0.3">
      <c r="A2" s="12" t="s">
        <v>38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</row>
    <row r="3" spans="1:56" ht="36" customHeight="1" x14ac:dyDescent="0.3">
      <c r="A3" s="14" t="s">
        <v>39</v>
      </c>
      <c r="B3" s="14" t="s">
        <v>40</v>
      </c>
      <c r="C3" s="14" t="s">
        <v>4</v>
      </c>
      <c r="D3" s="11" t="s">
        <v>6</v>
      </c>
      <c r="E3" s="11"/>
      <c r="F3" s="11"/>
      <c r="G3" s="11"/>
      <c r="H3" s="11" t="s">
        <v>7</v>
      </c>
      <c r="I3" s="11"/>
      <c r="J3" s="11"/>
      <c r="K3" s="11"/>
      <c r="L3" s="11" t="s">
        <v>8</v>
      </c>
      <c r="M3" s="11"/>
      <c r="N3" s="11"/>
      <c r="O3" s="11"/>
      <c r="P3" s="11" t="s">
        <v>9</v>
      </c>
      <c r="Q3" s="11"/>
      <c r="R3" s="11"/>
      <c r="S3" s="11"/>
      <c r="T3" s="11" t="s">
        <v>10</v>
      </c>
      <c r="U3" s="11"/>
      <c r="V3" s="11"/>
      <c r="W3" s="11"/>
      <c r="X3" s="11" t="s">
        <v>11</v>
      </c>
      <c r="Y3" s="11"/>
      <c r="Z3" s="11"/>
      <c r="AA3" s="11"/>
      <c r="AB3" s="11" t="s">
        <v>12</v>
      </c>
      <c r="AC3" s="11"/>
      <c r="AD3" s="11"/>
      <c r="AE3" s="11"/>
      <c r="AF3" s="11" t="s">
        <v>13</v>
      </c>
      <c r="AG3" s="11"/>
      <c r="AH3" s="11"/>
      <c r="AI3" s="11"/>
      <c r="AJ3" s="11" t="s">
        <v>14</v>
      </c>
      <c r="AK3" s="11"/>
      <c r="AL3" s="11"/>
      <c r="AM3" s="11"/>
      <c r="AN3" s="11" t="s">
        <v>15</v>
      </c>
      <c r="AO3" s="11"/>
      <c r="AP3" s="11"/>
      <c r="AQ3" s="11"/>
      <c r="AR3" s="11" t="s">
        <v>16</v>
      </c>
      <c r="AS3" s="11"/>
      <c r="AT3" s="11"/>
      <c r="AU3" s="11"/>
      <c r="AV3" s="11" t="s">
        <v>17</v>
      </c>
      <c r="AW3" s="11"/>
      <c r="AX3" s="11"/>
      <c r="AY3" s="11"/>
      <c r="AZ3" s="10" t="s">
        <v>18</v>
      </c>
      <c r="BA3" s="10"/>
      <c r="BB3" s="10"/>
      <c r="BC3" s="10"/>
    </row>
    <row r="4" spans="1:56" ht="30" customHeight="1" x14ac:dyDescent="0.3">
      <c r="A4" s="67" t="s">
        <v>158</v>
      </c>
      <c r="B4" s="10"/>
      <c r="C4" s="10"/>
      <c r="D4" s="17" t="s">
        <v>41</v>
      </c>
      <c r="E4" s="18" t="s">
        <v>42</v>
      </c>
      <c r="F4" s="19" t="s">
        <v>43</v>
      </c>
      <c r="G4" s="19" t="s">
        <v>44</v>
      </c>
      <c r="H4" s="17" t="s">
        <v>41</v>
      </c>
      <c r="I4" s="18" t="s">
        <v>42</v>
      </c>
      <c r="J4" s="19" t="s">
        <v>43</v>
      </c>
      <c r="K4" s="19" t="s">
        <v>44</v>
      </c>
      <c r="L4" s="17" t="s">
        <v>41</v>
      </c>
      <c r="M4" s="18" t="s">
        <v>42</v>
      </c>
      <c r="N4" s="19" t="s">
        <v>43</v>
      </c>
      <c r="O4" s="19" t="s">
        <v>44</v>
      </c>
      <c r="P4" s="17" t="s">
        <v>41</v>
      </c>
      <c r="Q4" s="18" t="s">
        <v>42</v>
      </c>
      <c r="R4" s="19" t="s">
        <v>43</v>
      </c>
      <c r="S4" s="19" t="s">
        <v>44</v>
      </c>
      <c r="T4" s="17" t="s">
        <v>41</v>
      </c>
      <c r="U4" s="18" t="s">
        <v>42</v>
      </c>
      <c r="V4" s="19" t="s">
        <v>43</v>
      </c>
      <c r="W4" s="19" t="s">
        <v>44</v>
      </c>
      <c r="X4" s="17" t="s">
        <v>41</v>
      </c>
      <c r="Y4" s="18" t="s">
        <v>42</v>
      </c>
      <c r="Z4" s="19" t="s">
        <v>43</v>
      </c>
      <c r="AA4" s="19" t="s">
        <v>44</v>
      </c>
      <c r="AB4" s="17" t="s">
        <v>41</v>
      </c>
      <c r="AC4" s="18" t="s">
        <v>42</v>
      </c>
      <c r="AD4" s="19" t="s">
        <v>43</v>
      </c>
      <c r="AE4" s="19" t="s">
        <v>44</v>
      </c>
      <c r="AF4" s="17" t="s">
        <v>41</v>
      </c>
      <c r="AG4" s="18" t="s">
        <v>42</v>
      </c>
      <c r="AH4" s="19" t="s">
        <v>43</v>
      </c>
      <c r="AI4" s="19" t="s">
        <v>44</v>
      </c>
      <c r="AJ4" s="17" t="s">
        <v>41</v>
      </c>
      <c r="AK4" s="18" t="s">
        <v>42</v>
      </c>
      <c r="AL4" s="19" t="s">
        <v>43</v>
      </c>
      <c r="AM4" s="19" t="s">
        <v>44</v>
      </c>
      <c r="AN4" s="17" t="s">
        <v>41</v>
      </c>
      <c r="AO4" s="18" t="s">
        <v>42</v>
      </c>
      <c r="AP4" s="19" t="s">
        <v>43</v>
      </c>
      <c r="AQ4" s="19" t="s">
        <v>44</v>
      </c>
      <c r="AR4" s="17" t="s">
        <v>41</v>
      </c>
      <c r="AS4" s="18" t="s">
        <v>42</v>
      </c>
      <c r="AT4" s="19" t="s">
        <v>43</v>
      </c>
      <c r="AU4" s="19" t="s">
        <v>44</v>
      </c>
      <c r="AV4" s="17" t="s">
        <v>41</v>
      </c>
      <c r="AW4" s="18" t="s">
        <v>42</v>
      </c>
      <c r="AX4" s="19" t="s">
        <v>43</v>
      </c>
      <c r="AY4" s="19" t="s">
        <v>44</v>
      </c>
      <c r="AZ4" s="20" t="s">
        <v>41</v>
      </c>
      <c r="BA4" s="18" t="s">
        <v>42</v>
      </c>
      <c r="BB4" s="19" t="s">
        <v>43</v>
      </c>
      <c r="BC4" s="19" t="s">
        <v>44</v>
      </c>
    </row>
    <row r="5" spans="1:56" ht="19.5" customHeight="1" x14ac:dyDescent="0.3">
      <c r="A5" s="30" t="s">
        <v>45</v>
      </c>
      <c r="B5" s="21" t="s">
        <v>46</v>
      </c>
      <c r="C5" s="22" t="s">
        <v>26</v>
      </c>
      <c r="D5" s="24">
        <v>9023</v>
      </c>
      <c r="E5" s="33">
        <v>9944</v>
      </c>
      <c r="F5" s="32">
        <f>IF(ISNUMBER(E5),E5-D5,"")</f>
        <v>921</v>
      </c>
      <c r="G5" s="27">
        <f>IF(AND(ISNUMBER(E5),D5&lt;&gt;0),E5/D5,"")</f>
        <v>1.1020724814363294</v>
      </c>
      <c r="H5" s="24">
        <v>9728</v>
      </c>
      <c r="I5" s="33">
        <v>10100</v>
      </c>
      <c r="J5" s="32">
        <f>IF(ISNUMBER(I5),I5-H5,"")</f>
        <v>372</v>
      </c>
      <c r="K5" s="27">
        <f>IF(AND(ISNUMBER(I5),H5&lt;&gt;0),I5/H5,"")</f>
        <v>1.0382401315789473</v>
      </c>
      <c r="L5" s="24">
        <v>9266</v>
      </c>
      <c r="M5" s="33">
        <v>10522</v>
      </c>
      <c r="N5" s="32">
        <f>IF(ISNUMBER(M5),M5-L5,"")</f>
        <v>1256</v>
      </c>
      <c r="O5" s="27">
        <f>IF(AND(ISNUMBER(M5),L5&lt;&gt;0),M5/L5,"")</f>
        <v>1.1355493200949709</v>
      </c>
      <c r="P5" s="24">
        <v>10589</v>
      </c>
      <c r="Q5" s="31"/>
      <c r="R5" s="32" t="str">
        <f>IF(ISNUMBER(Q5),Q5-P5,"")</f>
        <v/>
      </c>
      <c r="S5" s="27" t="str">
        <f>IF(AND(ISNUMBER(Q5),P5&lt;&gt;0),Q5/P5,"")</f>
        <v/>
      </c>
      <c r="T5" s="24">
        <v>0</v>
      </c>
      <c r="U5" s="31"/>
      <c r="V5" s="32" t="str">
        <f>IF(ISNUMBER(U5),U5-T5,"")</f>
        <v/>
      </c>
      <c r="W5" s="27" t="str">
        <f>IF(AND(ISNUMBER(U5),T5&lt;&gt;0),U5/T5,"")</f>
        <v/>
      </c>
      <c r="X5" s="24">
        <v>961</v>
      </c>
      <c r="Y5" s="31"/>
      <c r="Z5" s="32" t="str">
        <f>IF(ISNUMBER(Y5),Y5-X5,"")</f>
        <v/>
      </c>
      <c r="AA5" s="27" t="str">
        <f>IF(AND(ISNUMBER(Y5),X5&lt;&gt;0),Y5/X5,"")</f>
        <v/>
      </c>
      <c r="AB5" s="24">
        <v>3111</v>
      </c>
      <c r="AC5" s="31"/>
      <c r="AD5" s="32" t="str">
        <f>IF(ISNUMBER(AC5),AC5-AB5,"")</f>
        <v/>
      </c>
      <c r="AE5" s="27" t="str">
        <f>IF(AND(ISNUMBER(AC5),AB5&lt;&gt;0),AC5/AB5,"")</f>
        <v/>
      </c>
      <c r="AF5" s="24">
        <v>3034</v>
      </c>
      <c r="AG5" s="31"/>
      <c r="AH5" s="32" t="str">
        <f>IF(ISNUMBER(AG5),AG5-AF5,"")</f>
        <v/>
      </c>
      <c r="AI5" s="27" t="str">
        <f>IF(AND(ISNUMBER(AG5),AF5&lt;&gt;0),AG5/AF5,"")</f>
        <v/>
      </c>
      <c r="AJ5" s="24">
        <v>4132</v>
      </c>
      <c r="AK5" s="31"/>
      <c r="AL5" s="32" t="str">
        <f>IF(ISNUMBER(AK5),AK5-AJ5,"")</f>
        <v/>
      </c>
      <c r="AM5" s="27" t="str">
        <f>IF(AND(ISNUMBER(AK5),AJ5&lt;&gt;0),AK5/AJ5,"")</f>
        <v/>
      </c>
      <c r="AN5" s="24">
        <v>3231</v>
      </c>
      <c r="AO5" s="31"/>
      <c r="AP5" s="32" t="str">
        <f>IF(ISNUMBER(AO5),AO5-AN5,"")</f>
        <v/>
      </c>
      <c r="AQ5" s="27" t="str">
        <f>IF(AND(ISNUMBER(AO5),AN5&lt;&gt;0),AO5/AN5,"")</f>
        <v/>
      </c>
      <c r="AR5" s="24">
        <v>0</v>
      </c>
      <c r="AS5" s="31"/>
      <c r="AT5" s="32" t="str">
        <f>IF(ISNUMBER(AS5),AS5-AR5,"")</f>
        <v/>
      </c>
      <c r="AU5" s="27" t="str">
        <f>IF(AND(ISNUMBER(AS5),AR5&lt;&gt;0),AS5/AR5,"")</f>
        <v/>
      </c>
      <c r="AV5" s="24">
        <v>0</v>
      </c>
      <c r="AW5" s="31"/>
      <c r="AX5" s="32" t="str">
        <f>IF(ISNUMBER(AW5),AW5-AV5,"")</f>
        <v/>
      </c>
      <c r="AY5" s="27" t="str">
        <f>IF(AND(ISNUMBER(AW5),AV5&lt;&gt;0),AW5/AV5,"")</f>
        <v/>
      </c>
      <c r="AZ5" s="24">
        <f>SUM(D5,H5,L5,P5,T5,X5,AB5,AF5,AJ5,AN5,AR5,AV5)</f>
        <v>53075</v>
      </c>
      <c r="BA5" s="33">
        <f>IF(COUNTA(E5,I5,M5,Q5,U5,Y5,AC5,AG5,AK5,AO5,AS5,AW5)&gt;0,SUM(E5,I5,M5,Q5,U5,Y5,AC5,AG5,AK5,AO5,AS5,AW5),"")</f>
        <v>30566</v>
      </c>
      <c r="BB5" s="32">
        <f>IF(ISNUMBER(BA5),BA5-AZ5,"")</f>
        <v>-22509</v>
      </c>
      <c r="BC5" s="27">
        <f>IF(AND(ISNUMBER(BA5),AZ5&lt;&gt;0),BA5/AZ5,"")</f>
        <v>0.57590202543570423</v>
      </c>
    </row>
    <row r="6" spans="1:56" ht="19.5" customHeight="1" x14ac:dyDescent="0.3">
      <c r="A6" s="30" t="s">
        <v>45</v>
      </c>
      <c r="B6" s="21" t="s">
        <v>47</v>
      </c>
      <c r="C6" s="22" t="s">
        <v>26</v>
      </c>
      <c r="D6" s="24">
        <v>163</v>
      </c>
      <c r="E6" s="33">
        <v>180</v>
      </c>
      <c r="F6" s="32">
        <f>IF(ISNUMBER(E6),E6-D6,"")</f>
        <v>17</v>
      </c>
      <c r="G6" s="27">
        <f>IF(AND(ISNUMBER(E6),D6&lt;&gt;0),E6/D6,"")</f>
        <v>1.1042944785276074</v>
      </c>
      <c r="H6" s="24">
        <v>176</v>
      </c>
      <c r="I6" s="33">
        <v>309</v>
      </c>
      <c r="J6" s="32">
        <f>IF(ISNUMBER(I6),I6-H6,"")</f>
        <v>133</v>
      </c>
      <c r="K6" s="27">
        <f>IF(AND(ISNUMBER(I6),H6&lt;&gt;0),I6/H6,"")</f>
        <v>1.7556818181818181</v>
      </c>
      <c r="L6" s="24">
        <v>167</v>
      </c>
      <c r="M6" s="33">
        <v>0</v>
      </c>
      <c r="N6" s="32">
        <f>IF(ISNUMBER(M6),M6-L6,"")</f>
        <v>-167</v>
      </c>
      <c r="O6" s="27">
        <f>IF(AND(ISNUMBER(M6),L6&lt;&gt;0),M6/L6,"")</f>
        <v>0</v>
      </c>
      <c r="P6" s="24">
        <v>191</v>
      </c>
      <c r="Q6" s="31"/>
      <c r="R6" s="32" t="str">
        <f>IF(ISNUMBER(Q6),Q6-P6,"")</f>
        <v/>
      </c>
      <c r="S6" s="27" t="str">
        <f>IF(AND(ISNUMBER(Q6),P6&lt;&gt;0),Q6/P6,"")</f>
        <v/>
      </c>
      <c r="T6" s="24">
        <v>207</v>
      </c>
      <c r="U6" s="31"/>
      <c r="V6" s="32" t="str">
        <f>IF(ISNUMBER(U6),U6-T6,"")</f>
        <v/>
      </c>
      <c r="W6" s="27" t="str">
        <f>IF(AND(ISNUMBER(U6),T6&lt;&gt;0),U6/T6,"")</f>
        <v/>
      </c>
      <c r="X6" s="24">
        <v>226</v>
      </c>
      <c r="Y6" s="31"/>
      <c r="Z6" s="32" t="str">
        <f>IF(ISNUMBER(Y6),Y6-X6,"")</f>
        <v/>
      </c>
      <c r="AA6" s="27" t="str">
        <f>IF(AND(ISNUMBER(Y6),X6&lt;&gt;0),Y6/X6,"")</f>
        <v/>
      </c>
      <c r="AB6" s="24">
        <v>267</v>
      </c>
      <c r="AC6" s="31"/>
      <c r="AD6" s="32" t="str">
        <f>IF(ISNUMBER(AC6),AC6-AB6,"")</f>
        <v/>
      </c>
      <c r="AE6" s="27" t="str">
        <f>IF(AND(ISNUMBER(AC6),AB6&lt;&gt;0),AC6/AB6,"")</f>
        <v/>
      </c>
      <c r="AF6" s="24">
        <v>266</v>
      </c>
      <c r="AG6" s="31"/>
      <c r="AH6" s="32" t="str">
        <f>IF(ISNUMBER(AG6),AG6-AF6,"")</f>
        <v/>
      </c>
      <c r="AI6" s="27" t="str">
        <f>IF(AND(ISNUMBER(AG6),AF6&lt;&gt;0),AG6/AF6,"")</f>
        <v/>
      </c>
      <c r="AJ6" s="24">
        <v>287</v>
      </c>
      <c r="AK6" s="31"/>
      <c r="AL6" s="32" t="str">
        <f>IF(ISNUMBER(AK6),AK6-AJ6,"")</f>
        <v/>
      </c>
      <c r="AM6" s="27" t="str">
        <f>IF(AND(ISNUMBER(AK6),AJ6&lt;&gt;0),AK6/AJ6,"")</f>
        <v/>
      </c>
      <c r="AN6" s="24">
        <v>270</v>
      </c>
      <c r="AO6" s="31"/>
      <c r="AP6" s="32" t="str">
        <f>IF(ISNUMBER(AO6),AO6-AN6,"")</f>
        <v/>
      </c>
      <c r="AQ6" s="27" t="str">
        <f>IF(AND(ISNUMBER(AO6),AN6&lt;&gt;0),AO6/AN6,"")</f>
        <v/>
      </c>
      <c r="AR6" s="24">
        <v>0</v>
      </c>
      <c r="AS6" s="31"/>
      <c r="AT6" s="32" t="str">
        <f>IF(ISNUMBER(AS6),AS6-AR6,"")</f>
        <v/>
      </c>
      <c r="AU6" s="27" t="str">
        <f>IF(AND(ISNUMBER(AS6),AR6&lt;&gt;0),AS6/AR6,"")</f>
        <v/>
      </c>
      <c r="AV6" s="24">
        <v>0</v>
      </c>
      <c r="AW6" s="31"/>
      <c r="AX6" s="32" t="str">
        <f>IF(ISNUMBER(AW6),AW6-AV6,"")</f>
        <v/>
      </c>
      <c r="AY6" s="27" t="str">
        <f>IF(AND(ISNUMBER(AW6),AV6&lt;&gt;0),AW6/AV6,"")</f>
        <v/>
      </c>
      <c r="AZ6" s="24">
        <f>SUM(D6,H6,L6,P6,T6,X6,AB6,AF6,AJ6,AN6,AR6,AV6)</f>
        <v>2220</v>
      </c>
      <c r="BA6" s="33">
        <f>IF(COUNTA(E6,I6,M6,Q6,U6,Y6,AC6,AG6,AK6,AO6,AS6,AW6)&gt;0,SUM(E6,I6,M6,Q6,U6,Y6,AC6,AG6,AK6,AO6,AS6,AW6),"")</f>
        <v>489</v>
      </c>
      <c r="BB6" s="32">
        <f>IF(ISNUMBER(BA6),BA6-AZ6,"")</f>
        <v>-1731</v>
      </c>
      <c r="BC6" s="27">
        <f>IF(AND(ISNUMBER(BA6),AZ6&lt;&gt;0),BA6/AZ6,"")</f>
        <v>0.22027027027027027</v>
      </c>
    </row>
    <row r="7" spans="1:56" ht="19.5" customHeight="1" x14ac:dyDescent="0.3">
      <c r="A7" s="34" t="s">
        <v>48</v>
      </c>
      <c r="B7" s="21" t="s">
        <v>49</v>
      </c>
      <c r="C7" s="22" t="s">
        <v>26</v>
      </c>
      <c r="D7" s="24">
        <v>10384</v>
      </c>
      <c r="E7" s="33">
        <v>11444</v>
      </c>
      <c r="F7" s="32">
        <f>IF(ISNUMBER(E7),E7-D7,"")</f>
        <v>1060</v>
      </c>
      <c r="G7" s="27">
        <f>IF(AND(ISNUMBER(E7),D7&lt;&gt;0),E7/D7,"")</f>
        <v>1.102080123266564</v>
      </c>
      <c r="H7" s="24">
        <v>11196</v>
      </c>
      <c r="I7" s="33">
        <v>11281</v>
      </c>
      <c r="J7" s="32">
        <f>IF(ISNUMBER(I7),I7-H7,"")</f>
        <v>85</v>
      </c>
      <c r="K7" s="27">
        <f>IF(AND(ISNUMBER(I7),H7&lt;&gt;0),I7/H7,"")</f>
        <v>1.0075919971418363</v>
      </c>
      <c r="L7" s="24">
        <v>10664</v>
      </c>
      <c r="M7" s="33">
        <v>14662</v>
      </c>
      <c r="N7" s="32">
        <f>IF(ISNUMBER(M7),M7-L7,"")</f>
        <v>3998</v>
      </c>
      <c r="O7" s="27">
        <f>IF(AND(ISNUMBER(M7),L7&lt;&gt;0),M7/L7,"")</f>
        <v>1.3749062265566392</v>
      </c>
      <c r="P7" s="24">
        <v>12187</v>
      </c>
      <c r="Q7" s="31"/>
      <c r="R7" s="32" t="str">
        <f>IF(ISNUMBER(Q7),Q7-P7,"")</f>
        <v/>
      </c>
      <c r="S7" s="27" t="str">
        <f>IF(AND(ISNUMBER(Q7),P7&lt;&gt;0),Q7/P7,"")</f>
        <v/>
      </c>
      <c r="T7" s="24">
        <v>20424</v>
      </c>
      <c r="U7" s="31"/>
      <c r="V7" s="32" t="str">
        <f>IF(ISNUMBER(U7),U7-T7,"")</f>
        <v/>
      </c>
      <c r="W7" s="27" t="str">
        <f>IF(AND(ISNUMBER(U7),T7&lt;&gt;0),U7/T7,"")</f>
        <v/>
      </c>
      <c r="X7" s="24">
        <v>22262</v>
      </c>
      <c r="Y7" s="31"/>
      <c r="Z7" s="32" t="str">
        <f>IF(ISNUMBER(Y7),Y7-X7,"")</f>
        <v/>
      </c>
      <c r="AA7" s="27" t="str">
        <f>IF(AND(ISNUMBER(Y7),X7&lt;&gt;0),Y7/X7,"")</f>
        <v/>
      </c>
      <c r="AB7" s="24">
        <v>26331</v>
      </c>
      <c r="AC7" s="31"/>
      <c r="AD7" s="32" t="str">
        <f>IF(ISNUMBER(AC7),AC7-AB7,"")</f>
        <v/>
      </c>
      <c r="AE7" s="27" t="str">
        <f>IF(AND(ISNUMBER(AC7),AB7&lt;&gt;0),AC7/AB7,"")</f>
        <v/>
      </c>
      <c r="AF7" s="24">
        <v>26186</v>
      </c>
      <c r="AG7" s="31"/>
      <c r="AH7" s="32" t="str">
        <f>IF(ISNUMBER(AG7),AG7-AF7,"")</f>
        <v/>
      </c>
      <c r="AI7" s="27" t="str">
        <f>IF(AND(ISNUMBER(AG7),AF7&lt;&gt;0),AG7/AF7,"")</f>
        <v/>
      </c>
      <c r="AJ7" s="24">
        <v>28264</v>
      </c>
      <c r="AK7" s="31"/>
      <c r="AL7" s="32" t="str">
        <f>IF(ISNUMBER(AK7),AK7-AJ7,"")</f>
        <v/>
      </c>
      <c r="AM7" s="27" t="str">
        <f>IF(AND(ISNUMBER(AK7),AJ7&lt;&gt;0),AK7/AJ7,"")</f>
        <v/>
      </c>
      <c r="AN7" s="24">
        <v>26558</v>
      </c>
      <c r="AO7" s="31"/>
      <c r="AP7" s="32" t="str">
        <f>IF(ISNUMBER(AO7),AO7-AN7,"")</f>
        <v/>
      </c>
      <c r="AQ7" s="27" t="str">
        <f>IF(AND(ISNUMBER(AO7),AN7&lt;&gt;0),AO7/AN7,"")</f>
        <v/>
      </c>
      <c r="AR7" s="24">
        <v>17346</v>
      </c>
      <c r="AS7" s="31"/>
      <c r="AT7" s="32" t="str">
        <f>IF(ISNUMBER(AS7),AS7-AR7,"")</f>
        <v/>
      </c>
      <c r="AU7" s="27" t="str">
        <f>IF(AND(ISNUMBER(AS7),AR7&lt;&gt;0),AS7/AR7,"")</f>
        <v/>
      </c>
      <c r="AV7" s="24">
        <v>2622</v>
      </c>
      <c r="AW7" s="31"/>
      <c r="AX7" s="32" t="str">
        <f>IF(ISNUMBER(AW7),AW7-AV7,"")</f>
        <v/>
      </c>
      <c r="AY7" s="27" t="str">
        <f>IF(AND(ISNUMBER(AW7),AV7&lt;&gt;0),AW7/AV7,"")</f>
        <v/>
      </c>
      <c r="AZ7" s="24">
        <f>SUM(D7,H7,L7,P7,T7,X7,AB7,AF7,AJ7,AN7,AR7,AV7)</f>
        <v>214424</v>
      </c>
      <c r="BA7" s="33">
        <f>IF(COUNTA(E7,I7,M7,Q7,U7,Y7,AC7,AG7,AK7,AO7,AS7,AW7)&gt;0,SUM(E7,I7,M7,Q7,U7,Y7,AC7,AG7,AK7,AO7,AS7,AW7),"")</f>
        <v>37387</v>
      </c>
      <c r="BB7" s="32">
        <f>IF(ISNUMBER(BA7),BA7-AZ7,"")</f>
        <v>-177037</v>
      </c>
      <c r="BC7" s="27">
        <f>IF(AND(ISNUMBER(BA7),AZ7&lt;&gt;0),BA7/AZ7,"")</f>
        <v>0.17436014625228519</v>
      </c>
    </row>
    <row r="8" spans="1:56" ht="19.5" customHeight="1" x14ac:dyDescent="0.3">
      <c r="A8" s="34" t="s">
        <v>48</v>
      </c>
      <c r="B8" s="21" t="s">
        <v>50</v>
      </c>
      <c r="C8" s="22" t="s">
        <v>26</v>
      </c>
      <c r="D8" s="24">
        <v>5137</v>
      </c>
      <c r="E8" s="33">
        <v>5661</v>
      </c>
      <c r="F8" s="32">
        <f>IF(ISNUMBER(E8),E8-D8,"")</f>
        <v>524</v>
      </c>
      <c r="G8" s="27">
        <f>IF(AND(ISNUMBER(E8),D8&lt;&gt;0),E8/D8,"")</f>
        <v>1.1020050613198364</v>
      </c>
      <c r="H8" s="24">
        <v>5538</v>
      </c>
      <c r="I8" s="33">
        <v>4455</v>
      </c>
      <c r="J8" s="32">
        <f>IF(ISNUMBER(I8),I8-H8,"")</f>
        <v>-1083</v>
      </c>
      <c r="K8" s="27">
        <f>IF(AND(ISNUMBER(I8),H8&lt;&gt;0),I8/H8,"")</f>
        <v>0.80444203683640303</v>
      </c>
      <c r="L8" s="24">
        <v>5275</v>
      </c>
      <c r="M8" s="33">
        <v>5368</v>
      </c>
      <c r="N8" s="32">
        <f>IF(ISNUMBER(M8),M8-L8,"")</f>
        <v>93</v>
      </c>
      <c r="O8" s="27">
        <f>IF(AND(ISNUMBER(M8),L8&lt;&gt;0),M8/L8,"")</f>
        <v>1.0176303317535544</v>
      </c>
      <c r="P8" s="24">
        <v>6028</v>
      </c>
      <c r="Q8" s="31"/>
      <c r="R8" s="32" t="str">
        <f>IF(ISNUMBER(Q8),Q8-P8,"")</f>
        <v/>
      </c>
      <c r="S8" s="27" t="str">
        <f>IF(AND(ISNUMBER(Q8),P8&lt;&gt;0),Q8/P8,"")</f>
        <v/>
      </c>
      <c r="T8" s="24">
        <v>10800</v>
      </c>
      <c r="U8" s="31"/>
      <c r="V8" s="32" t="str">
        <f>IF(ISNUMBER(U8),U8-T8,"")</f>
        <v/>
      </c>
      <c r="W8" s="27" t="str">
        <f>IF(AND(ISNUMBER(U8),T8&lt;&gt;0),U8/T8,"")</f>
        <v/>
      </c>
      <c r="X8" s="24">
        <v>10800</v>
      </c>
      <c r="Y8" s="31"/>
      <c r="Z8" s="32" t="str">
        <f>IF(ISNUMBER(Y8),Y8-X8,"")</f>
        <v/>
      </c>
      <c r="AA8" s="27" t="str">
        <f>IF(AND(ISNUMBER(Y8),X8&lt;&gt;0),Y8/X8,"")</f>
        <v/>
      </c>
      <c r="AB8" s="24">
        <v>10800</v>
      </c>
      <c r="AC8" s="31"/>
      <c r="AD8" s="32" t="str">
        <f>IF(ISNUMBER(AC8),AC8-AB8,"")</f>
        <v/>
      </c>
      <c r="AE8" s="27" t="str">
        <f>IF(AND(ISNUMBER(AC8),AB8&lt;&gt;0),AC8/AB8,"")</f>
        <v/>
      </c>
      <c r="AF8" s="24">
        <v>10800</v>
      </c>
      <c r="AG8" s="31"/>
      <c r="AH8" s="32" t="str">
        <f>IF(ISNUMBER(AG8),AG8-AF8,"")</f>
        <v/>
      </c>
      <c r="AI8" s="27" t="str">
        <f>IF(AND(ISNUMBER(AG8),AF8&lt;&gt;0),AG8/AF8,"")</f>
        <v/>
      </c>
      <c r="AJ8" s="24">
        <v>10800</v>
      </c>
      <c r="AK8" s="31"/>
      <c r="AL8" s="32" t="str">
        <f>IF(ISNUMBER(AK8),AK8-AJ8,"")</f>
        <v/>
      </c>
      <c r="AM8" s="27" t="str">
        <f>IF(AND(ISNUMBER(AK8),AJ8&lt;&gt;0),AK8/AJ8,"")</f>
        <v/>
      </c>
      <c r="AN8" s="24">
        <v>10800</v>
      </c>
      <c r="AO8" s="31"/>
      <c r="AP8" s="32" t="str">
        <f>IF(ISNUMBER(AO8),AO8-AN8,"")</f>
        <v/>
      </c>
      <c r="AQ8" s="27" t="str">
        <f>IF(AND(ISNUMBER(AO8),AN8&lt;&gt;0),AO8/AN8,"")</f>
        <v/>
      </c>
      <c r="AR8" s="24">
        <v>10800</v>
      </c>
      <c r="AS8" s="31"/>
      <c r="AT8" s="32" t="str">
        <f>IF(ISNUMBER(AS8),AS8-AR8,"")</f>
        <v/>
      </c>
      <c r="AU8" s="27" t="str">
        <f>IF(AND(ISNUMBER(AS8),AR8&lt;&gt;0),AS8/AR8,"")</f>
        <v/>
      </c>
      <c r="AV8" s="24">
        <v>10800</v>
      </c>
      <c r="AW8" s="31"/>
      <c r="AX8" s="32" t="str">
        <f>IF(ISNUMBER(AW8),AW8-AV8,"")</f>
        <v/>
      </c>
      <c r="AY8" s="27" t="str">
        <f>IF(AND(ISNUMBER(AW8),AV8&lt;&gt;0),AW8/AV8,"")</f>
        <v/>
      </c>
      <c r="AZ8" s="24">
        <f>SUM(D8,H8,L8,P8,T8,X8,AB8,AF8,AJ8,AN8,AR8,AV8)</f>
        <v>108378</v>
      </c>
      <c r="BA8" s="33">
        <f>IF(COUNTA(E8,I8,M8,Q8,U8,Y8,AC8,AG8,AK8,AO8,AS8,AW8)&gt;0,SUM(E8,I8,M8,Q8,U8,Y8,AC8,AG8,AK8,AO8,AS8,AW8),"")</f>
        <v>15484</v>
      </c>
      <c r="BB8" s="32">
        <f>IF(ISNUMBER(BA8),BA8-AZ8,"")</f>
        <v>-92894</v>
      </c>
      <c r="BC8" s="27">
        <f>IF(AND(ISNUMBER(BA8),AZ8&lt;&gt;0),BA8/AZ8,"")</f>
        <v>0.14287032423554596</v>
      </c>
    </row>
    <row r="9" spans="1:56" ht="21.75" customHeight="1" x14ac:dyDescent="0.3">
      <c r="A9" s="67" t="s">
        <v>159</v>
      </c>
      <c r="B9" s="10"/>
      <c r="C9" s="10"/>
      <c r="D9" s="35">
        <f>SUM(D5+D6+D7+D8)</f>
        <v>24707</v>
      </c>
      <c r="E9" s="36">
        <f>IF(COUNTA(E5,E6,E7,E8)&gt;0,SUM(E5+E6+E7+E8),"")</f>
        <v>27229</v>
      </c>
      <c r="F9" s="69">
        <f>IF(ISNUMBER(E9),E9-D9,"")</f>
        <v>2522</v>
      </c>
      <c r="G9" s="71">
        <f>E9/D9</f>
        <v>1.1020763346420044</v>
      </c>
      <c r="H9" s="35">
        <f>SUM(H5+H6+H7+H8)</f>
        <v>26638</v>
      </c>
      <c r="I9" s="36">
        <f>IF(COUNTA(I5,I6,I7,I8)&gt;0,SUM(I5+I6+I7+I8),"")</f>
        <v>26145</v>
      </c>
      <c r="J9" s="69">
        <f>IF(ISNUMBER(I9),I9-H9,"")</f>
        <v>-493</v>
      </c>
      <c r="K9" s="71">
        <f>I9/H9</f>
        <v>0.98149260454989118</v>
      </c>
      <c r="L9" s="35">
        <f>SUM(L5+L6+L7+L8)</f>
        <v>25372</v>
      </c>
      <c r="M9" s="36">
        <f>IF(COUNTA(M5,M6,M7,M8)&gt;0,SUM(M5+M6+M7+M8),"")</f>
        <v>30552</v>
      </c>
      <c r="N9" s="36">
        <f>IF(ISNUMBER(M9),M9-L9,"")</f>
        <v>5180</v>
      </c>
      <c r="O9" s="71"/>
      <c r="P9" s="35">
        <f>SUM(P5+P6+P7+P8)</f>
        <v>28995</v>
      </c>
      <c r="Q9" s="36" t="str">
        <f>IF(COUNTA(Q5,Q6,Q7,Q8)&gt;0,SUM(Q5+Q6+Q7+Q8),"")</f>
        <v/>
      </c>
      <c r="R9" s="36" t="str">
        <f>IF(ISNUMBER(Q9),Q9-P9,"")</f>
        <v/>
      </c>
      <c r="S9" s="71"/>
      <c r="T9" s="35">
        <f>SUM(T5+T6+T7+T8)</f>
        <v>31431</v>
      </c>
      <c r="U9" s="36" t="str">
        <f>IF(COUNTA(U5,U6,U7,U8)&gt;0,SUM(U5+U6+U7+U8),"")</f>
        <v/>
      </c>
      <c r="V9" s="36" t="str">
        <f>IF(ISNUMBER(U9),U9-T9,"")</f>
        <v/>
      </c>
      <c r="W9" s="71"/>
      <c r="X9" s="35">
        <f>SUM(X5+X6+X7+X8)</f>
        <v>34249</v>
      </c>
      <c r="Y9" s="36" t="str">
        <f>IF(COUNTA(Y5,Y6,Y7,Y8)&gt;0,SUM(Y5+Y6+Y7+Y8),"")</f>
        <v/>
      </c>
      <c r="Z9" s="36" t="str">
        <f>IF(ISNUMBER(Y9),Y9-X9,"")</f>
        <v/>
      </c>
      <c r="AA9" s="71"/>
      <c r="AB9" s="35">
        <f>SUM(AB5+AB6+AB7+AB8)</f>
        <v>40509</v>
      </c>
      <c r="AC9" s="36" t="str">
        <f>IF(COUNTA(AC5,AC6,AC7,AC8)&gt;0,SUM(AC5+AC6+AC7+AC8),"")</f>
        <v/>
      </c>
      <c r="AD9" s="36" t="str">
        <f>IF(ISNUMBER(AC9),AC9-AB9,"")</f>
        <v/>
      </c>
      <c r="AE9" s="71"/>
      <c r="AF9" s="35">
        <f>SUM(AF5+AF6+AF7+AF8)</f>
        <v>40286</v>
      </c>
      <c r="AG9" s="36" t="str">
        <f>IF(COUNTA(AG5,AG6,AG7,AG8)&gt;0,SUM(AG5+AG6+AG7+AG8),"")</f>
        <v/>
      </c>
      <c r="AH9" s="36" t="str">
        <f>IF(ISNUMBER(AG9),AG9-AF9,"")</f>
        <v/>
      </c>
      <c r="AI9" s="71"/>
      <c r="AJ9" s="35">
        <f>SUM(AJ5+AJ6+AJ7+AJ8)</f>
        <v>43483</v>
      </c>
      <c r="AK9" s="36" t="str">
        <f>IF(COUNTA(AK5,AK6,AK7,AK8)&gt;0,SUM(AK5+AK6+AK7+AK8),"")</f>
        <v/>
      </c>
      <c r="AL9" s="36" t="str">
        <f>IF(ISNUMBER(AK9),AK9-AJ9,"")</f>
        <v/>
      </c>
      <c r="AM9" s="71"/>
      <c r="AN9" s="35">
        <f>SUM(AN5+AN6+AN7+AN8)</f>
        <v>40859</v>
      </c>
      <c r="AO9" s="36" t="str">
        <f>IF(COUNTA(AO5,AO6,AO7,AO8)&gt;0,SUM(AO5+AO6+AO7+AO8),"")</f>
        <v/>
      </c>
      <c r="AP9" s="36" t="str">
        <f>IF(ISNUMBER(AO9),AO9-AN9,"")</f>
        <v/>
      </c>
      <c r="AQ9" s="71"/>
      <c r="AR9" s="35">
        <f>SUM(AR5+AR6+AR7+AR8)</f>
        <v>28146</v>
      </c>
      <c r="AS9" s="36" t="str">
        <f>IF(COUNTA(AS5,AS6,AS7,AS8)&gt;0,SUM(AS5+AS6+AS7+AS8),"")</f>
        <v/>
      </c>
      <c r="AT9" s="36" t="str">
        <f>IF(ISNUMBER(AS9),AS9-AR9,"")</f>
        <v/>
      </c>
      <c r="AU9" s="71"/>
      <c r="AV9" s="35">
        <f>SUM(AV5+AV6+AV7+AV8)</f>
        <v>13422</v>
      </c>
      <c r="AW9" s="36" t="str">
        <f>IF(COUNTA(AW5,AW6,AW7,AW8)&gt;0,SUM(AW5+AW6+AW7+AW8),"")</f>
        <v/>
      </c>
      <c r="AX9" s="36" t="str">
        <f>IF(ISNUMBER(AW9),AW9-AV9,"")</f>
        <v/>
      </c>
      <c r="AY9" s="71"/>
      <c r="AZ9" s="35">
        <f>+AZ5+AZ6+AZ7+AZ8</f>
        <v>378097</v>
      </c>
      <c r="BA9" s="37"/>
      <c r="BB9" s="37"/>
      <c r="BC9" s="71"/>
    </row>
    <row r="10" spans="1:56" ht="18" customHeight="1" x14ac:dyDescent="0.3">
      <c r="A10" s="30" t="s">
        <v>45</v>
      </c>
      <c r="B10" s="21" t="s">
        <v>46</v>
      </c>
      <c r="C10" s="66" t="s">
        <v>157</v>
      </c>
      <c r="D10" s="68">
        <f>D5/D$9</f>
        <v>0.36520014570769416</v>
      </c>
      <c r="E10" s="68">
        <f>E5/E$9</f>
        <v>0.36519886885306108</v>
      </c>
      <c r="F10" s="70"/>
      <c r="G10" s="27">
        <f>+D10-E10</f>
        <v>1.276854633081026E-6</v>
      </c>
      <c r="H10" s="68">
        <f>H5/H$9</f>
        <v>0.36519258202567761</v>
      </c>
      <c r="I10" s="68">
        <f>I5/I$9</f>
        <v>0.38630713329508509</v>
      </c>
      <c r="J10" s="70"/>
      <c r="K10" s="27">
        <f>+H10-I10</f>
        <v>-2.1114551269407478E-2</v>
      </c>
      <c r="L10" s="68">
        <f>L5/L$9</f>
        <v>0.36520573860949079</v>
      </c>
      <c r="M10" s="68">
        <f>M5/M$9</f>
        <v>0.34439643885833987</v>
      </c>
      <c r="N10" s="39"/>
      <c r="O10" s="27">
        <f>+L10-M10</f>
        <v>2.0809299751150923E-2</v>
      </c>
      <c r="P10" s="68">
        <f>P5/P$9</f>
        <v>0.36520089670632866</v>
      </c>
      <c r="Q10" s="38" t="str">
        <f>IF(AND(ISNUMBER(Q9),Q9&lt;&gt;0),SUM(Q7+Q8)/Q9,"")</f>
        <v/>
      </c>
      <c r="R10" s="39"/>
      <c r="S10" s="27"/>
      <c r="T10" s="68">
        <f>T5/T$9</f>
        <v>0</v>
      </c>
      <c r="U10" s="38" t="str">
        <f>IF(AND(ISNUMBER(U9),U9&lt;&gt;0),SUM(U7+U8)/U9,"")</f>
        <v/>
      </c>
      <c r="V10" s="39"/>
      <c r="W10" s="27"/>
      <c r="X10" s="68">
        <f>X5/X$9</f>
        <v>2.8059213407690735E-2</v>
      </c>
      <c r="Y10" s="38" t="str">
        <f>IF(AND(ISNUMBER(Y9),Y9&lt;&gt;0),SUM(Y7+Y8)/Y9,"")</f>
        <v/>
      </c>
      <c r="Z10" s="39"/>
      <c r="AA10" s="27"/>
      <c r="AB10" s="68">
        <f>AB5/AB$9</f>
        <v>7.6797748648448488E-2</v>
      </c>
      <c r="AC10" s="38" t="str">
        <f>IF(AND(ISNUMBER(AC9),AC9&lt;&gt;0),SUM(AC7+AC8)/AC9,"")</f>
        <v/>
      </c>
      <c r="AD10" s="39"/>
      <c r="AE10" s="27"/>
      <c r="AF10" s="68">
        <f>AF5/AF$9</f>
        <v>7.5311522613314794E-2</v>
      </c>
      <c r="AG10" s="38" t="str">
        <f>IF(AND(ISNUMBER(AG9),AG9&lt;&gt;0),SUM(AG7+AG8)/AG9,"")</f>
        <v/>
      </c>
      <c r="AH10" s="39"/>
      <c r="AI10" s="27"/>
      <c r="AJ10" s="68">
        <f>AJ5/AJ$9</f>
        <v>9.502564220499965E-2</v>
      </c>
      <c r="AK10" s="38" t="str">
        <f>IF(AND(ISNUMBER(AK9),AK9&lt;&gt;0),SUM(AK7+AK8)/AK9,"")</f>
        <v/>
      </c>
      <c r="AL10" s="39"/>
      <c r="AM10" s="27"/>
      <c r="AN10" s="68">
        <f>AN5/AN$9</f>
        <v>7.907682517927507E-2</v>
      </c>
      <c r="AO10" s="38" t="str">
        <f>IF(AND(ISNUMBER(AO9),AO9&lt;&gt;0),SUM(AO7+AO8)/AO9,"")</f>
        <v/>
      </c>
      <c r="AP10" s="39"/>
      <c r="AQ10" s="27"/>
      <c r="AR10" s="68">
        <f>AR5/AR$9</f>
        <v>0</v>
      </c>
      <c r="AS10" s="38" t="str">
        <f>IF(AND(ISNUMBER(AS9),AS9&lt;&gt;0),SUM(AS7+AS8)/AS9,"")</f>
        <v/>
      </c>
      <c r="AT10" s="39"/>
      <c r="AU10" s="27"/>
      <c r="AV10" s="68">
        <f>AV5/AV$9</f>
        <v>0</v>
      </c>
      <c r="AW10" s="38" t="str">
        <f>IF(AND(ISNUMBER(AW9),AW9&lt;&gt;0),SUM(AW7+AW8)/AW9,"")</f>
        <v/>
      </c>
      <c r="AX10" s="39"/>
      <c r="AY10" s="27"/>
      <c r="AZ10" s="68">
        <f>AZ5/AZ$9</f>
        <v>0.1403740310026263</v>
      </c>
      <c r="BA10" s="39"/>
      <c r="BB10" s="39"/>
      <c r="BC10" s="27"/>
    </row>
    <row r="11" spans="1:56" ht="18" customHeight="1" x14ac:dyDescent="0.3">
      <c r="A11" s="30" t="s">
        <v>45</v>
      </c>
      <c r="B11" s="21" t="s">
        <v>47</v>
      </c>
      <c r="C11" s="66" t="s">
        <v>157</v>
      </c>
      <c r="D11" s="68">
        <f t="shared" ref="D11:E13" si="0">D6/D$9</f>
        <v>6.597320597401546E-3</v>
      </c>
      <c r="E11" s="68">
        <f t="shared" si="0"/>
        <v>6.6105989937199306E-3</v>
      </c>
      <c r="F11" s="70"/>
      <c r="G11" s="27">
        <f t="shared" ref="G11:G13" si="1">+D11-E11</f>
        <v>-1.3278396318384608E-5</v>
      </c>
      <c r="H11" s="68">
        <f t="shared" ref="H11:I13" si="2">H6/H$9</f>
        <v>6.6071026353329834E-3</v>
      </c>
      <c r="I11" s="68">
        <f t="shared" si="2"/>
        <v>1.1818703384968446E-2</v>
      </c>
      <c r="J11" s="70"/>
      <c r="K11" s="27">
        <f t="shared" ref="K11:K13" si="3">+H11-I11</f>
        <v>-5.2116007496354625E-3</v>
      </c>
      <c r="L11" s="68">
        <f t="shared" ref="L11:M13" si="4">L6/L$9</f>
        <v>6.582058962635977E-3</v>
      </c>
      <c r="M11" s="68">
        <f t="shared" si="4"/>
        <v>0</v>
      </c>
      <c r="N11" s="39"/>
      <c r="O11" s="27">
        <f t="shared" ref="O11:O13" si="5">+L11-M11</f>
        <v>6.582058962635977E-3</v>
      </c>
      <c r="P11" s="68">
        <f t="shared" ref="P11:P13" si="6">P6/P$9</f>
        <v>6.5873426452836698E-3</v>
      </c>
      <c r="Q11" s="38" t="str">
        <f>IF(AND(ISNUMBER(Q10),Q10&lt;&gt;0),SUM(Q5+Q6)/Q10,"")</f>
        <v/>
      </c>
      <c r="R11" s="39"/>
      <c r="S11" s="27"/>
      <c r="T11" s="68">
        <f t="shared" ref="T11:T13" si="7">T6/T$9</f>
        <v>6.5858547294072728E-3</v>
      </c>
      <c r="U11" s="38" t="str">
        <f>IF(AND(ISNUMBER(U10),U10&lt;&gt;0),SUM(U5+U6)/U10,"")</f>
        <v/>
      </c>
      <c r="V11" s="39"/>
      <c r="W11" s="27"/>
      <c r="X11" s="68">
        <f t="shared" ref="X11:X13" si="8">X6/X$9</f>
        <v>6.5987328097170724E-3</v>
      </c>
      <c r="Y11" s="38" t="str">
        <f>IF(AND(ISNUMBER(Y10),Y10&lt;&gt;0),SUM(Y5+Y6)/Y10,"")</f>
        <v/>
      </c>
      <c r="Z11" s="39"/>
      <c r="AA11" s="27"/>
      <c r="AB11" s="68">
        <f t="shared" ref="AB11:AB13" si="9">AB6/AB$9</f>
        <v>6.591127897504258E-3</v>
      </c>
      <c r="AC11" s="38" t="str">
        <f>IF(AND(ISNUMBER(AC10),AC10&lt;&gt;0),SUM(AC5+AC6)/AC10,"")</f>
        <v/>
      </c>
      <c r="AD11" s="39"/>
      <c r="AE11" s="27"/>
      <c r="AF11" s="68">
        <f t="shared" ref="AF11:AF13" si="10">AF6/AF$9</f>
        <v>6.6027900511343891E-3</v>
      </c>
      <c r="AG11" s="38" t="str">
        <f>IF(AND(ISNUMBER(AG10),AG10&lt;&gt;0),SUM(AG5+AG6)/AG10,"")</f>
        <v/>
      </c>
      <c r="AH11" s="39"/>
      <c r="AI11" s="27"/>
      <c r="AJ11" s="68">
        <f t="shared" ref="AJ11:AJ13" si="11">AJ6/AJ$9</f>
        <v>6.6002805694179338E-3</v>
      </c>
      <c r="AK11" s="38" t="str">
        <f>IF(AND(ISNUMBER(AK10),AK10&lt;&gt;0),SUM(AK5+AK6)/AK10,"")</f>
        <v/>
      </c>
      <c r="AL11" s="39"/>
      <c r="AM11" s="27"/>
      <c r="AN11" s="68">
        <f t="shared" ref="AN11:AN13" si="12">AN6/AN$9</f>
        <v>6.6080912406079441E-3</v>
      </c>
      <c r="AO11" s="38" t="str">
        <f>IF(AND(ISNUMBER(AO10),AO10&lt;&gt;0),SUM(AO5+AO6)/AO10,"")</f>
        <v/>
      </c>
      <c r="AP11" s="39"/>
      <c r="AQ11" s="27"/>
      <c r="AR11" s="68">
        <f t="shared" ref="AR11:AR13" si="13">AR6/AR$9</f>
        <v>0</v>
      </c>
      <c r="AS11" s="38" t="str">
        <f>IF(AND(ISNUMBER(AS10),AS10&lt;&gt;0),SUM(AS5+AS6)/AS10,"")</f>
        <v/>
      </c>
      <c r="AT11" s="39"/>
      <c r="AU11" s="27"/>
      <c r="AV11" s="68">
        <f t="shared" ref="AV11:AV13" si="14">AV6/AV$9</f>
        <v>0</v>
      </c>
      <c r="AW11" s="38" t="str">
        <f>IF(AND(ISNUMBER(AW10),AW10&lt;&gt;0),SUM(AW5+AW6)/AW10,"")</f>
        <v/>
      </c>
      <c r="AX11" s="39"/>
      <c r="AY11" s="27"/>
      <c r="AZ11" s="68">
        <f t="shared" ref="AZ11:AZ13" si="15">AZ6/AZ$9</f>
        <v>5.8715091629925652E-3</v>
      </c>
      <c r="BA11" s="39"/>
      <c r="BB11" s="39"/>
      <c r="BC11" s="27"/>
    </row>
    <row r="12" spans="1:56" ht="18" customHeight="1" x14ac:dyDescent="0.3">
      <c r="A12" s="34" t="s">
        <v>48</v>
      </c>
      <c r="B12" s="21" t="s">
        <v>49</v>
      </c>
      <c r="C12" s="66" t="s">
        <v>157</v>
      </c>
      <c r="D12" s="68">
        <f t="shared" si="0"/>
        <v>0.4202857489780224</v>
      </c>
      <c r="E12" s="68">
        <f t="shared" si="0"/>
        <v>0.42028719380072715</v>
      </c>
      <c r="F12" s="70"/>
      <c r="G12" s="27">
        <f t="shared" si="1"/>
        <v>-1.4448227047547668E-6</v>
      </c>
      <c r="H12" s="68">
        <f t="shared" si="2"/>
        <v>0.42030182446129588</v>
      </c>
      <c r="I12" s="68">
        <f t="shared" si="2"/>
        <v>0.43147829412889654</v>
      </c>
      <c r="J12" s="70"/>
      <c r="K12" s="27">
        <f t="shared" si="3"/>
        <v>-1.1176469667600664E-2</v>
      </c>
      <c r="L12" s="68">
        <f t="shared" si="4"/>
        <v>0.42030584896736561</v>
      </c>
      <c r="M12" s="68">
        <f t="shared" si="4"/>
        <v>0.47990311599895258</v>
      </c>
      <c r="N12" s="39"/>
      <c r="O12" s="27">
        <f t="shared" si="5"/>
        <v>-5.9597267031586965E-2</v>
      </c>
      <c r="P12" s="68">
        <f t="shared" si="6"/>
        <v>0.42031384721503706</v>
      </c>
      <c r="Q12" s="38"/>
      <c r="R12" s="39"/>
      <c r="S12" s="27"/>
      <c r="T12" s="68">
        <f t="shared" si="7"/>
        <v>0.64980433330151766</v>
      </c>
      <c r="U12" s="38"/>
      <c r="V12" s="39"/>
      <c r="W12" s="27"/>
      <c r="X12" s="68">
        <f t="shared" si="8"/>
        <v>0.65000437968991798</v>
      </c>
      <c r="Y12" s="38"/>
      <c r="Z12" s="39"/>
      <c r="AA12" s="27"/>
      <c r="AB12" s="68">
        <f t="shared" si="9"/>
        <v>0.65000370288084131</v>
      </c>
      <c r="AC12" s="38"/>
      <c r="AD12" s="39"/>
      <c r="AE12" s="27"/>
      <c r="AF12" s="68">
        <f t="shared" si="10"/>
        <v>0.65000248225189894</v>
      </c>
      <c r="AG12" s="38"/>
      <c r="AH12" s="39"/>
      <c r="AI12" s="27"/>
      <c r="AJ12" s="68">
        <f t="shared" si="11"/>
        <v>0.65000114987466362</v>
      </c>
      <c r="AK12" s="38"/>
      <c r="AL12" s="39"/>
      <c r="AM12" s="27"/>
      <c r="AN12" s="68">
        <f t="shared" si="12"/>
        <v>0.64999143395579917</v>
      </c>
      <c r="AO12" s="38"/>
      <c r="AP12" s="39"/>
      <c r="AQ12" s="27"/>
      <c r="AR12" s="68">
        <f t="shared" si="13"/>
        <v>0.61628650607546365</v>
      </c>
      <c r="AS12" s="38"/>
      <c r="AT12" s="39"/>
      <c r="AU12" s="27"/>
      <c r="AV12" s="68">
        <f t="shared" si="14"/>
        <v>0.19535091640590077</v>
      </c>
      <c r="AW12" s="38"/>
      <c r="AX12" s="39"/>
      <c r="AY12" s="27"/>
      <c r="AZ12" s="68">
        <f t="shared" si="15"/>
        <v>0.56711373007455756</v>
      </c>
      <c r="BA12" s="39"/>
      <c r="BB12" s="39"/>
      <c r="BC12" s="27"/>
    </row>
    <row r="13" spans="1:56" ht="18" customHeight="1" x14ac:dyDescent="0.3">
      <c r="A13" s="34" t="s">
        <v>48</v>
      </c>
      <c r="B13" s="21" t="s">
        <v>50</v>
      </c>
      <c r="C13" s="66" t="s">
        <v>157</v>
      </c>
      <c r="D13" s="68">
        <f t="shared" si="0"/>
        <v>0.20791678471688185</v>
      </c>
      <c r="E13" s="68">
        <f t="shared" si="0"/>
        <v>0.20790333835249183</v>
      </c>
      <c r="F13" s="70"/>
      <c r="G13" s="27">
        <f t="shared" si="1"/>
        <v>1.344636439001845E-5</v>
      </c>
      <c r="H13" s="68">
        <f t="shared" si="2"/>
        <v>0.20789849087769352</v>
      </c>
      <c r="I13" s="68">
        <f t="shared" si="2"/>
        <v>0.1703958691910499</v>
      </c>
      <c r="J13" s="70"/>
      <c r="K13" s="27">
        <f t="shared" si="3"/>
        <v>3.7502621686643617E-2</v>
      </c>
      <c r="L13" s="68">
        <f t="shared" si="4"/>
        <v>0.20790635346050765</v>
      </c>
      <c r="M13" s="68">
        <f t="shared" si="4"/>
        <v>0.17570044514270752</v>
      </c>
      <c r="N13" s="39"/>
      <c r="O13" s="27">
        <f t="shared" si="5"/>
        <v>3.2205908317800125E-2</v>
      </c>
      <c r="P13" s="68">
        <f t="shared" si="6"/>
        <v>0.20789791343335057</v>
      </c>
      <c r="Q13" s="38"/>
      <c r="R13" s="39"/>
      <c r="S13" s="27"/>
      <c r="T13" s="68">
        <f t="shared" si="7"/>
        <v>0.34360981196907514</v>
      </c>
      <c r="U13" s="38"/>
      <c r="V13" s="39"/>
      <c r="W13" s="27"/>
      <c r="X13" s="68">
        <f t="shared" si="8"/>
        <v>0.31533767409267421</v>
      </c>
      <c r="Y13" s="38"/>
      <c r="Z13" s="39"/>
      <c r="AA13" s="27"/>
      <c r="AB13" s="68">
        <f t="shared" si="9"/>
        <v>0.26660742057320597</v>
      </c>
      <c r="AC13" s="38"/>
      <c r="AD13" s="39"/>
      <c r="AE13" s="27"/>
      <c r="AF13" s="68">
        <f t="shared" si="10"/>
        <v>0.26808320508365191</v>
      </c>
      <c r="AG13" s="38"/>
      <c r="AH13" s="39"/>
      <c r="AI13" s="27"/>
      <c r="AJ13" s="68">
        <f t="shared" si="11"/>
        <v>0.24837292735091876</v>
      </c>
      <c r="AK13" s="38"/>
      <c r="AL13" s="39"/>
      <c r="AM13" s="27"/>
      <c r="AN13" s="68">
        <f t="shared" si="12"/>
        <v>0.26432364962431776</v>
      </c>
      <c r="AO13" s="38"/>
      <c r="AP13" s="39"/>
      <c r="AQ13" s="27"/>
      <c r="AR13" s="68">
        <f t="shared" si="13"/>
        <v>0.38371349392453635</v>
      </c>
      <c r="AS13" s="38"/>
      <c r="AT13" s="39"/>
      <c r="AU13" s="27"/>
      <c r="AV13" s="68">
        <f t="shared" si="14"/>
        <v>0.80464908359409926</v>
      </c>
      <c r="AW13" s="38"/>
      <c r="AX13" s="39"/>
      <c r="AY13" s="27"/>
      <c r="AZ13" s="68">
        <f t="shared" si="15"/>
        <v>0.28664072975982352</v>
      </c>
      <c r="BA13" s="39"/>
      <c r="BB13" s="39"/>
      <c r="BC13" s="27"/>
    </row>
    <row r="14" spans="1:56" ht="21.75" customHeight="1" x14ac:dyDescent="0.3">
      <c r="A14" s="10" t="s">
        <v>51</v>
      </c>
      <c r="B14" s="10"/>
      <c r="C14" s="10"/>
      <c r="D14" s="40"/>
      <c r="E14" s="41"/>
      <c r="F14" s="42"/>
      <c r="G14" s="42"/>
      <c r="H14" s="40"/>
      <c r="I14" s="41"/>
      <c r="J14" s="42"/>
      <c r="K14" s="42"/>
      <c r="L14" s="40"/>
      <c r="M14" s="41"/>
      <c r="N14" s="42"/>
      <c r="O14" s="42"/>
      <c r="P14" s="40"/>
      <c r="Q14" s="41"/>
      <c r="R14" s="42"/>
      <c r="S14" s="42"/>
      <c r="T14" s="40"/>
      <c r="U14" s="41"/>
      <c r="V14" s="42"/>
      <c r="W14" s="42"/>
      <c r="X14" s="40"/>
      <c r="Y14" s="41"/>
      <c r="Z14" s="42"/>
      <c r="AA14" s="42"/>
      <c r="AB14" s="40"/>
      <c r="AC14" s="41"/>
      <c r="AD14" s="42"/>
      <c r="AE14" s="42"/>
      <c r="AF14" s="40"/>
      <c r="AG14" s="41"/>
      <c r="AH14" s="42"/>
      <c r="AI14" s="42"/>
      <c r="AJ14" s="40"/>
      <c r="AK14" s="41"/>
      <c r="AL14" s="42"/>
      <c r="AM14" s="42"/>
      <c r="AN14" s="40"/>
      <c r="AO14" s="41"/>
      <c r="AP14" s="42"/>
      <c r="AQ14" s="42"/>
      <c r="AR14" s="40"/>
      <c r="AS14" s="41"/>
      <c r="AT14" s="42"/>
      <c r="AU14" s="42"/>
      <c r="AV14" s="40"/>
      <c r="AW14" s="41"/>
      <c r="AX14" s="42"/>
      <c r="AY14" s="42"/>
      <c r="AZ14" s="37"/>
      <c r="BA14" s="37"/>
      <c r="BB14" s="37"/>
      <c r="BC14" s="37"/>
    </row>
    <row r="15" spans="1:56" ht="21.75" customHeight="1" x14ac:dyDescent="0.3">
      <c r="A15" s="10" t="s">
        <v>52</v>
      </c>
      <c r="B15" s="10"/>
      <c r="C15" s="10"/>
      <c r="D15" s="40"/>
      <c r="E15" s="43" t="str">
        <f>IF(AND(ISNUMBER(E14),ISNUMBER(E11),E11&lt;&gt;0),E14/E11,"")</f>
        <v/>
      </c>
      <c r="F15" s="42"/>
      <c r="G15" s="42"/>
      <c r="H15" s="40"/>
      <c r="I15" s="43" t="str">
        <f>IF(AND(ISNUMBER(I14),ISNUMBER(I11),I11&lt;&gt;0),I14/I11,"")</f>
        <v/>
      </c>
      <c r="J15" s="42"/>
      <c r="K15" s="42"/>
      <c r="L15" s="40"/>
      <c r="M15" s="43" t="str">
        <f>IF(AND(ISNUMBER(M14),ISNUMBER(M11),M11&lt;&gt;0),M14/M11,"")</f>
        <v/>
      </c>
      <c r="N15" s="42"/>
      <c r="O15" s="42"/>
      <c r="P15" s="40"/>
      <c r="Q15" s="43" t="str">
        <f>IF(AND(ISNUMBER(Q14),ISNUMBER(Q11),Q11&lt;&gt;0),Q14/Q11,"")</f>
        <v/>
      </c>
      <c r="R15" s="42"/>
      <c r="S15" s="42"/>
      <c r="T15" s="40"/>
      <c r="U15" s="43" t="str">
        <f>IF(AND(ISNUMBER(U14),ISNUMBER(U11),U11&lt;&gt;0),U14/U11,"")</f>
        <v/>
      </c>
      <c r="V15" s="42"/>
      <c r="W15" s="42"/>
      <c r="X15" s="40"/>
      <c r="Y15" s="43" t="str">
        <f>IF(AND(ISNUMBER(Y14),ISNUMBER(Y11),Y11&lt;&gt;0),Y14/Y11,"")</f>
        <v/>
      </c>
      <c r="Z15" s="42"/>
      <c r="AA15" s="42"/>
      <c r="AB15" s="40"/>
      <c r="AC15" s="43" t="str">
        <f>IF(AND(ISNUMBER(AC14),ISNUMBER(AC11),AC11&lt;&gt;0),AC14/AC11,"")</f>
        <v/>
      </c>
      <c r="AD15" s="42"/>
      <c r="AE15" s="42"/>
      <c r="AF15" s="40"/>
      <c r="AG15" s="43" t="str">
        <f>IF(AND(ISNUMBER(AG14),ISNUMBER(AG11),AG11&lt;&gt;0),AG14/AG11,"")</f>
        <v/>
      </c>
      <c r="AH15" s="42"/>
      <c r="AI15" s="42"/>
      <c r="AJ15" s="40"/>
      <c r="AK15" s="43" t="str">
        <f>IF(AND(ISNUMBER(AK14),ISNUMBER(AK11),AK11&lt;&gt;0),AK14/AK11,"")</f>
        <v/>
      </c>
      <c r="AL15" s="42"/>
      <c r="AM15" s="42"/>
      <c r="AN15" s="40"/>
      <c r="AO15" s="43" t="str">
        <f>IF(AND(ISNUMBER(AO14),ISNUMBER(AO11),AO11&lt;&gt;0),AO14/AO11,"")</f>
        <v/>
      </c>
      <c r="AP15" s="42"/>
      <c r="AQ15" s="42"/>
      <c r="AR15" s="40"/>
      <c r="AS15" s="43" t="str">
        <f>IF(AND(ISNUMBER(AS14),ISNUMBER(AS11),AS11&lt;&gt;0),AS14/AS11,"")</f>
        <v/>
      </c>
      <c r="AT15" s="42"/>
      <c r="AU15" s="42"/>
      <c r="AV15" s="40"/>
      <c r="AW15" s="43" t="str">
        <f>IF(AND(ISNUMBER(AW14),ISNUMBER(AW11),AW11&lt;&gt;0),AW14/AW11,"")</f>
        <v/>
      </c>
      <c r="AX15" s="42"/>
      <c r="AY15" s="42"/>
      <c r="AZ15" s="37"/>
      <c r="BA15" s="37"/>
      <c r="BB15" s="37"/>
      <c r="BC15" s="37"/>
    </row>
  </sheetData>
  <mergeCells count="19">
    <mergeCell ref="A4:C4"/>
    <mergeCell ref="A9:C9"/>
    <mergeCell ref="A14:C14"/>
    <mergeCell ref="A15:C15"/>
    <mergeCell ref="A1:BD1"/>
    <mergeCell ref="A2:BD2"/>
    <mergeCell ref="D3:G3"/>
    <mergeCell ref="H3:K3"/>
    <mergeCell ref="L3:O3"/>
    <mergeCell ref="P3:S3"/>
    <mergeCell ref="T3:W3"/>
    <mergeCell ref="X3:AA3"/>
    <mergeCell ref="AB3:AE3"/>
    <mergeCell ref="AF3:AI3"/>
    <mergeCell ref="AJ3:AM3"/>
    <mergeCell ref="AN3:AQ3"/>
    <mergeCell ref="AR3:AU3"/>
    <mergeCell ref="AV3:AY3"/>
    <mergeCell ref="AZ3:BC3"/>
  </mergeCells>
  <conditionalFormatting sqref="G5:G6">
    <cfRule type="cellIs" dxfId="211" priority="133" operator="lessThanOrEqual">
      <formula>1</formula>
    </cfRule>
    <cfRule type="cellIs" dxfId="210" priority="134" operator="greaterThan">
      <formula>1</formula>
    </cfRule>
  </conditionalFormatting>
  <conditionalFormatting sqref="G7:G8">
    <cfRule type="cellIs" dxfId="209" priority="131" operator="lessThan">
      <formula>1</formula>
    </cfRule>
    <cfRule type="cellIs" dxfId="208" priority="132" operator="greaterThan">
      <formula>1</formula>
    </cfRule>
  </conditionalFormatting>
  <conditionalFormatting sqref="K5:K6">
    <cfRule type="cellIs" dxfId="207" priority="123" operator="lessThanOrEqual">
      <formula>1</formula>
    </cfRule>
    <cfRule type="cellIs" dxfId="206" priority="124" operator="greaterThan">
      <formula>1</formula>
    </cfRule>
  </conditionalFormatting>
  <conditionalFormatting sqref="K7:K8">
    <cfRule type="cellIs" dxfId="205" priority="121" operator="lessThan">
      <formula>1</formula>
    </cfRule>
    <cfRule type="cellIs" dxfId="204" priority="122" operator="greaterThan">
      <formula>1</formula>
    </cfRule>
  </conditionalFormatting>
  <conditionalFormatting sqref="K10:K11">
    <cfRule type="cellIs" dxfId="203" priority="111" operator="lessThan">
      <formula>0</formula>
    </cfRule>
    <cfRule type="cellIs" dxfId="202" priority="112" operator="greaterThan">
      <formula>0</formula>
    </cfRule>
  </conditionalFormatting>
  <conditionalFormatting sqref="K12:K13">
    <cfRule type="cellIs" dxfId="201" priority="109" operator="greaterThan">
      <formula>0</formula>
    </cfRule>
    <cfRule type="cellIs" dxfId="200" priority="110" operator="lessThan">
      <formula>0</formula>
    </cfRule>
  </conditionalFormatting>
  <conditionalFormatting sqref="G10:G11">
    <cfRule type="cellIs" dxfId="199" priority="107" operator="lessThan">
      <formula>0</formula>
    </cfRule>
    <cfRule type="cellIs" dxfId="198" priority="108" operator="greaterThan">
      <formula>0</formula>
    </cfRule>
  </conditionalFormatting>
  <conditionalFormatting sqref="G12:G13">
    <cfRule type="cellIs" dxfId="197" priority="105" operator="greaterThan">
      <formula>0</formula>
    </cfRule>
    <cfRule type="cellIs" dxfId="196" priority="106" operator="lessThan">
      <formula>0</formula>
    </cfRule>
  </conditionalFormatting>
  <conditionalFormatting sqref="S5:S6">
    <cfRule type="cellIs" dxfId="195" priority="87" operator="lessThanOrEqual">
      <formula>1</formula>
    </cfRule>
    <cfRule type="cellIs" dxfId="194" priority="88" operator="greaterThan">
      <formula>1</formula>
    </cfRule>
  </conditionalFormatting>
  <conditionalFormatting sqref="S7:S8">
    <cfRule type="cellIs" dxfId="193" priority="85" operator="lessThan">
      <formula>1</formula>
    </cfRule>
    <cfRule type="cellIs" dxfId="192" priority="86" operator="greaterThan">
      <formula>1</formula>
    </cfRule>
  </conditionalFormatting>
  <conditionalFormatting sqref="S10:S11">
    <cfRule type="cellIs" dxfId="191" priority="83" operator="lessThan">
      <formula>0</formula>
    </cfRule>
    <cfRule type="cellIs" dxfId="190" priority="84" operator="greaterThan">
      <formula>0</formula>
    </cfRule>
  </conditionalFormatting>
  <conditionalFormatting sqref="S12:S13">
    <cfRule type="cellIs" dxfId="189" priority="81" operator="greaterThan">
      <formula>0</formula>
    </cfRule>
    <cfRule type="cellIs" dxfId="188" priority="82" operator="lessThan">
      <formula>0</formula>
    </cfRule>
  </conditionalFormatting>
  <conditionalFormatting sqref="W5:W6">
    <cfRule type="cellIs" dxfId="187" priority="79" operator="lessThanOrEqual">
      <formula>1</formula>
    </cfRule>
    <cfRule type="cellIs" dxfId="186" priority="80" operator="greaterThan">
      <formula>1</formula>
    </cfRule>
  </conditionalFormatting>
  <conditionalFormatting sqref="W7:W8">
    <cfRule type="cellIs" dxfId="185" priority="77" operator="lessThan">
      <formula>1</formula>
    </cfRule>
    <cfRule type="cellIs" dxfId="184" priority="78" operator="greaterThan">
      <formula>1</formula>
    </cfRule>
  </conditionalFormatting>
  <conditionalFormatting sqref="W10:W11">
    <cfRule type="cellIs" dxfId="183" priority="75" operator="lessThan">
      <formula>0</formula>
    </cfRule>
    <cfRule type="cellIs" dxfId="182" priority="76" operator="greaterThan">
      <formula>0</formula>
    </cfRule>
  </conditionalFormatting>
  <conditionalFormatting sqref="W12:W13">
    <cfRule type="cellIs" dxfId="181" priority="73" operator="greaterThan">
      <formula>0</formula>
    </cfRule>
    <cfRule type="cellIs" dxfId="180" priority="74" operator="lessThan">
      <formula>0</formula>
    </cfRule>
  </conditionalFormatting>
  <conditionalFormatting sqref="AA5:AA6">
    <cfRule type="cellIs" dxfId="179" priority="71" operator="lessThanOrEqual">
      <formula>1</formula>
    </cfRule>
    <cfRule type="cellIs" dxfId="178" priority="72" operator="greaterThan">
      <formula>1</formula>
    </cfRule>
  </conditionalFormatting>
  <conditionalFormatting sqref="AA7:AA8">
    <cfRule type="cellIs" dxfId="177" priority="69" operator="lessThan">
      <formula>1</formula>
    </cfRule>
    <cfRule type="cellIs" dxfId="176" priority="70" operator="greaterThan">
      <formula>1</formula>
    </cfRule>
  </conditionalFormatting>
  <conditionalFormatting sqref="AA10:AA11">
    <cfRule type="cellIs" dxfId="175" priority="67" operator="lessThan">
      <formula>0</formula>
    </cfRule>
    <cfRule type="cellIs" dxfId="174" priority="68" operator="greaterThan">
      <formula>0</formula>
    </cfRule>
  </conditionalFormatting>
  <conditionalFormatting sqref="AA12:AA13">
    <cfRule type="cellIs" dxfId="173" priority="65" operator="greaterThan">
      <formula>0</formula>
    </cfRule>
    <cfRule type="cellIs" dxfId="172" priority="66" operator="lessThan">
      <formula>0</formula>
    </cfRule>
  </conditionalFormatting>
  <conditionalFormatting sqref="AE5:AE6">
    <cfRule type="cellIs" dxfId="171" priority="63" operator="lessThanOrEqual">
      <formula>1</formula>
    </cfRule>
    <cfRule type="cellIs" dxfId="170" priority="64" operator="greaterThan">
      <formula>1</formula>
    </cfRule>
  </conditionalFormatting>
  <conditionalFormatting sqref="AE7:AE8">
    <cfRule type="cellIs" dxfId="169" priority="61" operator="lessThan">
      <formula>1</formula>
    </cfRule>
    <cfRule type="cellIs" dxfId="168" priority="62" operator="greaterThan">
      <formula>1</formula>
    </cfRule>
  </conditionalFormatting>
  <conditionalFormatting sqref="AE10:AE11">
    <cfRule type="cellIs" dxfId="167" priority="59" operator="lessThan">
      <formula>0</formula>
    </cfRule>
    <cfRule type="cellIs" dxfId="166" priority="60" operator="greaterThan">
      <formula>0</formula>
    </cfRule>
  </conditionalFormatting>
  <conditionalFormatting sqref="AE12:AE13">
    <cfRule type="cellIs" dxfId="165" priority="57" operator="greaterThan">
      <formula>0</formula>
    </cfRule>
    <cfRule type="cellIs" dxfId="164" priority="58" operator="lessThan">
      <formula>0</formula>
    </cfRule>
  </conditionalFormatting>
  <conditionalFormatting sqref="AI5:AI6">
    <cfRule type="cellIs" dxfId="163" priority="55" operator="lessThanOrEqual">
      <formula>1</formula>
    </cfRule>
    <cfRule type="cellIs" dxfId="162" priority="56" operator="greaterThan">
      <formula>1</formula>
    </cfRule>
  </conditionalFormatting>
  <conditionalFormatting sqref="AI7:AI8">
    <cfRule type="cellIs" dxfId="161" priority="53" operator="lessThan">
      <formula>1</formula>
    </cfRule>
    <cfRule type="cellIs" dxfId="160" priority="54" operator="greaterThan">
      <formula>1</formula>
    </cfRule>
  </conditionalFormatting>
  <conditionalFormatting sqref="AI10:AI11">
    <cfRule type="cellIs" dxfId="159" priority="51" operator="lessThan">
      <formula>0</formula>
    </cfRule>
    <cfRule type="cellIs" dxfId="158" priority="52" operator="greaterThan">
      <formula>0</formula>
    </cfRule>
  </conditionalFormatting>
  <conditionalFormatting sqref="AI12:AI13">
    <cfRule type="cellIs" dxfId="157" priority="49" operator="greaterThan">
      <formula>0</formula>
    </cfRule>
    <cfRule type="cellIs" dxfId="156" priority="50" operator="lessThan">
      <formula>0</formula>
    </cfRule>
  </conditionalFormatting>
  <conditionalFormatting sqref="AM5:AM6">
    <cfRule type="cellIs" dxfId="155" priority="47" operator="lessThanOrEqual">
      <formula>1</formula>
    </cfRule>
    <cfRule type="cellIs" dxfId="154" priority="48" operator="greaterThan">
      <formula>1</formula>
    </cfRule>
  </conditionalFormatting>
  <conditionalFormatting sqref="AM7:AM8">
    <cfRule type="cellIs" dxfId="153" priority="45" operator="lessThan">
      <formula>1</formula>
    </cfRule>
    <cfRule type="cellIs" dxfId="152" priority="46" operator="greaterThan">
      <formula>1</formula>
    </cfRule>
  </conditionalFormatting>
  <conditionalFormatting sqref="AM10:AM11">
    <cfRule type="cellIs" dxfId="151" priority="43" operator="lessThan">
      <formula>0</formula>
    </cfRule>
    <cfRule type="cellIs" dxfId="150" priority="44" operator="greaterThan">
      <formula>0</formula>
    </cfRule>
  </conditionalFormatting>
  <conditionalFormatting sqref="AM12:AM13">
    <cfRule type="cellIs" dxfId="149" priority="41" operator="greaterThan">
      <formula>0</formula>
    </cfRule>
    <cfRule type="cellIs" dxfId="148" priority="42" operator="lessThan">
      <formula>0</formula>
    </cfRule>
  </conditionalFormatting>
  <conditionalFormatting sqref="AQ5:AQ6">
    <cfRule type="cellIs" dxfId="147" priority="39" operator="lessThanOrEqual">
      <formula>1</formula>
    </cfRule>
    <cfRule type="cellIs" dxfId="146" priority="40" operator="greaterThan">
      <formula>1</formula>
    </cfRule>
  </conditionalFormatting>
  <conditionalFormatting sqref="AQ7:AQ8">
    <cfRule type="cellIs" dxfId="145" priority="37" operator="lessThan">
      <formula>1</formula>
    </cfRule>
    <cfRule type="cellIs" dxfId="144" priority="38" operator="greaterThan">
      <formula>1</formula>
    </cfRule>
  </conditionalFormatting>
  <conditionalFormatting sqref="AQ10:AQ11">
    <cfRule type="cellIs" dxfId="143" priority="35" operator="lessThan">
      <formula>0</formula>
    </cfRule>
    <cfRule type="cellIs" dxfId="142" priority="36" operator="greaterThan">
      <formula>0</formula>
    </cfRule>
  </conditionalFormatting>
  <conditionalFormatting sqref="AQ12:AQ13">
    <cfRule type="cellIs" dxfId="141" priority="33" operator="greaterThan">
      <formula>0</formula>
    </cfRule>
    <cfRule type="cellIs" dxfId="140" priority="34" operator="lessThan">
      <formula>0</formula>
    </cfRule>
  </conditionalFormatting>
  <conditionalFormatting sqref="AU5:AU6">
    <cfRule type="cellIs" dxfId="139" priority="31" operator="lessThanOrEqual">
      <formula>1</formula>
    </cfRule>
    <cfRule type="cellIs" dxfId="138" priority="32" operator="greaterThan">
      <formula>1</formula>
    </cfRule>
  </conditionalFormatting>
  <conditionalFormatting sqref="AU7:AU8">
    <cfRule type="cellIs" dxfId="137" priority="29" operator="lessThan">
      <formula>1</formula>
    </cfRule>
    <cfRule type="cellIs" dxfId="136" priority="30" operator="greaterThan">
      <formula>1</formula>
    </cfRule>
  </conditionalFormatting>
  <conditionalFormatting sqref="AU10:AU11">
    <cfRule type="cellIs" dxfId="135" priority="27" operator="lessThan">
      <formula>0</formula>
    </cfRule>
    <cfRule type="cellIs" dxfId="134" priority="28" operator="greaterThan">
      <formula>0</formula>
    </cfRule>
  </conditionalFormatting>
  <conditionalFormatting sqref="AU12:AU13">
    <cfRule type="cellIs" dxfId="133" priority="25" operator="greaterThan">
      <formula>0</formula>
    </cfRule>
    <cfRule type="cellIs" dxfId="132" priority="26" operator="lessThan">
      <formula>0</formula>
    </cfRule>
  </conditionalFormatting>
  <conditionalFormatting sqref="AY5:AY6">
    <cfRule type="cellIs" dxfId="131" priority="23" operator="lessThanOrEqual">
      <formula>1</formula>
    </cfRule>
    <cfRule type="cellIs" dxfId="130" priority="24" operator="greaterThan">
      <formula>1</formula>
    </cfRule>
  </conditionalFormatting>
  <conditionalFormatting sqref="AY7:AY8">
    <cfRule type="cellIs" dxfId="129" priority="21" operator="lessThan">
      <formula>1</formula>
    </cfRule>
    <cfRule type="cellIs" dxfId="128" priority="22" operator="greaterThan">
      <formula>1</formula>
    </cfRule>
  </conditionalFormatting>
  <conditionalFormatting sqref="AY10:AY11">
    <cfRule type="cellIs" dxfId="127" priority="19" operator="lessThan">
      <formula>0</formula>
    </cfRule>
    <cfRule type="cellIs" dxfId="126" priority="20" operator="greaterThan">
      <formula>0</formula>
    </cfRule>
  </conditionalFormatting>
  <conditionalFormatting sqref="AY12:AY13">
    <cfRule type="cellIs" dxfId="125" priority="17" operator="greaterThan">
      <formula>0</formula>
    </cfRule>
    <cfRule type="cellIs" dxfId="124" priority="18" operator="lessThan">
      <formula>0</formula>
    </cfRule>
  </conditionalFormatting>
  <conditionalFormatting sqref="BC5:BC6">
    <cfRule type="cellIs" dxfId="123" priority="15" operator="lessThanOrEqual">
      <formula>1</formula>
    </cfRule>
    <cfRule type="cellIs" dxfId="122" priority="16" operator="greaterThan">
      <formula>1</formula>
    </cfRule>
  </conditionalFormatting>
  <conditionalFormatting sqref="BC7:BC8">
    <cfRule type="cellIs" dxfId="121" priority="13" operator="lessThan">
      <formula>1</formula>
    </cfRule>
    <cfRule type="cellIs" dxfId="120" priority="14" operator="greaterThan">
      <formula>1</formula>
    </cfRule>
  </conditionalFormatting>
  <conditionalFormatting sqref="BC10:BC11">
    <cfRule type="cellIs" dxfId="119" priority="11" operator="lessThan">
      <formula>0</formula>
    </cfRule>
    <cfRule type="cellIs" dxfId="118" priority="12" operator="greaterThan">
      <formula>0</formula>
    </cfRule>
  </conditionalFormatting>
  <conditionalFormatting sqref="BC12:BC13">
    <cfRule type="cellIs" dxfId="117" priority="9" operator="greaterThan">
      <formula>0</formula>
    </cfRule>
    <cfRule type="cellIs" dxfId="116" priority="10" operator="lessThan">
      <formula>0</formula>
    </cfRule>
  </conditionalFormatting>
  <conditionalFormatting sqref="O5:O6">
    <cfRule type="cellIs" dxfId="115" priority="7" operator="lessThanOrEqual">
      <formula>1</formula>
    </cfRule>
    <cfRule type="cellIs" dxfId="114" priority="8" operator="greaterThan">
      <formula>1</formula>
    </cfRule>
  </conditionalFormatting>
  <conditionalFormatting sqref="O7:O8">
    <cfRule type="cellIs" dxfId="113" priority="5" operator="lessThan">
      <formula>1</formula>
    </cfRule>
    <cfRule type="cellIs" dxfId="112" priority="6" operator="greaterThan">
      <formula>1</formula>
    </cfRule>
  </conditionalFormatting>
  <conditionalFormatting sqref="O10:O11">
    <cfRule type="cellIs" dxfId="111" priority="3" operator="lessThan">
      <formula>0</formula>
    </cfRule>
    <cfRule type="cellIs" dxfId="110" priority="4" operator="greaterThan">
      <formula>0</formula>
    </cfRule>
  </conditionalFormatting>
  <conditionalFormatting sqref="O12:O13">
    <cfRule type="cellIs" dxfId="109" priority="1" operator="greaterThan">
      <formula>0</formula>
    </cfRule>
    <cfRule type="cellIs" dxfId="108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25"/>
  <sheetViews>
    <sheetView showGridLines="0" zoomScale="70" zoomScaleNormal="70" workbookViewId="0">
      <pane xSplit="5" ySplit="3" topLeftCell="F4" activePane="bottomRight" state="frozen"/>
      <selection pane="topRight" activeCell="E1" sqref="E1"/>
      <selection pane="bottomLeft" activeCell="A6" sqref="A6"/>
      <selection pane="bottomRight" activeCell="K16" sqref="K16"/>
    </sheetView>
  </sheetViews>
  <sheetFormatPr baseColWidth="10" defaultColWidth="8.6640625" defaultRowHeight="14.4" x14ac:dyDescent="0.3"/>
  <cols>
    <col min="1" max="1" width="15" customWidth="1"/>
    <col min="2" max="2" width="36" customWidth="1"/>
    <col min="3" max="3" width="8" customWidth="1"/>
    <col min="4" max="4" width="11.109375" bestFit="1" customWidth="1"/>
    <col min="5" max="5" width="14" customWidth="1"/>
    <col min="6" max="7" width="12" customWidth="1"/>
    <col min="8" max="8" width="11" customWidth="1"/>
    <col min="9" max="9" width="9" customWidth="1"/>
    <col min="10" max="11" width="12" customWidth="1"/>
    <col min="12" max="12" width="11" customWidth="1"/>
    <col min="13" max="13" width="9" customWidth="1"/>
    <col min="14" max="15" width="12" customWidth="1"/>
    <col min="16" max="16" width="11" customWidth="1"/>
    <col min="17" max="17" width="9" customWidth="1"/>
    <col min="18" max="20" width="12" customWidth="1"/>
    <col min="21" max="21" width="11" customWidth="1"/>
    <col min="22" max="22" width="9" customWidth="1"/>
    <col min="23" max="25" width="12" customWidth="1"/>
    <col min="26" max="26" width="11" customWidth="1"/>
    <col min="27" max="27" width="9" customWidth="1"/>
    <col min="28" max="30" width="12" customWidth="1"/>
    <col min="31" max="31" width="11" customWidth="1"/>
    <col min="32" max="32" width="9" customWidth="1"/>
    <col min="33" max="35" width="12" customWidth="1"/>
    <col min="36" max="36" width="11" customWidth="1"/>
    <col min="37" max="37" width="9" customWidth="1"/>
    <col min="38" max="40" width="12" customWidth="1"/>
    <col min="41" max="41" width="11" customWidth="1"/>
    <col min="42" max="42" width="9" customWidth="1"/>
    <col min="43" max="45" width="12" customWidth="1"/>
    <col min="46" max="46" width="11" customWidth="1"/>
    <col min="47" max="47" width="9" customWidth="1"/>
    <col min="48" max="50" width="12" customWidth="1"/>
    <col min="51" max="51" width="11" customWidth="1"/>
    <col min="52" max="52" width="9" customWidth="1"/>
    <col min="53" max="55" width="12" customWidth="1"/>
    <col min="56" max="56" width="11" customWidth="1"/>
    <col min="57" max="57" width="9" customWidth="1"/>
    <col min="58" max="60" width="12" customWidth="1"/>
    <col min="61" max="61" width="11" customWidth="1"/>
    <col min="62" max="62" width="9" customWidth="1"/>
    <col min="63" max="67" width="13" customWidth="1"/>
  </cols>
  <sheetData>
    <row r="1" spans="1:68" ht="27.75" customHeight="1" x14ac:dyDescent="0.3">
      <c r="A1" s="13" t="s">
        <v>53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</row>
    <row r="2" spans="1:68" ht="36" customHeight="1" x14ac:dyDescent="0.3">
      <c r="A2" s="16"/>
      <c r="B2" s="16"/>
      <c r="C2" s="16"/>
      <c r="D2" s="16"/>
      <c r="E2" s="16"/>
      <c r="F2" s="11" t="s">
        <v>6</v>
      </c>
      <c r="G2" s="11"/>
      <c r="H2" s="11"/>
      <c r="I2" s="11"/>
      <c r="J2" s="11" t="s">
        <v>7</v>
      </c>
      <c r="K2" s="11"/>
      <c r="L2" s="11"/>
      <c r="M2" s="11"/>
      <c r="N2" s="11" t="s">
        <v>8</v>
      </c>
      <c r="O2" s="11"/>
      <c r="P2" s="11"/>
      <c r="Q2" s="11"/>
      <c r="R2" s="11" t="s">
        <v>9</v>
      </c>
      <c r="S2" s="11"/>
      <c r="T2" s="11"/>
      <c r="U2" s="11"/>
      <c r="V2" s="11"/>
      <c r="W2" s="11" t="s">
        <v>10</v>
      </c>
      <c r="X2" s="11"/>
      <c r="Y2" s="11"/>
      <c r="Z2" s="11"/>
      <c r="AA2" s="11"/>
      <c r="AB2" s="11" t="s">
        <v>11</v>
      </c>
      <c r="AC2" s="11"/>
      <c r="AD2" s="11"/>
      <c r="AE2" s="11"/>
      <c r="AF2" s="11"/>
      <c r="AG2" s="11" t="s">
        <v>12</v>
      </c>
      <c r="AH2" s="11"/>
      <c r="AI2" s="11"/>
      <c r="AJ2" s="11"/>
      <c r="AK2" s="11"/>
      <c r="AL2" s="11" t="s">
        <v>13</v>
      </c>
      <c r="AM2" s="11"/>
      <c r="AN2" s="11"/>
      <c r="AO2" s="11"/>
      <c r="AP2" s="11"/>
      <c r="AQ2" s="11" t="s">
        <v>14</v>
      </c>
      <c r="AR2" s="11"/>
      <c r="AS2" s="11"/>
      <c r="AT2" s="11"/>
      <c r="AU2" s="11"/>
      <c r="AV2" s="11" t="s">
        <v>15</v>
      </c>
      <c r="AW2" s="11"/>
      <c r="AX2" s="11"/>
      <c r="AY2" s="11"/>
      <c r="AZ2" s="11"/>
      <c r="BA2" s="11" t="s">
        <v>16</v>
      </c>
      <c r="BB2" s="11"/>
      <c r="BC2" s="11"/>
      <c r="BD2" s="11"/>
      <c r="BE2" s="11"/>
      <c r="BF2" s="11" t="s">
        <v>17</v>
      </c>
      <c r="BG2" s="11"/>
      <c r="BH2" s="11"/>
      <c r="BI2" s="11"/>
      <c r="BJ2" s="11"/>
      <c r="BK2" s="10" t="s">
        <v>18</v>
      </c>
      <c r="BL2" s="10"/>
      <c r="BM2" s="10"/>
      <c r="BN2" s="10"/>
      <c r="BO2" s="10"/>
    </row>
    <row r="3" spans="1:68" ht="30" customHeight="1" x14ac:dyDescent="0.3">
      <c r="A3" s="44" t="s">
        <v>56</v>
      </c>
      <c r="B3" s="44" t="s">
        <v>57</v>
      </c>
      <c r="C3" s="44" t="s">
        <v>4</v>
      </c>
      <c r="D3" s="72" t="s">
        <v>161</v>
      </c>
      <c r="E3" s="44" t="s">
        <v>58</v>
      </c>
      <c r="F3" s="17" t="s">
        <v>19</v>
      </c>
      <c r="G3" s="18" t="s">
        <v>20</v>
      </c>
      <c r="H3" s="19" t="s">
        <v>21</v>
      </c>
      <c r="I3" s="19" t="s">
        <v>22</v>
      </c>
      <c r="J3" s="17" t="s">
        <v>19</v>
      </c>
      <c r="K3" s="18" t="s">
        <v>20</v>
      </c>
      <c r="L3" s="19" t="s">
        <v>21</v>
      </c>
      <c r="M3" s="19" t="s">
        <v>22</v>
      </c>
      <c r="N3" s="17" t="s">
        <v>19</v>
      </c>
      <c r="O3" s="18" t="s">
        <v>20</v>
      </c>
      <c r="P3" s="19" t="s">
        <v>21</v>
      </c>
      <c r="Q3" s="19" t="s">
        <v>22</v>
      </c>
      <c r="R3" s="17" t="s">
        <v>19</v>
      </c>
      <c r="S3" s="18" t="s">
        <v>59</v>
      </c>
      <c r="T3" s="18" t="s">
        <v>20</v>
      </c>
      <c r="U3" s="19" t="s">
        <v>21</v>
      </c>
      <c r="V3" s="19" t="s">
        <v>22</v>
      </c>
      <c r="W3" s="17" t="s">
        <v>19</v>
      </c>
      <c r="X3" s="18" t="s">
        <v>59</v>
      </c>
      <c r="Y3" s="18" t="s">
        <v>20</v>
      </c>
      <c r="Z3" s="19" t="s">
        <v>21</v>
      </c>
      <c r="AA3" s="19" t="s">
        <v>22</v>
      </c>
      <c r="AB3" s="17" t="s">
        <v>19</v>
      </c>
      <c r="AC3" s="18" t="s">
        <v>59</v>
      </c>
      <c r="AD3" s="18" t="s">
        <v>20</v>
      </c>
      <c r="AE3" s="19" t="s">
        <v>21</v>
      </c>
      <c r="AF3" s="19" t="s">
        <v>22</v>
      </c>
      <c r="AG3" s="17" t="s">
        <v>19</v>
      </c>
      <c r="AH3" s="18" t="s">
        <v>59</v>
      </c>
      <c r="AI3" s="18" t="s">
        <v>20</v>
      </c>
      <c r="AJ3" s="19" t="s">
        <v>21</v>
      </c>
      <c r="AK3" s="19" t="s">
        <v>22</v>
      </c>
      <c r="AL3" s="17" t="s">
        <v>19</v>
      </c>
      <c r="AM3" s="18" t="s">
        <v>59</v>
      </c>
      <c r="AN3" s="18" t="s">
        <v>20</v>
      </c>
      <c r="AO3" s="19" t="s">
        <v>21</v>
      </c>
      <c r="AP3" s="19" t="s">
        <v>22</v>
      </c>
      <c r="AQ3" s="17" t="s">
        <v>19</v>
      </c>
      <c r="AR3" s="18" t="s">
        <v>59</v>
      </c>
      <c r="AS3" s="18" t="s">
        <v>20</v>
      </c>
      <c r="AT3" s="19" t="s">
        <v>21</v>
      </c>
      <c r="AU3" s="19" t="s">
        <v>22</v>
      </c>
      <c r="AV3" s="17" t="s">
        <v>19</v>
      </c>
      <c r="AW3" s="18" t="s">
        <v>59</v>
      </c>
      <c r="AX3" s="18" t="s">
        <v>20</v>
      </c>
      <c r="AY3" s="19" t="s">
        <v>21</v>
      </c>
      <c r="AZ3" s="19" t="s">
        <v>22</v>
      </c>
      <c r="BA3" s="17" t="s">
        <v>19</v>
      </c>
      <c r="BB3" s="18" t="s">
        <v>59</v>
      </c>
      <c r="BC3" s="18" t="s">
        <v>20</v>
      </c>
      <c r="BD3" s="19" t="s">
        <v>21</v>
      </c>
      <c r="BE3" s="19" t="s">
        <v>22</v>
      </c>
      <c r="BF3" s="17" t="s">
        <v>19</v>
      </c>
      <c r="BG3" s="18" t="s">
        <v>59</v>
      </c>
      <c r="BH3" s="18" t="s">
        <v>20</v>
      </c>
      <c r="BI3" s="19" t="s">
        <v>21</v>
      </c>
      <c r="BJ3" s="19" t="s">
        <v>22</v>
      </c>
      <c r="BK3" s="20" t="s">
        <v>19</v>
      </c>
      <c r="BL3" s="18" t="s">
        <v>59</v>
      </c>
      <c r="BM3" s="18" t="s">
        <v>20</v>
      </c>
      <c r="BN3" s="19" t="s">
        <v>21</v>
      </c>
      <c r="BO3" s="19" t="s">
        <v>22</v>
      </c>
    </row>
    <row r="4" spans="1:68" ht="19.5" customHeight="1" x14ac:dyDescent="0.3">
      <c r="A4" s="23" t="s">
        <v>60</v>
      </c>
      <c r="B4" s="21" t="s">
        <v>61</v>
      </c>
      <c r="C4" s="22" t="s">
        <v>24</v>
      </c>
      <c r="D4" s="73">
        <v>1650</v>
      </c>
      <c r="E4" s="45">
        <v>1.3584000000000001E-2</v>
      </c>
      <c r="F4" s="24">
        <v>369.87</v>
      </c>
      <c r="G4" s="25"/>
      <c r="H4" s="26" t="str">
        <f>IF(ISNUMBER(G4),G4-F4,"")</f>
        <v/>
      </c>
      <c r="I4" s="27" t="str">
        <f>IF(AND(ISNUMBER(G4),F4&lt;&gt;0),G4/F4,"")</f>
        <v/>
      </c>
      <c r="J4" s="24">
        <v>361.83</v>
      </c>
      <c r="K4" s="25"/>
      <c r="L4" s="26" t="str">
        <f>IF(ISNUMBER(K4),K4-J4,"")</f>
        <v/>
      </c>
      <c r="M4" s="27" t="str">
        <f>IF(AND(ISNUMBER(K4),J4&lt;&gt;0),K4/J4,"")</f>
        <v/>
      </c>
      <c r="N4" s="24">
        <v>344.63</v>
      </c>
      <c r="O4" s="25"/>
      <c r="P4" s="26" t="str">
        <f>IF(ISNUMBER(O4),O4-N4,"")</f>
        <v/>
      </c>
      <c r="Q4" s="27" t="str">
        <f>IF(AND(ISNUMBER(O4),N4&lt;&gt;0),O4/N4,"")</f>
        <v/>
      </c>
      <c r="R4" s="24">
        <v>393.87</v>
      </c>
      <c r="S4" s="25"/>
      <c r="T4" s="25"/>
      <c r="U4" s="26" t="str">
        <f t="shared" ref="U4:U12" si="0">IF(ISNUMBER(T4),T4-R4,"")</f>
        <v/>
      </c>
      <c r="V4" s="27" t="str">
        <f t="shared" ref="V4:V12" si="1">IF(AND(ISNUMBER(T4),R4&lt;&gt;0),T4/R4,"")</f>
        <v/>
      </c>
      <c r="W4" s="24">
        <v>426.82</v>
      </c>
      <c r="X4" s="25"/>
      <c r="Y4" s="25"/>
      <c r="Z4" s="26" t="str">
        <f t="shared" ref="Z4:Z12" si="2">IF(ISNUMBER(Y4),Y4-W4,"")</f>
        <v/>
      </c>
      <c r="AA4" s="27" t="str">
        <f t="shared" ref="AA4:AA12" si="3">IF(AND(ISNUMBER(Y4),W4&lt;&gt;0),Y4/W4,"")</f>
        <v/>
      </c>
      <c r="AB4" s="24">
        <v>465.23</v>
      </c>
      <c r="AC4" s="25"/>
      <c r="AD4" s="25"/>
      <c r="AE4" s="26" t="str">
        <f t="shared" ref="AE4:AE12" si="4">IF(ISNUMBER(AD4),AD4-AB4,"")</f>
        <v/>
      </c>
      <c r="AF4" s="27" t="str">
        <f t="shared" ref="AF4:AF12" si="5">IF(AND(ISNUMBER(AD4),AB4&lt;&gt;0),AD4/AB4,"")</f>
        <v/>
      </c>
      <c r="AG4" s="24">
        <v>550.26</v>
      </c>
      <c r="AH4" s="25"/>
      <c r="AI4" s="25"/>
      <c r="AJ4" s="26" t="str">
        <f t="shared" ref="AJ4:AJ12" si="6">IF(ISNUMBER(AI4),AI4-AG4,"")</f>
        <v/>
      </c>
      <c r="AK4" s="27" t="str">
        <f t="shared" ref="AK4:AK12" si="7">IF(AND(ISNUMBER(AI4),AG4&lt;&gt;0),AI4/AG4,"")</f>
        <v/>
      </c>
      <c r="AL4" s="24">
        <v>547.22</v>
      </c>
      <c r="AM4" s="25"/>
      <c r="AN4" s="25"/>
      <c r="AO4" s="26" t="str">
        <f t="shared" ref="AO4:AO12" si="8">IF(ISNUMBER(AN4),AN4-AL4,"")</f>
        <v/>
      </c>
      <c r="AP4" s="27" t="str">
        <f t="shared" ref="AP4:AP12" si="9">IF(AND(ISNUMBER(AN4),AL4&lt;&gt;0),AN4/AL4,"")</f>
        <v/>
      </c>
      <c r="AQ4" s="24">
        <v>590.65</v>
      </c>
      <c r="AR4" s="25"/>
      <c r="AS4" s="25"/>
      <c r="AT4" s="26" t="str">
        <f t="shared" ref="AT4:AT12" si="10">IF(ISNUMBER(AS4),AS4-AQ4,"")</f>
        <v/>
      </c>
      <c r="AU4" s="27" t="str">
        <f t="shared" ref="AU4:AU12" si="11">IF(AND(ISNUMBER(AS4),AQ4&lt;&gt;0),AS4/AQ4,"")</f>
        <v/>
      </c>
      <c r="AV4" s="24">
        <v>555</v>
      </c>
      <c r="AW4" s="25"/>
      <c r="AX4" s="25"/>
      <c r="AY4" s="26" t="str">
        <f t="shared" ref="AY4:AY12" si="12">IF(ISNUMBER(AX4),AX4-AV4,"")</f>
        <v/>
      </c>
      <c r="AZ4" s="27" t="str">
        <f t="shared" ref="AZ4:AZ12" si="13">IF(AND(ISNUMBER(AX4),AV4&lt;&gt;0),AX4/AV4,"")</f>
        <v/>
      </c>
      <c r="BA4" s="24">
        <v>362.49</v>
      </c>
      <c r="BB4" s="25"/>
      <c r="BC4" s="25"/>
      <c r="BD4" s="26" t="str">
        <f t="shared" ref="BD4:BD12" si="14">IF(ISNUMBER(BC4),BC4-BA4,"")</f>
        <v/>
      </c>
      <c r="BE4" s="27" t="str">
        <f t="shared" ref="BE4:BE12" si="15">IF(AND(ISNUMBER(BC4),BA4&lt;&gt;0),BC4/BA4,"")</f>
        <v/>
      </c>
      <c r="BF4" s="24">
        <v>182.33</v>
      </c>
      <c r="BG4" s="25"/>
      <c r="BH4" s="25"/>
      <c r="BI4" s="26" t="str">
        <f t="shared" ref="BI4:BI12" si="16">IF(ISNUMBER(BH4),BH4-BF4,"")</f>
        <v/>
      </c>
      <c r="BJ4" s="27" t="str">
        <f t="shared" ref="BJ4:BJ12" si="17">IF(AND(ISNUMBER(BH4),BF4&lt;&gt;0),BH4/BF4,"")</f>
        <v/>
      </c>
      <c r="BK4" s="28">
        <f>SUM(F4,J4,N4,R4,W4,AB4,AG4,AL4,AQ4,AV4,BA4,BF4)</f>
        <v>5150.2000000000007</v>
      </c>
      <c r="BL4" s="29" t="e">
        <f>IF(COUNTA(#REF!,#REF!,#REF!,S4,X4,AC4,AH4,AM4,AR4,AW4,BB4,BG4)&gt;0,SUM(#REF!,#REF!,#REF!,S4,X4,AC4,AH4,AM4,AR4,AW4,BB4,BG4),"")</f>
        <v>#REF!</v>
      </c>
      <c r="BM4" s="29" t="str">
        <f>IF(COUNTA(G4,K4,O4,T4,Y4,AD4,AI4,AN4,AS4,AX4,BC4,BH4)&gt;0,SUM(G4,K4,O4,T4,Y4,AD4,AI4,AN4,AS4,AX4,BC4,BH4),"")</f>
        <v/>
      </c>
      <c r="BN4" s="26" t="str">
        <f t="shared" ref="BN4:BN12" si="18">IF(ISNUMBER(BM4),BM4-BK4,"")</f>
        <v/>
      </c>
      <c r="BO4" s="27" t="str">
        <f t="shared" ref="BO4:BO12" si="19">IF(AND(ISNUMBER(BM4),BK4&lt;&gt;0),BM4/BK4,"")</f>
        <v/>
      </c>
    </row>
    <row r="5" spans="1:68" ht="19.5" customHeight="1" x14ac:dyDescent="0.3">
      <c r="A5" s="23" t="s">
        <v>60</v>
      </c>
      <c r="B5" s="21" t="s">
        <v>62</v>
      </c>
      <c r="C5" s="22" t="s">
        <v>24</v>
      </c>
      <c r="D5" s="73">
        <v>4200</v>
      </c>
      <c r="E5" s="45">
        <v>1.1919999999999999E-3</v>
      </c>
      <c r="F5" s="28">
        <v>32.450000000000003</v>
      </c>
      <c r="G5" s="25"/>
      <c r="H5" s="26" t="str">
        <f>IF(ISNUMBER(G5),G5-F5,"")</f>
        <v/>
      </c>
      <c r="I5" s="27" t="str">
        <f>IF(AND(ISNUMBER(G5),F5&lt;&gt;0),G5/F5,"")</f>
        <v/>
      </c>
      <c r="J5" s="28">
        <v>31.74</v>
      </c>
      <c r="K5" s="25"/>
      <c r="L5" s="26" t="str">
        <f>IF(ISNUMBER(K5),K5-J5,"")</f>
        <v/>
      </c>
      <c r="M5" s="27" t="str">
        <f>IF(AND(ISNUMBER(K5),J5&lt;&gt;0),K5/J5,"")</f>
        <v/>
      </c>
      <c r="N5" s="28">
        <v>30.23</v>
      </c>
      <c r="O5" s="25"/>
      <c r="P5" s="26" t="str">
        <f>IF(ISNUMBER(O5),O5-N5,"")</f>
        <v/>
      </c>
      <c r="Q5" s="27" t="str">
        <f>IF(AND(ISNUMBER(O5),N5&lt;&gt;0),O5/N5,"")</f>
        <v/>
      </c>
      <c r="R5" s="28">
        <v>34.549999999999997</v>
      </c>
      <c r="S5" s="25"/>
      <c r="T5" s="25"/>
      <c r="U5" s="26" t="str">
        <f t="shared" si="0"/>
        <v/>
      </c>
      <c r="V5" s="27" t="str">
        <f t="shared" si="1"/>
        <v/>
      </c>
      <c r="W5" s="28">
        <v>37.44</v>
      </c>
      <c r="X5" s="25"/>
      <c r="Y5" s="25"/>
      <c r="Z5" s="26" t="str">
        <f t="shared" si="2"/>
        <v/>
      </c>
      <c r="AA5" s="27" t="str">
        <f t="shared" si="3"/>
        <v/>
      </c>
      <c r="AB5" s="28">
        <v>40.81</v>
      </c>
      <c r="AC5" s="25"/>
      <c r="AD5" s="25"/>
      <c r="AE5" s="26" t="str">
        <f t="shared" si="4"/>
        <v/>
      </c>
      <c r="AF5" s="27" t="str">
        <f t="shared" si="5"/>
        <v/>
      </c>
      <c r="AG5" s="28">
        <v>48.27</v>
      </c>
      <c r="AH5" s="25"/>
      <c r="AI5" s="25"/>
      <c r="AJ5" s="26" t="str">
        <f t="shared" si="6"/>
        <v/>
      </c>
      <c r="AK5" s="27" t="str">
        <f t="shared" si="7"/>
        <v/>
      </c>
      <c r="AL5" s="28">
        <v>48.01</v>
      </c>
      <c r="AM5" s="25"/>
      <c r="AN5" s="25"/>
      <c r="AO5" s="26" t="str">
        <f t="shared" si="8"/>
        <v/>
      </c>
      <c r="AP5" s="27" t="str">
        <f t="shared" si="9"/>
        <v/>
      </c>
      <c r="AQ5" s="28">
        <v>51.82</v>
      </c>
      <c r="AR5" s="25"/>
      <c r="AS5" s="25"/>
      <c r="AT5" s="26" t="str">
        <f t="shared" si="10"/>
        <v/>
      </c>
      <c r="AU5" s="27" t="str">
        <f t="shared" si="11"/>
        <v/>
      </c>
      <c r="AV5" s="28">
        <v>48.69</v>
      </c>
      <c r="AW5" s="25"/>
      <c r="AX5" s="25"/>
      <c r="AY5" s="26" t="str">
        <f t="shared" si="12"/>
        <v/>
      </c>
      <c r="AZ5" s="27" t="str">
        <f t="shared" si="13"/>
        <v/>
      </c>
      <c r="BA5" s="28">
        <v>31.8</v>
      </c>
      <c r="BB5" s="25"/>
      <c r="BC5" s="25"/>
      <c r="BD5" s="26" t="str">
        <f t="shared" si="14"/>
        <v/>
      </c>
      <c r="BE5" s="27" t="str">
        <f t="shared" si="15"/>
        <v/>
      </c>
      <c r="BF5" s="28">
        <v>16</v>
      </c>
      <c r="BG5" s="25"/>
      <c r="BH5" s="25"/>
      <c r="BI5" s="26" t="str">
        <f t="shared" si="16"/>
        <v/>
      </c>
      <c r="BJ5" s="27" t="str">
        <f t="shared" si="17"/>
        <v/>
      </c>
      <c r="BK5" s="28">
        <f>SUM(F5,J5,N5,R5,W5,AB5,AG5,AL5,AQ5,AV5,BA5,BF5)</f>
        <v>451.81</v>
      </c>
      <c r="BL5" s="29" t="e">
        <f>IF(COUNTA(#REF!,#REF!,#REF!,S5,X5,AC5,AH5,AM5,AR5,AW5,BB5,BG5)&gt;0,SUM(#REF!,#REF!,#REF!,S5,X5,AC5,AH5,AM5,AR5,AW5,BB5,BG5),"")</f>
        <v>#REF!</v>
      </c>
      <c r="BM5" s="29" t="str">
        <f>IF(COUNTA(G5,K5,O5,T5,Y5,AD5,AI5,AN5,AS5,AX5,BC5,BH5)&gt;0,SUM(G5,K5,O5,T5,Y5,AD5,AI5,AN5,AS5,AX5,BC5,BH5),"")</f>
        <v/>
      </c>
      <c r="BN5" s="26" t="str">
        <f t="shared" si="18"/>
        <v/>
      </c>
      <c r="BO5" s="27" t="str">
        <f t="shared" si="19"/>
        <v/>
      </c>
    </row>
    <row r="6" spans="1:68" ht="19.5" customHeight="1" x14ac:dyDescent="0.3">
      <c r="A6" s="23" t="s">
        <v>60</v>
      </c>
      <c r="B6" s="21" t="s">
        <v>63</v>
      </c>
      <c r="C6" s="22" t="s">
        <v>24</v>
      </c>
      <c r="D6" s="73">
        <v>180000</v>
      </c>
      <c r="E6" s="45">
        <v>1.8099999999999999E-5</v>
      </c>
      <c r="F6" s="28">
        <v>0.49</v>
      </c>
      <c r="G6" s="25"/>
      <c r="H6" s="26" t="str">
        <f>IF(ISNUMBER(G6),G6-F6,"")</f>
        <v/>
      </c>
      <c r="I6" s="27" t="str">
        <f>IF(AND(ISNUMBER(G6),F6&lt;&gt;0),G6/F6,"")</f>
        <v/>
      </c>
      <c r="J6" s="28">
        <v>0.48</v>
      </c>
      <c r="K6" s="25"/>
      <c r="L6" s="26" t="str">
        <f>IF(ISNUMBER(K6),K6-J6,"")</f>
        <v/>
      </c>
      <c r="M6" s="27" t="str">
        <f>IF(AND(ISNUMBER(K6),J6&lt;&gt;0),K6/J6,"")</f>
        <v/>
      </c>
      <c r="N6" s="28">
        <v>0.46</v>
      </c>
      <c r="O6" s="25"/>
      <c r="P6" s="26" t="str">
        <f>IF(ISNUMBER(O6),O6-N6,"")</f>
        <v/>
      </c>
      <c r="Q6" s="27" t="str">
        <f>IF(AND(ISNUMBER(O6),N6&lt;&gt;0),O6/N6,"")</f>
        <v/>
      </c>
      <c r="R6" s="28">
        <v>0.53</v>
      </c>
      <c r="S6" s="25"/>
      <c r="T6" s="25"/>
      <c r="U6" s="26" t="str">
        <f t="shared" si="0"/>
        <v/>
      </c>
      <c r="V6" s="27" t="str">
        <f t="shared" si="1"/>
        <v/>
      </c>
      <c r="W6" s="28">
        <v>0.56999999999999995</v>
      </c>
      <c r="X6" s="25"/>
      <c r="Y6" s="25"/>
      <c r="Z6" s="26" t="str">
        <f t="shared" si="2"/>
        <v/>
      </c>
      <c r="AA6" s="27" t="str">
        <f t="shared" si="3"/>
        <v/>
      </c>
      <c r="AB6" s="28">
        <v>0.62</v>
      </c>
      <c r="AC6" s="25"/>
      <c r="AD6" s="25"/>
      <c r="AE6" s="26" t="str">
        <f t="shared" si="4"/>
        <v/>
      </c>
      <c r="AF6" s="27" t="str">
        <f t="shared" si="5"/>
        <v/>
      </c>
      <c r="AG6" s="28">
        <v>0.73</v>
      </c>
      <c r="AH6" s="25"/>
      <c r="AI6" s="25"/>
      <c r="AJ6" s="26" t="str">
        <f t="shared" si="6"/>
        <v/>
      </c>
      <c r="AK6" s="27" t="str">
        <f t="shared" si="7"/>
        <v/>
      </c>
      <c r="AL6" s="28">
        <v>0.73</v>
      </c>
      <c r="AM6" s="25"/>
      <c r="AN6" s="25"/>
      <c r="AO6" s="26" t="str">
        <f t="shared" si="8"/>
        <v/>
      </c>
      <c r="AP6" s="27" t="str">
        <f t="shared" si="9"/>
        <v/>
      </c>
      <c r="AQ6" s="28">
        <v>0.79</v>
      </c>
      <c r="AR6" s="25"/>
      <c r="AS6" s="25"/>
      <c r="AT6" s="26" t="str">
        <f t="shared" si="10"/>
        <v/>
      </c>
      <c r="AU6" s="27" t="str">
        <f t="shared" si="11"/>
        <v/>
      </c>
      <c r="AV6" s="28">
        <v>0.74</v>
      </c>
      <c r="AW6" s="25"/>
      <c r="AX6" s="25"/>
      <c r="AY6" s="26" t="str">
        <f t="shared" si="12"/>
        <v/>
      </c>
      <c r="AZ6" s="27" t="str">
        <f t="shared" si="13"/>
        <v/>
      </c>
      <c r="BA6" s="28">
        <v>0.48</v>
      </c>
      <c r="BB6" s="25"/>
      <c r="BC6" s="25"/>
      <c r="BD6" s="26" t="str">
        <f t="shared" si="14"/>
        <v/>
      </c>
      <c r="BE6" s="27" t="str">
        <f t="shared" si="15"/>
        <v/>
      </c>
      <c r="BF6" s="28">
        <v>0.24</v>
      </c>
      <c r="BG6" s="25"/>
      <c r="BH6" s="25"/>
      <c r="BI6" s="26" t="str">
        <f t="shared" si="16"/>
        <v/>
      </c>
      <c r="BJ6" s="27" t="str">
        <f t="shared" si="17"/>
        <v/>
      </c>
      <c r="BK6" s="28">
        <f>SUM(F6,J6,N6,R6,W6,AB6,AG6,AL6,AQ6,AV6,BA6,BF6)</f>
        <v>6.8599999999999994</v>
      </c>
      <c r="BL6" s="29" t="e">
        <f>IF(COUNTA(#REF!,#REF!,#REF!,S6,X6,AC6,AH6,AM6,AR6,AW6,BB6,BG6)&gt;0,SUM(#REF!,#REF!,#REF!,S6,X6,AC6,AH6,AM6,AR6,AW6,BB6,BG6),"")</f>
        <v>#REF!</v>
      </c>
      <c r="BM6" s="29" t="str">
        <f>IF(COUNTA(G6,K6,O6,T6,Y6,AD6,AI6,AN6,AS6,AX6,BC6,BH6)&gt;0,SUM(G6,K6,O6,T6,Y6,AD6,AI6,AN6,AS6,AX6,BC6,BH6),"")</f>
        <v/>
      </c>
      <c r="BN6" s="26" t="str">
        <f t="shared" si="18"/>
        <v/>
      </c>
      <c r="BO6" s="27" t="str">
        <f t="shared" si="19"/>
        <v/>
      </c>
    </row>
    <row r="7" spans="1:68" ht="19.5" customHeight="1" x14ac:dyDescent="0.3">
      <c r="A7" s="23" t="s">
        <v>60</v>
      </c>
      <c r="B7" s="21" t="s">
        <v>64</v>
      </c>
      <c r="C7" s="22" t="s">
        <v>24</v>
      </c>
      <c r="D7" s="73">
        <v>830</v>
      </c>
      <c r="E7" s="45">
        <v>0.30804100000000001</v>
      </c>
      <c r="F7" s="24">
        <v>8387.64</v>
      </c>
      <c r="G7" s="25"/>
      <c r="H7" s="26" t="str">
        <f>IF(ISNUMBER(G7),G7-F7,"")</f>
        <v/>
      </c>
      <c r="I7" s="27" t="str">
        <f>IF(AND(ISNUMBER(G7),F7&lt;&gt;0),G7/F7,"")</f>
        <v/>
      </c>
      <c r="J7" s="24">
        <v>8205.41</v>
      </c>
      <c r="K7" s="25"/>
      <c r="L7" s="26" t="str">
        <f>IF(ISNUMBER(K7),K7-J7,"")</f>
        <v/>
      </c>
      <c r="M7" s="27" t="str">
        <f>IF(AND(ISNUMBER(K7),J7&lt;&gt;0),K7/J7,"")</f>
        <v/>
      </c>
      <c r="N7" s="24">
        <v>7815.37</v>
      </c>
      <c r="O7" s="25"/>
      <c r="P7" s="26" t="str">
        <f>IF(ISNUMBER(O7),O7-N7,"")</f>
        <v/>
      </c>
      <c r="Q7" s="27" t="str">
        <f>IF(AND(ISNUMBER(O7),N7&lt;&gt;0),O7/N7,"")</f>
        <v/>
      </c>
      <c r="R7" s="24">
        <v>8931.9599999999991</v>
      </c>
      <c r="S7" s="25"/>
      <c r="T7" s="25"/>
      <c r="U7" s="26" t="str">
        <f t="shared" si="0"/>
        <v/>
      </c>
      <c r="V7" s="27" t="str">
        <f t="shared" si="1"/>
        <v/>
      </c>
      <c r="W7" s="24">
        <v>9679.1299999999992</v>
      </c>
      <c r="X7" s="25"/>
      <c r="Y7" s="25"/>
      <c r="Z7" s="26" t="str">
        <f t="shared" si="2"/>
        <v/>
      </c>
      <c r="AA7" s="27" t="str">
        <f t="shared" si="3"/>
        <v/>
      </c>
      <c r="AB7" s="24">
        <v>10550.18</v>
      </c>
      <c r="AC7" s="25"/>
      <c r="AD7" s="25"/>
      <c r="AE7" s="26" t="str">
        <f t="shared" si="4"/>
        <v/>
      </c>
      <c r="AF7" s="27" t="str">
        <f t="shared" si="5"/>
        <v/>
      </c>
      <c r="AG7" s="24">
        <v>12478.45</v>
      </c>
      <c r="AH7" s="25"/>
      <c r="AI7" s="25"/>
      <c r="AJ7" s="26" t="str">
        <f t="shared" si="6"/>
        <v/>
      </c>
      <c r="AK7" s="27" t="str">
        <f t="shared" si="7"/>
        <v/>
      </c>
      <c r="AL7" s="24">
        <v>12409.57</v>
      </c>
      <c r="AM7" s="25"/>
      <c r="AN7" s="25"/>
      <c r="AO7" s="26" t="str">
        <f t="shared" si="8"/>
        <v/>
      </c>
      <c r="AP7" s="27" t="str">
        <f t="shared" si="9"/>
        <v/>
      </c>
      <c r="AQ7" s="24">
        <v>13394.36</v>
      </c>
      <c r="AR7" s="25"/>
      <c r="AS7" s="25"/>
      <c r="AT7" s="26" t="str">
        <f t="shared" si="10"/>
        <v/>
      </c>
      <c r="AU7" s="27" t="str">
        <f t="shared" si="11"/>
        <v/>
      </c>
      <c r="AV7" s="24">
        <v>12585.98</v>
      </c>
      <c r="AW7" s="25"/>
      <c r="AX7" s="25"/>
      <c r="AY7" s="26" t="str">
        <f t="shared" si="12"/>
        <v/>
      </c>
      <c r="AZ7" s="27" t="str">
        <f t="shared" si="13"/>
        <v/>
      </c>
      <c r="BA7" s="24">
        <v>8220.27</v>
      </c>
      <c r="BB7" s="25"/>
      <c r="BC7" s="25"/>
      <c r="BD7" s="26" t="str">
        <f t="shared" si="14"/>
        <v/>
      </c>
      <c r="BE7" s="27" t="str">
        <f t="shared" si="15"/>
        <v/>
      </c>
      <c r="BF7" s="24">
        <v>4134.67</v>
      </c>
      <c r="BG7" s="25"/>
      <c r="BH7" s="25"/>
      <c r="BI7" s="26" t="str">
        <f t="shared" si="16"/>
        <v/>
      </c>
      <c r="BJ7" s="27" t="str">
        <f t="shared" si="17"/>
        <v/>
      </c>
      <c r="BK7" s="28">
        <f>SUM(F7,J7,N7,R7,W7,AB7,AG7,AL7,AQ7,AV7,BA7,BF7)</f>
        <v>116792.98999999999</v>
      </c>
      <c r="BL7" s="29" t="e">
        <f>IF(COUNTA(#REF!,#REF!,#REF!,S7,X7,AC7,AH7,AM7,AR7,AW7,BB7,BG7)&gt;0,SUM(#REF!,#REF!,#REF!,S7,X7,AC7,AH7,AM7,AR7,AW7,BB7,BG7),"")</f>
        <v>#REF!</v>
      </c>
      <c r="BM7" s="29" t="str">
        <f>IF(COUNTA(G7,K7,O7,T7,Y7,AD7,AI7,AN7,AS7,AX7,BC7,BH7)&gt;0,SUM(G7,K7,O7,T7,Y7,AD7,AI7,AN7,AS7,AX7,BC7,BH7),"")</f>
        <v/>
      </c>
      <c r="BN7" s="26" t="str">
        <f t="shared" si="18"/>
        <v/>
      </c>
      <c r="BO7" s="27" t="str">
        <f t="shared" si="19"/>
        <v/>
      </c>
    </row>
    <row r="8" spans="1:68" ht="19.5" customHeight="1" x14ac:dyDescent="0.3">
      <c r="A8" s="23" t="s">
        <v>60</v>
      </c>
      <c r="B8" s="21" t="s">
        <v>65</v>
      </c>
      <c r="C8" s="22" t="s">
        <v>24</v>
      </c>
      <c r="D8" s="73">
        <v>22050</v>
      </c>
      <c r="E8" s="45">
        <v>9.1310000000000002E-3</v>
      </c>
      <c r="F8" s="24">
        <v>248.62</v>
      </c>
      <c r="G8" s="25"/>
      <c r="H8" s="26" t="str">
        <f>IF(ISNUMBER(G8),G8-F8,"")</f>
        <v/>
      </c>
      <c r="I8" s="27" t="str">
        <f>IF(AND(ISNUMBER(G8),F8&lt;&gt;0),G8/F8,"")</f>
        <v/>
      </c>
      <c r="J8" s="24">
        <v>243.22</v>
      </c>
      <c r="K8" s="25"/>
      <c r="L8" s="26" t="str">
        <f>IF(ISNUMBER(K8),K8-J8,"")</f>
        <v/>
      </c>
      <c r="M8" s="27" t="str">
        <f>IF(AND(ISNUMBER(K8),J8&lt;&gt;0),K8/J8,"")</f>
        <v/>
      </c>
      <c r="N8" s="24">
        <v>231.66</v>
      </c>
      <c r="O8" s="25"/>
      <c r="P8" s="26" t="str">
        <f>IF(ISNUMBER(O8),O8-N8,"")</f>
        <v/>
      </c>
      <c r="Q8" s="27" t="str">
        <f>IF(AND(ISNUMBER(O8),N8&lt;&gt;0),O8/N8,"")</f>
        <v/>
      </c>
      <c r="R8" s="24">
        <v>264.75</v>
      </c>
      <c r="S8" s="25"/>
      <c r="T8" s="25"/>
      <c r="U8" s="26" t="str">
        <f t="shared" si="0"/>
        <v/>
      </c>
      <c r="V8" s="27" t="str">
        <f t="shared" si="1"/>
        <v/>
      </c>
      <c r="W8" s="24">
        <v>286.89999999999998</v>
      </c>
      <c r="X8" s="25"/>
      <c r="Y8" s="25"/>
      <c r="Z8" s="26" t="str">
        <f t="shared" si="2"/>
        <v/>
      </c>
      <c r="AA8" s="27" t="str">
        <f t="shared" si="3"/>
        <v/>
      </c>
      <c r="AB8" s="24">
        <v>312.72000000000003</v>
      </c>
      <c r="AC8" s="25"/>
      <c r="AD8" s="25"/>
      <c r="AE8" s="26" t="str">
        <f t="shared" si="4"/>
        <v/>
      </c>
      <c r="AF8" s="27" t="str">
        <f t="shared" si="5"/>
        <v/>
      </c>
      <c r="AG8" s="24">
        <v>369.88</v>
      </c>
      <c r="AH8" s="25"/>
      <c r="AI8" s="25"/>
      <c r="AJ8" s="26" t="str">
        <f t="shared" si="6"/>
        <v/>
      </c>
      <c r="AK8" s="27" t="str">
        <f t="shared" si="7"/>
        <v/>
      </c>
      <c r="AL8" s="24">
        <v>367.83</v>
      </c>
      <c r="AM8" s="25"/>
      <c r="AN8" s="25"/>
      <c r="AO8" s="26" t="str">
        <f t="shared" si="8"/>
        <v/>
      </c>
      <c r="AP8" s="27" t="str">
        <f t="shared" si="9"/>
        <v/>
      </c>
      <c r="AQ8" s="24">
        <v>397.02</v>
      </c>
      <c r="AR8" s="25"/>
      <c r="AS8" s="25"/>
      <c r="AT8" s="26" t="str">
        <f t="shared" si="10"/>
        <v/>
      </c>
      <c r="AU8" s="27" t="str">
        <f t="shared" si="11"/>
        <v/>
      </c>
      <c r="AV8" s="24">
        <v>373.06</v>
      </c>
      <c r="AW8" s="25"/>
      <c r="AX8" s="25"/>
      <c r="AY8" s="26" t="str">
        <f t="shared" si="12"/>
        <v/>
      </c>
      <c r="AZ8" s="27" t="str">
        <f t="shared" si="13"/>
        <v/>
      </c>
      <c r="BA8" s="24">
        <v>243.66</v>
      </c>
      <c r="BB8" s="25"/>
      <c r="BC8" s="25"/>
      <c r="BD8" s="26" t="str">
        <f t="shared" si="14"/>
        <v/>
      </c>
      <c r="BE8" s="27" t="str">
        <f t="shared" si="15"/>
        <v/>
      </c>
      <c r="BF8" s="24">
        <v>122.56</v>
      </c>
      <c r="BG8" s="25"/>
      <c r="BH8" s="25"/>
      <c r="BI8" s="26" t="str">
        <f t="shared" si="16"/>
        <v/>
      </c>
      <c r="BJ8" s="27" t="str">
        <f t="shared" si="17"/>
        <v/>
      </c>
      <c r="BK8" s="28">
        <f>SUM(F8,J8,N8,R8,W8,AB8,AG8,AL8,AQ8,AV8,BA8,BF8)</f>
        <v>3461.8799999999997</v>
      </c>
      <c r="BL8" s="29" t="e">
        <f>IF(COUNTA(#REF!,#REF!,#REF!,S8,X8,AC8,AH8,AM8,AR8,AW8,BB8,BG8)&gt;0,SUM(#REF!,#REF!,#REF!,S8,X8,AC8,AH8,AM8,AR8,AW8,BB8,BG8),"")</f>
        <v>#REF!</v>
      </c>
      <c r="BM8" s="29" t="str">
        <f>IF(COUNTA(G8,K8,O8,T8,Y8,AD8,AI8,AN8,AS8,AX8,BC8,BH8)&gt;0,SUM(G8,K8,O8,T8,Y8,AD8,AI8,AN8,AS8,AX8,BC8,BH8),"")</f>
        <v/>
      </c>
      <c r="BN8" s="26" t="str">
        <f t="shared" si="18"/>
        <v/>
      </c>
      <c r="BO8" s="27" t="str">
        <f t="shared" si="19"/>
        <v/>
      </c>
    </row>
    <row r="9" spans="1:68" ht="19.5" customHeight="1" x14ac:dyDescent="0.3">
      <c r="A9" s="23" t="s">
        <v>60</v>
      </c>
      <c r="B9" s="21" t="s">
        <v>66</v>
      </c>
      <c r="C9" s="22" t="s">
        <v>24</v>
      </c>
      <c r="D9" s="73">
        <v>19050</v>
      </c>
      <c r="E9" s="45">
        <v>5.4180000000000001E-3</v>
      </c>
      <c r="F9" s="24">
        <v>147.53</v>
      </c>
      <c r="G9" s="25"/>
      <c r="H9" s="26" t="str">
        <f>IF(ISNUMBER(G9),G9-F9,"")</f>
        <v/>
      </c>
      <c r="I9" s="27" t="str">
        <f>IF(AND(ISNUMBER(G9),F9&lt;&gt;0),G9/F9,"")</f>
        <v/>
      </c>
      <c r="J9" s="24">
        <v>144.33000000000001</v>
      </c>
      <c r="K9" s="25"/>
      <c r="L9" s="26" t="str">
        <f>IF(ISNUMBER(K9),K9-J9,"")</f>
        <v/>
      </c>
      <c r="M9" s="27" t="str">
        <f>IF(AND(ISNUMBER(K9),J9&lt;&gt;0),K9/J9,"")</f>
        <v/>
      </c>
      <c r="N9" s="24">
        <v>137.47</v>
      </c>
      <c r="O9" s="25"/>
      <c r="P9" s="26" t="str">
        <f>IF(ISNUMBER(O9),O9-N9,"")</f>
        <v/>
      </c>
      <c r="Q9" s="27" t="str">
        <f>IF(AND(ISNUMBER(O9),N9&lt;&gt;0),O9/N9,"")</f>
        <v/>
      </c>
      <c r="R9" s="24">
        <v>157.11000000000001</v>
      </c>
      <c r="S9" s="25"/>
      <c r="T9" s="25"/>
      <c r="U9" s="26" t="str">
        <f t="shared" si="0"/>
        <v/>
      </c>
      <c r="V9" s="27" t="str">
        <f t="shared" si="1"/>
        <v/>
      </c>
      <c r="W9" s="24">
        <v>170.25</v>
      </c>
      <c r="X9" s="25"/>
      <c r="Y9" s="25"/>
      <c r="Z9" s="26" t="str">
        <f t="shared" si="2"/>
        <v/>
      </c>
      <c r="AA9" s="27" t="str">
        <f t="shared" si="3"/>
        <v/>
      </c>
      <c r="AB9" s="24">
        <v>185.57</v>
      </c>
      <c r="AC9" s="25"/>
      <c r="AD9" s="25"/>
      <c r="AE9" s="26" t="str">
        <f t="shared" si="4"/>
        <v/>
      </c>
      <c r="AF9" s="27" t="str">
        <f t="shared" si="5"/>
        <v/>
      </c>
      <c r="AG9" s="24">
        <v>219.49</v>
      </c>
      <c r="AH9" s="25"/>
      <c r="AI9" s="25"/>
      <c r="AJ9" s="26" t="str">
        <f t="shared" si="6"/>
        <v/>
      </c>
      <c r="AK9" s="27" t="str">
        <f t="shared" si="7"/>
        <v/>
      </c>
      <c r="AL9" s="24">
        <v>218.28</v>
      </c>
      <c r="AM9" s="25"/>
      <c r="AN9" s="25"/>
      <c r="AO9" s="26" t="str">
        <f t="shared" si="8"/>
        <v/>
      </c>
      <c r="AP9" s="27" t="str">
        <f t="shared" si="9"/>
        <v/>
      </c>
      <c r="AQ9" s="24">
        <v>235.6</v>
      </c>
      <c r="AR9" s="25"/>
      <c r="AS9" s="25"/>
      <c r="AT9" s="26" t="str">
        <f t="shared" si="10"/>
        <v/>
      </c>
      <c r="AU9" s="27" t="str">
        <f t="shared" si="11"/>
        <v/>
      </c>
      <c r="AV9" s="24">
        <v>221.38</v>
      </c>
      <c r="AW9" s="25"/>
      <c r="AX9" s="25"/>
      <c r="AY9" s="26" t="str">
        <f t="shared" si="12"/>
        <v/>
      </c>
      <c r="AZ9" s="27" t="str">
        <f t="shared" si="13"/>
        <v/>
      </c>
      <c r="BA9" s="24">
        <v>144.59</v>
      </c>
      <c r="BB9" s="25"/>
      <c r="BC9" s="25"/>
      <c r="BD9" s="26" t="str">
        <f t="shared" si="14"/>
        <v/>
      </c>
      <c r="BE9" s="27" t="str">
        <f t="shared" si="15"/>
        <v/>
      </c>
      <c r="BF9" s="28">
        <v>72.73</v>
      </c>
      <c r="BG9" s="25"/>
      <c r="BH9" s="25"/>
      <c r="BI9" s="26" t="str">
        <f t="shared" si="16"/>
        <v/>
      </c>
      <c r="BJ9" s="27" t="str">
        <f t="shared" si="17"/>
        <v/>
      </c>
      <c r="BK9" s="28">
        <f>SUM(F9,J9,N9,R9,W9,AB9,AG9,AL9,AQ9,AV9,BA9,BF9)</f>
        <v>2054.3299999999995</v>
      </c>
      <c r="BL9" s="29" t="e">
        <f>IF(COUNTA(#REF!,#REF!,#REF!,S9,X9,AC9,AH9,AM9,AR9,AW9,BB9,BG9)&gt;0,SUM(#REF!,#REF!,#REF!,S9,X9,AC9,AH9,AM9,AR9,AW9,BB9,BG9),"")</f>
        <v>#REF!</v>
      </c>
      <c r="BM9" s="29" t="str">
        <f>IF(COUNTA(G9,K9,O9,T9,Y9,AD9,AI9,AN9,AS9,AX9,BC9,BH9)&gt;0,SUM(G9,K9,O9,T9,Y9,AD9,AI9,AN9,AS9,AX9,BC9,BH9),"")</f>
        <v/>
      </c>
      <c r="BN9" s="26" t="str">
        <f t="shared" si="18"/>
        <v/>
      </c>
      <c r="BO9" s="27" t="str">
        <f t="shared" si="19"/>
        <v/>
      </c>
    </row>
    <row r="10" spans="1:68" ht="19.5" customHeight="1" x14ac:dyDescent="0.3">
      <c r="A10" s="23" t="s">
        <v>60</v>
      </c>
      <c r="B10" s="21" t="s">
        <v>67</v>
      </c>
      <c r="C10" s="22" t="s">
        <v>24</v>
      </c>
      <c r="D10" s="73">
        <v>2818</v>
      </c>
      <c r="E10" s="45">
        <v>0.54180099999999998</v>
      </c>
      <c r="F10" s="24">
        <v>14752.7</v>
      </c>
      <c r="G10" s="25"/>
      <c r="H10" s="26" t="str">
        <f>IF(ISNUMBER(G10),G10-F10,"")</f>
        <v/>
      </c>
      <c r="I10" s="27" t="str">
        <f>IF(AND(ISNUMBER(G10),F10&lt;&gt;0),G10/F10,"")</f>
        <v/>
      </c>
      <c r="J10" s="24">
        <v>14432.17</v>
      </c>
      <c r="K10" s="25"/>
      <c r="L10" s="26" t="str">
        <f>IF(ISNUMBER(K10),K10-J10,"")</f>
        <v/>
      </c>
      <c r="M10" s="27" t="str">
        <f>IF(AND(ISNUMBER(K10),J10&lt;&gt;0),K10/J10,"")</f>
        <v/>
      </c>
      <c r="N10" s="24">
        <v>13746.14</v>
      </c>
      <c r="O10" s="25"/>
      <c r="P10" s="26" t="str">
        <f>IF(ISNUMBER(O10),O10-N10,"")</f>
        <v/>
      </c>
      <c r="Q10" s="27" t="str">
        <f>IF(AND(ISNUMBER(O10),N10&lt;&gt;0),O10/N10,"")</f>
        <v/>
      </c>
      <c r="R10" s="24">
        <v>15710.08</v>
      </c>
      <c r="S10" s="25"/>
      <c r="T10" s="25"/>
      <c r="U10" s="26" t="str">
        <f t="shared" si="0"/>
        <v/>
      </c>
      <c r="V10" s="27" t="str">
        <f t="shared" si="1"/>
        <v/>
      </c>
      <c r="W10" s="24">
        <v>17024.25</v>
      </c>
      <c r="X10" s="25"/>
      <c r="Y10" s="25"/>
      <c r="Z10" s="26" t="str">
        <f t="shared" si="2"/>
        <v/>
      </c>
      <c r="AA10" s="27" t="str">
        <f t="shared" si="3"/>
        <v/>
      </c>
      <c r="AB10" s="24">
        <v>18556.3</v>
      </c>
      <c r="AC10" s="25"/>
      <c r="AD10" s="25"/>
      <c r="AE10" s="26" t="str">
        <f t="shared" si="4"/>
        <v/>
      </c>
      <c r="AF10" s="27" t="str">
        <f t="shared" si="5"/>
        <v/>
      </c>
      <c r="AG10" s="24">
        <v>21947.86</v>
      </c>
      <c r="AH10" s="25"/>
      <c r="AI10" s="25"/>
      <c r="AJ10" s="26" t="str">
        <f t="shared" si="6"/>
        <v/>
      </c>
      <c r="AK10" s="27" t="str">
        <f t="shared" si="7"/>
        <v/>
      </c>
      <c r="AL10" s="24">
        <v>21826.71</v>
      </c>
      <c r="AM10" s="25"/>
      <c r="AN10" s="25"/>
      <c r="AO10" s="26" t="str">
        <f t="shared" si="8"/>
        <v/>
      </c>
      <c r="AP10" s="27" t="str">
        <f t="shared" si="9"/>
        <v/>
      </c>
      <c r="AQ10" s="24">
        <v>23558.82</v>
      </c>
      <c r="AR10" s="25"/>
      <c r="AS10" s="25"/>
      <c r="AT10" s="26" t="str">
        <f t="shared" si="10"/>
        <v/>
      </c>
      <c r="AU10" s="27" t="str">
        <f t="shared" si="11"/>
        <v/>
      </c>
      <c r="AV10" s="24">
        <v>22137</v>
      </c>
      <c r="AW10" s="25"/>
      <c r="AX10" s="25"/>
      <c r="AY10" s="26" t="str">
        <f t="shared" si="12"/>
        <v/>
      </c>
      <c r="AZ10" s="27" t="str">
        <f t="shared" si="13"/>
        <v/>
      </c>
      <c r="BA10" s="24">
        <v>14458.32</v>
      </c>
      <c r="BB10" s="25"/>
      <c r="BC10" s="25"/>
      <c r="BD10" s="26" t="str">
        <f t="shared" si="14"/>
        <v/>
      </c>
      <c r="BE10" s="27" t="str">
        <f t="shared" si="15"/>
        <v/>
      </c>
      <c r="BF10" s="24">
        <v>7272.3</v>
      </c>
      <c r="BG10" s="25"/>
      <c r="BH10" s="25"/>
      <c r="BI10" s="26" t="str">
        <f t="shared" si="16"/>
        <v/>
      </c>
      <c r="BJ10" s="27" t="str">
        <f t="shared" si="17"/>
        <v/>
      </c>
      <c r="BK10" s="28">
        <f>SUM(F10,J10,N10,R10,W10,AB10,AG10,AL10,AQ10,AV10,BA10,BF10)</f>
        <v>205422.65</v>
      </c>
      <c r="BL10" s="29" t="e">
        <f>IF(COUNTA(#REF!,#REF!,#REF!,S10,X10,AC10,AH10,AM10,AR10,AW10,BB10,BG10)&gt;0,SUM(#REF!,#REF!,#REF!,S10,X10,AC10,AH10,AM10,AR10,AW10,BB10,BG10),"")</f>
        <v>#REF!</v>
      </c>
      <c r="BM10" s="29" t="str">
        <f>IF(COUNTA(G10,K10,O10,T10,Y10,AD10,AI10,AN10,AS10,AX10,BC10,BH10)&gt;0,SUM(G10,K10,O10,T10,Y10,AD10,AI10,AN10,AS10,AX10,BC10,BH10),"")</f>
        <v/>
      </c>
      <c r="BN10" s="26" t="str">
        <f t="shared" si="18"/>
        <v/>
      </c>
      <c r="BO10" s="27" t="str">
        <f t="shared" si="19"/>
        <v/>
      </c>
    </row>
    <row r="11" spans="1:68" ht="19.5" customHeight="1" x14ac:dyDescent="0.3">
      <c r="A11" s="23" t="s">
        <v>60</v>
      </c>
      <c r="B11" s="21" t="s">
        <v>68</v>
      </c>
      <c r="C11" s="22" t="s">
        <v>24</v>
      </c>
      <c r="D11" s="73">
        <v>6295</v>
      </c>
      <c r="E11" s="45">
        <v>0.23755100000000001</v>
      </c>
      <c r="F11" s="24">
        <v>6468.29</v>
      </c>
      <c r="G11" s="25"/>
      <c r="H11" s="26" t="str">
        <f>IF(ISNUMBER(G11),G11-F11,"")</f>
        <v/>
      </c>
      <c r="I11" s="27" t="str">
        <f>IF(AND(ISNUMBER(G11),F11&lt;&gt;0),G11/F11,"")</f>
        <v/>
      </c>
      <c r="J11" s="24">
        <v>6327.76</v>
      </c>
      <c r="K11" s="25"/>
      <c r="L11" s="26" t="str">
        <f>IF(ISNUMBER(K11),K11-J11,"")</f>
        <v/>
      </c>
      <c r="M11" s="27" t="str">
        <f>IF(AND(ISNUMBER(K11),J11&lt;&gt;0),K11/J11,"")</f>
        <v/>
      </c>
      <c r="N11" s="24">
        <v>6026.97</v>
      </c>
      <c r="O11" s="25"/>
      <c r="P11" s="26" t="str">
        <f>IF(ISNUMBER(O11),O11-N11,"")</f>
        <v/>
      </c>
      <c r="Q11" s="27" t="str">
        <f>IF(AND(ISNUMBER(O11),N11&lt;&gt;0),O11/N11,"")</f>
        <v/>
      </c>
      <c r="R11" s="24">
        <v>6888.05</v>
      </c>
      <c r="S11" s="25"/>
      <c r="T11" s="25"/>
      <c r="U11" s="26" t="str">
        <f t="shared" si="0"/>
        <v/>
      </c>
      <c r="V11" s="27" t="str">
        <f t="shared" si="1"/>
        <v/>
      </c>
      <c r="W11" s="24">
        <v>7464.25</v>
      </c>
      <c r="X11" s="25"/>
      <c r="Y11" s="25"/>
      <c r="Z11" s="26" t="str">
        <f t="shared" si="2"/>
        <v/>
      </c>
      <c r="AA11" s="27" t="str">
        <f t="shared" si="3"/>
        <v/>
      </c>
      <c r="AB11" s="24">
        <v>8135.97</v>
      </c>
      <c r="AC11" s="25"/>
      <c r="AD11" s="25"/>
      <c r="AE11" s="26" t="str">
        <f t="shared" si="4"/>
        <v/>
      </c>
      <c r="AF11" s="27" t="str">
        <f t="shared" si="5"/>
        <v/>
      </c>
      <c r="AG11" s="24">
        <v>9623</v>
      </c>
      <c r="AH11" s="25"/>
      <c r="AI11" s="25"/>
      <c r="AJ11" s="26" t="str">
        <f t="shared" si="6"/>
        <v/>
      </c>
      <c r="AK11" s="27" t="str">
        <f t="shared" si="7"/>
        <v/>
      </c>
      <c r="AL11" s="24">
        <v>9569.8799999999992</v>
      </c>
      <c r="AM11" s="25"/>
      <c r="AN11" s="25"/>
      <c r="AO11" s="26" t="str">
        <f t="shared" si="8"/>
        <v/>
      </c>
      <c r="AP11" s="27" t="str">
        <f t="shared" si="9"/>
        <v/>
      </c>
      <c r="AQ11" s="24">
        <v>10329.32</v>
      </c>
      <c r="AR11" s="25"/>
      <c r="AS11" s="25"/>
      <c r="AT11" s="26" t="str">
        <f t="shared" si="10"/>
        <v/>
      </c>
      <c r="AU11" s="27" t="str">
        <f t="shared" si="11"/>
        <v/>
      </c>
      <c r="AV11" s="24">
        <v>9705.92</v>
      </c>
      <c r="AW11" s="25"/>
      <c r="AX11" s="25"/>
      <c r="AY11" s="26" t="str">
        <f t="shared" si="12"/>
        <v/>
      </c>
      <c r="AZ11" s="27" t="str">
        <f t="shared" si="13"/>
        <v/>
      </c>
      <c r="BA11" s="24">
        <v>6339.22</v>
      </c>
      <c r="BB11" s="25"/>
      <c r="BC11" s="25"/>
      <c r="BD11" s="26" t="str">
        <f t="shared" si="14"/>
        <v/>
      </c>
      <c r="BE11" s="27" t="str">
        <f t="shared" si="15"/>
        <v/>
      </c>
      <c r="BF11" s="24">
        <v>3188.53</v>
      </c>
      <c r="BG11" s="25"/>
      <c r="BH11" s="25"/>
      <c r="BI11" s="26" t="str">
        <f t="shared" si="16"/>
        <v/>
      </c>
      <c r="BJ11" s="27" t="str">
        <f t="shared" si="17"/>
        <v/>
      </c>
      <c r="BK11" s="28">
        <f>SUM(F11,J11,N11,R11,W11,AB11,AG11,AL11,AQ11,AV11,BA11,BF11)</f>
        <v>90067.159999999989</v>
      </c>
      <c r="BL11" s="29" t="e">
        <f>IF(COUNTA(#REF!,#REF!,#REF!,S11,X11,AC11,AH11,AM11,AR11,AW11,BB11,BG11)&gt;0,SUM(#REF!,#REF!,#REF!,S11,X11,AC11,AH11,AM11,AR11,AW11,BB11,BG11),"")</f>
        <v>#REF!</v>
      </c>
      <c r="BM11" s="29" t="str">
        <f>IF(COUNTA(G11,K11,O11,T11,Y11,AD11,AI11,AN11,AS11,AX11,BC11,BH11)&gt;0,SUM(G11,K11,O11,T11,Y11,AD11,AI11,AN11,AS11,AX11,BC11,BH11),"")</f>
        <v/>
      </c>
      <c r="BN11" s="26" t="str">
        <f t="shared" si="18"/>
        <v/>
      </c>
      <c r="BO11" s="27" t="str">
        <f t="shared" si="19"/>
        <v/>
      </c>
    </row>
    <row r="12" spans="1:68" ht="19.5" customHeight="1" x14ac:dyDescent="0.3">
      <c r="A12" s="23" t="s">
        <v>60</v>
      </c>
      <c r="B12" s="21" t="s">
        <v>69</v>
      </c>
      <c r="C12" s="22" t="s">
        <v>24</v>
      </c>
      <c r="D12" s="73">
        <v>1298</v>
      </c>
      <c r="E12" s="45">
        <v>7.3000000000000001E-3</v>
      </c>
      <c r="F12" s="24">
        <v>198.76</v>
      </c>
      <c r="G12" s="25"/>
      <c r="H12" s="26" t="str">
        <f>IF(ISNUMBER(G12),G12-F12,"")</f>
        <v/>
      </c>
      <c r="I12" s="27" t="str">
        <f>IF(AND(ISNUMBER(G12),F12&lt;&gt;0),G12/F12,"")</f>
        <v/>
      </c>
      <c r="J12" s="24">
        <v>194.44</v>
      </c>
      <c r="K12" s="25"/>
      <c r="L12" s="26" t="str">
        <f>IF(ISNUMBER(K12),K12-J12,"")</f>
        <v/>
      </c>
      <c r="M12" s="27" t="str">
        <f>IF(AND(ISNUMBER(K12),J12&lt;&gt;0),K12/J12,"")</f>
        <v/>
      </c>
      <c r="N12" s="24">
        <v>185.2</v>
      </c>
      <c r="O12" s="25"/>
      <c r="P12" s="26" t="str">
        <f>IF(ISNUMBER(O12),O12-N12,"")</f>
        <v/>
      </c>
      <c r="Q12" s="27" t="str">
        <f>IF(AND(ISNUMBER(O12),N12&lt;&gt;0),O12/N12,"")</f>
        <v/>
      </c>
      <c r="R12" s="24">
        <v>211.66</v>
      </c>
      <c r="S12" s="25"/>
      <c r="T12" s="25"/>
      <c r="U12" s="26" t="str">
        <f t="shared" si="0"/>
        <v/>
      </c>
      <c r="V12" s="27" t="str">
        <f t="shared" si="1"/>
        <v/>
      </c>
      <c r="W12" s="24">
        <v>229.36</v>
      </c>
      <c r="X12" s="25"/>
      <c r="Y12" s="25"/>
      <c r="Z12" s="26" t="str">
        <f t="shared" si="2"/>
        <v/>
      </c>
      <c r="AA12" s="27" t="str">
        <f t="shared" si="3"/>
        <v/>
      </c>
      <c r="AB12" s="24">
        <v>250</v>
      </c>
      <c r="AC12" s="25"/>
      <c r="AD12" s="25"/>
      <c r="AE12" s="26" t="str">
        <f t="shared" si="4"/>
        <v/>
      </c>
      <c r="AF12" s="27" t="str">
        <f t="shared" si="5"/>
        <v/>
      </c>
      <c r="AG12" s="24">
        <v>295.7</v>
      </c>
      <c r="AH12" s="25"/>
      <c r="AI12" s="25"/>
      <c r="AJ12" s="26" t="str">
        <f t="shared" si="6"/>
        <v/>
      </c>
      <c r="AK12" s="27" t="str">
        <f t="shared" si="7"/>
        <v/>
      </c>
      <c r="AL12" s="24">
        <v>294.06</v>
      </c>
      <c r="AM12" s="25"/>
      <c r="AN12" s="25"/>
      <c r="AO12" s="26" t="str">
        <f t="shared" si="8"/>
        <v/>
      </c>
      <c r="AP12" s="27" t="str">
        <f t="shared" si="9"/>
        <v/>
      </c>
      <c r="AQ12" s="24">
        <v>317.39999999999998</v>
      </c>
      <c r="AR12" s="25"/>
      <c r="AS12" s="25"/>
      <c r="AT12" s="26" t="str">
        <f t="shared" si="10"/>
        <v/>
      </c>
      <c r="AU12" s="27" t="str">
        <f t="shared" si="11"/>
        <v/>
      </c>
      <c r="AV12" s="24">
        <v>298.24</v>
      </c>
      <c r="AW12" s="25"/>
      <c r="AX12" s="25"/>
      <c r="AY12" s="26" t="str">
        <f t="shared" si="12"/>
        <v/>
      </c>
      <c r="AZ12" s="27" t="str">
        <f t="shared" si="13"/>
        <v/>
      </c>
      <c r="BA12" s="24">
        <v>194.79</v>
      </c>
      <c r="BB12" s="25"/>
      <c r="BC12" s="25"/>
      <c r="BD12" s="26" t="str">
        <f t="shared" si="14"/>
        <v/>
      </c>
      <c r="BE12" s="27" t="str">
        <f t="shared" si="15"/>
        <v/>
      </c>
      <c r="BF12" s="28">
        <v>97.98</v>
      </c>
      <c r="BG12" s="25"/>
      <c r="BH12" s="25"/>
      <c r="BI12" s="26" t="str">
        <f t="shared" si="16"/>
        <v/>
      </c>
      <c r="BJ12" s="27" t="str">
        <f t="shared" si="17"/>
        <v/>
      </c>
      <c r="BK12" s="28">
        <f>SUM(F12,J12,N12,R12,W12,AB12,AG12,AL12,AQ12,AV12,BA12,BF12)</f>
        <v>2767.5899999999997</v>
      </c>
      <c r="BL12" s="29" t="e">
        <f>IF(COUNTA(#REF!,#REF!,#REF!,S12,X12,AC12,AH12,AM12,AR12,AW12,BB12,BG12)&gt;0,SUM(#REF!,#REF!,#REF!,S12,X12,AC12,AH12,AM12,AR12,AW12,BB12,BG12),"")</f>
        <v>#REF!</v>
      </c>
      <c r="BM12" s="29" t="str">
        <f>IF(COUNTA(G12,K12,O12,T12,Y12,AD12,AI12,AN12,AS12,AX12,BC12,BH12)&gt;0,SUM(G12,K12,O12,T12,Y12,AD12,AI12,AN12,AS12,AX12,BC12,BH12),"")</f>
        <v/>
      </c>
      <c r="BN12" s="26" t="str">
        <f t="shared" si="18"/>
        <v/>
      </c>
      <c r="BO12" s="27" t="str">
        <f t="shared" si="19"/>
        <v/>
      </c>
    </row>
    <row r="13" spans="1:68" ht="21.75" customHeight="1" x14ac:dyDescent="0.3">
      <c r="A13" s="67" t="s">
        <v>160</v>
      </c>
      <c r="B13" s="10"/>
      <c r="C13" s="10"/>
      <c r="D13" s="10"/>
      <c r="E13" s="10"/>
      <c r="F13" s="46">
        <v>24707</v>
      </c>
      <c r="G13" s="46">
        <v>27229</v>
      </c>
      <c r="H13" s="26">
        <f>IF(ISNUMBER(G13),G13-F13,"")</f>
        <v>2522</v>
      </c>
      <c r="I13" s="27">
        <f>IF(AND(ISNUMBER(G13),F13&lt;&gt;0),G13/F13,"")</f>
        <v>1.1020763346420044</v>
      </c>
      <c r="J13" s="46">
        <v>26638</v>
      </c>
      <c r="K13" s="46">
        <v>26145</v>
      </c>
      <c r="L13" s="26">
        <f>IF(ISNUMBER(K13),K13-J13,"")</f>
        <v>-493</v>
      </c>
      <c r="M13" s="27">
        <f>IF(AND(ISNUMBER(K13),J13&lt;&gt;0),K13/J13,"")</f>
        <v>0.98149260454989118</v>
      </c>
      <c r="N13" s="46">
        <v>25372</v>
      </c>
      <c r="O13" s="46">
        <v>30552</v>
      </c>
      <c r="P13" s="26">
        <f>IF(ISNUMBER(O13),O13-N13,"")</f>
        <v>5180</v>
      </c>
      <c r="Q13" s="27">
        <f>IF(AND(ISNUMBER(O13),N13&lt;&gt;0),O13/N13,"")</f>
        <v>1.2041620684218823</v>
      </c>
      <c r="R13" s="46"/>
      <c r="S13" s="46"/>
      <c r="T13" s="46"/>
      <c r="U13" s="46"/>
      <c r="V13" s="37"/>
      <c r="W13" s="46"/>
      <c r="X13" s="46"/>
      <c r="Y13" s="46"/>
      <c r="Z13" s="46"/>
      <c r="AA13" s="37"/>
      <c r="AB13" s="46"/>
      <c r="AC13" s="46"/>
      <c r="AD13" s="46"/>
      <c r="AE13" s="46"/>
      <c r="AF13" s="37"/>
      <c r="AG13" s="46"/>
      <c r="AH13" s="46"/>
      <c r="AI13" s="46"/>
      <c r="AJ13" s="46"/>
      <c r="AK13" s="37"/>
      <c r="AL13" s="46"/>
      <c r="AM13" s="46"/>
      <c r="AN13" s="46"/>
      <c r="AO13" s="46"/>
      <c r="AP13" s="37"/>
      <c r="AQ13" s="46"/>
      <c r="AR13" s="46"/>
      <c r="AS13" s="46"/>
      <c r="AT13" s="46"/>
      <c r="AU13" s="37"/>
      <c r="AV13" s="46"/>
      <c r="AW13" s="46"/>
      <c r="AX13" s="46"/>
      <c r="AY13" s="46"/>
      <c r="AZ13" s="37"/>
      <c r="BA13" s="46"/>
      <c r="BB13" s="46"/>
      <c r="BC13" s="46"/>
      <c r="BD13" s="46"/>
      <c r="BE13" s="37"/>
      <c r="BF13" s="46"/>
      <c r="BG13" s="46"/>
      <c r="BH13" s="46"/>
      <c r="BI13" s="46"/>
      <c r="BJ13" s="37"/>
      <c r="BK13" s="46"/>
      <c r="BL13" s="46"/>
      <c r="BM13" s="46"/>
      <c r="BN13" s="46"/>
      <c r="BO13" s="46"/>
    </row>
    <row r="14" spans="1:68" ht="24" x14ac:dyDescent="0.3">
      <c r="A14" s="44" t="s">
        <v>56</v>
      </c>
      <c r="B14" s="44" t="s">
        <v>57</v>
      </c>
      <c r="C14" s="44" t="s">
        <v>4</v>
      </c>
      <c r="D14" s="72" t="s">
        <v>161</v>
      </c>
      <c r="E14" s="44" t="s">
        <v>58</v>
      </c>
      <c r="F14" s="17" t="s">
        <v>19</v>
      </c>
      <c r="G14" s="18" t="s">
        <v>20</v>
      </c>
      <c r="H14" s="19" t="s">
        <v>21</v>
      </c>
      <c r="I14" s="19" t="s">
        <v>22</v>
      </c>
    </row>
    <row r="15" spans="1:68" x14ac:dyDescent="0.3">
      <c r="A15" s="23" t="s">
        <v>60</v>
      </c>
      <c r="B15" s="21" t="s">
        <v>61</v>
      </c>
      <c r="C15" s="66" t="s">
        <v>162</v>
      </c>
      <c r="D15" s="73">
        <v>1650</v>
      </c>
      <c r="E15" s="45">
        <v>1.3584000000000001E-2</v>
      </c>
      <c r="F15" s="24">
        <v>369.87</v>
      </c>
      <c r="G15" s="25">
        <f>(F15/F13)*D15</f>
        <v>24.700914720524548</v>
      </c>
      <c r="H15" s="26">
        <f>IF(ISNUMBER(G15),G15-F15,"")</f>
        <v>-345.16908527947544</v>
      </c>
      <c r="I15" s="27">
        <f>IF(AND(ISNUMBER(G15),F15&lt;&gt;0),G15/F15,"")</f>
        <v>6.6782693163880677E-2</v>
      </c>
    </row>
    <row r="16" spans="1:68" x14ac:dyDescent="0.3">
      <c r="A16" s="23" t="s">
        <v>60</v>
      </c>
      <c r="B16" s="21" t="s">
        <v>62</v>
      </c>
      <c r="C16" s="66" t="s">
        <v>162</v>
      </c>
      <c r="D16" s="73">
        <v>4200</v>
      </c>
      <c r="E16" s="45">
        <v>1.1919999999999999E-3</v>
      </c>
      <c r="F16" s="28">
        <v>32.450000000000003</v>
      </c>
      <c r="G16" s="25"/>
      <c r="H16" s="26" t="str">
        <f>IF(ISNUMBER(G16),G16-F16,"")</f>
        <v/>
      </c>
      <c r="I16" s="27" t="str">
        <f>IF(AND(ISNUMBER(G16),F16&lt;&gt;0),G16/F16,"")</f>
        <v/>
      </c>
    </row>
    <row r="17" spans="1:67" x14ac:dyDescent="0.3">
      <c r="A17" s="23" t="s">
        <v>60</v>
      </c>
      <c r="B17" s="21" t="s">
        <v>63</v>
      </c>
      <c r="C17" s="66" t="s">
        <v>162</v>
      </c>
      <c r="D17" s="73">
        <v>180000</v>
      </c>
      <c r="E17" s="45">
        <v>1.8099999999999999E-5</v>
      </c>
      <c r="F17" s="28">
        <v>0.49</v>
      </c>
      <c r="G17" s="25"/>
      <c r="H17" s="26" t="str">
        <f>IF(ISNUMBER(G17),G17-F17,"")</f>
        <v/>
      </c>
      <c r="I17" s="27" t="str">
        <f>IF(AND(ISNUMBER(G17),F17&lt;&gt;0),G17/F17,"")</f>
        <v/>
      </c>
    </row>
    <row r="18" spans="1:67" x14ac:dyDescent="0.3">
      <c r="A18" s="23" t="s">
        <v>60</v>
      </c>
      <c r="B18" s="21" t="s">
        <v>64</v>
      </c>
      <c r="C18" s="66" t="s">
        <v>162</v>
      </c>
      <c r="D18" s="73">
        <v>830</v>
      </c>
      <c r="E18" s="45">
        <v>0.30804100000000001</v>
      </c>
      <c r="F18" s="24">
        <v>8387.64</v>
      </c>
      <c r="G18" s="25"/>
      <c r="H18" s="26" t="str">
        <f>IF(ISNUMBER(G18),G18-F18,"")</f>
        <v/>
      </c>
      <c r="I18" s="27" t="str">
        <f>IF(AND(ISNUMBER(G18),F18&lt;&gt;0),G18/F18,"")</f>
        <v/>
      </c>
    </row>
    <row r="19" spans="1:67" x14ac:dyDescent="0.3">
      <c r="A19" s="23" t="s">
        <v>60</v>
      </c>
      <c r="B19" s="21" t="s">
        <v>65</v>
      </c>
      <c r="C19" s="66" t="s">
        <v>162</v>
      </c>
      <c r="D19" s="73">
        <v>22050</v>
      </c>
      <c r="E19" s="45">
        <v>9.1310000000000002E-3</v>
      </c>
      <c r="F19" s="24">
        <v>248.62</v>
      </c>
      <c r="G19" s="25"/>
      <c r="H19" s="26" t="str">
        <f>IF(ISNUMBER(G19),G19-F19,"")</f>
        <v/>
      </c>
      <c r="I19" s="27" t="str">
        <f>IF(AND(ISNUMBER(G19),F19&lt;&gt;0),G19/F19,"")</f>
        <v/>
      </c>
    </row>
    <row r="20" spans="1:67" x14ac:dyDescent="0.3">
      <c r="A20" s="23" t="s">
        <v>60</v>
      </c>
      <c r="B20" s="21" t="s">
        <v>66</v>
      </c>
      <c r="C20" s="66" t="s">
        <v>162</v>
      </c>
      <c r="D20" s="73">
        <v>19050</v>
      </c>
      <c r="E20" s="45">
        <v>5.4180000000000001E-3</v>
      </c>
      <c r="F20" s="24">
        <v>147.53</v>
      </c>
      <c r="G20" s="25"/>
      <c r="H20" s="26" t="str">
        <f>IF(ISNUMBER(G20),G20-F20,"")</f>
        <v/>
      </c>
      <c r="I20" s="27" t="str">
        <f>IF(AND(ISNUMBER(G20),F20&lt;&gt;0),G20/F20,"")</f>
        <v/>
      </c>
    </row>
    <row r="21" spans="1:67" x14ac:dyDescent="0.3">
      <c r="A21" s="23" t="s">
        <v>60</v>
      </c>
      <c r="B21" s="21" t="s">
        <v>67</v>
      </c>
      <c r="C21" s="66" t="s">
        <v>162</v>
      </c>
      <c r="D21" s="73">
        <v>2818</v>
      </c>
      <c r="E21" s="45">
        <v>0.54180099999999998</v>
      </c>
      <c r="F21" s="24">
        <v>14752.7</v>
      </c>
      <c r="G21" s="25"/>
      <c r="H21" s="26" t="str">
        <f>IF(ISNUMBER(G21),G21-F21,"")</f>
        <v/>
      </c>
      <c r="I21" s="27" t="str">
        <f>IF(AND(ISNUMBER(G21),F21&lt;&gt;0),G21/F21,"")</f>
        <v/>
      </c>
    </row>
    <row r="22" spans="1:67" x14ac:dyDescent="0.3">
      <c r="A22" s="23" t="s">
        <v>60</v>
      </c>
      <c r="B22" s="21" t="s">
        <v>68</v>
      </c>
      <c r="C22" s="66" t="s">
        <v>162</v>
      </c>
      <c r="D22" s="73">
        <v>6295</v>
      </c>
      <c r="E22" s="45">
        <v>0.23755100000000001</v>
      </c>
      <c r="F22" s="24">
        <v>6468.29</v>
      </c>
      <c r="G22" s="25"/>
      <c r="H22" s="26" t="str">
        <f>IF(ISNUMBER(G22),G22-F22,"")</f>
        <v/>
      </c>
      <c r="I22" s="27" t="str">
        <f>IF(AND(ISNUMBER(G22),F22&lt;&gt;0),G22/F22,"")</f>
        <v/>
      </c>
    </row>
    <row r="23" spans="1:67" x14ac:dyDescent="0.3">
      <c r="A23" s="23" t="s">
        <v>60</v>
      </c>
      <c r="B23" s="21" t="s">
        <v>69</v>
      </c>
      <c r="C23" s="66" t="s">
        <v>162</v>
      </c>
      <c r="D23" s="73">
        <v>1298</v>
      </c>
      <c r="E23" s="45">
        <v>7.3000000000000001E-3</v>
      </c>
      <c r="F23" s="24">
        <v>198.76</v>
      </c>
      <c r="G23" s="25"/>
      <c r="H23" s="26" t="str">
        <f>IF(ISNUMBER(G23),G23-F23,"")</f>
        <v/>
      </c>
      <c r="I23" s="27" t="str">
        <f>IF(AND(ISNUMBER(G23),F23&lt;&gt;0),G23/F23,"")</f>
        <v/>
      </c>
    </row>
    <row r="24" spans="1:67" ht="21.75" customHeight="1" x14ac:dyDescent="0.3">
      <c r="A24" s="10" t="s">
        <v>72</v>
      </c>
      <c r="B24" s="10"/>
      <c r="C24" s="10"/>
      <c r="D24" s="10"/>
      <c r="E24" s="10"/>
      <c r="F24" s="52" t="str">
        <f>IF(F25&lt;&gt;"",F25/27229,"")</f>
        <v/>
      </c>
      <c r="G24" s="43"/>
      <c r="H24" s="42"/>
      <c r="I24" s="42"/>
      <c r="J24" s="52" t="str">
        <f>IF(J25&lt;&gt;"",J25/26637.42,"")</f>
        <v/>
      </c>
      <c r="K24" s="43" t="e">
        <f>IF(AND(ISNUMBER(K25),#REF!&lt;&gt;0),K25/#REF!,"")</f>
        <v>#REF!</v>
      </c>
      <c r="L24" s="42"/>
      <c r="M24" s="42"/>
      <c r="N24" s="52" t="str">
        <f>IF(N25&lt;&gt;"",N25/25371.21,"")</f>
        <v/>
      </c>
      <c r="O24" s="43" t="e">
        <f>IF(AND(ISNUMBER(O25),#REF!&lt;&gt;0),O25/#REF!,"")</f>
        <v>#REF!</v>
      </c>
      <c r="P24" s="42"/>
      <c r="Q24" s="42"/>
      <c r="R24" s="52" t="str">
        <f>IF(R25&lt;&gt;"",R25/28996.04,"")</f>
        <v/>
      </c>
      <c r="S24" s="42"/>
      <c r="T24" s="43" t="e">
        <f>IF(AND(ISNUMBER(T25),#REF!&lt;&gt;0),T25/#REF!,"")</f>
        <v>#REF!</v>
      </c>
      <c r="U24" s="42"/>
      <c r="V24" s="42"/>
      <c r="W24" s="52" t="str">
        <f>IF(W25&lt;&gt;"",W25/31421.6,"")</f>
        <v/>
      </c>
      <c r="X24" s="42"/>
      <c r="Y24" s="43" t="e">
        <f>IF(AND(ISNUMBER(Y25),#REF!&lt;&gt;0),Y25/#REF!,"")</f>
        <v>#REF!</v>
      </c>
      <c r="Z24" s="42"/>
      <c r="AA24" s="42"/>
      <c r="AB24" s="52" t="str">
        <f>IF(AB25&lt;&gt;"",AB25/34249.3,"")</f>
        <v/>
      </c>
      <c r="AC24" s="42"/>
      <c r="AD24" s="43" t="e">
        <f>IF(AND(ISNUMBER(AD25),#REF!&lt;&gt;0),AD25/#REF!,"")</f>
        <v>#REF!</v>
      </c>
      <c r="AE24" s="42"/>
      <c r="AF24" s="42"/>
      <c r="AG24" s="52" t="str">
        <f>IF(AG25&lt;&gt;"",AG25/40509.09,"")</f>
        <v/>
      </c>
      <c r="AH24" s="42"/>
      <c r="AI24" s="43" t="e">
        <f>IF(AND(ISNUMBER(AI25),#REF!&lt;&gt;0),AI25/#REF!,"")</f>
        <v>#REF!</v>
      </c>
      <c r="AJ24" s="42"/>
      <c r="AK24" s="42"/>
      <c r="AL24" s="52" t="str">
        <f>IF(AL25&lt;&gt;"",AL25/40285.49,"")</f>
        <v/>
      </c>
      <c r="AM24" s="42"/>
      <c r="AN24" s="43" t="e">
        <f>IF(AND(ISNUMBER(AN25),#REF!&lt;&gt;0),AN25/#REF!,"")</f>
        <v>#REF!</v>
      </c>
      <c r="AO24" s="42"/>
      <c r="AP24" s="42"/>
      <c r="AQ24" s="52" t="str">
        <f>IF(AQ25&lt;&gt;"",AQ25/43482.44,"")</f>
        <v/>
      </c>
      <c r="AR24" s="42"/>
      <c r="AS24" s="43" t="e">
        <f>IF(AND(ISNUMBER(AS25),#REF!&lt;&gt;0),AS25/#REF!,"")</f>
        <v>#REF!</v>
      </c>
      <c r="AT24" s="42"/>
      <c r="AU24" s="42"/>
      <c r="AV24" s="52" t="str">
        <f>IF(AV25&lt;&gt;"",AV25/40858.19,"")</f>
        <v/>
      </c>
      <c r="AW24" s="42"/>
      <c r="AX24" s="43" t="e">
        <f>IF(AND(ISNUMBER(AX25),#REF!&lt;&gt;0),AX25/#REF!,"")</f>
        <v>#REF!</v>
      </c>
      <c r="AY24" s="42"/>
      <c r="AZ24" s="42"/>
      <c r="BA24" s="52" t="str">
        <f>IF(BA25&lt;&gt;"",BA25/26685.68,"")</f>
        <v/>
      </c>
      <c r="BB24" s="42"/>
      <c r="BC24" s="43" t="e">
        <f>IF(AND(ISNUMBER(BC25),#REF!&lt;&gt;0),BC25/#REF!,"")</f>
        <v>#REF!</v>
      </c>
      <c r="BD24" s="42"/>
      <c r="BE24" s="42"/>
      <c r="BF24" s="52" t="str">
        <f>IF(BF25&lt;&gt;"",BF25/13422.47,"")</f>
        <v/>
      </c>
      <c r="BG24" s="42"/>
      <c r="BH24" s="43" t="e">
        <f>IF(AND(ISNUMBER(BH25),#REF!&lt;&gt;0),BH25/#REF!,"")</f>
        <v>#REF!</v>
      </c>
      <c r="BI24" s="42"/>
      <c r="BJ24" s="42"/>
      <c r="BK24" s="6" t="s">
        <v>73</v>
      </c>
      <c r="BL24" s="6"/>
      <c r="BM24" s="6"/>
      <c r="BN24" s="6"/>
      <c r="BO24" s="6"/>
    </row>
    <row r="25" spans="1:67" ht="21.75" customHeight="1" x14ac:dyDescent="0.3">
      <c r="A25" s="10" t="s">
        <v>71</v>
      </c>
      <c r="B25" s="10"/>
      <c r="C25" s="10"/>
      <c r="D25" s="10"/>
      <c r="E25" s="10"/>
      <c r="F25" s="40"/>
      <c r="G25" s="41"/>
      <c r="H25" s="43" t="str">
        <f>IF(ISNUMBER(G25),G25-F25,"")</f>
        <v/>
      </c>
      <c r="I25" s="27" t="str">
        <f>IF(AND(ISNUMBER(G25),F25&lt;&gt;0),G25/F25,"")</f>
        <v/>
      </c>
      <c r="J25" s="40"/>
      <c r="K25" s="41"/>
      <c r="L25" s="43" t="str">
        <f>IF(ISNUMBER(K25),K25-J25,"")</f>
        <v/>
      </c>
      <c r="M25" s="27" t="str">
        <f>IF(AND(ISNUMBER(K25),J25&lt;&gt;0),K25/J25,"")</f>
        <v/>
      </c>
      <c r="N25" s="40"/>
      <c r="O25" s="41"/>
      <c r="P25" s="43" t="str">
        <f>IF(ISNUMBER(O25),O25-N25,"")</f>
        <v/>
      </c>
      <c r="Q25" s="27" t="str">
        <f>IF(AND(ISNUMBER(O25),N25&lt;&gt;0),O25/N25,"")</f>
        <v/>
      </c>
      <c r="R25" s="40"/>
      <c r="S25" s="41"/>
      <c r="T25" s="41"/>
      <c r="U25" s="43" t="str">
        <f>IF(ISNUMBER(T25),T25-R25,"")</f>
        <v/>
      </c>
      <c r="V25" s="27" t="str">
        <f>IF(AND(ISNUMBER(T25),R25&lt;&gt;0),T25/R25,"")</f>
        <v/>
      </c>
      <c r="W25" s="40"/>
      <c r="X25" s="41"/>
      <c r="Y25" s="41"/>
      <c r="Z25" s="43" t="str">
        <f>IF(ISNUMBER(Y25),Y25-W25,"")</f>
        <v/>
      </c>
      <c r="AA25" s="27" t="str">
        <f>IF(AND(ISNUMBER(Y25),W25&lt;&gt;0),Y25/W25,"")</f>
        <v/>
      </c>
      <c r="AB25" s="40"/>
      <c r="AC25" s="41"/>
      <c r="AD25" s="41"/>
      <c r="AE25" s="43" t="str">
        <f>IF(ISNUMBER(AD25),AD25-AB25,"")</f>
        <v/>
      </c>
      <c r="AF25" s="27" t="str">
        <f>IF(AND(ISNUMBER(AD25),AB25&lt;&gt;0),AD25/AB25,"")</f>
        <v/>
      </c>
      <c r="AG25" s="40"/>
      <c r="AH25" s="41"/>
      <c r="AI25" s="41"/>
      <c r="AJ25" s="43" t="str">
        <f>IF(ISNUMBER(AI25),AI25-AG25,"")</f>
        <v/>
      </c>
      <c r="AK25" s="27" t="str">
        <f>IF(AND(ISNUMBER(AI25),AG25&lt;&gt;0),AI25/AG25,"")</f>
        <v/>
      </c>
      <c r="AL25" s="40"/>
      <c r="AM25" s="41"/>
      <c r="AN25" s="41"/>
      <c r="AO25" s="43" t="str">
        <f>IF(ISNUMBER(AN25),AN25-AL25,"")</f>
        <v/>
      </c>
      <c r="AP25" s="27" t="str">
        <f>IF(AND(ISNUMBER(AN25),AL25&lt;&gt;0),AN25/AL25,"")</f>
        <v/>
      </c>
      <c r="AQ25" s="40"/>
      <c r="AR25" s="41"/>
      <c r="AS25" s="41"/>
      <c r="AT25" s="43" t="str">
        <f>IF(ISNUMBER(AS25),AS25-AQ25,"")</f>
        <v/>
      </c>
      <c r="AU25" s="27" t="str">
        <f>IF(AND(ISNUMBER(AS25),AQ25&lt;&gt;0),AS25/AQ25,"")</f>
        <v/>
      </c>
      <c r="AV25" s="40"/>
      <c r="AW25" s="41"/>
      <c r="AX25" s="41"/>
      <c r="AY25" s="43" t="str">
        <f>IF(ISNUMBER(AX25),AX25-AV25,"")</f>
        <v/>
      </c>
      <c r="AZ25" s="27" t="str">
        <f>IF(AND(ISNUMBER(AX25),AV25&lt;&gt;0),AX25/AV25,"")</f>
        <v/>
      </c>
      <c r="BA25" s="40"/>
      <c r="BB25" s="41"/>
      <c r="BC25" s="41"/>
      <c r="BD25" s="43" t="str">
        <f>IF(ISNUMBER(BC25),BC25-BA25,"")</f>
        <v/>
      </c>
      <c r="BE25" s="27" t="str">
        <f>IF(AND(ISNUMBER(BC25),BA25&lt;&gt;0),BC25/BA25,"")</f>
        <v/>
      </c>
      <c r="BF25" s="40"/>
      <c r="BG25" s="41"/>
      <c r="BH25" s="41"/>
      <c r="BI25" s="43" t="str">
        <f>IF(ISNUMBER(BH25),BH25-BF25,"")</f>
        <v/>
      </c>
      <c r="BJ25" s="27" t="str">
        <f>IF(AND(ISNUMBER(BH25),BF25&lt;&gt;0),BH25/BF25,"")</f>
        <v/>
      </c>
      <c r="BK25" s="47" t="str">
        <f>IF(COUNTA(F25,J25,N25,R25,W25,AB25,AG25,AL25,AQ25,AV25,BA25,BF25)&gt;0,SUM(F25,J25,N25,R25,W25,AB25,AG25,AL25,AQ25,AV25,BA25,BF25),"")</f>
        <v/>
      </c>
      <c r="BL25" s="48"/>
      <c r="BM25" s="49" t="str">
        <f>IF(COUNTA(G25,K25,O25,T25,Y25,AD25,AI25,AN25,AS25,AX25,BC25,BH25)&gt;0,SUM(G25,K25,O25,T25,Y25,AD25,AI25,AN25,AS25,AX25,BC25,BH25),"")</f>
        <v/>
      </c>
      <c r="BN25" s="50" t="str">
        <f>IF(ISNUMBER(BM25),BM25-BK25,"")</f>
        <v/>
      </c>
      <c r="BO25" s="51" t="str">
        <f>IF(AND(ISNUMBER(BM25),BK25&lt;&gt;0),BM25/BK25,"")</f>
        <v/>
      </c>
    </row>
  </sheetData>
  <mergeCells count="18">
    <mergeCell ref="A25:E25"/>
    <mergeCell ref="A24:E24"/>
    <mergeCell ref="BK24:BO24"/>
    <mergeCell ref="A13:E13"/>
    <mergeCell ref="BA2:BE2"/>
    <mergeCell ref="BF2:BJ2"/>
    <mergeCell ref="BK2:BO2"/>
    <mergeCell ref="AB2:AF2"/>
    <mergeCell ref="AG2:AK2"/>
    <mergeCell ref="AL2:AP2"/>
    <mergeCell ref="AQ2:AU2"/>
    <mergeCell ref="AV2:AZ2"/>
    <mergeCell ref="F2:I2"/>
    <mergeCell ref="J2:M2"/>
    <mergeCell ref="N2:Q2"/>
    <mergeCell ref="R2:V2"/>
    <mergeCell ref="W2:AA2"/>
    <mergeCell ref="A1:BP1"/>
  </mergeCells>
  <phoneticPr fontId="25" type="noConversion"/>
  <conditionalFormatting sqref="V4:V12 AA4:AA12 AF4:AF12 AK4:AK12 AP4:AP12 AU4:AU12 AZ4:AZ12 BE4:BE12 BJ4:BJ12 BO4:BO12 I25 M25 Q25 V25 AA25 AF25 AK25 AP25 AU25 AZ25 BE25 BJ25 BO25 I4:I13 M4:M13 Q4:Q13">
    <cfRule type="cellIs" dxfId="107" priority="4" operator="lessThanOrEqual">
      <formula>1</formula>
    </cfRule>
    <cfRule type="cellIs" dxfId="106" priority="5" operator="greaterThan">
      <formula>1</formula>
    </cfRule>
  </conditionalFormatting>
  <conditionalFormatting sqref="I15:I23">
    <cfRule type="cellIs" dxfId="105" priority="1" operator="lessThanOrEqual">
      <formula>1</formula>
    </cfRule>
    <cfRule type="cellIs" dxfId="104" priority="2" operator="greaterThan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16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H11" sqref="H11"/>
    </sheetView>
  </sheetViews>
  <sheetFormatPr baseColWidth="10" defaultColWidth="8.6640625" defaultRowHeight="14.4" x14ac:dyDescent="0.3"/>
  <cols>
    <col min="1" max="1" width="15" customWidth="1"/>
    <col min="2" max="2" width="36" customWidth="1"/>
    <col min="3" max="3" width="8" customWidth="1"/>
    <col min="4" max="4" width="14" customWidth="1"/>
    <col min="5" max="7" width="12" customWidth="1"/>
    <col min="8" max="8" width="11" customWidth="1"/>
    <col min="9" max="9" width="9" customWidth="1"/>
    <col min="10" max="12" width="12" customWidth="1"/>
    <col min="13" max="13" width="11" customWidth="1"/>
    <col min="14" max="14" width="9" customWidth="1"/>
    <col min="15" max="17" width="12" customWidth="1"/>
    <col min="18" max="18" width="11" customWidth="1"/>
    <col min="19" max="19" width="9" customWidth="1"/>
    <col min="20" max="22" width="12" customWidth="1"/>
    <col min="23" max="23" width="11" customWidth="1"/>
    <col min="24" max="24" width="9" customWidth="1"/>
    <col min="25" max="27" width="12" customWidth="1"/>
    <col min="28" max="28" width="11" customWidth="1"/>
    <col min="29" max="29" width="9" customWidth="1"/>
    <col min="30" max="32" width="12" customWidth="1"/>
    <col min="33" max="33" width="11" customWidth="1"/>
    <col min="34" max="34" width="9" customWidth="1"/>
    <col min="35" max="37" width="12" customWidth="1"/>
    <col min="38" max="38" width="11" customWidth="1"/>
    <col min="39" max="39" width="9" customWidth="1"/>
    <col min="40" max="42" width="12" customWidth="1"/>
    <col min="43" max="43" width="11" customWidth="1"/>
    <col min="44" max="44" width="9" customWidth="1"/>
    <col min="45" max="47" width="12" customWidth="1"/>
    <col min="48" max="48" width="11" customWidth="1"/>
    <col min="49" max="49" width="9" customWidth="1"/>
    <col min="50" max="52" width="12" customWidth="1"/>
    <col min="53" max="53" width="11" customWidth="1"/>
    <col min="54" max="54" width="9" customWidth="1"/>
    <col min="55" max="57" width="12" customWidth="1"/>
    <col min="58" max="58" width="11" customWidth="1"/>
    <col min="59" max="59" width="9" customWidth="1"/>
    <col min="60" max="62" width="12" customWidth="1"/>
    <col min="63" max="63" width="11" customWidth="1"/>
    <col min="64" max="64" width="9" customWidth="1"/>
    <col min="65" max="69" width="13" customWidth="1"/>
  </cols>
  <sheetData>
    <row r="1" spans="1:70" ht="27.75" customHeight="1" x14ac:dyDescent="0.3">
      <c r="A1" s="13" t="s">
        <v>75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</row>
    <row r="2" spans="1:70" ht="18" customHeight="1" x14ac:dyDescent="0.3">
      <c r="A2" s="12" t="s">
        <v>54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</row>
    <row r="3" spans="1:70" ht="18" customHeight="1" x14ac:dyDescent="0.3">
      <c r="A3" s="8" t="s">
        <v>55</v>
      </c>
      <c r="B3" s="8"/>
      <c r="C3" s="8"/>
      <c r="D3" s="8"/>
      <c r="E3" s="8">
        <v>27229</v>
      </c>
      <c r="F3" s="8"/>
      <c r="G3" s="8"/>
      <c r="H3" s="8"/>
      <c r="I3" s="8"/>
      <c r="J3" s="8">
        <v>26637</v>
      </c>
      <c r="K3" s="8"/>
      <c r="L3" s="8"/>
      <c r="M3" s="8"/>
      <c r="N3" s="8"/>
      <c r="O3" s="8">
        <v>25371</v>
      </c>
      <c r="P3" s="8"/>
      <c r="Q3" s="8"/>
      <c r="R3" s="8"/>
      <c r="S3" s="8"/>
      <c r="T3" s="8">
        <v>28996</v>
      </c>
      <c r="U3" s="8"/>
      <c r="V3" s="8"/>
      <c r="W3" s="8"/>
      <c r="X3" s="8"/>
      <c r="Y3" s="8">
        <v>31422</v>
      </c>
      <c r="Z3" s="8"/>
      <c r="AA3" s="8"/>
      <c r="AB3" s="8"/>
      <c r="AC3" s="8"/>
      <c r="AD3" s="8">
        <v>34249</v>
      </c>
      <c r="AE3" s="8"/>
      <c r="AF3" s="8"/>
      <c r="AG3" s="8"/>
      <c r="AH3" s="8"/>
      <c r="AI3" s="8">
        <v>40509</v>
      </c>
      <c r="AJ3" s="8"/>
      <c r="AK3" s="8"/>
      <c r="AL3" s="8"/>
      <c r="AM3" s="8"/>
      <c r="AN3" s="8">
        <v>40285</v>
      </c>
      <c r="AO3" s="8"/>
      <c r="AP3" s="8"/>
      <c r="AQ3" s="8"/>
      <c r="AR3" s="8"/>
      <c r="AS3" s="8">
        <v>43482</v>
      </c>
      <c r="AT3" s="8"/>
      <c r="AU3" s="8"/>
      <c r="AV3" s="8"/>
      <c r="AW3" s="8"/>
      <c r="AX3" s="8">
        <v>40858</v>
      </c>
      <c r="AY3" s="8"/>
      <c r="AZ3" s="8"/>
      <c r="BA3" s="8"/>
      <c r="BB3" s="8"/>
      <c r="BC3" s="8">
        <v>26686</v>
      </c>
      <c r="BD3" s="8"/>
      <c r="BE3" s="8"/>
      <c r="BF3" s="8"/>
      <c r="BG3" s="8"/>
      <c r="BH3" s="8">
        <v>13422</v>
      </c>
      <c r="BI3" s="8"/>
      <c r="BJ3" s="8"/>
      <c r="BK3" s="8"/>
      <c r="BL3" s="8"/>
      <c r="BM3" s="8">
        <v>379148</v>
      </c>
      <c r="BN3" s="8"/>
      <c r="BO3" s="8"/>
      <c r="BP3" s="8"/>
      <c r="BQ3" s="8"/>
    </row>
    <row r="4" spans="1:70" ht="36" customHeight="1" x14ac:dyDescent="0.3">
      <c r="A4" s="16"/>
      <c r="B4" s="16"/>
      <c r="C4" s="16"/>
      <c r="D4" s="16"/>
      <c r="E4" s="11" t="s">
        <v>6</v>
      </c>
      <c r="F4" s="11"/>
      <c r="G4" s="11"/>
      <c r="H4" s="11"/>
      <c r="I4" s="11"/>
      <c r="J4" s="11" t="s">
        <v>7</v>
      </c>
      <c r="K4" s="11"/>
      <c r="L4" s="11"/>
      <c r="M4" s="11"/>
      <c r="N4" s="11"/>
      <c r="O4" s="11" t="s">
        <v>8</v>
      </c>
      <c r="P4" s="11"/>
      <c r="Q4" s="11"/>
      <c r="R4" s="11"/>
      <c r="S4" s="11"/>
      <c r="T4" s="11" t="s">
        <v>9</v>
      </c>
      <c r="U4" s="11"/>
      <c r="V4" s="11"/>
      <c r="W4" s="11"/>
      <c r="X4" s="11"/>
      <c r="Y4" s="11" t="s">
        <v>10</v>
      </c>
      <c r="Z4" s="11"/>
      <c r="AA4" s="11"/>
      <c r="AB4" s="11"/>
      <c r="AC4" s="11"/>
      <c r="AD4" s="11" t="s">
        <v>11</v>
      </c>
      <c r="AE4" s="11"/>
      <c r="AF4" s="11"/>
      <c r="AG4" s="11"/>
      <c r="AH4" s="11"/>
      <c r="AI4" s="11" t="s">
        <v>12</v>
      </c>
      <c r="AJ4" s="11"/>
      <c r="AK4" s="11"/>
      <c r="AL4" s="11"/>
      <c r="AM4" s="11"/>
      <c r="AN4" s="11" t="s">
        <v>13</v>
      </c>
      <c r="AO4" s="11"/>
      <c r="AP4" s="11"/>
      <c r="AQ4" s="11"/>
      <c r="AR4" s="11"/>
      <c r="AS4" s="11" t="s">
        <v>14</v>
      </c>
      <c r="AT4" s="11"/>
      <c r="AU4" s="11"/>
      <c r="AV4" s="11"/>
      <c r="AW4" s="11"/>
      <c r="AX4" s="11" t="s">
        <v>15</v>
      </c>
      <c r="AY4" s="11"/>
      <c r="AZ4" s="11"/>
      <c r="BA4" s="11"/>
      <c r="BB4" s="11"/>
      <c r="BC4" s="11" t="s">
        <v>16</v>
      </c>
      <c r="BD4" s="11"/>
      <c r="BE4" s="11"/>
      <c r="BF4" s="11"/>
      <c r="BG4" s="11"/>
      <c r="BH4" s="11" t="s">
        <v>17</v>
      </c>
      <c r="BI4" s="11"/>
      <c r="BJ4" s="11"/>
      <c r="BK4" s="11"/>
      <c r="BL4" s="11"/>
      <c r="BM4" s="10" t="s">
        <v>18</v>
      </c>
      <c r="BN4" s="10"/>
      <c r="BO4" s="10"/>
      <c r="BP4" s="10"/>
      <c r="BQ4" s="10"/>
    </row>
    <row r="5" spans="1:70" ht="30" customHeight="1" x14ac:dyDescent="0.3">
      <c r="A5" s="44" t="s">
        <v>56</v>
      </c>
      <c r="B5" s="44" t="s">
        <v>57</v>
      </c>
      <c r="C5" s="44" t="s">
        <v>4</v>
      </c>
      <c r="D5" s="44" t="s">
        <v>58</v>
      </c>
      <c r="E5" s="17" t="s">
        <v>19</v>
      </c>
      <c r="F5" s="18" t="s">
        <v>59</v>
      </c>
      <c r="G5" s="18" t="s">
        <v>20</v>
      </c>
      <c r="H5" s="19" t="s">
        <v>21</v>
      </c>
      <c r="I5" s="19" t="s">
        <v>22</v>
      </c>
      <c r="J5" s="17" t="s">
        <v>19</v>
      </c>
      <c r="K5" s="18" t="s">
        <v>59</v>
      </c>
      <c r="L5" s="18" t="s">
        <v>20</v>
      </c>
      <c r="M5" s="19" t="s">
        <v>21</v>
      </c>
      <c r="N5" s="19" t="s">
        <v>22</v>
      </c>
      <c r="O5" s="17" t="s">
        <v>19</v>
      </c>
      <c r="P5" s="18" t="s">
        <v>59</v>
      </c>
      <c r="Q5" s="18" t="s">
        <v>20</v>
      </c>
      <c r="R5" s="19" t="s">
        <v>21</v>
      </c>
      <c r="S5" s="19" t="s">
        <v>22</v>
      </c>
      <c r="T5" s="17" t="s">
        <v>19</v>
      </c>
      <c r="U5" s="18" t="s">
        <v>59</v>
      </c>
      <c r="V5" s="18" t="s">
        <v>20</v>
      </c>
      <c r="W5" s="19" t="s">
        <v>21</v>
      </c>
      <c r="X5" s="19" t="s">
        <v>22</v>
      </c>
      <c r="Y5" s="17" t="s">
        <v>19</v>
      </c>
      <c r="Z5" s="18" t="s">
        <v>59</v>
      </c>
      <c r="AA5" s="18" t="s">
        <v>20</v>
      </c>
      <c r="AB5" s="19" t="s">
        <v>21</v>
      </c>
      <c r="AC5" s="19" t="s">
        <v>22</v>
      </c>
      <c r="AD5" s="17" t="s">
        <v>19</v>
      </c>
      <c r="AE5" s="18" t="s">
        <v>59</v>
      </c>
      <c r="AF5" s="18" t="s">
        <v>20</v>
      </c>
      <c r="AG5" s="19" t="s">
        <v>21</v>
      </c>
      <c r="AH5" s="19" t="s">
        <v>22</v>
      </c>
      <c r="AI5" s="17" t="s">
        <v>19</v>
      </c>
      <c r="AJ5" s="18" t="s">
        <v>59</v>
      </c>
      <c r="AK5" s="18" t="s">
        <v>20</v>
      </c>
      <c r="AL5" s="19" t="s">
        <v>21</v>
      </c>
      <c r="AM5" s="19" t="s">
        <v>22</v>
      </c>
      <c r="AN5" s="17" t="s">
        <v>19</v>
      </c>
      <c r="AO5" s="18" t="s">
        <v>59</v>
      </c>
      <c r="AP5" s="18" t="s">
        <v>20</v>
      </c>
      <c r="AQ5" s="19" t="s">
        <v>21</v>
      </c>
      <c r="AR5" s="19" t="s">
        <v>22</v>
      </c>
      <c r="AS5" s="17" t="s">
        <v>19</v>
      </c>
      <c r="AT5" s="18" t="s">
        <v>59</v>
      </c>
      <c r="AU5" s="18" t="s">
        <v>20</v>
      </c>
      <c r="AV5" s="19" t="s">
        <v>21</v>
      </c>
      <c r="AW5" s="19" t="s">
        <v>22</v>
      </c>
      <c r="AX5" s="17" t="s">
        <v>19</v>
      </c>
      <c r="AY5" s="18" t="s">
        <v>59</v>
      </c>
      <c r="AZ5" s="18" t="s">
        <v>20</v>
      </c>
      <c r="BA5" s="19" t="s">
        <v>21</v>
      </c>
      <c r="BB5" s="19" t="s">
        <v>22</v>
      </c>
      <c r="BC5" s="17" t="s">
        <v>19</v>
      </c>
      <c r="BD5" s="18" t="s">
        <v>59</v>
      </c>
      <c r="BE5" s="18" t="s">
        <v>20</v>
      </c>
      <c r="BF5" s="19" t="s">
        <v>21</v>
      </c>
      <c r="BG5" s="19" t="s">
        <v>22</v>
      </c>
      <c r="BH5" s="17" t="s">
        <v>19</v>
      </c>
      <c r="BI5" s="18" t="s">
        <v>59</v>
      </c>
      <c r="BJ5" s="18" t="s">
        <v>20</v>
      </c>
      <c r="BK5" s="19" t="s">
        <v>21</v>
      </c>
      <c r="BL5" s="19" t="s">
        <v>22</v>
      </c>
      <c r="BM5" s="20" t="s">
        <v>19</v>
      </c>
      <c r="BN5" s="18" t="s">
        <v>59</v>
      </c>
      <c r="BO5" s="18" t="s">
        <v>20</v>
      </c>
      <c r="BP5" s="19" t="s">
        <v>21</v>
      </c>
      <c r="BQ5" s="19" t="s">
        <v>22</v>
      </c>
    </row>
    <row r="6" spans="1:70" ht="15.75" customHeight="1" x14ac:dyDescent="0.3">
      <c r="A6" s="9" t="s">
        <v>76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</row>
    <row r="7" spans="1:70" ht="19.5" customHeight="1" x14ac:dyDescent="0.3">
      <c r="A7" s="23" t="s">
        <v>77</v>
      </c>
      <c r="B7" s="21" t="s">
        <v>78</v>
      </c>
      <c r="C7" s="22" t="s">
        <v>24</v>
      </c>
      <c r="D7" s="45">
        <v>1.3272000000000001E-2</v>
      </c>
      <c r="E7" s="24">
        <v>361.39</v>
      </c>
      <c r="F7" s="25"/>
      <c r="G7" s="25"/>
      <c r="H7" s="26" t="str">
        <f t="shared" ref="H7:H12" si="0">IF(ISNUMBER(G7),G7-E7,"")</f>
        <v/>
      </c>
      <c r="I7" s="27" t="str">
        <f t="shared" ref="I7:I12" si="1">IF(AND(ISNUMBER(G7),E7&lt;&gt;0),G7/E7,"")</f>
        <v/>
      </c>
      <c r="J7" s="24">
        <v>353.54</v>
      </c>
      <c r="K7" s="25"/>
      <c r="L7" s="25"/>
      <c r="M7" s="26" t="str">
        <f t="shared" ref="M7:M12" si="2">IF(ISNUMBER(L7),L7-J7,"")</f>
        <v/>
      </c>
      <c r="N7" s="27" t="str">
        <f t="shared" ref="N7:N12" si="3">IF(AND(ISNUMBER(L7),J7&lt;&gt;0),L7/J7,"")</f>
        <v/>
      </c>
      <c r="O7" s="24">
        <v>336.74</v>
      </c>
      <c r="P7" s="25"/>
      <c r="Q7" s="25"/>
      <c r="R7" s="26" t="str">
        <f t="shared" ref="R7:R12" si="4">IF(ISNUMBER(Q7),Q7-O7,"")</f>
        <v/>
      </c>
      <c r="S7" s="27" t="str">
        <f t="shared" ref="S7:S12" si="5">IF(AND(ISNUMBER(Q7),O7&lt;&gt;0),Q7/O7,"")</f>
        <v/>
      </c>
      <c r="T7" s="24">
        <v>384.85</v>
      </c>
      <c r="U7" s="25"/>
      <c r="V7" s="25"/>
      <c r="W7" s="26" t="str">
        <f t="shared" ref="W7:W12" si="6">IF(ISNUMBER(V7),V7-T7,"")</f>
        <v/>
      </c>
      <c r="X7" s="27" t="str">
        <f t="shared" ref="X7:X12" si="7">IF(AND(ISNUMBER(V7),T7&lt;&gt;0),V7/T7,"")</f>
        <v/>
      </c>
      <c r="Y7" s="24">
        <v>417.04</v>
      </c>
      <c r="Z7" s="25"/>
      <c r="AA7" s="25"/>
      <c r="AB7" s="26" t="str">
        <f t="shared" ref="AB7:AB12" si="8">IF(ISNUMBER(AA7),AA7-Y7,"")</f>
        <v/>
      </c>
      <c r="AC7" s="27" t="str">
        <f t="shared" ref="AC7:AC12" si="9">IF(AND(ISNUMBER(AA7),Y7&lt;&gt;0),AA7/Y7,"")</f>
        <v/>
      </c>
      <c r="AD7" s="24">
        <v>454.57</v>
      </c>
      <c r="AE7" s="25"/>
      <c r="AF7" s="25"/>
      <c r="AG7" s="26" t="str">
        <f t="shared" ref="AG7:AG12" si="10">IF(ISNUMBER(AF7),AF7-AD7,"")</f>
        <v/>
      </c>
      <c r="AH7" s="27" t="str">
        <f t="shared" ref="AH7:AH12" si="11">IF(AND(ISNUMBER(AF7),AD7&lt;&gt;0),AF7/AD7,"")</f>
        <v/>
      </c>
      <c r="AI7" s="24">
        <v>537.65</v>
      </c>
      <c r="AJ7" s="25"/>
      <c r="AK7" s="25"/>
      <c r="AL7" s="26" t="str">
        <f t="shared" ref="AL7:AL12" si="12">IF(ISNUMBER(AK7),AK7-AI7,"")</f>
        <v/>
      </c>
      <c r="AM7" s="27" t="str">
        <f t="shared" ref="AM7:AM12" si="13">IF(AND(ISNUMBER(AK7),AI7&lt;&gt;0),AK7/AI7,"")</f>
        <v/>
      </c>
      <c r="AN7" s="24">
        <v>534.69000000000005</v>
      </c>
      <c r="AO7" s="25"/>
      <c r="AP7" s="25"/>
      <c r="AQ7" s="26" t="str">
        <f t="shared" ref="AQ7:AQ12" si="14">IF(ISNUMBER(AP7),AP7-AN7,"")</f>
        <v/>
      </c>
      <c r="AR7" s="27" t="str">
        <f t="shared" ref="AR7:AR12" si="15">IF(AND(ISNUMBER(AP7),AN7&lt;&gt;0),AP7/AN7,"")</f>
        <v/>
      </c>
      <c r="AS7" s="24">
        <v>577.12</v>
      </c>
      <c r="AT7" s="25"/>
      <c r="AU7" s="25"/>
      <c r="AV7" s="26" t="str">
        <f t="shared" ref="AV7:AV12" si="16">IF(ISNUMBER(AU7),AU7-AS7,"")</f>
        <v/>
      </c>
      <c r="AW7" s="27" t="str">
        <f t="shared" ref="AW7:AW12" si="17">IF(AND(ISNUMBER(AU7),AS7&lt;&gt;0),AU7/AS7,"")</f>
        <v/>
      </c>
      <c r="AX7" s="24">
        <v>542.29</v>
      </c>
      <c r="AY7" s="25"/>
      <c r="AZ7" s="25"/>
      <c r="BA7" s="26" t="str">
        <f t="shared" ref="BA7:BA12" si="18">IF(ISNUMBER(AZ7),AZ7-AX7,"")</f>
        <v/>
      </c>
      <c r="BB7" s="27" t="str">
        <f t="shared" ref="BB7:BB12" si="19">IF(AND(ISNUMBER(AZ7),AX7&lt;&gt;0),AZ7/AX7,"")</f>
        <v/>
      </c>
      <c r="BC7" s="24">
        <v>354.18</v>
      </c>
      <c r="BD7" s="25"/>
      <c r="BE7" s="25"/>
      <c r="BF7" s="26" t="str">
        <f t="shared" ref="BF7:BF12" si="20">IF(ISNUMBER(BE7),BE7-BC7,"")</f>
        <v/>
      </c>
      <c r="BG7" s="27" t="str">
        <f t="shared" ref="BG7:BG12" si="21">IF(AND(ISNUMBER(BE7),BC7&lt;&gt;0),BE7/BC7,"")</f>
        <v/>
      </c>
      <c r="BH7" s="24">
        <v>178.15</v>
      </c>
      <c r="BI7" s="25"/>
      <c r="BJ7" s="25"/>
      <c r="BK7" s="26" t="str">
        <f t="shared" ref="BK7:BK12" si="22">IF(ISNUMBER(BJ7),BJ7-BH7,"")</f>
        <v/>
      </c>
      <c r="BL7" s="27" t="str">
        <f t="shared" ref="BL7:BL12" si="23">IF(AND(ISNUMBER(BJ7),BH7&lt;&gt;0),BJ7/BH7,"")</f>
        <v/>
      </c>
      <c r="BM7" s="28">
        <f t="shared" ref="BM7:BM12" si="24">SUM(E7,J7,O7,T7,Y7,AD7,AI7,AN7,AS7,AX7,BC7,BH7)</f>
        <v>5032.21</v>
      </c>
      <c r="BN7" s="29" t="str">
        <f t="shared" ref="BN7:BO12" si="25">IF(COUNTA(F7,K7,P7,U7,Z7,AE7,AJ7,AO7,AT7,AY7,BD7,BI7)&gt;0,SUM(F7,K7,P7,U7,Z7,AE7,AJ7,AO7,AT7,AY7,BD7,BI7),"")</f>
        <v/>
      </c>
      <c r="BO7" s="29" t="str">
        <f t="shared" si="25"/>
        <v/>
      </c>
      <c r="BP7" s="26" t="str">
        <f t="shared" ref="BP7:BP12" si="26">IF(ISNUMBER(BO7),BO7-BM7,"")</f>
        <v/>
      </c>
      <c r="BQ7" s="27" t="str">
        <f t="shared" ref="BQ7:BQ12" si="27">IF(AND(ISNUMBER(BO7),BM7&lt;&gt;0),BO7/BM7,"")</f>
        <v/>
      </c>
    </row>
    <row r="8" spans="1:70" ht="19.5" customHeight="1" x14ac:dyDescent="0.3">
      <c r="A8" s="23" t="s">
        <v>77</v>
      </c>
      <c r="B8" s="21" t="s">
        <v>79</v>
      </c>
      <c r="C8" s="22" t="s">
        <v>24</v>
      </c>
      <c r="D8" s="45">
        <v>1.3764E-2</v>
      </c>
      <c r="E8" s="24">
        <v>374.78</v>
      </c>
      <c r="F8" s="25"/>
      <c r="G8" s="25"/>
      <c r="H8" s="26" t="str">
        <f t="shared" si="0"/>
        <v/>
      </c>
      <c r="I8" s="27" t="str">
        <f t="shared" si="1"/>
        <v/>
      </c>
      <c r="J8" s="24">
        <v>366.64</v>
      </c>
      <c r="K8" s="25"/>
      <c r="L8" s="25"/>
      <c r="M8" s="26" t="str">
        <f t="shared" si="2"/>
        <v/>
      </c>
      <c r="N8" s="27" t="str">
        <f t="shared" si="3"/>
        <v/>
      </c>
      <c r="O8" s="24">
        <v>349.21</v>
      </c>
      <c r="P8" s="25"/>
      <c r="Q8" s="25"/>
      <c r="R8" s="26" t="str">
        <f t="shared" si="4"/>
        <v/>
      </c>
      <c r="S8" s="27" t="str">
        <f t="shared" si="5"/>
        <v/>
      </c>
      <c r="T8" s="24">
        <v>399.1</v>
      </c>
      <c r="U8" s="25"/>
      <c r="V8" s="25"/>
      <c r="W8" s="26" t="str">
        <f t="shared" si="6"/>
        <v/>
      </c>
      <c r="X8" s="27" t="str">
        <f t="shared" si="7"/>
        <v/>
      </c>
      <c r="Y8" s="24">
        <v>432.49</v>
      </c>
      <c r="Z8" s="25"/>
      <c r="AA8" s="25"/>
      <c r="AB8" s="26" t="str">
        <f t="shared" si="8"/>
        <v/>
      </c>
      <c r="AC8" s="27" t="str">
        <f t="shared" si="9"/>
        <v/>
      </c>
      <c r="AD8" s="24">
        <v>471.41</v>
      </c>
      <c r="AE8" s="25"/>
      <c r="AF8" s="25"/>
      <c r="AG8" s="26" t="str">
        <f t="shared" si="10"/>
        <v/>
      </c>
      <c r="AH8" s="27" t="str">
        <f t="shared" si="11"/>
        <v/>
      </c>
      <c r="AI8" s="24">
        <v>557.55999999999995</v>
      </c>
      <c r="AJ8" s="25"/>
      <c r="AK8" s="25"/>
      <c r="AL8" s="26" t="str">
        <f t="shared" si="12"/>
        <v/>
      </c>
      <c r="AM8" s="27" t="str">
        <f t="shared" si="13"/>
        <v/>
      </c>
      <c r="AN8" s="24">
        <v>554.49</v>
      </c>
      <c r="AO8" s="25"/>
      <c r="AP8" s="25"/>
      <c r="AQ8" s="26" t="str">
        <f t="shared" si="14"/>
        <v/>
      </c>
      <c r="AR8" s="27" t="str">
        <f t="shared" si="15"/>
        <v/>
      </c>
      <c r="AS8" s="24">
        <v>598.49</v>
      </c>
      <c r="AT8" s="25"/>
      <c r="AU8" s="25"/>
      <c r="AV8" s="26" t="str">
        <f t="shared" si="16"/>
        <v/>
      </c>
      <c r="AW8" s="27" t="str">
        <f t="shared" si="17"/>
        <v/>
      </c>
      <c r="AX8" s="24">
        <v>562.37</v>
      </c>
      <c r="AY8" s="25"/>
      <c r="AZ8" s="25"/>
      <c r="BA8" s="26" t="str">
        <f t="shared" si="18"/>
        <v/>
      </c>
      <c r="BB8" s="27" t="str">
        <f t="shared" si="19"/>
        <v/>
      </c>
      <c r="BC8" s="24">
        <v>367.3</v>
      </c>
      <c r="BD8" s="25"/>
      <c r="BE8" s="25"/>
      <c r="BF8" s="26" t="str">
        <f t="shared" si="20"/>
        <v/>
      </c>
      <c r="BG8" s="27" t="str">
        <f t="shared" si="21"/>
        <v/>
      </c>
      <c r="BH8" s="24">
        <v>184.75</v>
      </c>
      <c r="BI8" s="25"/>
      <c r="BJ8" s="25"/>
      <c r="BK8" s="26" t="str">
        <f t="shared" si="22"/>
        <v/>
      </c>
      <c r="BL8" s="27" t="str">
        <f t="shared" si="23"/>
        <v/>
      </c>
      <c r="BM8" s="28">
        <f t="shared" si="24"/>
        <v>5218.59</v>
      </c>
      <c r="BN8" s="29" t="str">
        <f t="shared" si="25"/>
        <v/>
      </c>
      <c r="BO8" s="29" t="str">
        <f t="shared" si="25"/>
        <v/>
      </c>
      <c r="BP8" s="26" t="str">
        <f t="shared" si="26"/>
        <v/>
      </c>
      <c r="BQ8" s="27" t="str">
        <f t="shared" si="27"/>
        <v/>
      </c>
    </row>
    <row r="9" spans="1:70" ht="19.5" customHeight="1" x14ac:dyDescent="0.3">
      <c r="A9" s="23" t="s">
        <v>77</v>
      </c>
      <c r="B9" s="21" t="s">
        <v>80</v>
      </c>
      <c r="C9" s="22" t="s">
        <v>24</v>
      </c>
      <c r="D9" s="45">
        <v>9.2000000000000003E-4</v>
      </c>
      <c r="E9" s="28">
        <v>25.04</v>
      </c>
      <c r="F9" s="25"/>
      <c r="G9" s="25"/>
      <c r="H9" s="26" t="str">
        <f t="shared" si="0"/>
        <v/>
      </c>
      <c r="I9" s="27" t="str">
        <f t="shared" si="1"/>
        <v/>
      </c>
      <c r="J9" s="28">
        <v>24.5</v>
      </c>
      <c r="K9" s="25"/>
      <c r="L9" s="25"/>
      <c r="M9" s="26" t="str">
        <f t="shared" si="2"/>
        <v/>
      </c>
      <c r="N9" s="27" t="str">
        <f t="shared" si="3"/>
        <v/>
      </c>
      <c r="O9" s="28">
        <v>23.33</v>
      </c>
      <c r="P9" s="25"/>
      <c r="Q9" s="25"/>
      <c r="R9" s="26" t="str">
        <f t="shared" si="4"/>
        <v/>
      </c>
      <c r="S9" s="27" t="str">
        <f t="shared" si="5"/>
        <v/>
      </c>
      <c r="T9" s="28">
        <v>26.67</v>
      </c>
      <c r="U9" s="25"/>
      <c r="V9" s="25"/>
      <c r="W9" s="26" t="str">
        <f t="shared" si="6"/>
        <v/>
      </c>
      <c r="X9" s="27" t="str">
        <f t="shared" si="7"/>
        <v/>
      </c>
      <c r="Y9" s="28">
        <v>28.9</v>
      </c>
      <c r="Z9" s="25"/>
      <c r="AA9" s="25"/>
      <c r="AB9" s="26" t="str">
        <f t="shared" si="8"/>
        <v/>
      </c>
      <c r="AC9" s="27" t="str">
        <f t="shared" si="9"/>
        <v/>
      </c>
      <c r="AD9" s="28">
        <v>31.5</v>
      </c>
      <c r="AE9" s="25"/>
      <c r="AF9" s="25"/>
      <c r="AG9" s="26" t="str">
        <f t="shared" si="10"/>
        <v/>
      </c>
      <c r="AH9" s="27" t="str">
        <f t="shared" si="11"/>
        <v/>
      </c>
      <c r="AI9" s="28">
        <v>37.25</v>
      </c>
      <c r="AJ9" s="25"/>
      <c r="AK9" s="25"/>
      <c r="AL9" s="26" t="str">
        <f t="shared" si="12"/>
        <v/>
      </c>
      <c r="AM9" s="27" t="str">
        <f t="shared" si="13"/>
        <v/>
      </c>
      <c r="AN9" s="28">
        <v>37.049999999999997</v>
      </c>
      <c r="AO9" s="25"/>
      <c r="AP9" s="25"/>
      <c r="AQ9" s="26" t="str">
        <f t="shared" si="14"/>
        <v/>
      </c>
      <c r="AR9" s="27" t="str">
        <f t="shared" si="15"/>
        <v/>
      </c>
      <c r="AS9" s="28">
        <v>39.99</v>
      </c>
      <c r="AT9" s="25"/>
      <c r="AU9" s="25"/>
      <c r="AV9" s="26" t="str">
        <f t="shared" si="16"/>
        <v/>
      </c>
      <c r="AW9" s="27" t="str">
        <f t="shared" si="17"/>
        <v/>
      </c>
      <c r="AX9" s="28">
        <v>37.58</v>
      </c>
      <c r="AY9" s="25"/>
      <c r="AZ9" s="25"/>
      <c r="BA9" s="26" t="str">
        <f t="shared" si="18"/>
        <v/>
      </c>
      <c r="BB9" s="27" t="str">
        <f t="shared" si="19"/>
        <v/>
      </c>
      <c r="BC9" s="28">
        <v>24.54</v>
      </c>
      <c r="BD9" s="25"/>
      <c r="BE9" s="25"/>
      <c r="BF9" s="26" t="str">
        <f t="shared" si="20"/>
        <v/>
      </c>
      <c r="BG9" s="27" t="str">
        <f t="shared" si="21"/>
        <v/>
      </c>
      <c r="BH9" s="28">
        <v>12.34</v>
      </c>
      <c r="BI9" s="25"/>
      <c r="BJ9" s="25"/>
      <c r="BK9" s="26" t="str">
        <f t="shared" si="22"/>
        <v/>
      </c>
      <c r="BL9" s="27" t="str">
        <f t="shared" si="23"/>
        <v/>
      </c>
      <c r="BM9" s="28">
        <f t="shared" si="24"/>
        <v>348.69</v>
      </c>
      <c r="BN9" s="29" t="str">
        <f t="shared" si="25"/>
        <v/>
      </c>
      <c r="BO9" s="29" t="str">
        <f t="shared" si="25"/>
        <v/>
      </c>
      <c r="BP9" s="26" t="str">
        <f t="shared" si="26"/>
        <v/>
      </c>
      <c r="BQ9" s="27" t="str">
        <f t="shared" si="27"/>
        <v/>
      </c>
    </row>
    <row r="10" spans="1:70" ht="19.5" customHeight="1" x14ac:dyDescent="0.3">
      <c r="A10" s="23" t="s">
        <v>77</v>
      </c>
      <c r="B10" s="21" t="s">
        <v>81</v>
      </c>
      <c r="C10" s="22" t="s">
        <v>24</v>
      </c>
      <c r="D10" s="45">
        <v>8.7500000000000002E-4</v>
      </c>
      <c r="E10" s="28">
        <v>23.82</v>
      </c>
      <c r="F10" s="25"/>
      <c r="G10" s="25"/>
      <c r="H10" s="26" t="str">
        <f t="shared" si="0"/>
        <v/>
      </c>
      <c r="I10" s="27" t="str">
        <f t="shared" si="1"/>
        <v/>
      </c>
      <c r="J10" s="28">
        <v>23.3</v>
      </c>
      <c r="K10" s="25"/>
      <c r="L10" s="25"/>
      <c r="M10" s="26" t="str">
        <f t="shared" si="2"/>
        <v/>
      </c>
      <c r="N10" s="27" t="str">
        <f t="shared" si="3"/>
        <v/>
      </c>
      <c r="O10" s="28">
        <v>22.19</v>
      </c>
      <c r="P10" s="25"/>
      <c r="Q10" s="25"/>
      <c r="R10" s="26" t="str">
        <f t="shared" si="4"/>
        <v/>
      </c>
      <c r="S10" s="27" t="str">
        <f t="shared" si="5"/>
        <v/>
      </c>
      <c r="T10" s="28">
        <v>25.37</v>
      </c>
      <c r="U10" s="25"/>
      <c r="V10" s="25"/>
      <c r="W10" s="26" t="str">
        <f t="shared" si="6"/>
        <v/>
      </c>
      <c r="X10" s="27" t="str">
        <f t="shared" si="7"/>
        <v/>
      </c>
      <c r="Y10" s="28">
        <v>27.49</v>
      </c>
      <c r="Z10" s="25"/>
      <c r="AA10" s="25"/>
      <c r="AB10" s="26" t="str">
        <f t="shared" si="8"/>
        <v/>
      </c>
      <c r="AC10" s="27" t="str">
        <f t="shared" si="9"/>
        <v/>
      </c>
      <c r="AD10" s="28">
        <v>29.96</v>
      </c>
      <c r="AE10" s="25"/>
      <c r="AF10" s="25"/>
      <c r="AG10" s="26" t="str">
        <f t="shared" si="10"/>
        <v/>
      </c>
      <c r="AH10" s="27" t="str">
        <f t="shared" si="11"/>
        <v/>
      </c>
      <c r="AI10" s="28">
        <v>35.44</v>
      </c>
      <c r="AJ10" s="25"/>
      <c r="AK10" s="25"/>
      <c r="AL10" s="26" t="str">
        <f t="shared" si="12"/>
        <v/>
      </c>
      <c r="AM10" s="27" t="str">
        <f t="shared" si="13"/>
        <v/>
      </c>
      <c r="AN10" s="28">
        <v>35.24</v>
      </c>
      <c r="AO10" s="25"/>
      <c r="AP10" s="25"/>
      <c r="AQ10" s="26" t="str">
        <f t="shared" si="14"/>
        <v/>
      </c>
      <c r="AR10" s="27" t="str">
        <f t="shared" si="15"/>
        <v/>
      </c>
      <c r="AS10" s="28">
        <v>38.04</v>
      </c>
      <c r="AT10" s="25"/>
      <c r="AU10" s="25"/>
      <c r="AV10" s="26" t="str">
        <f t="shared" si="16"/>
        <v/>
      </c>
      <c r="AW10" s="27" t="str">
        <f t="shared" si="17"/>
        <v/>
      </c>
      <c r="AX10" s="28">
        <v>35.74</v>
      </c>
      <c r="AY10" s="25"/>
      <c r="AZ10" s="25"/>
      <c r="BA10" s="26" t="str">
        <f t="shared" si="18"/>
        <v/>
      </c>
      <c r="BB10" s="27" t="str">
        <f t="shared" si="19"/>
        <v/>
      </c>
      <c r="BC10" s="28">
        <v>23.34</v>
      </c>
      <c r="BD10" s="25"/>
      <c r="BE10" s="25"/>
      <c r="BF10" s="26" t="str">
        <f t="shared" si="20"/>
        <v/>
      </c>
      <c r="BG10" s="27" t="str">
        <f t="shared" si="21"/>
        <v/>
      </c>
      <c r="BH10" s="28">
        <v>11.74</v>
      </c>
      <c r="BI10" s="25"/>
      <c r="BJ10" s="25"/>
      <c r="BK10" s="26" t="str">
        <f t="shared" si="22"/>
        <v/>
      </c>
      <c r="BL10" s="27" t="str">
        <f t="shared" si="23"/>
        <v/>
      </c>
      <c r="BM10" s="28">
        <f t="shared" si="24"/>
        <v>331.67</v>
      </c>
      <c r="BN10" s="29" t="str">
        <f t="shared" si="25"/>
        <v/>
      </c>
      <c r="BO10" s="29" t="str">
        <f t="shared" si="25"/>
        <v/>
      </c>
      <c r="BP10" s="26" t="str">
        <f t="shared" si="26"/>
        <v/>
      </c>
      <c r="BQ10" s="27" t="str">
        <f t="shared" si="27"/>
        <v/>
      </c>
    </row>
    <row r="11" spans="1:70" ht="19.5" customHeight="1" x14ac:dyDescent="0.3">
      <c r="A11" s="23" t="s">
        <v>77</v>
      </c>
      <c r="B11" s="21" t="s">
        <v>82</v>
      </c>
      <c r="C11" s="22" t="s">
        <v>24</v>
      </c>
      <c r="D11" s="45">
        <v>1.8172000000000001E-2</v>
      </c>
      <c r="E11" s="24">
        <v>494.79</v>
      </c>
      <c r="F11" s="25"/>
      <c r="G11" s="25"/>
      <c r="H11" s="26" t="str">
        <f t="shared" si="0"/>
        <v/>
      </c>
      <c r="I11" s="27" t="str">
        <f t="shared" si="1"/>
        <v/>
      </c>
      <c r="J11" s="24">
        <v>484.04</v>
      </c>
      <c r="K11" s="25"/>
      <c r="L11" s="25"/>
      <c r="M11" s="26" t="str">
        <f t="shared" si="2"/>
        <v/>
      </c>
      <c r="N11" s="27" t="str">
        <f t="shared" si="3"/>
        <v/>
      </c>
      <c r="O11" s="24">
        <v>461.04</v>
      </c>
      <c r="P11" s="25"/>
      <c r="Q11" s="25"/>
      <c r="R11" s="26" t="str">
        <f t="shared" si="4"/>
        <v/>
      </c>
      <c r="S11" s="27" t="str">
        <f t="shared" si="5"/>
        <v/>
      </c>
      <c r="T11" s="24">
        <v>526.9</v>
      </c>
      <c r="U11" s="25"/>
      <c r="V11" s="25"/>
      <c r="W11" s="26" t="str">
        <f t="shared" si="6"/>
        <v/>
      </c>
      <c r="X11" s="27" t="str">
        <f t="shared" si="7"/>
        <v/>
      </c>
      <c r="Y11" s="24">
        <v>570.98</v>
      </c>
      <c r="Z11" s="25"/>
      <c r="AA11" s="25"/>
      <c r="AB11" s="26" t="str">
        <f t="shared" si="8"/>
        <v/>
      </c>
      <c r="AC11" s="27" t="str">
        <f t="shared" si="9"/>
        <v/>
      </c>
      <c r="AD11" s="24">
        <v>622.36</v>
      </c>
      <c r="AE11" s="25"/>
      <c r="AF11" s="25"/>
      <c r="AG11" s="26" t="str">
        <f t="shared" si="10"/>
        <v/>
      </c>
      <c r="AH11" s="27" t="str">
        <f t="shared" si="11"/>
        <v/>
      </c>
      <c r="AI11" s="24">
        <v>736.12</v>
      </c>
      <c r="AJ11" s="25"/>
      <c r="AK11" s="25"/>
      <c r="AL11" s="26" t="str">
        <f t="shared" si="12"/>
        <v/>
      </c>
      <c r="AM11" s="27" t="str">
        <f t="shared" si="13"/>
        <v/>
      </c>
      <c r="AN11" s="24">
        <v>732.05</v>
      </c>
      <c r="AO11" s="25"/>
      <c r="AP11" s="25"/>
      <c r="AQ11" s="26" t="str">
        <f t="shared" si="14"/>
        <v/>
      </c>
      <c r="AR11" s="27" t="str">
        <f t="shared" si="15"/>
        <v/>
      </c>
      <c r="AS11" s="24">
        <v>790.15</v>
      </c>
      <c r="AT11" s="25"/>
      <c r="AU11" s="25"/>
      <c r="AV11" s="26" t="str">
        <f t="shared" si="16"/>
        <v/>
      </c>
      <c r="AW11" s="27" t="str">
        <f t="shared" si="17"/>
        <v/>
      </c>
      <c r="AX11" s="24">
        <v>742.46</v>
      </c>
      <c r="AY11" s="25"/>
      <c r="AZ11" s="25"/>
      <c r="BA11" s="26" t="str">
        <f t="shared" si="18"/>
        <v/>
      </c>
      <c r="BB11" s="27" t="str">
        <f t="shared" si="19"/>
        <v/>
      </c>
      <c r="BC11" s="24">
        <v>484.92</v>
      </c>
      <c r="BD11" s="25"/>
      <c r="BE11" s="25"/>
      <c r="BF11" s="26" t="str">
        <f t="shared" si="20"/>
        <v/>
      </c>
      <c r="BG11" s="27" t="str">
        <f t="shared" si="21"/>
        <v/>
      </c>
      <c r="BH11" s="24">
        <v>243.91</v>
      </c>
      <c r="BI11" s="25"/>
      <c r="BJ11" s="25"/>
      <c r="BK11" s="26" t="str">
        <f t="shared" si="22"/>
        <v/>
      </c>
      <c r="BL11" s="27" t="str">
        <f t="shared" si="23"/>
        <v/>
      </c>
      <c r="BM11" s="28">
        <f t="shared" si="24"/>
        <v>6889.7199999999993</v>
      </c>
      <c r="BN11" s="29" t="str">
        <f t="shared" si="25"/>
        <v/>
      </c>
      <c r="BO11" s="29" t="str">
        <f t="shared" si="25"/>
        <v/>
      </c>
      <c r="BP11" s="26" t="str">
        <f t="shared" si="26"/>
        <v/>
      </c>
      <c r="BQ11" s="27" t="str">
        <f t="shared" si="27"/>
        <v/>
      </c>
    </row>
    <row r="12" spans="1:70" ht="19.5" customHeight="1" x14ac:dyDescent="0.3">
      <c r="A12" s="23" t="s">
        <v>77</v>
      </c>
      <c r="B12" s="21" t="s">
        <v>83</v>
      </c>
      <c r="C12" s="22" t="s">
        <v>24</v>
      </c>
      <c r="D12" s="45">
        <v>7.9799999999999999E-4</v>
      </c>
      <c r="E12" s="28">
        <v>21.72</v>
      </c>
      <c r="F12" s="25"/>
      <c r="G12" s="25"/>
      <c r="H12" s="26" t="str">
        <f t="shared" si="0"/>
        <v/>
      </c>
      <c r="I12" s="27" t="str">
        <f t="shared" si="1"/>
        <v/>
      </c>
      <c r="J12" s="28">
        <v>21.25</v>
      </c>
      <c r="K12" s="25"/>
      <c r="L12" s="25"/>
      <c r="M12" s="26" t="str">
        <f t="shared" si="2"/>
        <v/>
      </c>
      <c r="N12" s="27" t="str">
        <f t="shared" si="3"/>
        <v/>
      </c>
      <c r="O12" s="28">
        <v>20.239999999999998</v>
      </c>
      <c r="P12" s="25"/>
      <c r="Q12" s="25"/>
      <c r="R12" s="26" t="str">
        <f t="shared" si="4"/>
        <v/>
      </c>
      <c r="S12" s="27" t="str">
        <f t="shared" si="5"/>
        <v/>
      </c>
      <c r="T12" s="28">
        <v>23.13</v>
      </c>
      <c r="U12" s="25"/>
      <c r="V12" s="25"/>
      <c r="W12" s="26" t="str">
        <f t="shared" si="6"/>
        <v/>
      </c>
      <c r="X12" s="27" t="str">
        <f t="shared" si="7"/>
        <v/>
      </c>
      <c r="Y12" s="28">
        <v>25.06</v>
      </c>
      <c r="Z12" s="25"/>
      <c r="AA12" s="25"/>
      <c r="AB12" s="26" t="str">
        <f t="shared" si="8"/>
        <v/>
      </c>
      <c r="AC12" s="27" t="str">
        <f t="shared" si="9"/>
        <v/>
      </c>
      <c r="AD12" s="28">
        <v>27.32</v>
      </c>
      <c r="AE12" s="25"/>
      <c r="AF12" s="25"/>
      <c r="AG12" s="26" t="str">
        <f t="shared" si="10"/>
        <v/>
      </c>
      <c r="AH12" s="27" t="str">
        <f t="shared" si="11"/>
        <v/>
      </c>
      <c r="AI12" s="28">
        <v>32.31</v>
      </c>
      <c r="AJ12" s="25"/>
      <c r="AK12" s="25"/>
      <c r="AL12" s="26" t="str">
        <f t="shared" si="12"/>
        <v/>
      </c>
      <c r="AM12" s="27" t="str">
        <f t="shared" si="13"/>
        <v/>
      </c>
      <c r="AN12" s="28">
        <v>32.130000000000003</v>
      </c>
      <c r="AO12" s="25"/>
      <c r="AP12" s="25"/>
      <c r="AQ12" s="26" t="str">
        <f t="shared" si="14"/>
        <v/>
      </c>
      <c r="AR12" s="27" t="str">
        <f t="shared" si="15"/>
        <v/>
      </c>
      <c r="AS12" s="28">
        <v>34.68</v>
      </c>
      <c r="AT12" s="25"/>
      <c r="AU12" s="25"/>
      <c r="AV12" s="26" t="str">
        <f t="shared" si="16"/>
        <v/>
      </c>
      <c r="AW12" s="27" t="str">
        <f t="shared" si="17"/>
        <v/>
      </c>
      <c r="AX12" s="28">
        <v>32.590000000000003</v>
      </c>
      <c r="AY12" s="25"/>
      <c r="AZ12" s="25"/>
      <c r="BA12" s="26" t="str">
        <f t="shared" si="18"/>
        <v/>
      </c>
      <c r="BB12" s="27" t="str">
        <f t="shared" si="19"/>
        <v/>
      </c>
      <c r="BC12" s="28">
        <v>21.29</v>
      </c>
      <c r="BD12" s="25"/>
      <c r="BE12" s="25"/>
      <c r="BF12" s="26" t="str">
        <f t="shared" si="20"/>
        <v/>
      </c>
      <c r="BG12" s="27" t="str">
        <f t="shared" si="21"/>
        <v/>
      </c>
      <c r="BH12" s="28">
        <v>10.71</v>
      </c>
      <c r="BI12" s="25"/>
      <c r="BJ12" s="25"/>
      <c r="BK12" s="26" t="str">
        <f t="shared" si="22"/>
        <v/>
      </c>
      <c r="BL12" s="27" t="str">
        <f t="shared" si="23"/>
        <v/>
      </c>
      <c r="BM12" s="28">
        <f t="shared" si="24"/>
        <v>302.43</v>
      </c>
      <c r="BN12" s="29" t="str">
        <f t="shared" si="25"/>
        <v/>
      </c>
      <c r="BO12" s="29" t="str">
        <f t="shared" si="25"/>
        <v/>
      </c>
      <c r="BP12" s="26" t="str">
        <f t="shared" si="26"/>
        <v/>
      </c>
      <c r="BQ12" s="27" t="str">
        <f t="shared" si="27"/>
        <v/>
      </c>
    </row>
    <row r="13" spans="1:70" ht="21.75" customHeight="1" x14ac:dyDescent="0.3">
      <c r="A13" s="7" t="s">
        <v>70</v>
      </c>
      <c r="B13" s="7"/>
      <c r="C13" s="7"/>
      <c r="D13" s="7"/>
      <c r="E13" s="46">
        <f>IFERROR(SUM(E6:E12),"")</f>
        <v>1301.54</v>
      </c>
      <c r="F13" s="46">
        <f>IFERROR(SUM(F6:F12),"")</f>
        <v>0</v>
      </c>
      <c r="G13" s="46">
        <f>IFERROR(SUM(G6:G12),"")</f>
        <v>0</v>
      </c>
      <c r="H13" s="46">
        <f>IFERROR(SUM(H6:H12),"")</f>
        <v>0</v>
      </c>
      <c r="I13" s="37"/>
      <c r="J13" s="46">
        <f>IFERROR(SUM(J6:J12),"")</f>
        <v>1273.27</v>
      </c>
      <c r="K13" s="46">
        <f>IFERROR(SUM(K6:K12),"")</f>
        <v>0</v>
      </c>
      <c r="L13" s="46">
        <f>IFERROR(SUM(L6:L12),"")</f>
        <v>0</v>
      </c>
      <c r="M13" s="46">
        <f>IFERROR(SUM(M6:M12),"")</f>
        <v>0</v>
      </c>
      <c r="N13" s="37"/>
      <c r="O13" s="46">
        <f>IFERROR(SUM(O6:O12),"")</f>
        <v>1212.7500000000002</v>
      </c>
      <c r="P13" s="46">
        <f>IFERROR(SUM(P6:P12),"")</f>
        <v>0</v>
      </c>
      <c r="Q13" s="46">
        <f>IFERROR(SUM(Q6:Q12),"")</f>
        <v>0</v>
      </c>
      <c r="R13" s="46">
        <f>IFERROR(SUM(R6:R12),"")</f>
        <v>0</v>
      </c>
      <c r="S13" s="37"/>
      <c r="T13" s="46">
        <f>IFERROR(SUM(T6:T12),"")</f>
        <v>1386.02</v>
      </c>
      <c r="U13" s="46">
        <f>IFERROR(SUM(U6:U12),"")</f>
        <v>0</v>
      </c>
      <c r="V13" s="46">
        <f>IFERROR(SUM(V6:V12),"")</f>
        <v>0</v>
      </c>
      <c r="W13" s="46">
        <f>IFERROR(SUM(W6:W12),"")</f>
        <v>0</v>
      </c>
      <c r="X13" s="37"/>
      <c r="Y13" s="46">
        <f>IFERROR(SUM(Y6:Y12),"")</f>
        <v>1501.96</v>
      </c>
      <c r="Z13" s="46">
        <f>IFERROR(SUM(Z6:Z12),"")</f>
        <v>0</v>
      </c>
      <c r="AA13" s="46">
        <f>IFERROR(SUM(AA6:AA12),"")</f>
        <v>0</v>
      </c>
      <c r="AB13" s="46">
        <f>IFERROR(SUM(AB6:AB12),"")</f>
        <v>0</v>
      </c>
      <c r="AC13" s="37"/>
      <c r="AD13" s="46">
        <f>IFERROR(SUM(AD6:AD12),"")</f>
        <v>1637.1200000000001</v>
      </c>
      <c r="AE13" s="46">
        <f>IFERROR(SUM(AE6:AE12),"")</f>
        <v>0</v>
      </c>
      <c r="AF13" s="46">
        <f>IFERROR(SUM(AF6:AF12),"")</f>
        <v>0</v>
      </c>
      <c r="AG13" s="46">
        <f>IFERROR(SUM(AG6:AG12),"")</f>
        <v>0</v>
      </c>
      <c r="AH13" s="37"/>
      <c r="AI13" s="46">
        <f>IFERROR(SUM(AI6:AI12),"")</f>
        <v>1936.33</v>
      </c>
      <c r="AJ13" s="46">
        <f>IFERROR(SUM(AJ6:AJ12),"")</f>
        <v>0</v>
      </c>
      <c r="AK13" s="46">
        <f>IFERROR(SUM(AK6:AK12),"")</f>
        <v>0</v>
      </c>
      <c r="AL13" s="46">
        <f>IFERROR(SUM(AL6:AL12),"")</f>
        <v>0</v>
      </c>
      <c r="AM13" s="37"/>
      <c r="AN13" s="46">
        <f>IFERROR(SUM(AN6:AN12),"")</f>
        <v>1925.65</v>
      </c>
      <c r="AO13" s="46">
        <f>IFERROR(SUM(AO6:AO12),"")</f>
        <v>0</v>
      </c>
      <c r="AP13" s="46">
        <f>IFERROR(SUM(AP6:AP12),"")</f>
        <v>0</v>
      </c>
      <c r="AQ13" s="46">
        <f>IFERROR(SUM(AQ6:AQ12),"")</f>
        <v>0</v>
      </c>
      <c r="AR13" s="37"/>
      <c r="AS13" s="46">
        <f>IFERROR(SUM(AS6:AS12),"")</f>
        <v>2078.4699999999998</v>
      </c>
      <c r="AT13" s="46">
        <f>IFERROR(SUM(AT6:AT12),"")</f>
        <v>0</v>
      </c>
      <c r="AU13" s="46">
        <f>IFERROR(SUM(AU6:AU12),"")</f>
        <v>0</v>
      </c>
      <c r="AV13" s="46">
        <f>IFERROR(SUM(AV6:AV12),"")</f>
        <v>0</v>
      </c>
      <c r="AW13" s="37"/>
      <c r="AX13" s="46">
        <f>IFERROR(SUM(AX6:AX12),"")</f>
        <v>1953.0299999999997</v>
      </c>
      <c r="AY13" s="46">
        <f>IFERROR(SUM(AY6:AY12),"")</f>
        <v>0</v>
      </c>
      <c r="AZ13" s="46">
        <f>IFERROR(SUM(AZ6:AZ12),"")</f>
        <v>0</v>
      </c>
      <c r="BA13" s="46">
        <f>IFERROR(SUM(BA6:BA12),"")</f>
        <v>0</v>
      </c>
      <c r="BB13" s="37"/>
      <c r="BC13" s="46">
        <f>IFERROR(SUM(BC6:BC12),"")</f>
        <v>1275.57</v>
      </c>
      <c r="BD13" s="46">
        <f>IFERROR(SUM(BD6:BD12),"")</f>
        <v>0</v>
      </c>
      <c r="BE13" s="46">
        <f>IFERROR(SUM(BE6:BE12),"")</f>
        <v>0</v>
      </c>
      <c r="BF13" s="46">
        <f>IFERROR(SUM(BF6:BF12),"")</f>
        <v>0</v>
      </c>
      <c r="BG13" s="37"/>
      <c r="BH13" s="46">
        <f>IFERROR(SUM(BH6:BH12),"")</f>
        <v>641.6</v>
      </c>
      <c r="BI13" s="46">
        <f>IFERROR(SUM(BI6:BI12),"")</f>
        <v>0</v>
      </c>
      <c r="BJ13" s="46">
        <f>IFERROR(SUM(BJ6:BJ12),"")</f>
        <v>0</v>
      </c>
      <c r="BK13" s="46">
        <f>IFERROR(SUM(BK6:BK12),"")</f>
        <v>0</v>
      </c>
      <c r="BL13" s="37"/>
      <c r="BM13" s="46">
        <f>IFERROR(SUM(BM6:BM12),"")</f>
        <v>18123.309999999998</v>
      </c>
      <c r="BN13" s="46">
        <f>IFERROR(SUM(BN6:BN12),"")</f>
        <v>0</v>
      </c>
      <c r="BO13" s="46">
        <f>IFERROR(SUM(BO6:BO12),"")</f>
        <v>0</v>
      </c>
      <c r="BP13" s="46">
        <f>IFERROR(SUM(BP6:BP12),"")</f>
        <v>0</v>
      </c>
      <c r="BQ13" s="46">
        <f>IFERROR(SUM(BQ6:BQ12),"")</f>
        <v>0</v>
      </c>
    </row>
    <row r="14" spans="1:70" ht="21.75" customHeight="1" x14ac:dyDescent="0.3">
      <c r="A14" s="10" t="s">
        <v>71</v>
      </c>
      <c r="B14" s="10"/>
      <c r="C14" s="10"/>
      <c r="D14" s="10"/>
      <c r="E14" s="40"/>
      <c r="F14" s="41"/>
      <c r="G14" s="41"/>
      <c r="H14" s="43" t="str">
        <f>IF(ISNUMBER(G14),G14-E14,"")</f>
        <v/>
      </c>
      <c r="I14" s="27" t="str">
        <f>IF(AND(ISNUMBER(G14),E14&lt;&gt;0),G14/E14,"")</f>
        <v/>
      </c>
      <c r="J14" s="40"/>
      <c r="K14" s="41"/>
      <c r="L14" s="41"/>
      <c r="M14" s="43" t="str">
        <f>IF(ISNUMBER(L14),L14-J14,"")</f>
        <v/>
      </c>
      <c r="N14" s="27" t="str">
        <f>IF(AND(ISNUMBER(L14),J14&lt;&gt;0),L14/J14,"")</f>
        <v/>
      </c>
      <c r="O14" s="40"/>
      <c r="P14" s="41"/>
      <c r="Q14" s="41"/>
      <c r="R14" s="43" t="str">
        <f>IF(ISNUMBER(Q14),Q14-O14,"")</f>
        <v/>
      </c>
      <c r="S14" s="27" t="str">
        <f>IF(AND(ISNUMBER(Q14),O14&lt;&gt;0),Q14/O14,"")</f>
        <v/>
      </c>
      <c r="T14" s="40"/>
      <c r="U14" s="41"/>
      <c r="V14" s="41"/>
      <c r="W14" s="43" t="str">
        <f>IF(ISNUMBER(V14),V14-T14,"")</f>
        <v/>
      </c>
      <c r="X14" s="27" t="str">
        <f>IF(AND(ISNUMBER(V14),T14&lt;&gt;0),V14/T14,"")</f>
        <v/>
      </c>
      <c r="Y14" s="40"/>
      <c r="Z14" s="41"/>
      <c r="AA14" s="41"/>
      <c r="AB14" s="43" t="str">
        <f>IF(ISNUMBER(AA14),AA14-Y14,"")</f>
        <v/>
      </c>
      <c r="AC14" s="27" t="str">
        <f>IF(AND(ISNUMBER(AA14),Y14&lt;&gt;0),AA14/Y14,"")</f>
        <v/>
      </c>
      <c r="AD14" s="40"/>
      <c r="AE14" s="41"/>
      <c r="AF14" s="41"/>
      <c r="AG14" s="43" t="str">
        <f>IF(ISNUMBER(AF14),AF14-AD14,"")</f>
        <v/>
      </c>
      <c r="AH14" s="27" t="str">
        <f>IF(AND(ISNUMBER(AF14),AD14&lt;&gt;0),AF14/AD14,"")</f>
        <v/>
      </c>
      <c r="AI14" s="40"/>
      <c r="AJ14" s="41"/>
      <c r="AK14" s="41"/>
      <c r="AL14" s="43" t="str">
        <f>IF(ISNUMBER(AK14),AK14-AI14,"")</f>
        <v/>
      </c>
      <c r="AM14" s="27" t="str">
        <f>IF(AND(ISNUMBER(AK14),AI14&lt;&gt;0),AK14/AI14,"")</f>
        <v/>
      </c>
      <c r="AN14" s="40"/>
      <c r="AO14" s="41"/>
      <c r="AP14" s="41"/>
      <c r="AQ14" s="43" t="str">
        <f>IF(ISNUMBER(AP14),AP14-AN14,"")</f>
        <v/>
      </c>
      <c r="AR14" s="27" t="str">
        <f>IF(AND(ISNUMBER(AP14),AN14&lt;&gt;0),AP14/AN14,"")</f>
        <v/>
      </c>
      <c r="AS14" s="40"/>
      <c r="AT14" s="41"/>
      <c r="AU14" s="41"/>
      <c r="AV14" s="43" t="str">
        <f>IF(ISNUMBER(AU14),AU14-AS14,"")</f>
        <v/>
      </c>
      <c r="AW14" s="27" t="str">
        <f>IF(AND(ISNUMBER(AU14),AS14&lt;&gt;0),AU14/AS14,"")</f>
        <v/>
      </c>
      <c r="AX14" s="40"/>
      <c r="AY14" s="41"/>
      <c r="AZ14" s="41"/>
      <c r="BA14" s="43" t="str">
        <f>IF(ISNUMBER(AZ14),AZ14-AX14,"")</f>
        <v/>
      </c>
      <c r="BB14" s="27" t="str">
        <f>IF(AND(ISNUMBER(AZ14),AX14&lt;&gt;0),AZ14/AX14,"")</f>
        <v/>
      </c>
      <c r="BC14" s="40"/>
      <c r="BD14" s="41"/>
      <c r="BE14" s="41"/>
      <c r="BF14" s="43" t="str">
        <f>IF(ISNUMBER(BE14),BE14-BC14,"")</f>
        <v/>
      </c>
      <c r="BG14" s="27" t="str">
        <f>IF(AND(ISNUMBER(BE14),BC14&lt;&gt;0),BE14/BC14,"")</f>
        <v/>
      </c>
      <c r="BH14" s="40"/>
      <c r="BI14" s="41"/>
      <c r="BJ14" s="41"/>
      <c r="BK14" s="43" t="str">
        <f>IF(ISNUMBER(BJ14),BJ14-BH14,"")</f>
        <v/>
      </c>
      <c r="BL14" s="27" t="str">
        <f>IF(AND(ISNUMBER(BJ14),BH14&lt;&gt;0),BJ14/BH14,"")</f>
        <v/>
      </c>
      <c r="BM14" s="47" t="str">
        <f>IF(COUNTA(E14,J14,O14,T14,Y14,AD14,AI14,AN14,AS14,AX14,BC14,BH14)&gt;0,SUM(E14,J14,O14,T14,Y14,AD14,AI14,AN14,AS14,AX14,BC14,BH14),"")</f>
        <v/>
      </c>
      <c r="BN14" s="48"/>
      <c r="BO14" s="49" t="str">
        <f>IF(COUNTA(G14,L14,Q14,V14,AA14,AF14,AK14,AP14,AU14,AZ14,BE14,BJ14)&gt;0,SUM(G14,L14,Q14,V14,AA14,AF14,AK14,AP14,AU14,AZ14,BE14,BJ14),"")</f>
        <v/>
      </c>
      <c r="BP14" s="50" t="str">
        <f>IF(ISNUMBER(BO14),BO14-BM14,"")</f>
        <v/>
      </c>
      <c r="BQ14" s="51" t="str">
        <f>IF(AND(ISNUMBER(BO14),BM14&lt;&gt;0),BO14/BM14,"")</f>
        <v/>
      </c>
    </row>
    <row r="15" spans="1:70" ht="21.75" customHeight="1" x14ac:dyDescent="0.3">
      <c r="A15" s="10" t="s">
        <v>72</v>
      </c>
      <c r="B15" s="10"/>
      <c r="C15" s="10"/>
      <c r="D15" s="10"/>
      <c r="E15" s="52" t="str">
        <f>IF(E14&lt;&gt;"",E14/27229,"")</f>
        <v/>
      </c>
      <c r="F15" s="42"/>
      <c r="G15" s="43" t="str">
        <f>IF(AND(ISNUMBER(G14),F3&lt;&gt;0),G14/F3,"")</f>
        <v/>
      </c>
      <c r="H15" s="42"/>
      <c r="I15" s="42"/>
      <c r="J15" s="52" t="str">
        <f>IF(J14&lt;&gt;"",J14/26637.42,"")</f>
        <v/>
      </c>
      <c r="K15" s="42"/>
      <c r="L15" s="43" t="str">
        <f>IF(AND(ISNUMBER(L14),K3&lt;&gt;0),L14/K3,"")</f>
        <v/>
      </c>
      <c r="M15" s="42"/>
      <c r="N15" s="42"/>
      <c r="O15" s="52" t="str">
        <f>IF(O14&lt;&gt;"",O14/25371.21,"")</f>
        <v/>
      </c>
      <c r="P15" s="42"/>
      <c r="Q15" s="43" t="str">
        <f>IF(AND(ISNUMBER(Q14),P3&lt;&gt;0),Q14/P3,"")</f>
        <v/>
      </c>
      <c r="R15" s="42"/>
      <c r="S15" s="42"/>
      <c r="T15" s="52" t="str">
        <f>IF(T14&lt;&gt;"",T14/28996.04,"")</f>
        <v/>
      </c>
      <c r="U15" s="42"/>
      <c r="V15" s="43" t="str">
        <f>IF(AND(ISNUMBER(V14),U3&lt;&gt;0),V14/U3,"")</f>
        <v/>
      </c>
      <c r="W15" s="42"/>
      <c r="X15" s="42"/>
      <c r="Y15" s="52" t="str">
        <f>IF(Y14&lt;&gt;"",Y14/31421.6,"")</f>
        <v/>
      </c>
      <c r="Z15" s="42"/>
      <c r="AA15" s="43" t="str">
        <f>IF(AND(ISNUMBER(AA14),Z3&lt;&gt;0),AA14/Z3,"")</f>
        <v/>
      </c>
      <c r="AB15" s="42"/>
      <c r="AC15" s="42"/>
      <c r="AD15" s="52" t="str">
        <f>IF(AD14&lt;&gt;"",AD14/34249.3,"")</f>
        <v/>
      </c>
      <c r="AE15" s="42"/>
      <c r="AF15" s="43" t="str">
        <f>IF(AND(ISNUMBER(AF14),AE3&lt;&gt;0),AF14/AE3,"")</f>
        <v/>
      </c>
      <c r="AG15" s="42"/>
      <c r="AH15" s="42"/>
      <c r="AI15" s="52" t="str">
        <f>IF(AI14&lt;&gt;"",AI14/40509.09,"")</f>
        <v/>
      </c>
      <c r="AJ15" s="42"/>
      <c r="AK15" s="43" t="str">
        <f>IF(AND(ISNUMBER(AK14),AJ3&lt;&gt;0),AK14/AJ3,"")</f>
        <v/>
      </c>
      <c r="AL15" s="42"/>
      <c r="AM15" s="42"/>
      <c r="AN15" s="52" t="str">
        <f>IF(AN14&lt;&gt;"",AN14/40285.49,"")</f>
        <v/>
      </c>
      <c r="AO15" s="42"/>
      <c r="AP15" s="43" t="str">
        <f>IF(AND(ISNUMBER(AP14),AO3&lt;&gt;0),AP14/AO3,"")</f>
        <v/>
      </c>
      <c r="AQ15" s="42"/>
      <c r="AR15" s="42"/>
      <c r="AS15" s="52" t="str">
        <f>IF(AS14&lt;&gt;"",AS14/43482.44,"")</f>
        <v/>
      </c>
      <c r="AT15" s="42"/>
      <c r="AU15" s="43" t="str">
        <f>IF(AND(ISNUMBER(AU14),AT3&lt;&gt;0),AU14/AT3,"")</f>
        <v/>
      </c>
      <c r="AV15" s="42"/>
      <c r="AW15" s="42"/>
      <c r="AX15" s="52" t="str">
        <f>IF(AX14&lt;&gt;"",AX14/40858.19,"")</f>
        <v/>
      </c>
      <c r="AY15" s="42"/>
      <c r="AZ15" s="43" t="str">
        <f>IF(AND(ISNUMBER(AZ14),AY3&lt;&gt;0),AZ14/AY3,"")</f>
        <v/>
      </c>
      <c r="BA15" s="42"/>
      <c r="BB15" s="42"/>
      <c r="BC15" s="52" t="str">
        <f>IF(BC14&lt;&gt;"",BC14/26685.68,"")</f>
        <v/>
      </c>
      <c r="BD15" s="42"/>
      <c r="BE15" s="43" t="str">
        <f>IF(AND(ISNUMBER(BE14),BD3&lt;&gt;0),BE14/BD3,"")</f>
        <v/>
      </c>
      <c r="BF15" s="42"/>
      <c r="BG15" s="42"/>
      <c r="BH15" s="52" t="str">
        <f>IF(BH14&lt;&gt;"",BH14/13422.47,"")</f>
        <v/>
      </c>
      <c r="BI15" s="42"/>
      <c r="BJ15" s="43" t="str">
        <f>IF(AND(ISNUMBER(BJ14),BI3&lt;&gt;0),BJ14/BI3,"")</f>
        <v/>
      </c>
      <c r="BK15" s="42"/>
      <c r="BL15" s="42"/>
      <c r="BM15" s="6" t="s">
        <v>73</v>
      </c>
      <c r="BN15" s="6"/>
      <c r="BO15" s="6"/>
      <c r="BP15" s="6"/>
      <c r="BQ15" s="6"/>
    </row>
    <row r="16" spans="1:70" ht="15.75" customHeight="1" x14ac:dyDescent="0.3">
      <c r="A16" s="5" t="s">
        <v>74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</row>
  </sheetData>
  <mergeCells count="35">
    <mergeCell ref="A14:D14"/>
    <mergeCell ref="A15:D15"/>
    <mergeCell ref="BM15:BQ15"/>
    <mergeCell ref="A16:BR16"/>
    <mergeCell ref="BC4:BG4"/>
    <mergeCell ref="BH4:BL4"/>
    <mergeCell ref="BM4:BQ4"/>
    <mergeCell ref="A6:BR6"/>
    <mergeCell ref="A13:D13"/>
    <mergeCell ref="AD4:AH4"/>
    <mergeCell ref="AI4:AM4"/>
    <mergeCell ref="AN4:AR4"/>
    <mergeCell ref="AS4:AW4"/>
    <mergeCell ref="AX4:BB4"/>
    <mergeCell ref="E4:I4"/>
    <mergeCell ref="J4:N4"/>
    <mergeCell ref="O4:S4"/>
    <mergeCell ref="T4:X4"/>
    <mergeCell ref="Y4:AC4"/>
    <mergeCell ref="A1:BR1"/>
    <mergeCell ref="A2:BR2"/>
    <mergeCell ref="A3:D3"/>
    <mergeCell ref="E3:I3"/>
    <mergeCell ref="J3:N3"/>
    <mergeCell ref="O3:S3"/>
    <mergeCell ref="T3:X3"/>
    <mergeCell ref="Y3:AC3"/>
    <mergeCell ref="AD3:AH3"/>
    <mergeCell ref="AI3:AM3"/>
    <mergeCell ref="AN3:AR3"/>
    <mergeCell ref="AS3:AW3"/>
    <mergeCell ref="AX3:BB3"/>
    <mergeCell ref="BC3:BG3"/>
    <mergeCell ref="BH3:BL3"/>
    <mergeCell ref="BM3:BQ3"/>
  </mergeCells>
  <conditionalFormatting sqref="I7:I12">
    <cfRule type="cellIs" dxfId="103" priority="2" operator="lessThanOrEqual">
      <formula>1</formula>
    </cfRule>
    <cfRule type="cellIs" dxfId="102" priority="3" operator="greaterThan">
      <formula>1</formula>
    </cfRule>
  </conditionalFormatting>
  <conditionalFormatting sqref="I14">
    <cfRule type="cellIs" dxfId="101" priority="158" operator="lessThanOrEqual">
      <formula>1</formula>
    </cfRule>
    <cfRule type="cellIs" dxfId="100" priority="159" operator="greaterThan">
      <formula>1</formula>
    </cfRule>
  </conditionalFormatting>
  <conditionalFormatting sqref="N7:N12">
    <cfRule type="cellIs" dxfId="99" priority="4" operator="lessThanOrEqual">
      <formula>1</formula>
    </cfRule>
    <cfRule type="cellIs" dxfId="98" priority="5" operator="greaterThan">
      <formula>1</formula>
    </cfRule>
  </conditionalFormatting>
  <conditionalFormatting sqref="N14">
    <cfRule type="cellIs" dxfId="97" priority="160" operator="lessThanOrEqual">
      <formula>1</formula>
    </cfRule>
    <cfRule type="cellIs" dxfId="96" priority="161" operator="greaterThan">
      <formula>1</formula>
    </cfRule>
  </conditionalFormatting>
  <conditionalFormatting sqref="S7:S12">
    <cfRule type="cellIs" dxfId="95" priority="6" operator="lessThanOrEqual">
      <formula>1</formula>
    </cfRule>
    <cfRule type="cellIs" dxfId="94" priority="7" operator="greaterThan">
      <formula>1</formula>
    </cfRule>
  </conditionalFormatting>
  <conditionalFormatting sqref="S14">
    <cfRule type="cellIs" dxfId="93" priority="162" operator="lessThanOrEqual">
      <formula>1</formula>
    </cfRule>
    <cfRule type="cellIs" dxfId="92" priority="163" operator="greaterThan">
      <formula>1</formula>
    </cfRule>
  </conditionalFormatting>
  <conditionalFormatting sqref="X7:X12">
    <cfRule type="cellIs" dxfId="91" priority="8" operator="lessThanOrEqual">
      <formula>1</formula>
    </cfRule>
    <cfRule type="cellIs" dxfId="90" priority="9" operator="greaterThan">
      <formula>1</formula>
    </cfRule>
  </conditionalFormatting>
  <conditionalFormatting sqref="X14">
    <cfRule type="cellIs" dxfId="89" priority="164" operator="lessThanOrEqual">
      <formula>1</formula>
    </cfRule>
    <cfRule type="cellIs" dxfId="88" priority="165" operator="greaterThan">
      <formula>1</formula>
    </cfRule>
  </conditionalFormatting>
  <conditionalFormatting sqref="AC7:AC12">
    <cfRule type="cellIs" dxfId="87" priority="10" operator="lessThanOrEqual">
      <formula>1</formula>
    </cfRule>
    <cfRule type="cellIs" dxfId="86" priority="11" operator="greaterThan">
      <formula>1</formula>
    </cfRule>
  </conditionalFormatting>
  <conditionalFormatting sqref="AC14">
    <cfRule type="cellIs" dxfId="85" priority="166" operator="lessThanOrEqual">
      <formula>1</formula>
    </cfRule>
    <cfRule type="cellIs" dxfId="84" priority="167" operator="greaterThan">
      <formula>1</formula>
    </cfRule>
  </conditionalFormatting>
  <conditionalFormatting sqref="AH7:AH12">
    <cfRule type="cellIs" dxfId="83" priority="12" operator="lessThanOrEqual">
      <formula>1</formula>
    </cfRule>
    <cfRule type="cellIs" dxfId="82" priority="13" operator="greaterThan">
      <formula>1</formula>
    </cfRule>
  </conditionalFormatting>
  <conditionalFormatting sqref="AH14">
    <cfRule type="cellIs" dxfId="81" priority="168" operator="lessThanOrEqual">
      <formula>1</formula>
    </cfRule>
    <cfRule type="cellIs" dxfId="80" priority="169" operator="greaterThan">
      <formula>1</formula>
    </cfRule>
  </conditionalFormatting>
  <conditionalFormatting sqref="AM7:AM12">
    <cfRule type="cellIs" dxfId="79" priority="14" operator="lessThanOrEqual">
      <formula>1</formula>
    </cfRule>
    <cfRule type="cellIs" dxfId="78" priority="15" operator="greaterThan">
      <formula>1</formula>
    </cfRule>
  </conditionalFormatting>
  <conditionalFormatting sqref="AM14">
    <cfRule type="cellIs" dxfId="77" priority="170" operator="lessThanOrEqual">
      <formula>1</formula>
    </cfRule>
    <cfRule type="cellIs" dxfId="76" priority="171" operator="greaterThan">
      <formula>1</formula>
    </cfRule>
  </conditionalFormatting>
  <conditionalFormatting sqref="AR7:AR12">
    <cfRule type="cellIs" dxfId="75" priority="16" operator="lessThanOrEqual">
      <formula>1</formula>
    </cfRule>
    <cfRule type="cellIs" dxfId="74" priority="17" operator="greaterThan">
      <formula>1</formula>
    </cfRule>
  </conditionalFormatting>
  <conditionalFormatting sqref="AR14">
    <cfRule type="cellIs" dxfId="73" priority="172" operator="lessThanOrEqual">
      <formula>1</formula>
    </cfRule>
    <cfRule type="cellIs" dxfId="72" priority="173" operator="greaterThan">
      <formula>1</formula>
    </cfRule>
  </conditionalFormatting>
  <conditionalFormatting sqref="AW7:AW12">
    <cfRule type="cellIs" dxfId="71" priority="18" operator="lessThanOrEqual">
      <formula>1</formula>
    </cfRule>
    <cfRule type="cellIs" dxfId="70" priority="19" operator="greaterThan">
      <formula>1</formula>
    </cfRule>
  </conditionalFormatting>
  <conditionalFormatting sqref="AW14">
    <cfRule type="cellIs" dxfId="69" priority="174" operator="lessThanOrEqual">
      <formula>1</formula>
    </cfRule>
    <cfRule type="cellIs" dxfId="68" priority="175" operator="greaterThan">
      <formula>1</formula>
    </cfRule>
  </conditionalFormatting>
  <conditionalFormatting sqref="BB7:BB12">
    <cfRule type="cellIs" dxfId="67" priority="20" operator="lessThanOrEqual">
      <formula>1</formula>
    </cfRule>
    <cfRule type="cellIs" dxfId="66" priority="21" operator="greaterThan">
      <formula>1</formula>
    </cfRule>
  </conditionalFormatting>
  <conditionalFormatting sqref="BB14">
    <cfRule type="cellIs" dxfId="65" priority="176" operator="lessThanOrEqual">
      <formula>1</formula>
    </cfRule>
    <cfRule type="cellIs" dxfId="64" priority="177" operator="greaterThan">
      <formula>1</formula>
    </cfRule>
  </conditionalFormatting>
  <conditionalFormatting sqref="BG7:BG12">
    <cfRule type="cellIs" dxfId="63" priority="22" operator="lessThanOrEqual">
      <formula>1</formula>
    </cfRule>
    <cfRule type="cellIs" dxfId="62" priority="23" operator="greaterThan">
      <formula>1</formula>
    </cfRule>
  </conditionalFormatting>
  <conditionalFormatting sqref="BG14">
    <cfRule type="cellIs" dxfId="61" priority="178" operator="lessThanOrEqual">
      <formula>1</formula>
    </cfRule>
    <cfRule type="cellIs" dxfId="60" priority="179" operator="greaterThan">
      <formula>1</formula>
    </cfRule>
  </conditionalFormatting>
  <conditionalFormatting sqref="BL7:BL12">
    <cfRule type="cellIs" dxfId="59" priority="24" operator="lessThanOrEqual">
      <formula>1</formula>
    </cfRule>
    <cfRule type="cellIs" dxfId="58" priority="25" operator="greaterThan">
      <formula>1</formula>
    </cfRule>
  </conditionalFormatting>
  <conditionalFormatting sqref="BL14">
    <cfRule type="cellIs" dxfId="57" priority="180" operator="lessThanOrEqual">
      <formula>1</formula>
    </cfRule>
    <cfRule type="cellIs" dxfId="56" priority="181" operator="greaterThan">
      <formula>1</formula>
    </cfRule>
  </conditionalFormatting>
  <conditionalFormatting sqref="BQ7:BQ12">
    <cfRule type="cellIs" dxfId="55" priority="26" operator="lessThanOrEqual">
      <formula>1</formula>
    </cfRule>
    <cfRule type="cellIs" dxfId="54" priority="27" operator="greaterThan">
      <formula>1</formula>
    </cfRule>
  </conditionalFormatting>
  <conditionalFormatting sqref="BQ14">
    <cfRule type="cellIs" dxfId="53" priority="182" operator="lessThanOrEqual">
      <formula>1</formula>
    </cfRule>
    <cfRule type="cellIs" dxfId="52" priority="183" operator="greaterThan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2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sqref="A1:BE1"/>
    </sheetView>
  </sheetViews>
  <sheetFormatPr baseColWidth="10" defaultColWidth="8.6640625" defaultRowHeight="14.4" x14ac:dyDescent="0.3"/>
  <cols>
    <col min="1" max="1" width="16" customWidth="1"/>
    <col min="2" max="2" width="40" customWidth="1"/>
    <col min="3" max="3" width="12" customWidth="1"/>
    <col min="4" max="4" width="16" customWidth="1"/>
    <col min="5" max="6" width="13" customWidth="1"/>
    <col min="7" max="7" width="12" customWidth="1"/>
    <col min="8" max="8" width="9" customWidth="1"/>
    <col min="9" max="10" width="13" customWidth="1"/>
    <col min="11" max="11" width="12" customWidth="1"/>
    <col min="12" max="12" width="9" customWidth="1"/>
    <col min="13" max="14" width="13" customWidth="1"/>
    <col min="15" max="15" width="12" customWidth="1"/>
    <col min="16" max="16" width="9" customWidth="1"/>
    <col min="17" max="18" width="13" customWidth="1"/>
    <col min="19" max="19" width="12" customWidth="1"/>
    <col min="20" max="20" width="9" customWidth="1"/>
    <col min="21" max="22" width="13" customWidth="1"/>
    <col min="23" max="23" width="12" customWidth="1"/>
    <col min="24" max="24" width="9" customWidth="1"/>
    <col min="25" max="26" width="13" customWidth="1"/>
    <col min="27" max="27" width="12" customWidth="1"/>
    <col min="28" max="28" width="9" customWidth="1"/>
    <col min="29" max="30" width="13" customWidth="1"/>
    <col min="31" max="31" width="12" customWidth="1"/>
    <col min="32" max="32" width="9" customWidth="1"/>
    <col min="33" max="34" width="13" customWidth="1"/>
    <col min="35" max="35" width="12" customWidth="1"/>
    <col min="36" max="36" width="9" customWidth="1"/>
    <col min="37" max="38" width="13" customWidth="1"/>
    <col min="39" max="39" width="12" customWidth="1"/>
    <col min="40" max="40" width="9" customWidth="1"/>
    <col min="41" max="42" width="13" customWidth="1"/>
    <col min="43" max="43" width="12" customWidth="1"/>
    <col min="44" max="44" width="9" customWidth="1"/>
    <col min="45" max="46" width="13" customWidth="1"/>
    <col min="47" max="47" width="12" customWidth="1"/>
    <col min="48" max="48" width="9" customWidth="1"/>
    <col min="49" max="50" width="13" customWidth="1"/>
    <col min="51" max="51" width="12" customWidth="1"/>
    <col min="52" max="52" width="9" customWidth="1"/>
    <col min="53" max="56" width="13" customWidth="1"/>
  </cols>
  <sheetData>
    <row r="1" spans="1:57" ht="27.75" customHeight="1" x14ac:dyDescent="0.3">
      <c r="A1" s="13" t="s">
        <v>84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</row>
    <row r="2" spans="1:57" ht="18" customHeight="1" x14ac:dyDescent="0.3">
      <c r="A2" s="12" t="s">
        <v>85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spans="1:57" ht="18" customHeight="1" x14ac:dyDescent="0.3">
      <c r="A3" s="8" t="s">
        <v>55</v>
      </c>
      <c r="B3" s="8"/>
      <c r="C3" s="8"/>
      <c r="D3" s="8"/>
      <c r="E3" s="8">
        <v>27229</v>
      </c>
      <c r="F3" s="8"/>
      <c r="G3" s="8"/>
      <c r="H3" s="8"/>
      <c r="I3" s="8">
        <v>26637</v>
      </c>
      <c r="J3" s="8"/>
      <c r="K3" s="8"/>
      <c r="L3" s="8"/>
      <c r="M3" s="8">
        <v>25371</v>
      </c>
      <c r="N3" s="8"/>
      <c r="O3" s="8"/>
      <c r="P3" s="8"/>
      <c r="Q3" s="8">
        <v>28996</v>
      </c>
      <c r="R3" s="8"/>
      <c r="S3" s="8"/>
      <c r="T3" s="8"/>
      <c r="U3" s="8">
        <v>31422</v>
      </c>
      <c r="V3" s="8"/>
      <c r="W3" s="8"/>
      <c r="X3" s="8"/>
      <c r="Y3" s="8">
        <v>34249</v>
      </c>
      <c r="Z3" s="8"/>
      <c r="AA3" s="8"/>
      <c r="AB3" s="8"/>
      <c r="AC3" s="8">
        <v>40509</v>
      </c>
      <c r="AD3" s="8"/>
      <c r="AE3" s="8"/>
      <c r="AF3" s="8"/>
      <c r="AG3" s="8">
        <v>40285</v>
      </c>
      <c r="AH3" s="8"/>
      <c r="AI3" s="8"/>
      <c r="AJ3" s="8"/>
      <c r="AK3" s="8">
        <v>43482</v>
      </c>
      <c r="AL3" s="8"/>
      <c r="AM3" s="8"/>
      <c r="AN3" s="8"/>
      <c r="AO3" s="8">
        <v>40858</v>
      </c>
      <c r="AP3" s="8"/>
      <c r="AQ3" s="8"/>
      <c r="AR3" s="8"/>
      <c r="AS3" s="8">
        <v>26686</v>
      </c>
      <c r="AT3" s="8"/>
      <c r="AU3" s="8"/>
      <c r="AV3" s="8"/>
      <c r="AW3" s="8">
        <v>13422</v>
      </c>
      <c r="AX3" s="8"/>
      <c r="AY3" s="8"/>
      <c r="AZ3" s="8"/>
      <c r="BA3" s="8">
        <v>379148</v>
      </c>
      <c r="BB3" s="8"/>
      <c r="BC3" s="8"/>
      <c r="BD3" s="8"/>
    </row>
    <row r="4" spans="1:57" ht="36" customHeight="1" x14ac:dyDescent="0.3">
      <c r="A4" s="44" t="s">
        <v>56</v>
      </c>
      <c r="B4" s="44" t="s">
        <v>86</v>
      </c>
      <c r="C4" s="44" t="s">
        <v>4</v>
      </c>
      <c r="D4" s="44" t="s">
        <v>87</v>
      </c>
      <c r="E4" s="11" t="s">
        <v>6</v>
      </c>
      <c r="F4" s="11"/>
      <c r="G4" s="11"/>
      <c r="H4" s="11"/>
      <c r="I4" s="11" t="s">
        <v>7</v>
      </c>
      <c r="J4" s="11"/>
      <c r="K4" s="11"/>
      <c r="L4" s="11"/>
      <c r="M4" s="11" t="s">
        <v>8</v>
      </c>
      <c r="N4" s="11"/>
      <c r="O4" s="11"/>
      <c r="P4" s="11"/>
      <c r="Q4" s="11" t="s">
        <v>9</v>
      </c>
      <c r="R4" s="11"/>
      <c r="S4" s="11"/>
      <c r="T4" s="11"/>
      <c r="U4" s="11" t="s">
        <v>10</v>
      </c>
      <c r="V4" s="11"/>
      <c r="W4" s="11"/>
      <c r="X4" s="11"/>
      <c r="Y4" s="11" t="s">
        <v>11</v>
      </c>
      <c r="Z4" s="11"/>
      <c r="AA4" s="11"/>
      <c r="AB4" s="11"/>
      <c r="AC4" s="11" t="s">
        <v>12</v>
      </c>
      <c r="AD4" s="11"/>
      <c r="AE4" s="11"/>
      <c r="AF4" s="11"/>
      <c r="AG4" s="11" t="s">
        <v>13</v>
      </c>
      <c r="AH4" s="11"/>
      <c r="AI4" s="11"/>
      <c r="AJ4" s="11"/>
      <c r="AK4" s="11" t="s">
        <v>14</v>
      </c>
      <c r="AL4" s="11"/>
      <c r="AM4" s="11"/>
      <c r="AN4" s="11"/>
      <c r="AO4" s="11" t="s">
        <v>15</v>
      </c>
      <c r="AP4" s="11"/>
      <c r="AQ4" s="11"/>
      <c r="AR4" s="11"/>
      <c r="AS4" s="11" t="s">
        <v>16</v>
      </c>
      <c r="AT4" s="11"/>
      <c r="AU4" s="11"/>
      <c r="AV4" s="11"/>
      <c r="AW4" s="11" t="s">
        <v>17</v>
      </c>
      <c r="AX4" s="11"/>
      <c r="AY4" s="11"/>
      <c r="AZ4" s="11"/>
      <c r="BA4" s="10" t="s">
        <v>18</v>
      </c>
      <c r="BB4" s="10"/>
      <c r="BC4" s="10"/>
      <c r="BD4" s="10"/>
    </row>
    <row r="5" spans="1:57" ht="30" customHeight="1" x14ac:dyDescent="0.3">
      <c r="A5" s="16"/>
      <c r="B5" s="16"/>
      <c r="C5" s="16"/>
      <c r="D5" s="16"/>
      <c r="E5" s="17" t="s">
        <v>19</v>
      </c>
      <c r="F5" s="18" t="s">
        <v>20</v>
      </c>
      <c r="G5" s="19" t="s">
        <v>21</v>
      </c>
      <c r="H5" s="19" t="s">
        <v>22</v>
      </c>
      <c r="I5" s="17" t="s">
        <v>19</v>
      </c>
      <c r="J5" s="18" t="s">
        <v>20</v>
      </c>
      <c r="K5" s="19" t="s">
        <v>21</v>
      </c>
      <c r="L5" s="19" t="s">
        <v>22</v>
      </c>
      <c r="M5" s="17" t="s">
        <v>19</v>
      </c>
      <c r="N5" s="18" t="s">
        <v>20</v>
      </c>
      <c r="O5" s="19" t="s">
        <v>21</v>
      </c>
      <c r="P5" s="19" t="s">
        <v>22</v>
      </c>
      <c r="Q5" s="17" t="s">
        <v>19</v>
      </c>
      <c r="R5" s="18" t="s">
        <v>20</v>
      </c>
      <c r="S5" s="19" t="s">
        <v>21</v>
      </c>
      <c r="T5" s="19" t="s">
        <v>22</v>
      </c>
      <c r="U5" s="17" t="s">
        <v>19</v>
      </c>
      <c r="V5" s="18" t="s">
        <v>20</v>
      </c>
      <c r="W5" s="19" t="s">
        <v>21</v>
      </c>
      <c r="X5" s="19" t="s">
        <v>22</v>
      </c>
      <c r="Y5" s="17" t="s">
        <v>19</v>
      </c>
      <c r="Z5" s="18" t="s">
        <v>20</v>
      </c>
      <c r="AA5" s="19" t="s">
        <v>21</v>
      </c>
      <c r="AB5" s="19" t="s">
        <v>22</v>
      </c>
      <c r="AC5" s="17" t="s">
        <v>19</v>
      </c>
      <c r="AD5" s="18" t="s">
        <v>20</v>
      </c>
      <c r="AE5" s="19" t="s">
        <v>21</v>
      </c>
      <c r="AF5" s="19" t="s">
        <v>22</v>
      </c>
      <c r="AG5" s="17" t="s">
        <v>19</v>
      </c>
      <c r="AH5" s="18" t="s">
        <v>20</v>
      </c>
      <c r="AI5" s="19" t="s">
        <v>21</v>
      </c>
      <c r="AJ5" s="19" t="s">
        <v>22</v>
      </c>
      <c r="AK5" s="17" t="s">
        <v>19</v>
      </c>
      <c r="AL5" s="18" t="s">
        <v>20</v>
      </c>
      <c r="AM5" s="19" t="s">
        <v>21</v>
      </c>
      <c r="AN5" s="19" t="s">
        <v>22</v>
      </c>
      <c r="AO5" s="17" t="s">
        <v>19</v>
      </c>
      <c r="AP5" s="18" t="s">
        <v>20</v>
      </c>
      <c r="AQ5" s="19" t="s">
        <v>21</v>
      </c>
      <c r="AR5" s="19" t="s">
        <v>22</v>
      </c>
      <c r="AS5" s="17" t="s">
        <v>19</v>
      </c>
      <c r="AT5" s="18" t="s">
        <v>20</v>
      </c>
      <c r="AU5" s="19" t="s">
        <v>21</v>
      </c>
      <c r="AV5" s="19" t="s">
        <v>22</v>
      </c>
      <c r="AW5" s="17" t="s">
        <v>19</v>
      </c>
      <c r="AX5" s="18" t="s">
        <v>20</v>
      </c>
      <c r="AY5" s="19" t="s">
        <v>21</v>
      </c>
      <c r="AZ5" s="19" t="s">
        <v>22</v>
      </c>
      <c r="BA5" s="20" t="s">
        <v>19</v>
      </c>
      <c r="BB5" s="18" t="s">
        <v>20</v>
      </c>
      <c r="BC5" s="19" t="s">
        <v>21</v>
      </c>
      <c r="BD5" s="19" t="s">
        <v>22</v>
      </c>
    </row>
    <row r="6" spans="1:57" ht="19.5" customHeight="1" x14ac:dyDescent="0.3">
      <c r="A6" s="23" t="s">
        <v>88</v>
      </c>
      <c r="B6" s="21" t="s">
        <v>89</v>
      </c>
      <c r="C6" s="22" t="s">
        <v>24</v>
      </c>
      <c r="D6" s="22" t="s">
        <v>90</v>
      </c>
      <c r="E6" s="24">
        <v>95500</v>
      </c>
      <c r="F6" s="31"/>
      <c r="G6" s="32" t="str">
        <f>IF(ISNUMBER(F6),F6-E6,"")</f>
        <v/>
      </c>
      <c r="H6" s="27" t="str">
        <f>IF(AND(ISNUMBER(F6),E6&lt;&gt;0),F6/E6,"")</f>
        <v/>
      </c>
      <c r="I6" s="24">
        <v>95200</v>
      </c>
      <c r="J6" s="31"/>
      <c r="K6" s="32" t="str">
        <f>IF(ISNUMBER(J6),J6-I6,"")</f>
        <v/>
      </c>
      <c r="L6" s="27" t="str">
        <f>IF(AND(ISNUMBER(J6),I6&lt;&gt;0),J6/I6,"")</f>
        <v/>
      </c>
      <c r="M6" s="24">
        <v>65965</v>
      </c>
      <c r="N6" s="31"/>
      <c r="O6" s="32" t="str">
        <f>IF(ISNUMBER(N6),N6-M6,"")</f>
        <v/>
      </c>
      <c r="P6" s="27" t="str">
        <f>IF(AND(ISNUMBER(N6),M6&lt;&gt;0),N6/M6,"")</f>
        <v/>
      </c>
      <c r="Q6" s="24">
        <v>75390</v>
      </c>
      <c r="R6" s="31"/>
      <c r="S6" s="32" t="str">
        <f>IF(ISNUMBER(R6),R6-Q6,"")</f>
        <v/>
      </c>
      <c r="T6" s="27" t="str">
        <f>IF(AND(ISNUMBER(R6),Q6&lt;&gt;0),R6/Q6,"")</f>
        <v/>
      </c>
      <c r="U6" s="24">
        <v>81696</v>
      </c>
      <c r="V6" s="31"/>
      <c r="W6" s="32" t="str">
        <f>IF(ISNUMBER(V6),V6-U6,"")</f>
        <v/>
      </c>
      <c r="X6" s="27" t="str">
        <f>IF(AND(ISNUMBER(V6),U6&lt;&gt;0),V6/U6,"")</f>
        <v/>
      </c>
      <c r="Y6" s="24">
        <v>89048</v>
      </c>
      <c r="Z6" s="31"/>
      <c r="AA6" s="32" t="str">
        <f>IF(ISNUMBER(Z6),Z6-Y6,"")</f>
        <v/>
      </c>
      <c r="AB6" s="27" t="str">
        <f>IF(AND(ISNUMBER(Z6),Y6&lt;&gt;0),Z6/Y6,"")</f>
        <v/>
      </c>
      <c r="AC6" s="24">
        <v>105324</v>
      </c>
      <c r="AD6" s="31"/>
      <c r="AE6" s="32" t="str">
        <f>IF(ISNUMBER(AD6),AD6-AC6,"")</f>
        <v/>
      </c>
      <c r="AF6" s="27" t="str">
        <f>IF(AND(ISNUMBER(AD6),AC6&lt;&gt;0),AD6/AC6,"")</f>
        <v/>
      </c>
      <c r="AG6" s="24">
        <v>104742</v>
      </c>
      <c r="AH6" s="31"/>
      <c r="AI6" s="32" t="str">
        <f>IF(ISNUMBER(AH6),AH6-AG6,"")</f>
        <v/>
      </c>
      <c r="AJ6" s="27" t="str">
        <f>IF(AND(ISNUMBER(AH6),AG6&lt;&gt;0),AH6/AG6,"")</f>
        <v/>
      </c>
      <c r="AK6" s="24">
        <v>113054</v>
      </c>
      <c r="AL6" s="31"/>
      <c r="AM6" s="32" t="str">
        <f>IF(ISNUMBER(AL6),AL6-AK6,"")</f>
        <v/>
      </c>
      <c r="AN6" s="27" t="str">
        <f>IF(AND(ISNUMBER(AL6),AK6&lt;&gt;0),AL6/AK6,"")</f>
        <v/>
      </c>
      <c r="AO6" s="24">
        <v>106231</v>
      </c>
      <c r="AP6" s="31"/>
      <c r="AQ6" s="32" t="str">
        <f>IF(ISNUMBER(AP6),AP6-AO6,"")</f>
        <v/>
      </c>
      <c r="AR6" s="27" t="str">
        <f>IF(AND(ISNUMBER(AP6),AO6&lt;&gt;0),AP6/AO6,"")</f>
        <v/>
      </c>
      <c r="AS6" s="24">
        <v>69383</v>
      </c>
      <c r="AT6" s="31"/>
      <c r="AU6" s="32" t="str">
        <f>IF(ISNUMBER(AT6),AT6-AS6,"")</f>
        <v/>
      </c>
      <c r="AV6" s="27" t="str">
        <f>IF(AND(ISNUMBER(AT6),AS6&lt;&gt;0),AT6/AS6,"")</f>
        <v/>
      </c>
      <c r="AW6" s="24">
        <v>34898</v>
      </c>
      <c r="AX6" s="31"/>
      <c r="AY6" s="32" t="str">
        <f>IF(ISNUMBER(AX6),AX6-AW6,"")</f>
        <v/>
      </c>
      <c r="AZ6" s="27" t="str">
        <f>IF(AND(ISNUMBER(AX6),AW6&lt;&gt;0),AX6/AW6,"")</f>
        <v/>
      </c>
      <c r="BA6" s="24">
        <f>SUM(E6,I6,M6,Q6,U6,Y6,AC6,AG6,AK6,AO6,AS6,AW6)</f>
        <v>1036431</v>
      </c>
      <c r="BB6" s="33" t="str">
        <f>IF(COUNTA(F6,J6,N6,R6,V6,Z6,AD6,AH6,AL6,AP6,AT6,AX6)&gt;0,SUM(F6,J6,N6,R6,V6,Z6,AD6,AH6,AL6,AP6,AT6,AX6),"")</f>
        <v/>
      </c>
      <c r="BC6" s="32" t="str">
        <f>IF(ISNUMBER(BB6),BB6-BA6,"")</f>
        <v/>
      </c>
      <c r="BD6" s="27" t="str">
        <f>IF(AND(ISNUMBER(BB6),BA6&lt;&gt;0),BB6/BA6,"")</f>
        <v/>
      </c>
    </row>
    <row r="7" spans="1:57" ht="19.5" customHeight="1" x14ac:dyDescent="0.3">
      <c r="A7" s="23" t="s">
        <v>88</v>
      </c>
      <c r="B7" s="21" t="s">
        <v>91</v>
      </c>
      <c r="C7" s="22" t="s">
        <v>92</v>
      </c>
      <c r="D7" s="22" t="s">
        <v>93</v>
      </c>
      <c r="E7" s="40">
        <v>9985500</v>
      </c>
      <c r="F7" s="41"/>
      <c r="G7" s="43" t="str">
        <f>IF(ISNUMBER(F7),F7-E7,"")</f>
        <v/>
      </c>
      <c r="H7" s="27" t="str">
        <f>IF(AND(ISNUMBER(F7),E7&lt;&gt;0),F7/E7,"")</f>
        <v/>
      </c>
      <c r="I7" s="40">
        <v>9985500</v>
      </c>
      <c r="J7" s="41"/>
      <c r="K7" s="43" t="str">
        <f>IF(ISNUMBER(J7),J7-I7,"")</f>
        <v/>
      </c>
      <c r="L7" s="27" t="str">
        <f>IF(AND(ISNUMBER(J7),I7&lt;&gt;0),J7/I7,"")</f>
        <v/>
      </c>
      <c r="M7" s="40">
        <v>9985500</v>
      </c>
      <c r="N7" s="41"/>
      <c r="O7" s="43" t="str">
        <f>IF(ISNUMBER(N7),N7-M7,"")</f>
        <v/>
      </c>
      <c r="P7" s="27" t="str">
        <f>IF(AND(ISNUMBER(N7),M7&lt;&gt;0),N7/M7,"")</f>
        <v/>
      </c>
      <c r="Q7" s="40">
        <v>9985500</v>
      </c>
      <c r="R7" s="41"/>
      <c r="S7" s="43" t="str">
        <f>IF(ISNUMBER(R7),R7-Q7,"")</f>
        <v/>
      </c>
      <c r="T7" s="27" t="str">
        <f>IF(AND(ISNUMBER(R7),Q7&lt;&gt;0),R7/Q7,"")</f>
        <v/>
      </c>
      <c r="U7" s="40">
        <v>9985500</v>
      </c>
      <c r="V7" s="41"/>
      <c r="W7" s="43" t="str">
        <f>IF(ISNUMBER(V7),V7-U7,"")</f>
        <v/>
      </c>
      <c r="X7" s="27" t="str">
        <f>IF(AND(ISNUMBER(V7),U7&lt;&gt;0),V7/U7,"")</f>
        <v/>
      </c>
      <c r="Y7" s="40">
        <v>9985500</v>
      </c>
      <c r="Z7" s="41"/>
      <c r="AA7" s="43" t="str">
        <f>IF(ISNUMBER(Z7),Z7-Y7,"")</f>
        <v/>
      </c>
      <c r="AB7" s="27" t="str">
        <f>IF(AND(ISNUMBER(Z7),Y7&lt;&gt;0),Z7/Y7,"")</f>
        <v/>
      </c>
      <c r="AC7" s="40">
        <v>9985500</v>
      </c>
      <c r="AD7" s="41"/>
      <c r="AE7" s="43" t="str">
        <f>IF(ISNUMBER(AD7),AD7-AC7,"")</f>
        <v/>
      </c>
      <c r="AF7" s="27" t="str">
        <f>IF(AND(ISNUMBER(AD7),AC7&lt;&gt;0),AD7/AC7,"")</f>
        <v/>
      </c>
      <c r="AG7" s="40">
        <v>9985500</v>
      </c>
      <c r="AH7" s="41"/>
      <c r="AI7" s="43" t="str">
        <f>IF(ISNUMBER(AH7),AH7-AG7,"")</f>
        <v/>
      </c>
      <c r="AJ7" s="27" t="str">
        <f>IF(AND(ISNUMBER(AH7),AG7&lt;&gt;0),AH7/AG7,"")</f>
        <v/>
      </c>
      <c r="AK7" s="40">
        <v>9985500</v>
      </c>
      <c r="AL7" s="41"/>
      <c r="AM7" s="43" t="str">
        <f>IF(ISNUMBER(AL7),AL7-AK7,"")</f>
        <v/>
      </c>
      <c r="AN7" s="27" t="str">
        <f>IF(AND(ISNUMBER(AL7),AK7&lt;&gt;0),AL7/AK7,"")</f>
        <v/>
      </c>
      <c r="AO7" s="40">
        <v>9985500</v>
      </c>
      <c r="AP7" s="41"/>
      <c r="AQ7" s="43" t="str">
        <f>IF(ISNUMBER(AP7),AP7-AO7,"")</f>
        <v/>
      </c>
      <c r="AR7" s="27" t="str">
        <f>IF(AND(ISNUMBER(AP7),AO7&lt;&gt;0),AP7/AO7,"")</f>
        <v/>
      </c>
      <c r="AS7" s="40">
        <v>9985500</v>
      </c>
      <c r="AT7" s="41"/>
      <c r="AU7" s="43" t="str">
        <f>IF(ISNUMBER(AT7),AT7-AS7,"")</f>
        <v/>
      </c>
      <c r="AV7" s="27" t="str">
        <f>IF(AND(ISNUMBER(AT7),AS7&lt;&gt;0),AT7/AS7,"")</f>
        <v/>
      </c>
      <c r="AW7" s="40">
        <v>9985500</v>
      </c>
      <c r="AX7" s="41"/>
      <c r="AY7" s="43" t="str">
        <f>IF(ISNUMBER(AX7),AX7-AW7,"")</f>
        <v/>
      </c>
      <c r="AZ7" s="27" t="str">
        <f>IF(AND(ISNUMBER(AX7),AW7&lt;&gt;0),AX7/AW7,"")</f>
        <v/>
      </c>
      <c r="BA7" s="40">
        <f>SUM(E7,I7,M7,Q7,U7,Y7,AC7,AG7,AK7,AO7,AS7,AW7)</f>
        <v>119826000</v>
      </c>
      <c r="BB7" s="53" t="str">
        <f>IF(COUNTA(F7,J7,N7,R7,V7,Z7,AD7,AH7,AL7,AP7,AT7,AX7)&gt;0,SUM(F7,J7,N7,R7,V7,Z7,AD7,AH7,AL7,AP7,AT7,AX7),"")</f>
        <v/>
      </c>
      <c r="BC7" s="43" t="str">
        <f>IF(ISNUMBER(BB7),BB7-BA7,"")</f>
        <v/>
      </c>
      <c r="BD7" s="27" t="str">
        <f>IF(AND(ISNUMBER(BB7),BA7&lt;&gt;0),BB7/BA7,"")</f>
        <v/>
      </c>
    </row>
    <row r="8" spans="1:57" ht="19.5" customHeight="1" x14ac:dyDescent="0.3">
      <c r="A8" s="23" t="s">
        <v>88</v>
      </c>
      <c r="B8" s="21" t="s">
        <v>94</v>
      </c>
      <c r="C8" s="22" t="s">
        <v>24</v>
      </c>
      <c r="D8" s="22" t="s">
        <v>95</v>
      </c>
      <c r="E8" s="24">
        <v>99280</v>
      </c>
      <c r="F8" s="31"/>
      <c r="G8" s="32" t="str">
        <f>IF(ISNUMBER(F8),F8-E8,"")</f>
        <v/>
      </c>
      <c r="H8" s="27" t="str">
        <f>IF(AND(ISNUMBER(F8),E8&lt;&gt;0),F8/E8,"")</f>
        <v/>
      </c>
      <c r="I8" s="24">
        <v>76177</v>
      </c>
      <c r="J8" s="31"/>
      <c r="K8" s="32" t="str">
        <f>IF(ISNUMBER(J8),J8-I8,"")</f>
        <v/>
      </c>
      <c r="L8" s="27" t="str">
        <f>IF(AND(ISNUMBER(J8),I8&lt;&gt;0),J8/I8,"")</f>
        <v/>
      </c>
      <c r="M8" s="24">
        <v>86262</v>
      </c>
      <c r="N8" s="31"/>
      <c r="O8" s="32" t="str">
        <f>IF(ISNUMBER(N8),N8-M8,"")</f>
        <v/>
      </c>
      <c r="P8" s="27" t="str">
        <f>IF(AND(ISNUMBER(N8),M8&lt;&gt;0),N8/M8,"")</f>
        <v/>
      </c>
      <c r="Q8" s="24">
        <v>98587</v>
      </c>
      <c r="R8" s="31"/>
      <c r="S8" s="32" t="str">
        <f>IF(ISNUMBER(R8),R8-Q8,"")</f>
        <v/>
      </c>
      <c r="T8" s="27" t="str">
        <f>IF(AND(ISNUMBER(R8),Q8&lt;&gt;0),R8/Q8,"")</f>
        <v/>
      </c>
      <c r="U8" s="24">
        <v>106833</v>
      </c>
      <c r="V8" s="31"/>
      <c r="W8" s="32" t="str">
        <f>IF(ISNUMBER(V8),V8-U8,"")</f>
        <v/>
      </c>
      <c r="X8" s="27" t="str">
        <f>IF(AND(ISNUMBER(V8),U8&lt;&gt;0),V8/U8,"")</f>
        <v/>
      </c>
      <c r="Y8" s="24">
        <v>116448</v>
      </c>
      <c r="Z8" s="31"/>
      <c r="AA8" s="32" t="str">
        <f>IF(ISNUMBER(Z8),Z8-Y8,"")</f>
        <v/>
      </c>
      <c r="AB8" s="27" t="str">
        <f>IF(AND(ISNUMBER(Z8),Y8&lt;&gt;0),Z8/Y8,"")</f>
        <v/>
      </c>
      <c r="AC8" s="24">
        <v>137731</v>
      </c>
      <c r="AD8" s="31"/>
      <c r="AE8" s="32" t="str">
        <f>IF(ISNUMBER(AD8),AD8-AC8,"")</f>
        <v/>
      </c>
      <c r="AF8" s="27" t="str">
        <f>IF(AND(ISNUMBER(AD8),AC8&lt;&gt;0),AD8/AC8,"")</f>
        <v/>
      </c>
      <c r="AG8" s="24">
        <v>136971</v>
      </c>
      <c r="AH8" s="31"/>
      <c r="AI8" s="32" t="str">
        <f>IF(ISNUMBER(AH8),AH8-AG8,"")</f>
        <v/>
      </c>
      <c r="AJ8" s="27" t="str">
        <f>IF(AND(ISNUMBER(AH8),AG8&lt;&gt;0),AH8/AG8,"")</f>
        <v/>
      </c>
      <c r="AK8" s="24">
        <v>147840</v>
      </c>
      <c r="AL8" s="31"/>
      <c r="AM8" s="32" t="str">
        <f>IF(ISNUMBER(AL8),AL8-AK8,"")</f>
        <v/>
      </c>
      <c r="AN8" s="27" t="str">
        <f>IF(AND(ISNUMBER(AL8),AK8&lt;&gt;0),AL8/AK8,"")</f>
        <v/>
      </c>
      <c r="AO8" s="24">
        <v>138918</v>
      </c>
      <c r="AP8" s="31"/>
      <c r="AQ8" s="32" t="str">
        <f>IF(ISNUMBER(AP8),AP8-AO8,"")</f>
        <v/>
      </c>
      <c r="AR8" s="27" t="str">
        <f>IF(AND(ISNUMBER(AP8),AO8&lt;&gt;0),AP8/AO8,"")</f>
        <v/>
      </c>
      <c r="AS8" s="24">
        <v>90731</v>
      </c>
      <c r="AT8" s="31"/>
      <c r="AU8" s="32" t="str">
        <f>IF(ISNUMBER(AT8),AT8-AS8,"")</f>
        <v/>
      </c>
      <c r="AV8" s="27" t="str">
        <f>IF(AND(ISNUMBER(AT8),AS8&lt;&gt;0),AT8/AS8,"")</f>
        <v/>
      </c>
      <c r="AW8" s="24">
        <v>45636</v>
      </c>
      <c r="AX8" s="31"/>
      <c r="AY8" s="32" t="str">
        <f>IF(ISNUMBER(AX8),AX8-AW8,"")</f>
        <v/>
      </c>
      <c r="AZ8" s="27" t="str">
        <f>IF(AND(ISNUMBER(AX8),AW8&lt;&gt;0),AX8/AW8,"")</f>
        <v/>
      </c>
      <c r="BA8" s="24">
        <f>SUM(E8,I8,M8,Q8,U8,Y8,AC8,AG8,AK8,AO8,AS8,AW8)</f>
        <v>1281414</v>
      </c>
      <c r="BB8" s="33" t="str">
        <f>IF(COUNTA(F8,J8,N8,R8,V8,Z8,AD8,AH8,AL8,AP8,AT8,AX8)&gt;0,SUM(F8,J8,N8,R8,V8,Z8,AD8,AH8,AL8,AP8,AT8,AX8),"")</f>
        <v/>
      </c>
      <c r="BC8" s="32" t="str">
        <f>IF(ISNUMBER(BB8),BB8-BA8,"")</f>
        <v/>
      </c>
      <c r="BD8" s="27" t="str">
        <f>IF(AND(ISNUMBER(BB8),BA8&lt;&gt;0),BB8/BA8,"")</f>
        <v/>
      </c>
    </row>
    <row r="9" spans="1:57" ht="19.5" customHeight="1" x14ac:dyDescent="0.3">
      <c r="A9" s="23" t="s">
        <v>88</v>
      </c>
      <c r="B9" s="21" t="s">
        <v>96</v>
      </c>
      <c r="C9" s="22" t="s">
        <v>97</v>
      </c>
      <c r="D9" s="22" t="s">
        <v>98</v>
      </c>
      <c r="E9" s="28">
        <v>19</v>
      </c>
      <c r="F9" s="25"/>
      <c r="G9" s="26" t="str">
        <f>IF(ISNUMBER(F9),F9-E9,"")</f>
        <v/>
      </c>
      <c r="H9" s="27" t="str">
        <f>IF(AND(ISNUMBER(F9),E9&lt;&gt;0),F9/E9,"")</f>
        <v/>
      </c>
      <c r="I9" s="28">
        <v>17</v>
      </c>
      <c r="J9" s="25"/>
      <c r="K9" s="26" t="str">
        <f>IF(ISNUMBER(J9),J9-I9,"")</f>
        <v/>
      </c>
      <c r="L9" s="27" t="str">
        <f>IF(AND(ISNUMBER(J9),I9&lt;&gt;0),J9/I9,"")</f>
        <v/>
      </c>
      <c r="M9" s="28">
        <v>15.68</v>
      </c>
      <c r="N9" s="25"/>
      <c r="O9" s="26" t="str">
        <f>IF(ISNUMBER(N9),N9-M9,"")</f>
        <v/>
      </c>
      <c r="P9" s="27" t="str">
        <f>IF(AND(ISNUMBER(N9),M9&lt;&gt;0),N9/M9,"")</f>
        <v/>
      </c>
      <c r="Q9" s="28">
        <v>17.920000000000002</v>
      </c>
      <c r="R9" s="25"/>
      <c r="S9" s="26" t="str">
        <f>IF(ISNUMBER(R9),R9-Q9,"")</f>
        <v/>
      </c>
      <c r="T9" s="27" t="str">
        <f>IF(AND(ISNUMBER(R9),Q9&lt;&gt;0),R9/Q9,"")</f>
        <v/>
      </c>
      <c r="U9" s="28">
        <v>19.420000000000002</v>
      </c>
      <c r="V9" s="25"/>
      <c r="W9" s="26" t="str">
        <f>IF(ISNUMBER(V9),V9-U9,"")</f>
        <v/>
      </c>
      <c r="X9" s="27" t="str">
        <f>IF(AND(ISNUMBER(V9),U9&lt;&gt;0),V9/U9,"")</f>
        <v/>
      </c>
      <c r="Y9" s="28">
        <v>21.17</v>
      </c>
      <c r="Z9" s="25"/>
      <c r="AA9" s="26" t="str">
        <f>IF(ISNUMBER(Z9),Z9-Y9,"")</f>
        <v/>
      </c>
      <c r="AB9" s="27" t="str">
        <f>IF(AND(ISNUMBER(Z9),Y9&lt;&gt;0),Z9/Y9,"")</f>
        <v/>
      </c>
      <c r="AC9" s="28">
        <v>25.04</v>
      </c>
      <c r="AD9" s="25"/>
      <c r="AE9" s="26" t="str">
        <f>IF(ISNUMBER(AD9),AD9-AC9,"")</f>
        <v/>
      </c>
      <c r="AF9" s="27" t="str">
        <f>IF(AND(ISNUMBER(AD9),AC9&lt;&gt;0),AD9/AC9,"")</f>
        <v/>
      </c>
      <c r="AG9" s="28">
        <v>24.9</v>
      </c>
      <c r="AH9" s="25"/>
      <c r="AI9" s="26" t="str">
        <f>IF(ISNUMBER(AH9),AH9-AG9,"")</f>
        <v/>
      </c>
      <c r="AJ9" s="27" t="str">
        <f>IF(AND(ISNUMBER(AH9),AG9&lt;&gt;0),AH9/AG9,"")</f>
        <v/>
      </c>
      <c r="AK9" s="28">
        <v>26.88</v>
      </c>
      <c r="AL9" s="25"/>
      <c r="AM9" s="26" t="str">
        <f>IF(ISNUMBER(AL9),AL9-AK9,"")</f>
        <v/>
      </c>
      <c r="AN9" s="27" t="str">
        <f>IF(AND(ISNUMBER(AL9),AK9&lt;&gt;0),AL9/AK9,"")</f>
        <v/>
      </c>
      <c r="AO9" s="28">
        <v>25.26</v>
      </c>
      <c r="AP9" s="25"/>
      <c r="AQ9" s="26" t="str">
        <f>IF(ISNUMBER(AP9),AP9-AO9,"")</f>
        <v/>
      </c>
      <c r="AR9" s="27" t="str">
        <f>IF(AND(ISNUMBER(AP9),AO9&lt;&gt;0),AP9/AO9,"")</f>
        <v/>
      </c>
      <c r="AS9" s="28">
        <v>16.5</v>
      </c>
      <c r="AT9" s="25"/>
      <c r="AU9" s="26" t="str">
        <f>IF(ISNUMBER(AT9),AT9-AS9,"")</f>
        <v/>
      </c>
      <c r="AV9" s="27" t="str">
        <f>IF(AND(ISNUMBER(AT9),AS9&lt;&gt;0),AT9/AS9,"")</f>
        <v/>
      </c>
      <c r="AW9" s="28">
        <v>8.3000000000000007</v>
      </c>
      <c r="AX9" s="25"/>
      <c r="AY9" s="26" t="str">
        <f>IF(ISNUMBER(AX9),AX9-AW9,"")</f>
        <v/>
      </c>
      <c r="AZ9" s="27" t="str">
        <f>IF(AND(ISNUMBER(AX9),AW9&lt;&gt;0),AX9/AW9,"")</f>
        <v/>
      </c>
      <c r="BA9" s="28">
        <f>SUM(E9,I9,M9,Q9,U9,Y9,AC9,AG9,AK9,AO9,AS9,AW9)</f>
        <v>237.07</v>
      </c>
      <c r="BB9" s="29" t="str">
        <f>IF(COUNTA(F9,J9,N9,R9,V9,Z9,AD9,AH9,AL9,AP9,AT9,AX9)&gt;0,SUM(F9,J9,N9,R9,V9,Z9,AD9,AH9,AL9,AP9,AT9,AX9),"")</f>
        <v/>
      </c>
      <c r="BC9" s="26" t="str">
        <f>IF(ISNUMBER(BB9),BB9-BA9,"")</f>
        <v/>
      </c>
      <c r="BD9" s="27" t="str">
        <f>IF(AND(ISNUMBER(BB9),BA9&lt;&gt;0),BB9/BA9,"")</f>
        <v/>
      </c>
    </row>
    <row r="10" spans="1:57" ht="21.75" customHeight="1" x14ac:dyDescent="0.3">
      <c r="A10" s="10" t="s">
        <v>99</v>
      </c>
      <c r="B10" s="10"/>
      <c r="C10" s="10"/>
      <c r="D10" s="10"/>
      <c r="E10" s="40"/>
      <c r="F10" s="41"/>
      <c r="G10" s="43" t="str">
        <f>IF(ISNUMBER(F10),F10-E10,"")</f>
        <v/>
      </c>
      <c r="H10" s="27" t="str">
        <f>IF(AND(ISNUMBER(F10),E10&lt;&gt;0),F10/E10,"")</f>
        <v/>
      </c>
      <c r="I10" s="40"/>
      <c r="J10" s="41"/>
      <c r="K10" s="43" t="str">
        <f>IF(ISNUMBER(J10),J10-I10,"")</f>
        <v/>
      </c>
      <c r="L10" s="27" t="str">
        <f>IF(AND(ISNUMBER(J10),I10&lt;&gt;0),J10/I10,"")</f>
        <v/>
      </c>
      <c r="M10" s="40"/>
      <c r="N10" s="41"/>
      <c r="O10" s="43" t="str">
        <f>IF(ISNUMBER(N10),N10-M10,"")</f>
        <v/>
      </c>
      <c r="P10" s="27" t="str">
        <f>IF(AND(ISNUMBER(N10),M10&lt;&gt;0),N10/M10,"")</f>
        <v/>
      </c>
      <c r="Q10" s="40"/>
      <c r="R10" s="41"/>
      <c r="S10" s="43" t="str">
        <f>IF(ISNUMBER(R10),R10-Q10,"")</f>
        <v/>
      </c>
      <c r="T10" s="27" t="str">
        <f>IF(AND(ISNUMBER(R10),Q10&lt;&gt;0),R10/Q10,"")</f>
        <v/>
      </c>
      <c r="U10" s="40"/>
      <c r="V10" s="41"/>
      <c r="W10" s="43" t="str">
        <f>IF(ISNUMBER(V10),V10-U10,"")</f>
        <v/>
      </c>
      <c r="X10" s="27" t="str">
        <f>IF(AND(ISNUMBER(V10),U10&lt;&gt;0),V10/U10,"")</f>
        <v/>
      </c>
      <c r="Y10" s="40"/>
      <c r="Z10" s="41"/>
      <c r="AA10" s="43" t="str">
        <f>IF(ISNUMBER(Z10),Z10-Y10,"")</f>
        <v/>
      </c>
      <c r="AB10" s="27" t="str">
        <f>IF(AND(ISNUMBER(Z10),Y10&lt;&gt;0),Z10/Y10,"")</f>
        <v/>
      </c>
      <c r="AC10" s="40"/>
      <c r="AD10" s="41"/>
      <c r="AE10" s="43" t="str">
        <f>IF(ISNUMBER(AD10),AD10-AC10,"")</f>
        <v/>
      </c>
      <c r="AF10" s="27" t="str">
        <f>IF(AND(ISNUMBER(AD10),AC10&lt;&gt;0),AD10/AC10,"")</f>
        <v/>
      </c>
      <c r="AG10" s="40"/>
      <c r="AH10" s="41"/>
      <c r="AI10" s="43" t="str">
        <f>IF(ISNUMBER(AH10),AH10-AG10,"")</f>
        <v/>
      </c>
      <c r="AJ10" s="27" t="str">
        <f>IF(AND(ISNUMBER(AH10),AG10&lt;&gt;0),AH10/AG10,"")</f>
        <v/>
      </c>
      <c r="AK10" s="40"/>
      <c r="AL10" s="41"/>
      <c r="AM10" s="43" t="str">
        <f>IF(ISNUMBER(AL10),AL10-AK10,"")</f>
        <v/>
      </c>
      <c r="AN10" s="27" t="str">
        <f>IF(AND(ISNUMBER(AL10),AK10&lt;&gt;0),AL10/AK10,"")</f>
        <v/>
      </c>
      <c r="AO10" s="40"/>
      <c r="AP10" s="41"/>
      <c r="AQ10" s="43" t="str">
        <f>IF(ISNUMBER(AP10),AP10-AO10,"")</f>
        <v/>
      </c>
      <c r="AR10" s="27" t="str">
        <f>IF(AND(ISNUMBER(AP10),AO10&lt;&gt;0),AP10/AO10,"")</f>
        <v/>
      </c>
      <c r="AS10" s="40"/>
      <c r="AT10" s="41"/>
      <c r="AU10" s="43" t="str">
        <f>IF(ISNUMBER(AT10),AT10-AS10,"")</f>
        <v/>
      </c>
      <c r="AV10" s="27" t="str">
        <f>IF(AND(ISNUMBER(AT10),AS10&lt;&gt;0),AT10/AS10,"")</f>
        <v/>
      </c>
      <c r="AW10" s="40"/>
      <c r="AX10" s="41"/>
      <c r="AY10" s="43" t="str">
        <f>IF(ISNUMBER(AX10),AX10-AW10,"")</f>
        <v/>
      </c>
      <c r="AZ10" s="27" t="str">
        <f>IF(AND(ISNUMBER(AX10),AW10&lt;&gt;0),AX10/AW10,"")</f>
        <v/>
      </c>
      <c r="BA10" s="37"/>
      <c r="BB10" s="37"/>
      <c r="BC10" s="37"/>
      <c r="BD10" s="37"/>
    </row>
    <row r="11" spans="1:57" ht="21.75" customHeight="1" x14ac:dyDescent="0.3">
      <c r="A11" s="10" t="s">
        <v>100</v>
      </c>
      <c r="B11" s="10"/>
      <c r="C11" s="10"/>
      <c r="D11" s="10"/>
      <c r="E11" s="52" t="str">
        <f>IF(E10&lt;&gt;"",E10/27229,"")</f>
        <v/>
      </c>
      <c r="F11" s="43" t="str">
        <f>IF(AND(ISNUMBER(F10),F3&lt;&gt;0),F10/F3,"")</f>
        <v/>
      </c>
      <c r="G11" s="42"/>
      <c r="H11" s="42"/>
      <c r="I11" s="52" t="str">
        <f>IF(I10&lt;&gt;"",I10/26637.42,"")</f>
        <v/>
      </c>
      <c r="J11" s="43" t="str">
        <f>IF(AND(ISNUMBER(J10),J3&lt;&gt;0),J10/J3,"")</f>
        <v/>
      </c>
      <c r="K11" s="42"/>
      <c r="L11" s="42"/>
      <c r="M11" s="52" t="str">
        <f>IF(M10&lt;&gt;"",M10/25371.21,"")</f>
        <v/>
      </c>
      <c r="N11" s="43" t="str">
        <f>IF(AND(ISNUMBER(N10),N3&lt;&gt;0),N10/N3,"")</f>
        <v/>
      </c>
      <c r="O11" s="42"/>
      <c r="P11" s="42"/>
      <c r="Q11" s="52" t="str">
        <f>IF(Q10&lt;&gt;"",Q10/28996.04,"")</f>
        <v/>
      </c>
      <c r="R11" s="43" t="str">
        <f>IF(AND(ISNUMBER(R10),R3&lt;&gt;0),R10/R3,"")</f>
        <v/>
      </c>
      <c r="S11" s="42"/>
      <c r="T11" s="42"/>
      <c r="U11" s="52" t="str">
        <f>IF(U10&lt;&gt;"",U10/31421.6,"")</f>
        <v/>
      </c>
      <c r="V11" s="43" t="str">
        <f>IF(AND(ISNUMBER(V10),V3&lt;&gt;0),V10/V3,"")</f>
        <v/>
      </c>
      <c r="W11" s="42"/>
      <c r="X11" s="42"/>
      <c r="Y11" s="52" t="str">
        <f>IF(Y10&lt;&gt;"",Y10/34249.3,"")</f>
        <v/>
      </c>
      <c r="Z11" s="43" t="str">
        <f>IF(AND(ISNUMBER(Z10),Z3&lt;&gt;0),Z10/Z3,"")</f>
        <v/>
      </c>
      <c r="AA11" s="42"/>
      <c r="AB11" s="42"/>
      <c r="AC11" s="52" t="str">
        <f>IF(AC10&lt;&gt;"",AC10/40509.09,"")</f>
        <v/>
      </c>
      <c r="AD11" s="43" t="str">
        <f>IF(AND(ISNUMBER(AD10),AD3&lt;&gt;0),AD10/AD3,"")</f>
        <v/>
      </c>
      <c r="AE11" s="42"/>
      <c r="AF11" s="42"/>
      <c r="AG11" s="52" t="str">
        <f>IF(AG10&lt;&gt;"",AG10/40285.49,"")</f>
        <v/>
      </c>
      <c r="AH11" s="43" t="str">
        <f>IF(AND(ISNUMBER(AH10),AH3&lt;&gt;0),AH10/AH3,"")</f>
        <v/>
      </c>
      <c r="AI11" s="42"/>
      <c r="AJ11" s="42"/>
      <c r="AK11" s="52" t="str">
        <f>IF(AK10&lt;&gt;"",AK10/43482.44,"")</f>
        <v/>
      </c>
      <c r="AL11" s="43" t="str">
        <f>IF(AND(ISNUMBER(AL10),AL3&lt;&gt;0),AL10/AL3,"")</f>
        <v/>
      </c>
      <c r="AM11" s="42"/>
      <c r="AN11" s="42"/>
      <c r="AO11" s="52" t="str">
        <f>IF(AO10&lt;&gt;"",AO10/40858.19,"")</f>
        <v/>
      </c>
      <c r="AP11" s="43" t="str">
        <f>IF(AND(ISNUMBER(AP10),AP3&lt;&gt;0),AP10/AP3,"")</f>
        <v/>
      </c>
      <c r="AQ11" s="42"/>
      <c r="AR11" s="42"/>
      <c r="AS11" s="52" t="str">
        <f>IF(AS10&lt;&gt;"",AS10/26685.68,"")</f>
        <v/>
      </c>
      <c r="AT11" s="43" t="str">
        <f>IF(AND(ISNUMBER(AT10),AT3&lt;&gt;0),AT10/AT3,"")</f>
        <v/>
      </c>
      <c r="AU11" s="42"/>
      <c r="AV11" s="42"/>
      <c r="AW11" s="52" t="str">
        <f>IF(AW10&lt;&gt;"",AW10/13422.47,"")</f>
        <v/>
      </c>
      <c r="AX11" s="43" t="str">
        <f>IF(AND(ISNUMBER(AX10),AX3&lt;&gt;0),AX10/AX3,"")</f>
        <v/>
      </c>
      <c r="AY11" s="42"/>
      <c r="AZ11" s="42"/>
      <c r="BA11" s="37"/>
      <c r="BB11" s="37"/>
      <c r="BC11" s="37"/>
      <c r="BD11" s="37"/>
    </row>
    <row r="12" spans="1:57" ht="19.5" customHeight="1" x14ac:dyDescent="0.3">
      <c r="A12" s="10" t="s">
        <v>101</v>
      </c>
      <c r="B12" s="10"/>
      <c r="C12" s="10"/>
      <c r="D12" s="10"/>
      <c r="E12" s="54">
        <f>IF(E8&lt;&gt;"",E8/27229,"")</f>
        <v>3.6461126005361932</v>
      </c>
      <c r="F12" s="55" t="str">
        <f>IF(AND(ISNUMBER(F8),F3&lt;&gt;0),F8/F3,"")</f>
        <v/>
      </c>
      <c r="G12" s="42"/>
      <c r="H12" s="42"/>
      <c r="I12" s="54">
        <f>IF(I8&lt;&gt;"",I8/26637.42,"")</f>
        <v>2.8597739570874356</v>
      </c>
      <c r="J12" s="55" t="str">
        <f>IF(AND(ISNUMBER(J8),J3&lt;&gt;0),J8/J3,"")</f>
        <v/>
      </c>
      <c r="K12" s="42"/>
      <c r="L12" s="42"/>
      <c r="M12" s="54">
        <f>IF(M8&lt;&gt;"",M8/25371.21,"")</f>
        <v>3.3999955067180481</v>
      </c>
      <c r="N12" s="55" t="str">
        <f>IF(AND(ISNUMBER(N8),N3&lt;&gt;0),N8/N3,"")</f>
        <v/>
      </c>
      <c r="O12" s="42"/>
      <c r="P12" s="42"/>
      <c r="Q12" s="54">
        <f>IF(Q8&lt;&gt;"",Q8/28996.04,"")</f>
        <v>3.4000160021851258</v>
      </c>
      <c r="R12" s="55" t="str">
        <f>IF(AND(ISNUMBER(R8),R3&lt;&gt;0),R8/R3,"")</f>
        <v/>
      </c>
      <c r="S12" s="42"/>
      <c r="T12" s="42"/>
      <c r="U12" s="54">
        <f>IF(U8&lt;&gt;"",U8/31421.6,"")</f>
        <v>3.3999859968938568</v>
      </c>
      <c r="V12" s="55" t="str">
        <f>IF(AND(ISNUMBER(V8),V3&lt;&gt;0),V8/V3,"")</f>
        <v/>
      </c>
      <c r="W12" s="42"/>
      <c r="X12" s="42"/>
      <c r="Y12" s="54">
        <f>IF(Y8&lt;&gt;"",Y8/34249.3,"")</f>
        <v>3.4000110951172724</v>
      </c>
      <c r="Z12" s="55" t="str">
        <f>IF(AND(ISNUMBER(Z8),Z3&lt;&gt;0),Z8/Z3,"")</f>
        <v/>
      </c>
      <c r="AA12" s="42"/>
      <c r="AB12" s="42"/>
      <c r="AC12" s="54">
        <f>IF(AC8&lt;&gt;"",AC8/40509.09,"")</f>
        <v>3.4000023204668386</v>
      </c>
      <c r="AD12" s="55" t="str">
        <f>IF(AND(ISNUMBER(AD8),AD3&lt;&gt;0),AD8/AD3,"")</f>
        <v/>
      </c>
      <c r="AE12" s="42"/>
      <c r="AF12" s="42"/>
      <c r="AG12" s="54">
        <f>IF(AG8&lt;&gt;"",AG8/40285.49,"")</f>
        <v>3.4000082908263001</v>
      </c>
      <c r="AH12" s="55" t="str">
        <f>IF(AND(ISNUMBER(AH8),AH3&lt;&gt;0),AH8/AH3,"")</f>
        <v/>
      </c>
      <c r="AI12" s="42"/>
      <c r="AJ12" s="42"/>
      <c r="AK12" s="54">
        <f>IF(AK8&lt;&gt;"",AK8/43482.44,"")</f>
        <v>3.3999931926543221</v>
      </c>
      <c r="AL12" s="55" t="str">
        <f>IF(AND(ISNUMBER(AL8),AL3&lt;&gt;0),AL8/AL3,"")</f>
        <v/>
      </c>
      <c r="AM12" s="42"/>
      <c r="AN12" s="42"/>
      <c r="AO12" s="54">
        <f>IF(AO8&lt;&gt;"",AO8/40858.19,"")</f>
        <v>3.4000037691341687</v>
      </c>
      <c r="AP12" s="55" t="str">
        <f>IF(AND(ISNUMBER(AP8),AP3&lt;&gt;0),AP8/AP3,"")</f>
        <v/>
      </c>
      <c r="AQ12" s="42"/>
      <c r="AR12" s="42"/>
      <c r="AS12" s="54">
        <f>IF(AS8&lt;&gt;"",AS8/26685.68,"")</f>
        <v>3.3999883083361562</v>
      </c>
      <c r="AT12" s="55" t="str">
        <f>IF(AND(ISNUMBER(AT8),AT3&lt;&gt;0),AT8/AT3,"")</f>
        <v/>
      </c>
      <c r="AU12" s="42"/>
      <c r="AV12" s="42"/>
      <c r="AW12" s="54">
        <f>IF(AW8&lt;&gt;"",AW8/13422.47,"")</f>
        <v>3.3999703482294987</v>
      </c>
      <c r="AX12" s="55" t="str">
        <f>IF(AND(ISNUMBER(AX8),AX3&lt;&gt;0),AX8/AX3,"")</f>
        <v/>
      </c>
      <c r="AY12" s="42"/>
      <c r="AZ12" s="42"/>
      <c r="BA12" s="6" t="s">
        <v>102</v>
      </c>
      <c r="BB12" s="6"/>
      <c r="BC12" s="6"/>
      <c r="BD12" s="6"/>
    </row>
  </sheetData>
  <mergeCells count="33">
    <mergeCell ref="A12:D12"/>
    <mergeCell ref="BA12:BD12"/>
    <mergeCell ref="AS4:AV4"/>
    <mergeCell ref="AW4:AZ4"/>
    <mergeCell ref="BA4:BD4"/>
    <mergeCell ref="A10:D10"/>
    <mergeCell ref="A11:D11"/>
    <mergeCell ref="Y4:AB4"/>
    <mergeCell ref="AC4:AF4"/>
    <mergeCell ref="AG4:AJ4"/>
    <mergeCell ref="AK4:AN4"/>
    <mergeCell ref="AO4:AR4"/>
    <mergeCell ref="E4:H4"/>
    <mergeCell ref="I4:L4"/>
    <mergeCell ref="M4:P4"/>
    <mergeCell ref="Q4:T4"/>
    <mergeCell ref="U4:X4"/>
    <mergeCell ref="A1:BE1"/>
    <mergeCell ref="A2:BE2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W3:AZ3"/>
    <mergeCell ref="BA3:BD3"/>
  </mergeCells>
  <conditionalFormatting sqref="H6:H10">
    <cfRule type="cellIs" dxfId="51" priority="2" operator="lessThanOrEqual">
      <formula>1</formula>
    </cfRule>
    <cfRule type="cellIs" dxfId="50" priority="3" operator="greaterThan">
      <formula>1</formula>
    </cfRule>
  </conditionalFormatting>
  <conditionalFormatting sqref="L6:L10">
    <cfRule type="cellIs" dxfId="49" priority="4" operator="lessThanOrEqual">
      <formula>1</formula>
    </cfRule>
    <cfRule type="cellIs" dxfId="48" priority="5" operator="greaterThan">
      <formula>1</formula>
    </cfRule>
  </conditionalFormatting>
  <conditionalFormatting sqref="P6:P10">
    <cfRule type="cellIs" dxfId="47" priority="6" operator="lessThanOrEqual">
      <formula>1</formula>
    </cfRule>
    <cfRule type="cellIs" dxfId="46" priority="7" operator="greaterThan">
      <formula>1</formula>
    </cfRule>
  </conditionalFormatting>
  <conditionalFormatting sqref="T6:T10">
    <cfRule type="cellIs" dxfId="45" priority="8" operator="lessThanOrEqual">
      <formula>1</formula>
    </cfRule>
    <cfRule type="cellIs" dxfId="44" priority="9" operator="greaterThan">
      <formula>1</formula>
    </cfRule>
  </conditionalFormatting>
  <conditionalFormatting sqref="X6:X10">
    <cfRule type="cellIs" dxfId="43" priority="10" operator="lessThanOrEqual">
      <formula>1</formula>
    </cfRule>
    <cfRule type="cellIs" dxfId="42" priority="11" operator="greaterThan">
      <formula>1</formula>
    </cfRule>
  </conditionalFormatting>
  <conditionalFormatting sqref="AB6:AB10">
    <cfRule type="cellIs" dxfId="41" priority="12" operator="lessThanOrEqual">
      <formula>1</formula>
    </cfRule>
    <cfRule type="cellIs" dxfId="40" priority="13" operator="greaterThan">
      <formula>1</formula>
    </cfRule>
  </conditionalFormatting>
  <conditionalFormatting sqref="AF6:AF10">
    <cfRule type="cellIs" dxfId="39" priority="14" operator="lessThanOrEqual">
      <formula>1</formula>
    </cfRule>
    <cfRule type="cellIs" dxfId="38" priority="15" operator="greaterThan">
      <formula>1</formula>
    </cfRule>
  </conditionalFormatting>
  <conditionalFormatting sqref="AJ6:AJ10">
    <cfRule type="cellIs" dxfId="37" priority="16" operator="lessThanOrEqual">
      <formula>1</formula>
    </cfRule>
    <cfRule type="cellIs" dxfId="36" priority="17" operator="greaterThan">
      <formula>1</formula>
    </cfRule>
  </conditionalFormatting>
  <conditionalFormatting sqref="AN6:AN10">
    <cfRule type="cellIs" dxfId="35" priority="18" operator="lessThanOrEqual">
      <formula>1</formula>
    </cfRule>
    <cfRule type="cellIs" dxfId="34" priority="19" operator="greaterThan">
      <formula>1</formula>
    </cfRule>
  </conditionalFormatting>
  <conditionalFormatting sqref="AR6:AR10">
    <cfRule type="cellIs" dxfId="33" priority="20" operator="lessThanOrEqual">
      <formula>1</formula>
    </cfRule>
    <cfRule type="cellIs" dxfId="32" priority="21" operator="greaterThan">
      <formula>1</formula>
    </cfRule>
  </conditionalFormatting>
  <conditionalFormatting sqref="AV6:AV10">
    <cfRule type="cellIs" dxfId="31" priority="22" operator="lessThanOrEqual">
      <formula>1</formula>
    </cfRule>
    <cfRule type="cellIs" dxfId="30" priority="23" operator="greaterThan">
      <formula>1</formula>
    </cfRule>
  </conditionalFormatting>
  <conditionalFormatting sqref="AZ6:AZ10">
    <cfRule type="cellIs" dxfId="29" priority="24" operator="lessThanOrEqual">
      <formula>1</formula>
    </cfRule>
    <cfRule type="cellIs" dxfId="28" priority="25" operator="greaterThan">
      <formula>1</formula>
    </cfRule>
  </conditionalFormatting>
  <conditionalFormatting sqref="BD6:BD9">
    <cfRule type="cellIs" dxfId="27" priority="26" operator="lessThanOrEqual">
      <formula>1</formula>
    </cfRule>
    <cfRule type="cellIs" dxfId="26" priority="27" operator="greaterThan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11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baseColWidth="10" defaultColWidth="8.6640625" defaultRowHeight="14.4" x14ac:dyDescent="0.3"/>
  <cols>
    <col min="1" max="1" width="16" customWidth="1"/>
    <col min="2" max="2" width="38" customWidth="1"/>
    <col min="3" max="3" width="10" customWidth="1"/>
    <col min="4" max="4" width="14" customWidth="1"/>
    <col min="5" max="6" width="11" customWidth="1"/>
    <col min="7" max="7" width="10" customWidth="1"/>
    <col min="8" max="8" width="9" customWidth="1"/>
    <col min="9" max="10" width="11" customWidth="1"/>
    <col min="11" max="11" width="10" customWidth="1"/>
    <col min="12" max="12" width="9" customWidth="1"/>
    <col min="13" max="14" width="11" customWidth="1"/>
    <col min="15" max="15" width="10" customWidth="1"/>
    <col min="16" max="16" width="9" customWidth="1"/>
    <col min="17" max="18" width="11" customWidth="1"/>
    <col min="19" max="19" width="10" customWidth="1"/>
    <col min="20" max="20" width="9" customWidth="1"/>
    <col min="21" max="22" width="11" customWidth="1"/>
    <col min="23" max="23" width="10" customWidth="1"/>
    <col min="24" max="24" width="9" customWidth="1"/>
    <col min="25" max="26" width="11" customWidth="1"/>
    <col min="27" max="27" width="10" customWidth="1"/>
    <col min="28" max="28" width="9" customWidth="1"/>
    <col min="29" max="30" width="11" customWidth="1"/>
    <col min="31" max="31" width="10" customWidth="1"/>
    <col min="32" max="32" width="9" customWidth="1"/>
    <col min="33" max="34" width="11" customWidth="1"/>
    <col min="35" max="35" width="10" customWidth="1"/>
    <col min="36" max="36" width="9" customWidth="1"/>
    <col min="37" max="38" width="11" customWidth="1"/>
    <col min="39" max="39" width="10" customWidth="1"/>
    <col min="40" max="40" width="9" customWidth="1"/>
    <col min="41" max="42" width="11" customWidth="1"/>
    <col min="43" max="43" width="10" customWidth="1"/>
    <col min="44" max="44" width="9" customWidth="1"/>
    <col min="45" max="46" width="11" customWidth="1"/>
    <col min="47" max="47" width="10" customWidth="1"/>
    <col min="48" max="48" width="9" customWidth="1"/>
    <col min="49" max="50" width="11" customWidth="1"/>
    <col min="51" max="51" width="10" customWidth="1"/>
    <col min="52" max="52" width="9" customWidth="1"/>
    <col min="53" max="54" width="13" customWidth="1"/>
    <col min="55" max="55" width="12" customWidth="1"/>
    <col min="56" max="56" width="9" customWidth="1"/>
    <col min="57" max="57" width="14" customWidth="1"/>
  </cols>
  <sheetData>
    <row r="1" spans="1:58" ht="27.75" customHeight="1" x14ac:dyDescent="0.3">
      <c r="A1" s="13" t="s">
        <v>103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</row>
    <row r="2" spans="1:58" ht="18" customHeight="1" x14ac:dyDescent="0.3">
      <c r="A2" s="12" t="s">
        <v>104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8" customHeight="1" x14ac:dyDescent="0.3">
      <c r="A3" s="8" t="s">
        <v>55</v>
      </c>
      <c r="B3" s="8"/>
      <c r="C3" s="8"/>
      <c r="D3" s="8"/>
      <c r="E3" s="8">
        <v>27229</v>
      </c>
      <c r="F3" s="8"/>
      <c r="G3" s="8"/>
      <c r="H3" s="8"/>
      <c r="I3" s="8">
        <v>26637</v>
      </c>
      <c r="J3" s="8"/>
      <c r="K3" s="8"/>
      <c r="L3" s="8"/>
      <c r="M3" s="8">
        <v>25371</v>
      </c>
      <c r="N3" s="8"/>
      <c r="O3" s="8"/>
      <c r="P3" s="8"/>
      <c r="Q3" s="8">
        <v>28996</v>
      </c>
      <c r="R3" s="8"/>
      <c r="S3" s="8"/>
      <c r="T3" s="8"/>
      <c r="U3" s="8">
        <v>31422</v>
      </c>
      <c r="V3" s="8"/>
      <c r="W3" s="8"/>
      <c r="X3" s="8"/>
      <c r="Y3" s="8">
        <v>34249</v>
      </c>
      <c r="Z3" s="8"/>
      <c r="AA3" s="8"/>
      <c r="AB3" s="8"/>
      <c r="AC3" s="8">
        <v>40509</v>
      </c>
      <c r="AD3" s="8"/>
      <c r="AE3" s="8"/>
      <c r="AF3" s="8"/>
      <c r="AG3" s="8">
        <v>40285</v>
      </c>
      <c r="AH3" s="8"/>
      <c r="AI3" s="8"/>
      <c r="AJ3" s="8"/>
      <c r="AK3" s="8">
        <v>43482</v>
      </c>
      <c r="AL3" s="8"/>
      <c r="AM3" s="8"/>
      <c r="AN3" s="8"/>
      <c r="AO3" s="8">
        <v>40858</v>
      </c>
      <c r="AP3" s="8"/>
      <c r="AQ3" s="8"/>
      <c r="AR3" s="8"/>
      <c r="AS3" s="8">
        <v>26686</v>
      </c>
      <c r="AT3" s="8"/>
      <c r="AU3" s="8"/>
      <c r="AV3" s="8"/>
      <c r="AW3" s="8">
        <v>13422</v>
      </c>
      <c r="AX3" s="8"/>
      <c r="AY3" s="8"/>
      <c r="AZ3" s="8"/>
      <c r="BA3" s="8">
        <v>379148</v>
      </c>
      <c r="BB3" s="8"/>
      <c r="BC3" s="8"/>
      <c r="BD3" s="8"/>
      <c r="BE3" s="8"/>
    </row>
    <row r="4" spans="1:58" ht="36" customHeight="1" x14ac:dyDescent="0.3">
      <c r="A4" s="44" t="s">
        <v>56</v>
      </c>
      <c r="B4" s="44" t="s">
        <v>105</v>
      </c>
      <c r="C4" s="44" t="s">
        <v>4</v>
      </c>
      <c r="D4" s="44" t="s">
        <v>106</v>
      </c>
      <c r="E4" s="11" t="s">
        <v>6</v>
      </c>
      <c r="F4" s="11"/>
      <c r="G4" s="11"/>
      <c r="H4" s="11"/>
      <c r="I4" s="11" t="s">
        <v>7</v>
      </c>
      <c r="J4" s="11"/>
      <c r="K4" s="11"/>
      <c r="L4" s="11"/>
      <c r="M4" s="11" t="s">
        <v>8</v>
      </c>
      <c r="N4" s="11"/>
      <c r="O4" s="11"/>
      <c r="P4" s="11"/>
      <c r="Q4" s="11" t="s">
        <v>9</v>
      </c>
      <c r="R4" s="11"/>
      <c r="S4" s="11"/>
      <c r="T4" s="11"/>
      <c r="U4" s="11" t="s">
        <v>10</v>
      </c>
      <c r="V4" s="11"/>
      <c r="W4" s="11"/>
      <c r="X4" s="11"/>
      <c r="Y4" s="11" t="s">
        <v>11</v>
      </c>
      <c r="Z4" s="11"/>
      <c r="AA4" s="11"/>
      <c r="AB4" s="11"/>
      <c r="AC4" s="11" t="s">
        <v>12</v>
      </c>
      <c r="AD4" s="11"/>
      <c r="AE4" s="11"/>
      <c r="AF4" s="11"/>
      <c r="AG4" s="11" t="s">
        <v>13</v>
      </c>
      <c r="AH4" s="11"/>
      <c r="AI4" s="11"/>
      <c r="AJ4" s="11"/>
      <c r="AK4" s="11" t="s">
        <v>14</v>
      </c>
      <c r="AL4" s="11"/>
      <c r="AM4" s="11"/>
      <c r="AN4" s="11"/>
      <c r="AO4" s="11" t="s">
        <v>15</v>
      </c>
      <c r="AP4" s="11"/>
      <c r="AQ4" s="11"/>
      <c r="AR4" s="11"/>
      <c r="AS4" s="11" t="s">
        <v>16</v>
      </c>
      <c r="AT4" s="11"/>
      <c r="AU4" s="11"/>
      <c r="AV4" s="11"/>
      <c r="AW4" s="11" t="s">
        <v>17</v>
      </c>
      <c r="AX4" s="11"/>
      <c r="AY4" s="11"/>
      <c r="AZ4" s="11"/>
      <c r="BA4" s="10" t="s">
        <v>107</v>
      </c>
      <c r="BB4" s="10"/>
      <c r="BC4" s="10"/>
      <c r="BD4" s="10"/>
      <c r="BE4" s="56" t="s">
        <v>108</v>
      </c>
    </row>
    <row r="5" spans="1:58" ht="30" customHeight="1" x14ac:dyDescent="0.3">
      <c r="A5" s="16"/>
      <c r="B5" s="16"/>
      <c r="C5" s="16"/>
      <c r="D5" s="16"/>
      <c r="E5" s="17" t="s">
        <v>19</v>
      </c>
      <c r="F5" s="18" t="s">
        <v>20</v>
      </c>
      <c r="G5" s="19" t="s">
        <v>21</v>
      </c>
      <c r="H5" s="19" t="s">
        <v>22</v>
      </c>
      <c r="I5" s="17" t="s">
        <v>19</v>
      </c>
      <c r="J5" s="18" t="s">
        <v>20</v>
      </c>
      <c r="K5" s="19" t="s">
        <v>21</v>
      </c>
      <c r="L5" s="19" t="s">
        <v>22</v>
      </c>
      <c r="M5" s="17" t="s">
        <v>19</v>
      </c>
      <c r="N5" s="18" t="s">
        <v>20</v>
      </c>
      <c r="O5" s="19" t="s">
        <v>21</v>
      </c>
      <c r="P5" s="19" t="s">
        <v>22</v>
      </c>
      <c r="Q5" s="17" t="s">
        <v>19</v>
      </c>
      <c r="R5" s="18" t="s">
        <v>20</v>
      </c>
      <c r="S5" s="19" t="s">
        <v>21</v>
      </c>
      <c r="T5" s="19" t="s">
        <v>22</v>
      </c>
      <c r="U5" s="17" t="s">
        <v>19</v>
      </c>
      <c r="V5" s="18" t="s">
        <v>20</v>
      </c>
      <c r="W5" s="19" t="s">
        <v>21</v>
      </c>
      <c r="X5" s="19" t="s">
        <v>22</v>
      </c>
      <c r="Y5" s="17" t="s">
        <v>19</v>
      </c>
      <c r="Z5" s="18" t="s">
        <v>20</v>
      </c>
      <c r="AA5" s="19" t="s">
        <v>21</v>
      </c>
      <c r="AB5" s="19" t="s">
        <v>22</v>
      </c>
      <c r="AC5" s="17" t="s">
        <v>19</v>
      </c>
      <c r="AD5" s="18" t="s">
        <v>20</v>
      </c>
      <c r="AE5" s="19" t="s">
        <v>21</v>
      </c>
      <c r="AF5" s="19" t="s">
        <v>22</v>
      </c>
      <c r="AG5" s="17" t="s">
        <v>19</v>
      </c>
      <c r="AH5" s="18" t="s">
        <v>20</v>
      </c>
      <c r="AI5" s="19" t="s">
        <v>21</v>
      </c>
      <c r="AJ5" s="19" t="s">
        <v>22</v>
      </c>
      <c r="AK5" s="17" t="s">
        <v>19</v>
      </c>
      <c r="AL5" s="18" t="s">
        <v>20</v>
      </c>
      <c r="AM5" s="19" t="s">
        <v>21</v>
      </c>
      <c r="AN5" s="19" t="s">
        <v>22</v>
      </c>
      <c r="AO5" s="17" t="s">
        <v>19</v>
      </c>
      <c r="AP5" s="18" t="s">
        <v>20</v>
      </c>
      <c r="AQ5" s="19" t="s">
        <v>21</v>
      </c>
      <c r="AR5" s="19" t="s">
        <v>22</v>
      </c>
      <c r="AS5" s="17" t="s">
        <v>19</v>
      </c>
      <c r="AT5" s="18" t="s">
        <v>20</v>
      </c>
      <c r="AU5" s="19" t="s">
        <v>21</v>
      </c>
      <c r="AV5" s="19" t="s">
        <v>22</v>
      </c>
      <c r="AW5" s="17" t="s">
        <v>19</v>
      </c>
      <c r="AX5" s="18" t="s">
        <v>20</v>
      </c>
      <c r="AY5" s="19" t="s">
        <v>21</v>
      </c>
      <c r="AZ5" s="19" t="s">
        <v>22</v>
      </c>
      <c r="BA5" s="20" t="s">
        <v>19</v>
      </c>
      <c r="BB5" s="18" t="s">
        <v>20</v>
      </c>
      <c r="BC5" s="19" t="s">
        <v>21</v>
      </c>
      <c r="BD5" s="19" t="s">
        <v>22</v>
      </c>
      <c r="BE5" s="17" t="s">
        <v>109</v>
      </c>
    </row>
    <row r="6" spans="1:58" ht="19.5" customHeight="1" x14ac:dyDescent="0.3">
      <c r="A6" s="23" t="s">
        <v>110</v>
      </c>
      <c r="B6" s="21" t="s">
        <v>111</v>
      </c>
      <c r="C6" s="22" t="s">
        <v>112</v>
      </c>
      <c r="D6" s="22" t="s">
        <v>113</v>
      </c>
      <c r="E6" s="24"/>
      <c r="F6" s="25"/>
      <c r="G6" s="26" t="str">
        <f>IF(AND(ISNUMBER(F6),ISNUMBER(E6)),F6-E6,"")</f>
        <v/>
      </c>
      <c r="H6" s="27" t="str">
        <f>IF(AND(ISNUMBER(F6),ISNUMBER(E6),E6&lt;&gt;0),F6/E6,"")</f>
        <v/>
      </c>
      <c r="I6" s="24"/>
      <c r="J6" s="25"/>
      <c r="K6" s="26" t="str">
        <f>IF(AND(ISNUMBER(J6),ISNUMBER(I6)),J6-I6,"")</f>
        <v/>
      </c>
      <c r="L6" s="27" t="str">
        <f>IF(AND(ISNUMBER(J6),ISNUMBER(I6),I6&lt;&gt;0),J6/I6,"")</f>
        <v/>
      </c>
      <c r="M6" s="24"/>
      <c r="N6" s="25"/>
      <c r="O6" s="26" t="str">
        <f>IF(AND(ISNUMBER(N6),ISNUMBER(M6)),N6-M6,"")</f>
        <v/>
      </c>
      <c r="P6" s="27" t="str">
        <f>IF(AND(ISNUMBER(N6),ISNUMBER(M6),M6&lt;&gt;0),N6/M6,"")</f>
        <v/>
      </c>
      <c r="Q6" s="24"/>
      <c r="R6" s="25"/>
      <c r="S6" s="26" t="str">
        <f>IF(AND(ISNUMBER(R6),ISNUMBER(Q6)),R6-Q6,"")</f>
        <v/>
      </c>
      <c r="T6" s="27" t="str">
        <f>IF(AND(ISNUMBER(R6),ISNUMBER(Q6),Q6&lt;&gt;0),R6/Q6,"")</f>
        <v/>
      </c>
      <c r="U6" s="24"/>
      <c r="V6" s="25"/>
      <c r="W6" s="26" t="str">
        <f>IF(AND(ISNUMBER(V6),ISNUMBER(U6)),V6-U6,"")</f>
        <v/>
      </c>
      <c r="X6" s="27" t="str">
        <f>IF(AND(ISNUMBER(V6),ISNUMBER(U6),U6&lt;&gt;0),V6/U6,"")</f>
        <v/>
      </c>
      <c r="Y6" s="24"/>
      <c r="Z6" s="25"/>
      <c r="AA6" s="26" t="str">
        <f>IF(AND(ISNUMBER(Z6),ISNUMBER(Y6)),Z6-Y6,"")</f>
        <v/>
      </c>
      <c r="AB6" s="27" t="str">
        <f>IF(AND(ISNUMBER(Z6),ISNUMBER(Y6),Y6&lt;&gt;0),Z6/Y6,"")</f>
        <v/>
      </c>
      <c r="AC6" s="24"/>
      <c r="AD6" s="25"/>
      <c r="AE6" s="26" t="str">
        <f>IF(AND(ISNUMBER(AD6),ISNUMBER(AC6)),AD6-AC6,"")</f>
        <v/>
      </c>
      <c r="AF6" s="27" t="str">
        <f>IF(AND(ISNUMBER(AD6),ISNUMBER(AC6),AC6&lt;&gt;0),AD6/AC6,"")</f>
        <v/>
      </c>
      <c r="AG6" s="24"/>
      <c r="AH6" s="25"/>
      <c r="AI6" s="26" t="str">
        <f>IF(AND(ISNUMBER(AH6),ISNUMBER(AG6)),AH6-AG6,"")</f>
        <v/>
      </c>
      <c r="AJ6" s="27" t="str">
        <f>IF(AND(ISNUMBER(AH6),ISNUMBER(AG6),AG6&lt;&gt;0),AH6/AG6,"")</f>
        <v/>
      </c>
      <c r="AK6" s="24"/>
      <c r="AL6" s="25"/>
      <c r="AM6" s="26" t="str">
        <f>IF(AND(ISNUMBER(AL6),ISNUMBER(AK6)),AL6-AK6,"")</f>
        <v/>
      </c>
      <c r="AN6" s="27" t="str">
        <f>IF(AND(ISNUMBER(AL6),ISNUMBER(AK6),AK6&lt;&gt;0),AL6/AK6,"")</f>
        <v/>
      </c>
      <c r="AO6" s="24"/>
      <c r="AP6" s="25"/>
      <c r="AQ6" s="26" t="str">
        <f>IF(AND(ISNUMBER(AP6),ISNUMBER(AO6)),AP6-AO6,"")</f>
        <v/>
      </c>
      <c r="AR6" s="27" t="str">
        <f>IF(AND(ISNUMBER(AP6),ISNUMBER(AO6),AO6&lt;&gt;0),AP6/AO6,"")</f>
        <v/>
      </c>
      <c r="AS6" s="24"/>
      <c r="AT6" s="25"/>
      <c r="AU6" s="26" t="str">
        <f>IF(AND(ISNUMBER(AT6),ISNUMBER(AS6)),AT6-AS6,"")</f>
        <v/>
      </c>
      <c r="AV6" s="27" t="str">
        <f>IF(AND(ISNUMBER(AT6),ISNUMBER(AS6),AS6&lt;&gt;0),AT6/AS6,"")</f>
        <v/>
      </c>
      <c r="AW6" s="24"/>
      <c r="AX6" s="25"/>
      <c r="AY6" s="26" t="str">
        <f>IF(AND(ISNUMBER(AX6),ISNUMBER(AW6)),AX6-AW6,"")</f>
        <v/>
      </c>
      <c r="AZ6" s="27" t="str">
        <f>IF(AND(ISNUMBER(AX6),ISNUMBER(AW6),AW6&lt;&gt;0),AX6/AW6,"")</f>
        <v/>
      </c>
      <c r="BA6" s="28" t="str">
        <f t="shared" ref="BA6:BB10" si="0">IF(COUNTA(E6,I6,M6,Q6,U6,Y6,AC6,AG6,AK6,AO6,AS6,AW6)&gt;0,SUM(E6,I6,M6,Q6,U6,Y6,AC6,AG6,AK6,AO6,AS6,AW6),"")</f>
        <v/>
      </c>
      <c r="BB6" s="29" t="str">
        <f t="shared" si="0"/>
        <v/>
      </c>
      <c r="BC6" s="26" t="str">
        <f>IF(AND(ISNUMBER(BB6),ISNUMBER(BA6)),BB6-BA6,"")</f>
        <v/>
      </c>
      <c r="BD6" s="27" t="str">
        <f>IF(AND(ISNUMBER(BB6),ISNUMBER(BA6),BA6&lt;&gt;0),BB6/BA6,"")</f>
        <v/>
      </c>
      <c r="BE6" s="40">
        <v>56616000</v>
      </c>
    </row>
    <row r="7" spans="1:58" ht="19.5" customHeight="1" x14ac:dyDescent="0.3">
      <c r="A7" s="23" t="s">
        <v>110</v>
      </c>
      <c r="B7" s="21" t="s">
        <v>114</v>
      </c>
      <c r="C7" s="22" t="s">
        <v>112</v>
      </c>
      <c r="D7" s="22" t="s">
        <v>115</v>
      </c>
      <c r="E7" s="28">
        <v>490.12</v>
      </c>
      <c r="F7" s="25"/>
      <c r="G7" s="26" t="str">
        <f>IF(AND(ISNUMBER(F7),ISNUMBER(E7)),F7-E7,"")</f>
        <v/>
      </c>
      <c r="H7" s="27" t="str">
        <f>IF(AND(ISNUMBER(F7),ISNUMBER(E7),E7&lt;&gt;0),F7/E7,"")</f>
        <v/>
      </c>
      <c r="I7" s="28">
        <v>479.47</v>
      </c>
      <c r="J7" s="25"/>
      <c r="K7" s="26" t="str">
        <f>IF(AND(ISNUMBER(J7),ISNUMBER(I7)),J7-I7,"")</f>
        <v/>
      </c>
      <c r="L7" s="27" t="str">
        <f>IF(AND(ISNUMBER(J7),ISNUMBER(I7),I7&lt;&gt;0),J7/I7,"")</f>
        <v/>
      </c>
      <c r="M7" s="28">
        <v>456.68</v>
      </c>
      <c r="N7" s="25"/>
      <c r="O7" s="26" t="str">
        <f>IF(AND(ISNUMBER(N7),ISNUMBER(M7)),N7-M7,"")</f>
        <v/>
      </c>
      <c r="P7" s="27" t="str">
        <f>IF(AND(ISNUMBER(N7),ISNUMBER(M7),M7&lt;&gt;0),N7/M7,"")</f>
        <v/>
      </c>
      <c r="Q7" s="28">
        <v>521.92999999999995</v>
      </c>
      <c r="R7" s="25"/>
      <c r="S7" s="26" t="str">
        <f>IF(AND(ISNUMBER(R7),ISNUMBER(Q7)),R7-Q7,"")</f>
        <v/>
      </c>
      <c r="T7" s="27" t="str">
        <f>IF(AND(ISNUMBER(R7),ISNUMBER(Q7),Q7&lt;&gt;0),R7/Q7,"")</f>
        <v/>
      </c>
      <c r="U7" s="28">
        <v>565.59</v>
      </c>
      <c r="V7" s="25"/>
      <c r="W7" s="26" t="str">
        <f>IF(AND(ISNUMBER(V7),ISNUMBER(U7)),V7-U7,"")</f>
        <v/>
      </c>
      <c r="X7" s="27" t="str">
        <f>IF(AND(ISNUMBER(V7),ISNUMBER(U7),U7&lt;&gt;0),V7/U7,"")</f>
        <v/>
      </c>
      <c r="Y7" s="28">
        <v>616.49</v>
      </c>
      <c r="Z7" s="25"/>
      <c r="AA7" s="26" t="str">
        <f>IF(AND(ISNUMBER(Z7),ISNUMBER(Y7)),Z7-Y7,"")</f>
        <v/>
      </c>
      <c r="AB7" s="27" t="str">
        <f>IF(AND(ISNUMBER(Z7),ISNUMBER(Y7),Y7&lt;&gt;0),Z7/Y7,"")</f>
        <v/>
      </c>
      <c r="AC7" s="28">
        <v>729.16</v>
      </c>
      <c r="AD7" s="25"/>
      <c r="AE7" s="26" t="str">
        <f>IF(AND(ISNUMBER(AD7),ISNUMBER(AC7)),AD7-AC7,"")</f>
        <v/>
      </c>
      <c r="AF7" s="27" t="str">
        <f>IF(AND(ISNUMBER(AD7),ISNUMBER(AC7),AC7&lt;&gt;0),AD7/AC7,"")</f>
        <v/>
      </c>
      <c r="AG7" s="28">
        <v>725.14</v>
      </c>
      <c r="AH7" s="25"/>
      <c r="AI7" s="26" t="str">
        <f>IF(AND(ISNUMBER(AH7),ISNUMBER(AG7)),AH7-AG7,"")</f>
        <v/>
      </c>
      <c r="AJ7" s="27" t="str">
        <f>IF(AND(ISNUMBER(AH7),ISNUMBER(AG7),AG7&lt;&gt;0),AH7/AG7,"")</f>
        <v/>
      </c>
      <c r="AK7" s="28">
        <v>782.68</v>
      </c>
      <c r="AL7" s="25"/>
      <c r="AM7" s="26" t="str">
        <f>IF(AND(ISNUMBER(AL7),ISNUMBER(AK7)),AL7-AK7,"")</f>
        <v/>
      </c>
      <c r="AN7" s="27" t="str">
        <f>IF(AND(ISNUMBER(AL7),ISNUMBER(AK7),AK7&lt;&gt;0),AL7/AK7,"")</f>
        <v/>
      </c>
      <c r="AO7" s="28">
        <v>735.45</v>
      </c>
      <c r="AP7" s="25"/>
      <c r="AQ7" s="26" t="str">
        <f>IF(AND(ISNUMBER(AP7),ISNUMBER(AO7)),AP7-AO7,"")</f>
        <v/>
      </c>
      <c r="AR7" s="27" t="str">
        <f>IF(AND(ISNUMBER(AP7),ISNUMBER(AO7),AO7&lt;&gt;0),AP7/AO7,"")</f>
        <v/>
      </c>
      <c r="AS7" s="28">
        <v>480.34</v>
      </c>
      <c r="AT7" s="25"/>
      <c r="AU7" s="26" t="str">
        <f>IF(AND(ISNUMBER(AT7),ISNUMBER(AS7)),AT7-AS7,"")</f>
        <v/>
      </c>
      <c r="AV7" s="27" t="str">
        <f>IF(AND(ISNUMBER(AT7),ISNUMBER(AS7),AS7&lt;&gt;0),AT7/AS7,"")</f>
        <v/>
      </c>
      <c r="AW7" s="28">
        <v>241.6</v>
      </c>
      <c r="AX7" s="25"/>
      <c r="AY7" s="26" t="str">
        <f>IF(AND(ISNUMBER(AX7),ISNUMBER(AW7)),AX7-AW7,"")</f>
        <v/>
      </c>
      <c r="AZ7" s="27" t="str">
        <f>IF(AND(ISNUMBER(AX7),ISNUMBER(AW7),AW7&lt;&gt;0),AX7/AW7,"")</f>
        <v/>
      </c>
      <c r="BA7" s="28">
        <f t="shared" si="0"/>
        <v>6824.6500000000005</v>
      </c>
      <c r="BB7" s="29" t="str">
        <f t="shared" si="0"/>
        <v/>
      </c>
      <c r="BC7" s="26" t="str">
        <f>IF(AND(ISNUMBER(BB7),ISNUMBER(BA7)),BB7-BA7,"")</f>
        <v/>
      </c>
      <c r="BD7" s="27" t="str">
        <f>IF(AND(ISNUMBER(BB7),ISNUMBER(BA7),BA7&lt;&gt;0),BB7/BA7,"")</f>
        <v/>
      </c>
      <c r="BE7" s="40">
        <v>142635446</v>
      </c>
    </row>
    <row r="8" spans="1:58" ht="19.5" customHeight="1" x14ac:dyDescent="0.3">
      <c r="A8" s="23" t="s">
        <v>110</v>
      </c>
      <c r="B8" s="21" t="s">
        <v>116</v>
      </c>
      <c r="C8" s="22" t="s">
        <v>117</v>
      </c>
      <c r="D8" s="22" t="s">
        <v>118</v>
      </c>
      <c r="E8" s="24"/>
      <c r="F8" s="25"/>
      <c r="G8" s="26" t="str">
        <f>IF(AND(ISNUMBER(F8),ISNUMBER(E8)),F8-E8,"")</f>
        <v/>
      </c>
      <c r="H8" s="27" t="str">
        <f>IF(AND(ISNUMBER(F8),ISNUMBER(E8),E8&lt;&gt;0),F8/E8,"")</f>
        <v/>
      </c>
      <c r="I8" s="24"/>
      <c r="J8" s="25"/>
      <c r="K8" s="26" t="str">
        <f>IF(AND(ISNUMBER(J8),ISNUMBER(I8)),J8-I8,"")</f>
        <v/>
      </c>
      <c r="L8" s="27" t="str">
        <f>IF(AND(ISNUMBER(J8),ISNUMBER(I8),I8&lt;&gt;0),J8/I8,"")</f>
        <v/>
      </c>
      <c r="M8" s="24"/>
      <c r="N8" s="25"/>
      <c r="O8" s="26" t="str">
        <f>IF(AND(ISNUMBER(N8),ISNUMBER(M8)),N8-M8,"")</f>
        <v/>
      </c>
      <c r="P8" s="27" t="str">
        <f>IF(AND(ISNUMBER(N8),ISNUMBER(M8),M8&lt;&gt;0),N8/M8,"")</f>
        <v/>
      </c>
      <c r="Q8" s="24"/>
      <c r="R8" s="25"/>
      <c r="S8" s="26" t="str">
        <f>IF(AND(ISNUMBER(R8),ISNUMBER(Q8)),R8-Q8,"")</f>
        <v/>
      </c>
      <c r="T8" s="27" t="str">
        <f>IF(AND(ISNUMBER(R8),ISNUMBER(Q8),Q8&lt;&gt;0),R8/Q8,"")</f>
        <v/>
      </c>
      <c r="U8" s="24"/>
      <c r="V8" s="25"/>
      <c r="W8" s="26" t="str">
        <f>IF(AND(ISNUMBER(V8),ISNUMBER(U8)),V8-U8,"")</f>
        <v/>
      </c>
      <c r="X8" s="27" t="str">
        <f>IF(AND(ISNUMBER(V8),ISNUMBER(U8),U8&lt;&gt;0),V8/U8,"")</f>
        <v/>
      </c>
      <c r="Y8" s="24"/>
      <c r="Z8" s="25"/>
      <c r="AA8" s="26" t="str">
        <f>IF(AND(ISNUMBER(Z8),ISNUMBER(Y8)),Z8-Y8,"")</f>
        <v/>
      </c>
      <c r="AB8" s="27" t="str">
        <f>IF(AND(ISNUMBER(Z8),ISNUMBER(Y8),Y8&lt;&gt;0),Z8/Y8,"")</f>
        <v/>
      </c>
      <c r="AC8" s="24"/>
      <c r="AD8" s="25"/>
      <c r="AE8" s="26" t="str">
        <f>IF(AND(ISNUMBER(AD8),ISNUMBER(AC8)),AD8-AC8,"")</f>
        <v/>
      </c>
      <c r="AF8" s="27" t="str">
        <f>IF(AND(ISNUMBER(AD8),ISNUMBER(AC8),AC8&lt;&gt;0),AD8/AC8,"")</f>
        <v/>
      </c>
      <c r="AG8" s="24"/>
      <c r="AH8" s="25"/>
      <c r="AI8" s="26" t="str">
        <f>IF(AND(ISNUMBER(AH8),ISNUMBER(AG8)),AH8-AG8,"")</f>
        <v/>
      </c>
      <c r="AJ8" s="27" t="str">
        <f>IF(AND(ISNUMBER(AH8),ISNUMBER(AG8),AG8&lt;&gt;0),AH8/AG8,"")</f>
        <v/>
      </c>
      <c r="AK8" s="24"/>
      <c r="AL8" s="25"/>
      <c r="AM8" s="26" t="str">
        <f>IF(AND(ISNUMBER(AL8),ISNUMBER(AK8)),AL8-AK8,"")</f>
        <v/>
      </c>
      <c r="AN8" s="27" t="str">
        <f>IF(AND(ISNUMBER(AL8),ISNUMBER(AK8),AK8&lt;&gt;0),AL8/AK8,"")</f>
        <v/>
      </c>
      <c r="AO8" s="24"/>
      <c r="AP8" s="25"/>
      <c r="AQ8" s="26" t="str">
        <f>IF(AND(ISNUMBER(AP8),ISNUMBER(AO8)),AP8-AO8,"")</f>
        <v/>
      </c>
      <c r="AR8" s="27" t="str">
        <f>IF(AND(ISNUMBER(AP8),ISNUMBER(AO8),AO8&lt;&gt;0),AP8/AO8,"")</f>
        <v/>
      </c>
      <c r="AS8" s="24"/>
      <c r="AT8" s="25"/>
      <c r="AU8" s="26" t="str">
        <f>IF(AND(ISNUMBER(AT8),ISNUMBER(AS8)),AT8-AS8,"")</f>
        <v/>
      </c>
      <c r="AV8" s="27" t="str">
        <f>IF(AND(ISNUMBER(AT8),ISNUMBER(AS8),AS8&lt;&gt;0),AT8/AS8,"")</f>
        <v/>
      </c>
      <c r="AW8" s="24"/>
      <c r="AX8" s="25"/>
      <c r="AY8" s="26" t="str">
        <f>IF(AND(ISNUMBER(AX8),ISNUMBER(AW8)),AX8-AW8,"")</f>
        <v/>
      </c>
      <c r="AZ8" s="27" t="str">
        <f>IF(AND(ISNUMBER(AX8),ISNUMBER(AW8),AW8&lt;&gt;0),AX8/AW8,"")</f>
        <v/>
      </c>
      <c r="BA8" s="28" t="str">
        <f t="shared" si="0"/>
        <v/>
      </c>
      <c r="BB8" s="29" t="str">
        <f t="shared" si="0"/>
        <v/>
      </c>
      <c r="BC8" s="26" t="str">
        <f>IF(AND(ISNUMBER(BB8),ISNUMBER(BA8)),BB8-BA8,"")</f>
        <v/>
      </c>
      <c r="BD8" s="27" t="str">
        <f>IF(AND(ISNUMBER(BB8),ISNUMBER(BA8),BA8&lt;&gt;0),BB8/BA8,"")</f>
        <v/>
      </c>
      <c r="BE8" s="40">
        <v>132492000</v>
      </c>
    </row>
    <row r="9" spans="1:58" ht="19.5" customHeight="1" x14ac:dyDescent="0.3">
      <c r="A9" s="23" t="s">
        <v>110</v>
      </c>
      <c r="B9" s="21" t="s">
        <v>119</v>
      </c>
      <c r="C9" s="22" t="s">
        <v>117</v>
      </c>
      <c r="D9" s="22" t="s">
        <v>120</v>
      </c>
      <c r="E9" s="24"/>
      <c r="F9" s="25"/>
      <c r="G9" s="26" t="str">
        <f>IF(AND(ISNUMBER(F9),ISNUMBER(E9)),F9-E9,"")</f>
        <v/>
      </c>
      <c r="H9" s="27" t="str">
        <f>IF(AND(ISNUMBER(F9),ISNUMBER(E9),E9&lt;&gt;0),F9/E9,"")</f>
        <v/>
      </c>
      <c r="I9" s="24"/>
      <c r="J9" s="25"/>
      <c r="K9" s="26" t="str">
        <f>IF(AND(ISNUMBER(J9),ISNUMBER(I9)),J9-I9,"")</f>
        <v/>
      </c>
      <c r="L9" s="27" t="str">
        <f>IF(AND(ISNUMBER(J9),ISNUMBER(I9),I9&lt;&gt;0),J9/I9,"")</f>
        <v/>
      </c>
      <c r="M9" s="24"/>
      <c r="N9" s="25"/>
      <c r="O9" s="26" t="str">
        <f>IF(AND(ISNUMBER(N9),ISNUMBER(M9)),N9-M9,"")</f>
        <v/>
      </c>
      <c r="P9" s="27" t="str">
        <f>IF(AND(ISNUMBER(N9),ISNUMBER(M9),M9&lt;&gt;0),N9/M9,"")</f>
        <v/>
      </c>
      <c r="Q9" s="24"/>
      <c r="R9" s="25"/>
      <c r="S9" s="26" t="str">
        <f>IF(AND(ISNUMBER(R9),ISNUMBER(Q9)),R9-Q9,"")</f>
        <v/>
      </c>
      <c r="T9" s="27" t="str">
        <f>IF(AND(ISNUMBER(R9),ISNUMBER(Q9),Q9&lt;&gt;0),R9/Q9,"")</f>
        <v/>
      </c>
      <c r="U9" s="24"/>
      <c r="V9" s="25"/>
      <c r="W9" s="26" t="str">
        <f>IF(AND(ISNUMBER(V9),ISNUMBER(U9)),V9-U9,"")</f>
        <v/>
      </c>
      <c r="X9" s="27" t="str">
        <f>IF(AND(ISNUMBER(V9),ISNUMBER(U9),U9&lt;&gt;0),V9/U9,"")</f>
        <v/>
      </c>
      <c r="Y9" s="24"/>
      <c r="Z9" s="25"/>
      <c r="AA9" s="26" t="str">
        <f>IF(AND(ISNUMBER(Z9),ISNUMBER(Y9)),Z9-Y9,"")</f>
        <v/>
      </c>
      <c r="AB9" s="27" t="str">
        <f>IF(AND(ISNUMBER(Z9),ISNUMBER(Y9),Y9&lt;&gt;0),Z9/Y9,"")</f>
        <v/>
      </c>
      <c r="AC9" s="24"/>
      <c r="AD9" s="25"/>
      <c r="AE9" s="26" t="str">
        <f>IF(AND(ISNUMBER(AD9),ISNUMBER(AC9)),AD9-AC9,"")</f>
        <v/>
      </c>
      <c r="AF9" s="27" t="str">
        <f>IF(AND(ISNUMBER(AD9),ISNUMBER(AC9),AC9&lt;&gt;0),AD9/AC9,"")</f>
        <v/>
      </c>
      <c r="AG9" s="24"/>
      <c r="AH9" s="25"/>
      <c r="AI9" s="26" t="str">
        <f>IF(AND(ISNUMBER(AH9),ISNUMBER(AG9)),AH9-AG9,"")</f>
        <v/>
      </c>
      <c r="AJ9" s="27" t="str">
        <f>IF(AND(ISNUMBER(AH9),ISNUMBER(AG9),AG9&lt;&gt;0),AH9/AG9,"")</f>
        <v/>
      </c>
      <c r="AK9" s="24"/>
      <c r="AL9" s="25"/>
      <c r="AM9" s="26" t="str">
        <f>IF(AND(ISNUMBER(AL9),ISNUMBER(AK9)),AL9-AK9,"")</f>
        <v/>
      </c>
      <c r="AN9" s="27" t="str">
        <f>IF(AND(ISNUMBER(AL9),ISNUMBER(AK9),AK9&lt;&gt;0),AL9/AK9,"")</f>
        <v/>
      </c>
      <c r="AO9" s="24"/>
      <c r="AP9" s="25"/>
      <c r="AQ9" s="26" t="str">
        <f>IF(AND(ISNUMBER(AP9),ISNUMBER(AO9)),AP9-AO9,"")</f>
        <v/>
      </c>
      <c r="AR9" s="27" t="str">
        <f>IF(AND(ISNUMBER(AP9),ISNUMBER(AO9),AO9&lt;&gt;0),AP9/AO9,"")</f>
        <v/>
      </c>
      <c r="AS9" s="24"/>
      <c r="AT9" s="25"/>
      <c r="AU9" s="26" t="str">
        <f>IF(AND(ISNUMBER(AT9),ISNUMBER(AS9)),AT9-AS9,"")</f>
        <v/>
      </c>
      <c r="AV9" s="27" t="str">
        <f>IF(AND(ISNUMBER(AT9),ISNUMBER(AS9),AS9&lt;&gt;0),AT9/AS9,"")</f>
        <v/>
      </c>
      <c r="AW9" s="24"/>
      <c r="AX9" s="25"/>
      <c r="AY9" s="26" t="str">
        <f>IF(AND(ISNUMBER(AX9),ISNUMBER(AW9)),AX9-AW9,"")</f>
        <v/>
      </c>
      <c r="AZ9" s="27" t="str">
        <f>IF(AND(ISNUMBER(AX9),ISNUMBER(AW9),AW9&lt;&gt;0),AX9/AW9,"")</f>
        <v/>
      </c>
      <c r="BA9" s="28" t="str">
        <f t="shared" si="0"/>
        <v/>
      </c>
      <c r="BB9" s="29" t="str">
        <f t="shared" si="0"/>
        <v/>
      </c>
      <c r="BC9" s="26" t="str">
        <f>IF(AND(ISNUMBER(BB9),ISNUMBER(BA9)),BB9-BA9,"")</f>
        <v/>
      </c>
      <c r="BD9" s="27" t="str">
        <f>IF(AND(ISNUMBER(BB9),ISNUMBER(BA9),BA9&lt;&gt;0),BB9/BA9,"")</f>
        <v/>
      </c>
      <c r="BE9" s="40">
        <v>104807178</v>
      </c>
    </row>
    <row r="10" spans="1:58" ht="19.5" customHeight="1" x14ac:dyDescent="0.3">
      <c r="A10" s="23" t="s">
        <v>110</v>
      </c>
      <c r="B10" s="21" t="s">
        <v>121</v>
      </c>
      <c r="C10" s="22" t="s">
        <v>117</v>
      </c>
      <c r="D10" s="22" t="s">
        <v>120</v>
      </c>
      <c r="E10" s="24"/>
      <c r="F10" s="25"/>
      <c r="G10" s="26" t="str">
        <f>IF(AND(ISNUMBER(F10),ISNUMBER(E10)),F10-E10,"")</f>
        <v/>
      </c>
      <c r="H10" s="27" t="str">
        <f>IF(AND(ISNUMBER(F10),ISNUMBER(E10),E10&lt;&gt;0),F10/E10,"")</f>
        <v/>
      </c>
      <c r="I10" s="24"/>
      <c r="J10" s="25"/>
      <c r="K10" s="26" t="str">
        <f>IF(AND(ISNUMBER(J10),ISNUMBER(I10)),J10-I10,"")</f>
        <v/>
      </c>
      <c r="L10" s="27" t="str">
        <f>IF(AND(ISNUMBER(J10),ISNUMBER(I10),I10&lt;&gt;0),J10/I10,"")</f>
        <v/>
      </c>
      <c r="M10" s="24"/>
      <c r="N10" s="25"/>
      <c r="O10" s="26" t="str">
        <f>IF(AND(ISNUMBER(N10),ISNUMBER(M10)),N10-M10,"")</f>
        <v/>
      </c>
      <c r="P10" s="27" t="str">
        <f>IF(AND(ISNUMBER(N10),ISNUMBER(M10),M10&lt;&gt;0),N10/M10,"")</f>
        <v/>
      </c>
      <c r="Q10" s="24"/>
      <c r="R10" s="25"/>
      <c r="S10" s="26" t="str">
        <f>IF(AND(ISNUMBER(R10),ISNUMBER(Q10)),R10-Q10,"")</f>
        <v/>
      </c>
      <c r="T10" s="27" t="str">
        <f>IF(AND(ISNUMBER(R10),ISNUMBER(Q10),Q10&lt;&gt;0),R10/Q10,"")</f>
        <v/>
      </c>
      <c r="U10" s="24"/>
      <c r="V10" s="25"/>
      <c r="W10" s="26" t="str">
        <f>IF(AND(ISNUMBER(V10),ISNUMBER(U10)),V10-U10,"")</f>
        <v/>
      </c>
      <c r="X10" s="27" t="str">
        <f>IF(AND(ISNUMBER(V10),ISNUMBER(U10),U10&lt;&gt;0),V10/U10,"")</f>
        <v/>
      </c>
      <c r="Y10" s="24"/>
      <c r="Z10" s="25"/>
      <c r="AA10" s="26" t="str">
        <f>IF(AND(ISNUMBER(Z10),ISNUMBER(Y10)),Z10-Y10,"")</f>
        <v/>
      </c>
      <c r="AB10" s="27" t="str">
        <f>IF(AND(ISNUMBER(Z10),ISNUMBER(Y10),Y10&lt;&gt;0),Z10/Y10,"")</f>
        <v/>
      </c>
      <c r="AC10" s="24"/>
      <c r="AD10" s="25"/>
      <c r="AE10" s="26" t="str">
        <f>IF(AND(ISNUMBER(AD10),ISNUMBER(AC10)),AD10-AC10,"")</f>
        <v/>
      </c>
      <c r="AF10" s="27" t="str">
        <f>IF(AND(ISNUMBER(AD10),ISNUMBER(AC10),AC10&lt;&gt;0),AD10/AC10,"")</f>
        <v/>
      </c>
      <c r="AG10" s="24"/>
      <c r="AH10" s="25"/>
      <c r="AI10" s="26" t="str">
        <f>IF(AND(ISNUMBER(AH10),ISNUMBER(AG10)),AH10-AG10,"")</f>
        <v/>
      </c>
      <c r="AJ10" s="27" t="str">
        <f>IF(AND(ISNUMBER(AH10),ISNUMBER(AG10),AG10&lt;&gt;0),AH10/AG10,"")</f>
        <v/>
      </c>
      <c r="AK10" s="24"/>
      <c r="AL10" s="25"/>
      <c r="AM10" s="26" t="str">
        <f>IF(AND(ISNUMBER(AL10),ISNUMBER(AK10)),AL10-AK10,"")</f>
        <v/>
      </c>
      <c r="AN10" s="27" t="str">
        <f>IF(AND(ISNUMBER(AL10),ISNUMBER(AK10),AK10&lt;&gt;0),AL10/AK10,"")</f>
        <v/>
      </c>
      <c r="AO10" s="24"/>
      <c r="AP10" s="25"/>
      <c r="AQ10" s="26" t="str">
        <f>IF(AND(ISNUMBER(AP10),ISNUMBER(AO10)),AP10-AO10,"")</f>
        <v/>
      </c>
      <c r="AR10" s="27" t="str">
        <f>IF(AND(ISNUMBER(AP10),ISNUMBER(AO10),AO10&lt;&gt;0),AP10/AO10,"")</f>
        <v/>
      </c>
      <c r="AS10" s="24"/>
      <c r="AT10" s="25"/>
      <c r="AU10" s="26" t="str">
        <f>IF(AND(ISNUMBER(AT10),ISNUMBER(AS10)),AT10-AS10,"")</f>
        <v/>
      </c>
      <c r="AV10" s="27" t="str">
        <f>IF(AND(ISNUMBER(AT10),ISNUMBER(AS10),AS10&lt;&gt;0),AT10/AS10,"")</f>
        <v/>
      </c>
      <c r="AW10" s="24"/>
      <c r="AX10" s="25"/>
      <c r="AY10" s="26" t="str">
        <f>IF(AND(ISNUMBER(AX10),ISNUMBER(AW10)),AX10-AW10,"")</f>
        <v/>
      </c>
      <c r="AZ10" s="27" t="str">
        <f>IF(AND(ISNUMBER(AX10),ISNUMBER(AW10),AW10&lt;&gt;0),AX10/AW10,"")</f>
        <v/>
      </c>
      <c r="BA10" s="28" t="str">
        <f t="shared" si="0"/>
        <v/>
      </c>
      <c r="BB10" s="29" t="str">
        <f t="shared" si="0"/>
        <v/>
      </c>
      <c r="BC10" s="26" t="str">
        <f>IF(AND(ISNUMBER(BB10),ISNUMBER(BA10)),BB10-BA10,"")</f>
        <v/>
      </c>
      <c r="BD10" s="27" t="str">
        <f>IF(AND(ISNUMBER(BB10),ISNUMBER(BA10),BA10&lt;&gt;0),BB10/BA10,"")</f>
        <v/>
      </c>
      <c r="BE10" s="40">
        <v>9813068</v>
      </c>
    </row>
    <row r="11" spans="1:58" ht="21.75" customHeight="1" x14ac:dyDescent="0.3">
      <c r="A11" s="10" t="s">
        <v>122</v>
      </c>
      <c r="B11" s="10"/>
      <c r="C11" s="10"/>
      <c r="D11" s="10"/>
      <c r="E11" s="40"/>
      <c r="F11" s="41"/>
      <c r="G11" s="43" t="str">
        <f>IF(ISNUMBER(F11),F11-E11,"")</f>
        <v/>
      </c>
      <c r="H11" s="27" t="str">
        <f>IF(AND(ISNUMBER(F11),E11&lt;&gt;0),F11/E11,"")</f>
        <v/>
      </c>
      <c r="I11" s="40"/>
      <c r="J11" s="41"/>
      <c r="K11" s="43" t="str">
        <f>IF(ISNUMBER(J11),J11-I11,"")</f>
        <v/>
      </c>
      <c r="L11" s="27" t="str">
        <f>IF(AND(ISNUMBER(J11),I11&lt;&gt;0),J11/I11,"")</f>
        <v/>
      </c>
      <c r="M11" s="40"/>
      <c r="N11" s="41"/>
      <c r="O11" s="43" t="str">
        <f>IF(ISNUMBER(N11),N11-M11,"")</f>
        <v/>
      </c>
      <c r="P11" s="27" t="str">
        <f>IF(AND(ISNUMBER(N11),M11&lt;&gt;0),N11/M11,"")</f>
        <v/>
      </c>
      <c r="Q11" s="40"/>
      <c r="R11" s="41"/>
      <c r="S11" s="43" t="str">
        <f>IF(ISNUMBER(R11),R11-Q11,"")</f>
        <v/>
      </c>
      <c r="T11" s="27" t="str">
        <f>IF(AND(ISNUMBER(R11),Q11&lt;&gt;0),R11/Q11,"")</f>
        <v/>
      </c>
      <c r="U11" s="40"/>
      <c r="V11" s="41"/>
      <c r="W11" s="43" t="str">
        <f>IF(ISNUMBER(V11),V11-U11,"")</f>
        <v/>
      </c>
      <c r="X11" s="27" t="str">
        <f>IF(AND(ISNUMBER(V11),U11&lt;&gt;0),V11/U11,"")</f>
        <v/>
      </c>
      <c r="Y11" s="40"/>
      <c r="Z11" s="41"/>
      <c r="AA11" s="43" t="str">
        <f>IF(ISNUMBER(Z11),Z11-Y11,"")</f>
        <v/>
      </c>
      <c r="AB11" s="27" t="str">
        <f>IF(AND(ISNUMBER(Z11),Y11&lt;&gt;0),Z11/Y11,"")</f>
        <v/>
      </c>
      <c r="AC11" s="40"/>
      <c r="AD11" s="41"/>
      <c r="AE11" s="43" t="str">
        <f>IF(ISNUMBER(AD11),AD11-AC11,"")</f>
        <v/>
      </c>
      <c r="AF11" s="27" t="str">
        <f>IF(AND(ISNUMBER(AD11),AC11&lt;&gt;0),AD11/AC11,"")</f>
        <v/>
      </c>
      <c r="AG11" s="40"/>
      <c r="AH11" s="41"/>
      <c r="AI11" s="43" t="str">
        <f>IF(ISNUMBER(AH11),AH11-AG11,"")</f>
        <v/>
      </c>
      <c r="AJ11" s="27" t="str">
        <f>IF(AND(ISNUMBER(AH11),AG11&lt;&gt;0),AH11/AG11,"")</f>
        <v/>
      </c>
      <c r="AK11" s="40"/>
      <c r="AL11" s="41"/>
      <c r="AM11" s="43" t="str">
        <f>IF(ISNUMBER(AL11),AL11-AK11,"")</f>
        <v/>
      </c>
      <c r="AN11" s="27" t="str">
        <f>IF(AND(ISNUMBER(AL11),AK11&lt;&gt;0),AL11/AK11,"")</f>
        <v/>
      </c>
      <c r="AO11" s="40"/>
      <c r="AP11" s="41"/>
      <c r="AQ11" s="43" t="str">
        <f>IF(ISNUMBER(AP11),AP11-AO11,"")</f>
        <v/>
      </c>
      <c r="AR11" s="27" t="str">
        <f>IF(AND(ISNUMBER(AP11),AO11&lt;&gt;0),AP11/AO11,"")</f>
        <v/>
      </c>
      <c r="AS11" s="40"/>
      <c r="AT11" s="41"/>
      <c r="AU11" s="43" t="str">
        <f>IF(ISNUMBER(AT11),AT11-AS11,"")</f>
        <v/>
      </c>
      <c r="AV11" s="27" t="str">
        <f>IF(AND(ISNUMBER(AT11),AS11&lt;&gt;0),AT11/AS11,"")</f>
        <v/>
      </c>
      <c r="AW11" s="40"/>
      <c r="AX11" s="41"/>
      <c r="AY11" s="43" t="str">
        <f>IF(ISNUMBER(AX11),AX11-AW11,"")</f>
        <v/>
      </c>
      <c r="AZ11" s="27" t="str">
        <f>IF(AND(ISNUMBER(AX11),AW11&lt;&gt;0),AX11/AW11,"")</f>
        <v/>
      </c>
      <c r="BA11" s="37"/>
      <c r="BB11" s="37"/>
      <c r="BC11" s="37"/>
      <c r="BD11" s="37"/>
      <c r="BE11" s="57">
        <f>SUM(BE6,BE7,BE8,BE9,BE10)</f>
        <v>446363692</v>
      </c>
    </row>
  </sheetData>
  <mergeCells count="30">
    <mergeCell ref="AS4:AV4"/>
    <mergeCell ref="AW4:AZ4"/>
    <mergeCell ref="BA4:BD4"/>
    <mergeCell ref="A11:D11"/>
    <mergeCell ref="Y4:AB4"/>
    <mergeCell ref="AC4:AF4"/>
    <mergeCell ref="AG4:AJ4"/>
    <mergeCell ref="AK4:AN4"/>
    <mergeCell ref="AO4:AR4"/>
    <mergeCell ref="E4:H4"/>
    <mergeCell ref="I4:L4"/>
    <mergeCell ref="M4:P4"/>
    <mergeCell ref="Q4:T4"/>
    <mergeCell ref="U4:X4"/>
    <mergeCell ref="A1:BF1"/>
    <mergeCell ref="A2:BF2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K3:AN3"/>
    <mergeCell ref="AO3:AR3"/>
    <mergeCell ref="AS3:AV3"/>
    <mergeCell ref="AW3:AZ3"/>
    <mergeCell ref="BA3:BE3"/>
  </mergeCells>
  <conditionalFormatting sqref="H6:H10">
    <cfRule type="cellIs" dxfId="25" priority="2" operator="lessThanOrEqual">
      <formula>1</formula>
    </cfRule>
    <cfRule type="cellIs" dxfId="24" priority="3" operator="greaterThan">
      <formula>1</formula>
    </cfRule>
  </conditionalFormatting>
  <conditionalFormatting sqref="L6:L10">
    <cfRule type="cellIs" dxfId="23" priority="4" operator="lessThanOrEqual">
      <formula>1</formula>
    </cfRule>
    <cfRule type="cellIs" dxfId="22" priority="5" operator="greaterThan">
      <formula>1</formula>
    </cfRule>
  </conditionalFormatting>
  <conditionalFormatting sqref="P6:P10">
    <cfRule type="cellIs" dxfId="21" priority="6" operator="lessThanOrEqual">
      <formula>1</formula>
    </cfRule>
    <cfRule type="cellIs" dxfId="20" priority="7" operator="greaterThan">
      <formula>1</formula>
    </cfRule>
  </conditionalFormatting>
  <conditionalFormatting sqref="T6:T10">
    <cfRule type="cellIs" dxfId="19" priority="8" operator="lessThanOrEqual">
      <formula>1</formula>
    </cfRule>
    <cfRule type="cellIs" dxfId="18" priority="9" operator="greaterThan">
      <formula>1</formula>
    </cfRule>
  </conditionalFormatting>
  <conditionalFormatting sqref="X6:X10">
    <cfRule type="cellIs" dxfId="17" priority="10" operator="lessThanOrEqual">
      <formula>1</formula>
    </cfRule>
    <cfRule type="cellIs" dxfId="16" priority="11" operator="greaterThan">
      <formula>1</formula>
    </cfRule>
  </conditionalFormatting>
  <conditionalFormatting sqref="AB6:AB10">
    <cfRule type="cellIs" dxfId="15" priority="12" operator="lessThanOrEqual">
      <formula>1</formula>
    </cfRule>
    <cfRule type="cellIs" dxfId="14" priority="13" operator="greaterThan">
      <formula>1</formula>
    </cfRule>
  </conditionalFormatting>
  <conditionalFormatting sqref="AF6:AF10">
    <cfRule type="cellIs" dxfId="13" priority="14" operator="lessThanOrEqual">
      <formula>1</formula>
    </cfRule>
    <cfRule type="cellIs" dxfId="12" priority="15" operator="greaterThan">
      <formula>1</formula>
    </cfRule>
  </conditionalFormatting>
  <conditionalFormatting sqref="AJ6:AJ10">
    <cfRule type="cellIs" dxfId="11" priority="16" operator="lessThanOrEqual">
      <formula>1</formula>
    </cfRule>
    <cfRule type="cellIs" dxfId="10" priority="17" operator="greaterThan">
      <formula>1</formula>
    </cfRule>
  </conditionalFormatting>
  <conditionalFormatting sqref="AN6:AN10">
    <cfRule type="cellIs" dxfId="9" priority="18" operator="lessThanOrEqual">
      <formula>1</formula>
    </cfRule>
    <cfRule type="cellIs" dxfId="8" priority="19" operator="greaterThan">
      <formula>1</formula>
    </cfRule>
  </conditionalFormatting>
  <conditionalFormatting sqref="AR6:AR10">
    <cfRule type="cellIs" dxfId="7" priority="20" operator="lessThanOrEqual">
      <formula>1</formula>
    </cfRule>
    <cfRule type="cellIs" dxfId="6" priority="21" operator="greaterThan">
      <formula>1</formula>
    </cfRule>
  </conditionalFormatting>
  <conditionalFormatting sqref="AV6:AV10">
    <cfRule type="cellIs" dxfId="5" priority="22" operator="lessThanOrEqual">
      <formula>1</formula>
    </cfRule>
    <cfRule type="cellIs" dxfId="4" priority="23" operator="greaterThan">
      <formula>1</formula>
    </cfRule>
  </conditionalFormatting>
  <conditionalFormatting sqref="AZ6:AZ10">
    <cfRule type="cellIs" dxfId="3" priority="24" operator="lessThanOrEqual">
      <formula>1</formula>
    </cfRule>
    <cfRule type="cellIs" dxfId="2" priority="25" operator="greaterThan">
      <formula>1</formula>
    </cfRule>
  </conditionalFormatting>
  <conditionalFormatting sqref="BD6:BD10">
    <cfRule type="cellIs" dxfId="1" priority="26" operator="lessThanOrEqual">
      <formula>1</formula>
    </cfRule>
    <cfRule type="cellIs" dxfId="0" priority="27" operator="greaterThan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showGridLines="0" zoomScaleNormal="100" workbookViewId="0"/>
  </sheetViews>
  <sheetFormatPr baseColWidth="10" defaultColWidth="8.6640625" defaultRowHeight="14.4" x14ac:dyDescent="0.3"/>
  <cols>
    <col min="1" max="1" width="6" customWidth="1"/>
    <col min="2" max="2" width="40" customWidth="1"/>
    <col min="3" max="5" width="18" customWidth="1"/>
    <col min="6" max="7" width="14" customWidth="1"/>
  </cols>
  <sheetData>
    <row r="1" spans="1:7" ht="31.5" customHeight="1" x14ac:dyDescent="0.3">
      <c r="A1" s="4" t="s">
        <v>123</v>
      </c>
      <c r="B1" s="4"/>
      <c r="C1" s="4"/>
      <c r="D1" s="4"/>
      <c r="E1" s="4"/>
      <c r="F1" s="4"/>
      <c r="G1" s="4"/>
    </row>
    <row r="2" spans="1:7" ht="18" customHeight="1" x14ac:dyDescent="0.3">
      <c r="A2" s="3" t="s">
        <v>124</v>
      </c>
      <c r="B2" s="3"/>
      <c r="C2" s="3"/>
      <c r="D2" s="3"/>
      <c r="E2" s="3"/>
      <c r="F2" s="3"/>
      <c r="G2" s="3"/>
    </row>
    <row r="3" spans="1:7" ht="19.5" customHeight="1" x14ac:dyDescent="0.3">
      <c r="A3" s="44" t="s">
        <v>125</v>
      </c>
      <c r="B3" s="44" t="s">
        <v>126</v>
      </c>
      <c r="C3" s="44" t="s">
        <v>127</v>
      </c>
      <c r="D3" s="44" t="s">
        <v>128</v>
      </c>
      <c r="E3" s="44" t="s">
        <v>129</v>
      </c>
      <c r="F3" s="44" t="s">
        <v>130</v>
      </c>
      <c r="G3" s="44" t="s">
        <v>131</v>
      </c>
    </row>
    <row r="4" spans="1:7" ht="19.5" customHeight="1" x14ac:dyDescent="0.3">
      <c r="A4" s="15" t="s">
        <v>132</v>
      </c>
      <c r="B4" s="58" t="s">
        <v>133</v>
      </c>
      <c r="C4" s="24">
        <v>379148</v>
      </c>
      <c r="D4" s="59" t="s">
        <v>134</v>
      </c>
      <c r="E4" s="42"/>
      <c r="F4" s="42"/>
      <c r="G4" s="60"/>
    </row>
    <row r="5" spans="1:7" ht="19.5" customHeight="1" x14ac:dyDescent="0.3">
      <c r="A5" s="15" t="s">
        <v>135</v>
      </c>
      <c r="B5" s="21" t="s">
        <v>136</v>
      </c>
      <c r="C5" s="24">
        <v>53996</v>
      </c>
      <c r="D5" s="59" t="s">
        <v>134</v>
      </c>
      <c r="E5" s="42"/>
      <c r="F5" s="42"/>
      <c r="G5" s="60"/>
    </row>
    <row r="6" spans="1:7" ht="19.5" customHeight="1" x14ac:dyDescent="0.3">
      <c r="A6" s="15" t="s">
        <v>137</v>
      </c>
      <c r="B6" s="58" t="s">
        <v>138</v>
      </c>
      <c r="C6" s="24">
        <v>215483</v>
      </c>
      <c r="D6" s="59" t="s">
        <v>134</v>
      </c>
      <c r="E6" s="42"/>
      <c r="F6" s="42"/>
      <c r="G6" s="60"/>
    </row>
    <row r="7" spans="1:7" ht="19.5" customHeight="1" x14ac:dyDescent="0.3">
      <c r="A7" s="15" t="s">
        <v>139</v>
      </c>
      <c r="B7" s="21" t="s">
        <v>140</v>
      </c>
      <c r="C7" s="24">
        <v>108903</v>
      </c>
      <c r="D7" s="59" t="s">
        <v>134</v>
      </c>
      <c r="E7" s="42"/>
      <c r="F7" s="42"/>
      <c r="G7" s="60"/>
    </row>
    <row r="8" spans="1:7" ht="19.5" customHeight="1" x14ac:dyDescent="0.3">
      <c r="A8" s="15" t="s">
        <v>141</v>
      </c>
      <c r="B8" s="58" t="s">
        <v>142</v>
      </c>
      <c r="C8" s="24">
        <v>2237</v>
      </c>
      <c r="D8" s="59" t="s">
        <v>134</v>
      </c>
      <c r="E8" s="42"/>
      <c r="F8" s="42"/>
      <c r="G8" s="60"/>
    </row>
    <row r="9" spans="1:7" ht="19.5" customHeight="1" x14ac:dyDescent="0.3">
      <c r="A9" s="2"/>
      <c r="B9" s="2"/>
      <c r="C9" s="2"/>
      <c r="D9" s="2"/>
      <c r="E9" s="2"/>
      <c r="F9" s="2"/>
      <c r="G9" s="2"/>
    </row>
    <row r="10" spans="1:7" ht="19.5" customHeight="1" x14ac:dyDescent="0.3">
      <c r="A10" s="15" t="s">
        <v>143</v>
      </c>
      <c r="B10" s="21" t="s">
        <v>144</v>
      </c>
      <c r="C10" s="24">
        <v>116793</v>
      </c>
      <c r="D10" s="59" t="s">
        <v>134</v>
      </c>
      <c r="E10" s="42"/>
      <c r="F10" s="42"/>
      <c r="G10" s="60"/>
    </row>
    <row r="11" spans="1:7" ht="19.5" customHeight="1" x14ac:dyDescent="0.3">
      <c r="A11" s="15" t="s">
        <v>145</v>
      </c>
      <c r="B11" s="58" t="s">
        <v>146</v>
      </c>
      <c r="C11" s="24">
        <v>205423</v>
      </c>
      <c r="D11" s="59" t="s">
        <v>134</v>
      </c>
      <c r="E11" s="42"/>
      <c r="F11" s="42"/>
      <c r="G11" s="60"/>
    </row>
    <row r="12" spans="1:7" ht="19.5" customHeight="1" x14ac:dyDescent="0.3">
      <c r="A12" s="15" t="s">
        <v>147</v>
      </c>
      <c r="B12" s="21" t="s">
        <v>148</v>
      </c>
      <c r="C12" s="24">
        <v>90067</v>
      </c>
      <c r="D12" s="59" t="s">
        <v>134</v>
      </c>
      <c r="E12" s="42"/>
      <c r="F12" s="42"/>
      <c r="G12" s="60"/>
    </row>
    <row r="13" spans="1:7" ht="19.5" customHeight="1" x14ac:dyDescent="0.3">
      <c r="A13" s="2"/>
      <c r="B13" s="2"/>
      <c r="C13" s="2"/>
      <c r="D13" s="2"/>
      <c r="E13" s="2"/>
      <c r="F13" s="2"/>
      <c r="G13" s="2"/>
    </row>
    <row r="14" spans="1:7" ht="19.5" customHeight="1" x14ac:dyDescent="0.3">
      <c r="A14" s="15" t="s">
        <v>149</v>
      </c>
      <c r="B14" s="58" t="s">
        <v>150</v>
      </c>
      <c r="C14" s="24">
        <v>1281414</v>
      </c>
      <c r="D14" s="59" t="s">
        <v>134</v>
      </c>
      <c r="E14" s="42"/>
      <c r="F14" s="42"/>
      <c r="G14" s="60"/>
    </row>
    <row r="15" spans="1:7" ht="19.5" customHeight="1" x14ac:dyDescent="0.3">
      <c r="A15" s="15" t="s">
        <v>151</v>
      </c>
      <c r="B15" s="21" t="s">
        <v>152</v>
      </c>
      <c r="C15" s="24">
        <v>277433700</v>
      </c>
      <c r="D15" s="59" t="s">
        <v>134</v>
      </c>
      <c r="E15" s="42"/>
      <c r="F15" s="42"/>
      <c r="G15" s="60"/>
    </row>
    <row r="17" spans="1:7" ht="21.75" customHeight="1" x14ac:dyDescent="0.3">
      <c r="A17" s="1" t="s">
        <v>153</v>
      </c>
      <c r="B17" s="1"/>
      <c r="C17" s="1"/>
      <c r="D17" s="1"/>
      <c r="E17" s="1"/>
      <c r="F17" s="1"/>
      <c r="G17" s="1"/>
    </row>
  </sheetData>
  <mergeCells count="5">
    <mergeCell ref="A1:G1"/>
    <mergeCell ref="A2:G2"/>
    <mergeCell ref="A9:G9"/>
    <mergeCell ref="A13:G13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1. PRODUCCIÓN</vt:lpstr>
      <vt:lpstr>2. FUENTES DE AGUA</vt:lpstr>
      <vt:lpstr>3. QUÍMICOS F2 (GEM)</vt:lpstr>
      <vt:lpstr>4. QUÍMICOS F3 (RO)</vt:lpstr>
      <vt:lpstr>5. LODOS</vt:lpstr>
      <vt:lpstr>6. CONSUMIBLES</vt:lpstr>
      <vt:lpstr>7. RESUMEN</vt:lpstr>
      <vt:lpstr>'1. PRODUCCIÓN'!Área_de_impresión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Luna Sofia Osorio Parra</cp:lastModifiedBy>
  <cp:revision>0</cp:revision>
  <dcterms:created xsi:type="dcterms:W3CDTF">2026-04-23T14:26:28Z</dcterms:created>
  <dcterms:modified xsi:type="dcterms:W3CDTF">2026-04-23T18:31:11Z</dcterms:modified>
  <dc:language>en-US</dc:language>
</cp:coreProperties>
</file>