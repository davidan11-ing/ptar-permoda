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rmodaco-my.sharepoint.com/personal/lunaop_permoda_com_co/Documents/Escritorio/"/>
    </mc:Choice>
  </mc:AlternateContent>
  <xr:revisionPtr revIDLastSave="0" documentId="8_{C4D04883-BD25-4423-AF26-27F8310C2CC9}" xr6:coauthVersionLast="47" xr6:coauthVersionMax="47" xr10:uidLastSave="{00000000-0000-0000-0000-000000000000}"/>
  <bookViews>
    <workbookView xWindow="-108" yWindow="-108" windowWidth="19416" windowHeight="10296" xr2:uid="{A6C30ED1-E3E0-4E06-B07B-1396E9CDD3FA}"/>
  </bookViews>
  <sheets>
    <sheet name="DB QUIMICA" sheetId="2" r:id="rId1"/>
    <sheet name="GRAFICAS" sheetId="1" r:id="rId2"/>
  </sheets>
  <externalReferences>
    <externalReference r:id="rId3"/>
  </externalReferences>
  <definedNames>
    <definedName name="ANALISTA">#REF!</definedName>
    <definedName name="BALANCEO">#REF!</definedName>
    <definedName name="ESTADO">#REF!</definedName>
    <definedName name="PLANTAS">#REF!</definedName>
    <definedName name="PRENDA">#REF!</definedName>
    <definedName name="PROCESO">#REF!</definedName>
    <definedName name="SegmentaciónDeDatos_DIA">#N/A</definedName>
    <definedName name="SegmentaciónDeDatos_DIA1">#N/A</definedName>
    <definedName name="SegmentaciónDeDatos_FECHA1">#N/A</definedName>
    <definedName name="SegmentaciónDeDatos_FECHA2">#N/A</definedName>
    <definedName name="TIPO">#REF!</definedName>
  </definedNames>
  <calcPr calcId="191029"/>
  <pivotCaches>
    <pivotCache cacheId="1" r:id="rId4"/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8" i="2" l="1"/>
  <c r="AB8" i="2"/>
  <c r="AD8" i="2"/>
  <c r="Z25" i="2"/>
  <c r="AA8" i="2" l="1"/>
  <c r="AC8" i="2"/>
  <c r="AB25" i="2"/>
  <c r="AD25" i="2"/>
  <c r="AA25" i="2" l="1"/>
  <c r="AC25" i="2"/>
  <c r="C86" i="1"/>
  <c r="B86" i="1"/>
  <c r="D86" i="1" s="1"/>
  <c r="E86" i="1" s="1"/>
  <c r="H82" i="1"/>
  <c r="F82" i="1"/>
  <c r="C82" i="1"/>
  <c r="B82" i="1"/>
  <c r="D82" i="1" s="1"/>
  <c r="E82" i="1" s="1"/>
  <c r="S54" i="1"/>
  <c r="R54" i="1"/>
  <c r="Q54" i="1"/>
  <c r="S53" i="1"/>
  <c r="R53" i="1"/>
  <c r="Q53" i="1"/>
  <c r="S52" i="1"/>
  <c r="R52" i="1"/>
  <c r="Q52" i="1"/>
  <c r="S43" i="1"/>
  <c r="R43" i="1"/>
  <c r="Q43" i="1"/>
  <c r="S42" i="1"/>
  <c r="R42" i="1"/>
  <c r="Q42" i="1"/>
  <c r="S41" i="1"/>
  <c r="R41" i="1"/>
  <c r="Q41" i="1"/>
  <c r="T31" i="1"/>
  <c r="S31" i="1"/>
  <c r="R31" i="1"/>
  <c r="Q31" i="1"/>
  <c r="T30" i="1"/>
  <c r="S30" i="1"/>
  <c r="R30" i="1"/>
  <c r="Q30" i="1"/>
  <c r="T29" i="1"/>
  <c r="S29" i="1"/>
  <c r="R29" i="1"/>
  <c r="Q29" i="1"/>
  <c r="T19" i="1"/>
  <c r="S19" i="1"/>
  <c r="R19" i="1"/>
  <c r="Q19" i="1"/>
  <c r="T18" i="1"/>
  <c r="S18" i="1"/>
  <c r="R18" i="1"/>
  <c r="Q18" i="1"/>
  <c r="T17" i="1"/>
  <c r="S17" i="1"/>
  <c r="R17" i="1"/>
  <c r="Q17" i="1"/>
  <c r="T8" i="1"/>
  <c r="S8" i="1"/>
  <c r="R8" i="1"/>
  <c r="Q8" i="1"/>
  <c r="T7" i="1"/>
  <c r="S7" i="1"/>
  <c r="R7" i="1"/>
  <c r="Q7" i="1"/>
  <c r="T6" i="1"/>
  <c r="S6" i="1"/>
  <c r="R6" i="1"/>
  <c r="Q6" i="1"/>
  <c r="S9" i="1"/>
  <c r="S20" i="1"/>
  <c r="R9" i="1"/>
  <c r="S32" i="1"/>
  <c r="R44" i="1"/>
  <c r="R32" i="1"/>
  <c r="R55" i="1"/>
  <c r="R20" i="1"/>
  <c r="R59" i="1" l="1"/>
  <c r="R57" i="1"/>
  <c r="S55" i="1"/>
  <c r="S57" i="1" s="1"/>
  <c r="R46" i="1"/>
  <c r="S44" i="1"/>
  <c r="S46" i="1" s="1"/>
  <c r="R48" i="1"/>
  <c r="S34" i="1"/>
  <c r="T32" i="1"/>
  <c r="S36" i="1"/>
  <c r="S24" i="1"/>
  <c r="S22" i="1"/>
  <c r="T20" i="1"/>
  <c r="T9" i="1"/>
  <c r="S13" i="1"/>
  <c r="S11" i="1"/>
  <c r="G82" i="1"/>
  <c r="E100" i="1" s="1"/>
  <c r="F86" i="1"/>
  <c r="G86" i="1" s="1"/>
  <c r="E105" i="1" s="1"/>
  <c r="H86" i="1"/>
  <c r="I86" i="1" s="1"/>
  <c r="T34" i="1" l="1"/>
  <c r="T36" i="1"/>
  <c r="T24" i="1"/>
  <c r="T22" i="1"/>
  <c r="T11" i="1"/>
  <c r="T13" i="1"/>
  <c r="I82" i="1"/>
</calcChain>
</file>

<file path=xl/sharedStrings.xml><?xml version="1.0" encoding="utf-8"?>
<sst xmlns="http://schemas.openxmlformats.org/spreadsheetml/2006/main" count="196" uniqueCount="105">
  <si>
    <t>FECHA</t>
  </si>
  <si>
    <t>(Varios elementos)</t>
  </si>
  <si>
    <t>PRECIO (KG) ACIDO</t>
  </si>
  <si>
    <t>PRECIO (KG) COAGULANTE</t>
  </si>
  <si>
    <t>PRECIO (KG) DECOLORANTE</t>
  </si>
  <si>
    <t>PRECIO (KG) ANIONICO</t>
  </si>
  <si>
    <t>PRECIO (KG) CATIONICO</t>
  </si>
  <si>
    <t>DIA</t>
  </si>
  <si>
    <t xml:space="preserve">COF 494 - PPM POL CATIONICO </t>
  </si>
  <si>
    <t xml:space="preserve">COF 440 - PPM POL ANIONICO </t>
  </si>
  <si>
    <t xml:space="preserve">COF 280 - PPM ACIDO </t>
  </si>
  <si>
    <t xml:space="preserve">COF 235 - PPM COAGULANTE  </t>
  </si>
  <si>
    <t xml:space="preserve">COF 255 - PPM DECOLORANTE </t>
  </si>
  <si>
    <t xml:space="preserve"> INDICADOR $m3 </t>
  </si>
  <si>
    <t xml:space="preserve">CONSUMO POL CATIONICO (KG) </t>
  </si>
  <si>
    <t xml:space="preserve">CONSUMO POL ANIONICO (KG) </t>
  </si>
  <si>
    <t xml:space="preserve">CONSUMO LITROS ACIDO (L) </t>
  </si>
  <si>
    <t xml:space="preserve">CONSUMO LITROS COAGULANTE (L) </t>
  </si>
  <si>
    <t xml:space="preserve">CONSUMO LITROS DECOLORANTE (L) </t>
  </si>
  <si>
    <t xml:space="preserve">KG POL CATIONICO  </t>
  </si>
  <si>
    <t xml:space="preserve">KG POL ANIONICO  </t>
  </si>
  <si>
    <t xml:space="preserve">KG ACIDO </t>
  </si>
  <si>
    <t xml:space="preserve">KG COAGULANTE </t>
  </si>
  <si>
    <t xml:space="preserve">KG DECOLORANTE  </t>
  </si>
  <si>
    <t xml:space="preserve">INDICADOR $m3 </t>
  </si>
  <si>
    <t xml:space="preserve">INDICADOR $ACIDO/M3 </t>
  </si>
  <si>
    <t xml:space="preserve"> INDICADOR $COAGULANTE/M3 </t>
  </si>
  <si>
    <t xml:space="preserve">INDICADOR $DECOLORANTE/M3 </t>
  </si>
  <si>
    <t xml:space="preserve">INDICADOR $POL ANIONICO/ M3 </t>
  </si>
  <si>
    <t xml:space="preserve"> INDICADOR $POL CATIONICO / M3 </t>
  </si>
  <si>
    <t>COF 255 - DECOLORANTE</t>
  </si>
  <si>
    <t>PPM</t>
  </si>
  <si>
    <t>L/DIA</t>
  </si>
  <si>
    <t>KG/DIA</t>
  </si>
  <si>
    <t>$</t>
  </si>
  <si>
    <t>MINIMO</t>
  </si>
  <si>
    <t>MAXIMO</t>
  </si>
  <si>
    <t>PROMEDIO</t>
  </si>
  <si>
    <t>TOTAL CONSUMIDO</t>
  </si>
  <si>
    <t>PROYECCIÓN Kg/M3</t>
  </si>
  <si>
    <t>REAL Kg/ M3</t>
  </si>
  <si>
    <t>PROYECCIÓN CONSUMO Kg</t>
  </si>
  <si>
    <t>CONSOLIDADO CONSUMO Kg</t>
  </si>
  <si>
    <t>COF 235 - COAGULANTE</t>
  </si>
  <si>
    <t>COF 280 - ACIDIFICANTE</t>
  </si>
  <si>
    <t>Total general</t>
  </si>
  <si>
    <t>COF 440 - POLIMERO ANIONICO</t>
  </si>
  <si>
    <t>COF 494 - POLIMERO CATIONICO</t>
  </si>
  <si>
    <t>REMOCIÓN DQO mg/L</t>
  </si>
  <si>
    <t>DQO INICIAL (mg/L)</t>
  </si>
  <si>
    <t>DQO SALIDA (mg/L)</t>
  </si>
  <si>
    <t>DQO REMOMOVIDA (mg/L)</t>
  </si>
  <si>
    <t>KG REMOVIDOS DQO / M3</t>
  </si>
  <si>
    <t>M3 TRATADOS</t>
  </si>
  <si>
    <t>TOTAL KG DQO REMOVIDOS</t>
  </si>
  <si>
    <t>$TRATAMIENTO</t>
  </si>
  <si>
    <t>$ REMOVER KG DQO</t>
  </si>
  <si>
    <t>REMOCIÓN SST mg/L</t>
  </si>
  <si>
    <t>SST INICIAL (mg/L)</t>
  </si>
  <si>
    <t>SST SALIDA (mg/L)</t>
  </si>
  <si>
    <t xml:space="preserve"> SST REMOVIDOS (mg/L)</t>
  </si>
  <si>
    <t>KG REMOVIDOS SST / M3</t>
  </si>
  <si>
    <t>$ REMOVER KG SST</t>
  </si>
  <si>
    <t>KPIs</t>
  </si>
  <si>
    <t>ENTRADA GEM</t>
  </si>
  <si>
    <t>SALIDA GEM</t>
  </si>
  <si>
    <t>COLOR</t>
  </si>
  <si>
    <t>PERCENTIL 90</t>
  </si>
  <si>
    <t>INDICE DE ESTABILIDAD DEL AFLUENTE - EFLUENTE (CV%)</t>
  </si>
  <si>
    <t>DQO</t>
  </si>
  <si>
    <t xml:space="preserve">CARGA REMOVIDA KG/DIA DQO </t>
  </si>
  <si>
    <t>SST</t>
  </si>
  <si>
    <t>CARGA REMOVIDA KG/DIA SST</t>
  </si>
  <si>
    <t>$ CONSOLIDADO</t>
  </si>
  <si>
    <t>$ HORA DE TRATAMIENTO RO</t>
  </si>
  <si>
    <t xml:space="preserve">HORAS </t>
  </si>
  <si>
    <t>$m3</t>
  </si>
  <si>
    <t>TOTAL CAUDAL TRATADO RO</t>
  </si>
  <si>
    <t>PANORAMA OPERATIVO RO</t>
  </si>
  <si>
    <t>CONSOLIDADO COSTO TTO - CAUDAL TRATADP RO Vs $M3</t>
  </si>
  <si>
    <t>OSMOSIS INVERSA</t>
  </si>
  <si>
    <t>$ HORA DE TRATAMIENTO GEM</t>
  </si>
  <si>
    <t>VOLUMEN TRATADO GEM (m3)</t>
  </si>
  <si>
    <t>PANORAMA OPERATIVO GEM</t>
  </si>
  <si>
    <t>COSTO QUIMICA  GEM</t>
  </si>
  <si>
    <t>VOLUMEN TRATADO GEM  (m3)</t>
  </si>
  <si>
    <t xml:space="preserve">COSTO QUIMICA  </t>
  </si>
  <si>
    <t>TIEMPO DE OPERACIÓN</t>
  </si>
  <si>
    <t xml:space="preserve">VOLUMEN ENVIADO A RO (m3) </t>
  </si>
  <si>
    <t>Etiquetas de fila</t>
  </si>
  <si>
    <t xml:space="preserve"> INDICADOR $m3 RO</t>
  </si>
  <si>
    <t xml:space="preserve"> LIMITE INDICADOR M3</t>
  </si>
  <si>
    <t xml:space="preserve"> VOLUMEN ENVIADO A RO (m3)</t>
  </si>
  <si>
    <t>DÍA</t>
  </si>
  <si>
    <t xml:space="preserve">HORAS DE OPERACIÓN </t>
  </si>
  <si>
    <t xml:space="preserve">  2025 $m3 GEM </t>
  </si>
  <si>
    <t xml:space="preserve">  INDICADOR $m3</t>
  </si>
  <si>
    <t xml:space="preserve">  CAUDAL TOTAL TRATADO GEM </t>
  </si>
  <si>
    <t>CONSOLIDADO COSTO TTO - CAUDAL TRATADP GEM Vs $M3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</si>
  <si>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</si>
  <si>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COSTO TTO - CAUDAL TRATADP GEM Vs $M3</t>
  </si>
  <si>
    <t>GEM</t>
  </si>
  <si>
    <t>TABLA GRAFICA 3. RO COSTO CONSUMO QUIMICO VS $M3</t>
  </si>
  <si>
    <t>TABLA GRAFICA 2. COSTO CONSUMO QUIMICO VS $M3</t>
  </si>
  <si>
    <t>CONSUMO DE QUIMICO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</si>
</sst>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[$$-240A]\ #,##0"/>
    <numFmt numFmtId="165" formatCode="&quot;$&quot;\ #,##0"/>
    <numFmt numFmtId="166" formatCode="_-&quot;$&quot;\ * #,##0_-;\-&quot;$&quot;\ * #,##0_-;_-&quot;$&quot;\ * &quot;-&quot;??_-;_-@_-"/>
    <numFmt numFmtId="167" formatCode="0.0"/>
    <numFmt numFmtId="168" formatCode="_-* #,##0_-;\-* #,##0_-;_-* &quot;-&quot;??_-;_-@_-"/>
    <numFmt numFmtId="169" formatCode="_-* #,##0.0000_-;\-* #,##0.0000_-;_-* &quot;-&quot;??_-;_-@_-"/>
    <numFmt numFmtId="170" formatCode="0.00000"/>
    <numFmt numFmtId="171" formatCode="_-* #,##0.000_-;\-* #,##0.000_-;_-* &quot;-&quot;??_-;_-@_-"/>
    <numFmt numFmtId="172" formatCode="0.000"/>
    <numFmt numFmtId="173" formatCode="#,##0.000"/>
    <numFmt numFmtId="174" formatCode="[$$-240A]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8" tint="0.79998168889431442"/>
      </patternFill>
    </fill>
  </fills>
  <borders count="38">
    <border>
      <left/>
      <right/>
      <top/>
      <bottom/>
      <diagonal/>
    </border>
    <border>
      <left style="double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64" fontId="0" fillId="4" borderId="2" xfId="0" applyNumberFormat="1" applyFill="1" applyBorder="1"/>
    <xf numFmtId="0" fontId="0" fillId="0" borderId="0" xfId="0" applyAlignment="1">
      <alignment wrapText="1"/>
    </xf>
    <xf numFmtId="0" fontId="0" fillId="0" borderId="3" xfId="0" applyBorder="1"/>
    <xf numFmtId="0" fontId="0" fillId="2" borderId="3" xfId="0" applyFill="1" applyBorder="1" applyAlignment="1">
      <alignment horizontal="center" wrapText="1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left"/>
    </xf>
    <xf numFmtId="3" fontId="0" fillId="0" borderId="0" xfId="0" applyNumberFormat="1"/>
    <xf numFmtId="165" fontId="0" fillId="0" borderId="0" xfId="0" applyNumberFormat="1"/>
    <xf numFmtId="1" fontId="0" fillId="2" borderId="3" xfId="0" applyNumberFormat="1" applyFill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/>
    <xf numFmtId="3" fontId="0" fillId="2" borderId="3" xfId="0" applyNumberFormat="1" applyFill="1" applyBorder="1"/>
    <xf numFmtId="166" fontId="0" fillId="2" borderId="11" xfId="2" applyNumberFormat="1" applyFont="1" applyFill="1" applyBorder="1"/>
    <xf numFmtId="167" fontId="0" fillId="2" borderId="3" xfId="0" applyNumberFormat="1" applyFill="1" applyBorder="1"/>
    <xf numFmtId="0" fontId="0" fillId="2" borderId="12" xfId="0" applyFill="1" applyBorder="1"/>
    <xf numFmtId="0" fontId="0" fillId="2" borderId="13" xfId="0" applyFill="1" applyBorder="1"/>
    <xf numFmtId="168" fontId="0" fillId="2" borderId="13" xfId="1" applyNumberFormat="1" applyFont="1" applyFill="1" applyBorder="1"/>
    <xf numFmtId="166" fontId="0" fillId="2" borderId="14" xfId="2" applyNumberFormat="1" applyFont="1" applyFill="1" applyBorder="1"/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43" fontId="0" fillId="2" borderId="16" xfId="0" applyNumberFormat="1" applyFill="1" applyBorder="1"/>
    <xf numFmtId="166" fontId="0" fillId="2" borderId="17" xfId="2" applyNumberFormat="1" applyFont="1" applyFill="1" applyBorder="1"/>
    <xf numFmtId="0" fontId="0" fillId="2" borderId="1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2" fontId="0" fillId="0" borderId="3" xfId="0" applyNumberFormat="1" applyBorder="1"/>
    <xf numFmtId="3" fontId="1" fillId="2" borderId="3" xfId="2" applyNumberFormat="1" applyFont="1" applyFill="1" applyBorder="1" applyAlignment="1">
      <alignment horizontal="right" vertical="center" wrapText="1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3" fontId="1" fillId="2" borderId="19" xfId="2" applyNumberFormat="1" applyFont="1" applyFill="1" applyBorder="1" applyAlignment="1">
      <alignment horizontal="right" vertical="center" wrapText="1"/>
    </xf>
    <xf numFmtId="166" fontId="0" fillId="0" borderId="20" xfId="2" applyNumberFormat="1" applyFont="1" applyBorder="1"/>
    <xf numFmtId="1" fontId="0" fillId="0" borderId="3" xfId="0" applyNumberFormat="1" applyBorder="1" applyAlignment="1">
      <alignment horizontal="center"/>
    </xf>
    <xf numFmtId="0" fontId="0" fillId="2" borderId="18" xfId="0" applyFill="1" applyBorder="1"/>
    <xf numFmtId="0" fontId="0" fillId="2" borderId="19" xfId="0" applyFill="1" applyBorder="1"/>
    <xf numFmtId="168" fontId="0" fillId="2" borderId="19" xfId="1" applyNumberFormat="1" applyFont="1" applyFill="1" applyBorder="1"/>
    <xf numFmtId="166" fontId="0" fillId="2" borderId="20" xfId="2" applyNumberFormat="1" applyFont="1" applyFill="1" applyBorder="1"/>
    <xf numFmtId="2" fontId="0" fillId="2" borderId="11" xfId="2" applyNumberFormat="1" applyFont="1" applyFill="1" applyBorder="1"/>
    <xf numFmtId="168" fontId="0" fillId="2" borderId="3" xfId="0" applyNumberFormat="1" applyFill="1" applyBorder="1"/>
    <xf numFmtId="168" fontId="0" fillId="0" borderId="19" xfId="0" applyNumberFormat="1" applyBorder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3" fontId="0" fillId="2" borderId="0" xfId="0" applyNumberFormat="1" applyFill="1"/>
    <xf numFmtId="0" fontId="0" fillId="2" borderId="3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67" fontId="0" fillId="2" borderId="0" xfId="0" applyNumberFormat="1" applyFill="1"/>
    <xf numFmtId="164" fontId="0" fillId="2" borderId="14" xfId="0" applyNumberFormat="1" applyFill="1" applyBorder="1"/>
    <xf numFmtId="169" fontId="0" fillId="2" borderId="16" xfId="0" applyNumberFormat="1" applyFill="1" applyBorder="1"/>
    <xf numFmtId="170" fontId="0" fillId="2" borderId="11" xfId="2" applyNumberFormat="1" applyFont="1" applyFill="1" applyBorder="1"/>
    <xf numFmtId="164" fontId="0" fillId="2" borderId="20" xfId="0" applyNumberFormat="1" applyFill="1" applyBorder="1"/>
    <xf numFmtId="171" fontId="0" fillId="2" borderId="16" xfId="0" applyNumberFormat="1" applyFill="1" applyBorder="1"/>
    <xf numFmtId="172" fontId="0" fillId="2" borderId="11" xfId="2" applyNumberFormat="1" applyFont="1" applyFill="1" applyBorder="1"/>
    <xf numFmtId="0" fontId="0" fillId="0" borderId="19" xfId="0" applyBorder="1"/>
    <xf numFmtId="43" fontId="0" fillId="2" borderId="0" xfId="1" applyFont="1" applyFill="1"/>
    <xf numFmtId="44" fontId="0" fillId="2" borderId="0" xfId="2" applyFont="1" applyFill="1"/>
    <xf numFmtId="43" fontId="0" fillId="2" borderId="0" xfId="0" applyNumberFormat="1" applyFill="1"/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168" fontId="0" fillId="2" borderId="3" xfId="1" applyNumberFormat="1" applyFont="1" applyFill="1" applyBorder="1" applyAlignment="1">
      <alignment vertical="center"/>
    </xf>
    <xf numFmtId="3" fontId="0" fillId="2" borderId="3" xfId="0" applyNumberFormat="1" applyFill="1" applyBorder="1" applyAlignment="1">
      <alignment vertical="center"/>
    </xf>
    <xf numFmtId="171" fontId="0" fillId="2" borderId="3" xfId="1" applyNumberFormat="1" applyFont="1" applyFill="1" applyBorder="1" applyAlignment="1">
      <alignment vertical="center"/>
    </xf>
    <xf numFmtId="166" fontId="0" fillId="2" borderId="3" xfId="3" applyNumberFormat="1" applyFont="1" applyFill="1" applyBorder="1" applyAlignment="1"/>
    <xf numFmtId="166" fontId="0" fillId="2" borderId="3" xfId="2" applyNumberFormat="1" applyFont="1" applyFill="1" applyBorder="1" applyAlignment="1"/>
    <xf numFmtId="0" fontId="0" fillId="0" borderId="0" xfId="0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0" fillId="2" borderId="32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26" xfId="0" applyFill="1" applyBorder="1" applyAlignment="1">
      <alignment horizontal="left"/>
    </xf>
    <xf numFmtId="3" fontId="0" fillId="0" borderId="3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0" fontId="0" fillId="2" borderId="32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26" xfId="0" applyFill="1" applyBorder="1" applyAlignment="1">
      <alignment horizontal="left"/>
    </xf>
    <xf numFmtId="0" fontId="0" fillId="2" borderId="33" xfId="0" applyFill="1" applyBorder="1" applyAlignment="1">
      <alignment horizontal="left"/>
    </xf>
    <xf numFmtId="0" fontId="0" fillId="2" borderId="34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10" fontId="0" fillId="0" borderId="19" xfId="0" applyNumberFormat="1" applyBorder="1" applyAlignment="1">
      <alignment horizontal="center"/>
    </xf>
    <xf numFmtId="10" fontId="0" fillId="0" borderId="20" xfId="0" applyNumberFormat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168" fontId="0" fillId="0" borderId="36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168" fontId="0" fillId="0" borderId="0" xfId="0" applyNumberFormat="1"/>
    <xf numFmtId="0" fontId="0" fillId="8" borderId="0" xfId="0" applyFill="1"/>
    <xf numFmtId="44" fontId="0" fillId="0" borderId="0" xfId="2" applyFont="1" applyAlignment="1">
      <alignment horizontal="center"/>
    </xf>
    <xf numFmtId="44" fontId="0" fillId="8" borderId="0" xfId="2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/>
    <xf numFmtId="0" fontId="0" fillId="10" borderId="0" xfId="0" applyFill="1"/>
    <xf numFmtId="164" fontId="0" fillId="9" borderId="0" xfId="0" applyNumberFormat="1" applyFill="1"/>
    <xf numFmtId="3" fontId="0" fillId="2" borderId="3" xfId="0" applyNumberFormat="1" applyFill="1" applyBorder="1" applyAlignment="1">
      <alignment horizontal="center"/>
    </xf>
    <xf numFmtId="42" fontId="0" fillId="0" borderId="0" xfId="0" applyNumberFormat="1"/>
    <xf numFmtId="2" fontId="0" fillId="0" borderId="0" xfId="0" applyNumberFormat="1"/>
    <xf numFmtId="166" fontId="0" fillId="0" borderId="0" xfId="0" applyNumberFormat="1"/>
    <xf numFmtId="165" fontId="0" fillId="2" borderId="3" xfId="0" applyNumberFormat="1" applyFill="1" applyBorder="1" applyAlignment="1">
      <alignment horizontal="center"/>
    </xf>
    <xf numFmtId="0" fontId="4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vertical="center"/>
    </xf>
    <xf numFmtId="166" fontId="6" fillId="0" borderId="3" xfId="2" applyNumberFormat="1" applyFont="1" applyBorder="1"/>
    <xf numFmtId="1" fontId="6" fillId="2" borderId="3" xfId="0" applyNumberFormat="1" applyFont="1" applyFill="1" applyBorder="1" applyAlignment="1">
      <alignment horizontal="center" vertical="center"/>
    </xf>
    <xf numFmtId="174" fontId="7" fillId="2" borderId="3" xfId="0" applyNumberFormat="1" applyFont="1" applyFill="1" applyBorder="1" applyAlignment="1">
      <alignment horizontal="right"/>
    </xf>
    <xf numFmtId="3" fontId="7" fillId="2" borderId="3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/>
    </xf>
    <xf numFmtId="0" fontId="0" fillId="12" borderId="0" xfId="0" applyFill="1"/>
    <xf numFmtId="0" fontId="8" fillId="12" borderId="0" xfId="0" applyFont="1" applyFill="1" applyAlignment="1">
      <alignment horizontal="center"/>
    </xf>
    <xf numFmtId="1" fontId="0" fillId="0" borderId="3" xfId="0" applyNumberFormat="1" applyBorder="1" applyAlignment="1">
      <alignment horizontal="left"/>
    </xf>
    <xf numFmtId="164" fontId="7" fillId="2" borderId="3" xfId="0" applyNumberFormat="1" applyFont="1" applyFill="1" applyBorder="1" applyAlignment="1">
      <alignment horizontal="right"/>
    </xf>
    <xf numFmtId="42" fontId="0" fillId="0" borderId="3" xfId="0" applyNumberFormat="1" applyBorder="1"/>
    <xf numFmtId="0" fontId="0" fillId="13" borderId="3" xfId="0" applyFill="1" applyBorder="1" applyAlignment="1">
      <alignment horizontal="center" wrapText="1"/>
    </xf>
    <xf numFmtId="0" fontId="0" fillId="10" borderId="0" xfId="0" applyFill="1" applyAlignment="1">
      <alignment horizontal="center"/>
    </xf>
    <xf numFmtId="0" fontId="0" fillId="10" borderId="3" xfId="0" applyFill="1" applyBorder="1" applyAlignment="1">
      <alignment horizontal="center"/>
    </xf>
    <xf numFmtId="3" fontId="0" fillId="10" borderId="3" xfId="0" applyNumberForma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wrapText="1"/>
    </xf>
    <xf numFmtId="0" fontId="5" fillId="9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center"/>
    </xf>
    <xf numFmtId="0" fontId="9" fillId="9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top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vertical="center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3" formatCode="#,##0"/>
    </dxf>
    <dxf>
      <numFmt numFmtId="165" formatCode="&quot;$&quot;\ #,##0"/>
    </dxf>
    <dxf>
      <fill>
        <patternFill patternType="solid">
          <fgColor indexed="64"/>
          <bgColor theme="8" tint="0.79998168889431442"/>
        </patternFill>
      </fill>
      <alignment horizontal="center"/>
    </dxf>
    <dxf>
      <numFmt numFmtId="166" formatCode="_-&quot;$&quot;\ * #,##0_-;\-&quot;$&quot;\ * #,##0_-;_-&quot;$&quot;\ * &quot;-&quot;??_-;_-@_-"/>
    </dxf>
    <dxf>
      <numFmt numFmtId="165" formatCode="&quot;$&quot;\ #,##0"/>
    </dxf>
    <dxf>
      <alignment horizontal="center"/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fgColor theme="8" tint="0.79998168889431442"/>
        </patternFill>
      </fill>
      <alignment wrapText="1"/>
    </dxf>
    <dxf>
      <alignment horizontal="center"/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fgColor theme="8" tint="0.79998168889431442"/>
        </patternFill>
      </fill>
      <alignment wrapText="1"/>
    </dxf>
    <dxf>
      <numFmt numFmtId="32" formatCode="_-&quot;$&quot;\ * #,##0_-;\-&quot;$&quot;\ * #,##0_-;_-&quot;$&quot;\ * &quot;-&quot;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/>
    </dxf>
    <dxf>
      <numFmt numFmtId="165" formatCode="&quot;$&quot;\ #,##0"/>
    </dxf>
    <dxf>
      <numFmt numFmtId="165" formatCode="&quot;$&quot;\ #,##0"/>
    </dxf>
    <dxf>
      <numFmt numFmtId="165" formatCode="&quot;$&quot;\ #,##0"/>
    </dxf>
    <dxf>
      <alignment wrapText="1"/>
    </dxf>
    <dxf>
      <numFmt numFmtId="165" formatCode="&quot;$&quot;\ #,##0"/>
    </dxf>
    <dxf>
      <numFmt numFmtId="165" formatCode="&quot;$&quot;\ #,##0"/>
    </dxf>
    <dxf>
      <numFmt numFmtId="165" formatCode="&quot;$&quot;\ #,##0"/>
    </dxf>
    <dxf>
      <numFmt numFmtId="165" formatCode="&quot;$&quot;\ #,##0"/>
    </dxf>
    <dxf>
      <numFmt numFmtId="165" formatCode="&quot;$&quot;\ #,##0"/>
    </dxf>
    <dxf>
      <numFmt numFmtId="165" formatCode="&quot;$&quot;\ #,##0"/>
    </dxf>
    <dxf>
      <alignment horizontal="center"/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/>
    </dxf>
    <dxf>
      <alignment wrapText="1"/>
    </dxf>
    <dxf>
      <alignment wrapText="1"/>
    </dxf>
    <dxf>
      <alignment horizontal="center"/>
    </dxf>
    <dxf>
      <numFmt numFmtId="166" formatCode="_-&quot;$&quot;\ * #,##0_-;\-&quot;$&quot;\ * #,##0_-;_-&quot;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[GRaficas de quimicos.xlsx]DB QUIMICA!TablaDinámica1</c:name>
    <c:fmtId val="1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$</a:t>
            </a:r>
            <a:r>
              <a:rPr lang="es-CO" baseline="0"/>
              <a:t> m3 TRATAMIENTO GEM</a:t>
            </a:r>
            <a:endParaRPr lang="es-CO"/>
          </a:p>
        </c:rich>
      </c:tx>
      <c:layout>
        <c:manualLayout>
          <c:xMode val="edge"/>
          <c:yMode val="edge"/>
          <c:x val="0.45973851424596712"/>
          <c:y val="1.6566869756487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  <a:alpha val="6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11"/>
        <c:spPr>
          <a:solidFill>
            <a:schemeClr val="accent1"/>
          </a:solidFill>
          <a:ln w="28575" cap="rnd">
            <a:solidFill>
              <a:srgbClr val="0070C0">
                <a:alpha val="0"/>
              </a:srgbClr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  <a:alpha val="6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  <a:alpha val="6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  <a:alpha val="6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  <a:alpha val="6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533786782337137E-2"/>
          <c:y val="0.10434649438513563"/>
          <c:w val="0.87166013418517441"/>
          <c:h val="0.67968335624431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'DB QUIMICA'!$AK$4</c:f>
              <c:strCache>
                <c:ptCount val="1"/>
                <c:pt idx="0">
                  <c:v>  CAUDAL TOTAL TRATADO GEM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QUIMICA'!$AJ$5:$AJ$35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'DB QUIMICA'!$AK$5:$AK$35</c:f>
              <c:numCache>
                <c:formatCode>#,##0</c:formatCode>
                <c:ptCount val="30"/>
                <c:pt idx="0">
                  <c:v>0</c:v>
                </c:pt>
                <c:pt idx="1">
                  <c:v>880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1040</c:v>
                </c:pt>
                <c:pt idx="6">
                  <c:v>1079</c:v>
                </c:pt>
                <c:pt idx="7">
                  <c:v>1200</c:v>
                </c:pt>
                <c:pt idx="8">
                  <c:v>1280</c:v>
                </c:pt>
                <c:pt idx="9">
                  <c:v>1520</c:v>
                </c:pt>
                <c:pt idx="10">
                  <c:v>1040</c:v>
                </c:pt>
                <c:pt idx="11">
                  <c:v>0</c:v>
                </c:pt>
                <c:pt idx="12">
                  <c:v>1360</c:v>
                </c:pt>
                <c:pt idx="13">
                  <c:v>1280</c:v>
                </c:pt>
                <c:pt idx="14">
                  <c:v>1200</c:v>
                </c:pt>
                <c:pt idx="15">
                  <c:v>1600</c:v>
                </c:pt>
                <c:pt idx="16">
                  <c:v>1440</c:v>
                </c:pt>
                <c:pt idx="17">
                  <c:v>1680</c:v>
                </c:pt>
                <c:pt idx="18">
                  <c:v>0</c:v>
                </c:pt>
                <c:pt idx="19">
                  <c:v>1600</c:v>
                </c:pt>
                <c:pt idx="20">
                  <c:v>1360</c:v>
                </c:pt>
                <c:pt idx="21">
                  <c:v>1520</c:v>
                </c:pt>
                <c:pt idx="22">
                  <c:v>1495</c:v>
                </c:pt>
                <c:pt idx="23">
                  <c:v>1360</c:v>
                </c:pt>
                <c:pt idx="24">
                  <c:v>1360</c:v>
                </c:pt>
                <c:pt idx="25">
                  <c:v>800</c:v>
                </c:pt>
                <c:pt idx="26">
                  <c:v>1520</c:v>
                </c:pt>
                <c:pt idx="27">
                  <c:v>1600</c:v>
                </c:pt>
                <c:pt idx="28">
                  <c:v>1680</c:v>
                </c:pt>
                <c:pt idx="29">
                  <c:v>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F-477E-AB53-75DB3DF3D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013664"/>
        <c:axId val="531007184"/>
      </c:barChart>
      <c:lineChart>
        <c:grouping val="standard"/>
        <c:varyColors val="0"/>
        <c:ser>
          <c:idx val="1"/>
          <c:order val="1"/>
          <c:tx>
            <c:strRef>
              <c:f>'DB QUIMICA'!$AL$4</c:f>
              <c:strCache>
                <c:ptCount val="1"/>
                <c:pt idx="0">
                  <c:v>  INDICADOR $m3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4B2F-477E-AB53-75DB3DF3D069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B2F-477E-AB53-75DB3DF3D069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4B2F-477E-AB53-75DB3DF3D069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4B2F-477E-AB53-75DB3DF3D069}"/>
              </c:ext>
            </c:extLst>
          </c:dPt>
          <c:dLbls>
            <c:spPr>
              <a:solidFill>
                <a:schemeClr val="accent6">
                  <a:lumMod val="20000"/>
                  <a:lumOff val="80000"/>
                  <a:alpha val="66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QUIMICA'!$AJ$5:$AJ$35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'DB QUIMICA'!$AL$5:$AL$35</c:f>
              <c:numCache>
                <c:formatCode>#,##0</c:formatCode>
                <c:ptCount val="30"/>
                <c:pt idx="0">
                  <c:v>0</c:v>
                </c:pt>
                <c:pt idx="1">
                  <c:v>2001.6698863636364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2638.6711538461536</c:v>
                </c:pt>
                <c:pt idx="6">
                  <c:v>2771.1464318813714</c:v>
                </c:pt>
                <c:pt idx="7">
                  <c:v>2309.4699999999998</c:v>
                </c:pt>
                <c:pt idx="8">
                  <c:v>1812.61015625</c:v>
                </c:pt>
                <c:pt idx="9">
                  <c:v>2241.3763157894737</c:v>
                </c:pt>
                <c:pt idx="10">
                  <c:v>3164.7182692307692</c:v>
                </c:pt>
                <c:pt idx="11">
                  <c:v>0</c:v>
                </c:pt>
                <c:pt idx="12">
                  <c:v>2363.5055147058824</c:v>
                </c:pt>
                <c:pt idx="13">
                  <c:v>3136.7925781250001</c:v>
                </c:pt>
                <c:pt idx="14">
                  <c:v>2896.0604166666667</c:v>
                </c:pt>
                <c:pt idx="15">
                  <c:v>2646.4334374999999</c:v>
                </c:pt>
                <c:pt idx="16">
                  <c:v>3481.7406249999999</c:v>
                </c:pt>
                <c:pt idx="17">
                  <c:v>3085.6183035714284</c:v>
                </c:pt>
                <c:pt idx="18">
                  <c:v>0</c:v>
                </c:pt>
                <c:pt idx="19">
                  <c:v>2180.94484375</c:v>
                </c:pt>
                <c:pt idx="20">
                  <c:v>2748.0113970588236</c:v>
                </c:pt>
                <c:pt idx="21">
                  <c:v>3660.9736842105262</c:v>
                </c:pt>
                <c:pt idx="22">
                  <c:v>2341.9923076923078</c:v>
                </c:pt>
                <c:pt idx="23">
                  <c:v>2116.0264705882355</c:v>
                </c:pt>
                <c:pt idx="24">
                  <c:v>2486.9143382352941</c:v>
                </c:pt>
                <c:pt idx="25">
                  <c:v>1466.7093749999999</c:v>
                </c:pt>
                <c:pt idx="26">
                  <c:v>2624.4664473684211</c:v>
                </c:pt>
                <c:pt idx="27">
                  <c:v>2916.3146875000002</c:v>
                </c:pt>
                <c:pt idx="28">
                  <c:v>2882.8380952380953</c:v>
                </c:pt>
                <c:pt idx="29">
                  <c:v>2777.1713815789471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B2F-477E-AB53-75DB3DF3D069}"/>
            </c:ext>
          </c:extLst>
        </c:ser>
        <c:ser>
          <c:idx val="2"/>
          <c:order val="2"/>
          <c:tx>
            <c:strRef>
              <c:f>'DB QUIMICA'!$AM$4</c:f>
              <c:strCache>
                <c:ptCount val="1"/>
                <c:pt idx="0">
                  <c:v>  2025 $m3 GEM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'DB QUIMICA'!$AJ$5:$AJ$35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'DB QUIMICA'!$AM$5:$AM$35</c:f>
              <c:numCache>
                <c:formatCode>"$"\ #,##0</c:formatCode>
                <c:ptCount val="30"/>
                <c:pt idx="0">
                  <c:v>3599</c:v>
                </c:pt>
                <c:pt idx="1">
                  <c:v>3599</c:v>
                </c:pt>
                <c:pt idx="2">
                  <c:v>3599</c:v>
                </c:pt>
                <c:pt idx="3">
                  <c:v>3599</c:v>
                </c:pt>
                <c:pt idx="4">
                  <c:v>3599</c:v>
                </c:pt>
                <c:pt idx="5">
                  <c:v>3599</c:v>
                </c:pt>
                <c:pt idx="6">
                  <c:v>3599</c:v>
                </c:pt>
                <c:pt idx="7">
                  <c:v>3599</c:v>
                </c:pt>
                <c:pt idx="8">
                  <c:v>3599</c:v>
                </c:pt>
                <c:pt idx="9">
                  <c:v>3599</c:v>
                </c:pt>
                <c:pt idx="10">
                  <c:v>3599</c:v>
                </c:pt>
                <c:pt idx="11">
                  <c:v>3599</c:v>
                </c:pt>
                <c:pt idx="12">
                  <c:v>3599</c:v>
                </c:pt>
                <c:pt idx="13">
                  <c:v>3599</c:v>
                </c:pt>
                <c:pt idx="14">
                  <c:v>3599</c:v>
                </c:pt>
                <c:pt idx="15">
                  <c:v>3599</c:v>
                </c:pt>
                <c:pt idx="16">
                  <c:v>3599</c:v>
                </c:pt>
                <c:pt idx="17">
                  <c:v>3599</c:v>
                </c:pt>
                <c:pt idx="18">
                  <c:v>3599</c:v>
                </c:pt>
                <c:pt idx="19">
                  <c:v>3599</c:v>
                </c:pt>
                <c:pt idx="20">
                  <c:v>3599</c:v>
                </c:pt>
                <c:pt idx="21">
                  <c:v>3599</c:v>
                </c:pt>
                <c:pt idx="22">
                  <c:v>3599</c:v>
                </c:pt>
                <c:pt idx="23">
                  <c:v>3599</c:v>
                </c:pt>
                <c:pt idx="24">
                  <c:v>3599</c:v>
                </c:pt>
                <c:pt idx="25">
                  <c:v>3599</c:v>
                </c:pt>
                <c:pt idx="26">
                  <c:v>3599</c:v>
                </c:pt>
                <c:pt idx="27">
                  <c:v>3599</c:v>
                </c:pt>
                <c:pt idx="28">
                  <c:v>3599</c:v>
                </c:pt>
                <c:pt idx="29">
                  <c:v>3599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B2F-477E-AB53-75DB3DF3D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518224"/>
        <c:axId val="1054534544"/>
      </c:lineChart>
      <c:valAx>
        <c:axId val="531007184"/>
        <c:scaling>
          <c:orientation val="minMax"/>
          <c:max val="18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aseline="0"/>
                  <a:t>volumen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1013664"/>
        <c:crosses val="max"/>
        <c:crossBetween val="between"/>
      </c:valAx>
      <c:catAx>
        <c:axId val="5310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1007184"/>
        <c:crosses val="autoZero"/>
        <c:auto val="1"/>
        <c:lblAlgn val="ctr"/>
        <c:lblOffset val="100"/>
        <c:noMultiLvlLbl val="0"/>
      </c:catAx>
      <c:valAx>
        <c:axId val="1054534544"/>
        <c:scaling>
          <c:orientation val="minMax"/>
          <c:max val="1400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4518224"/>
        <c:crosses val="autoZero"/>
        <c:crossBetween val="between"/>
      </c:valAx>
      <c:catAx>
        <c:axId val="1054518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45345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[GRaficas de quimicos.xlsx]DB QUIMICA!TablaDinámica3</c:name>
    <c:fmtId val="6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INDICADOR 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841388888888888E-2"/>
              <c:y val="5.9972222222222225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643833333333437E-2"/>
              <c:y val="1.4111111111110982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"/>
        <c:spPr>
          <a:solidFill>
            <a:schemeClr val="accent1"/>
          </a:solidFill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layout>
            <c:manualLayout>
              <c:x val="-7.9337513025095636E-3"/>
              <c:y val="3.52777777777777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layout>
            <c:manualLayout>
              <c:x val="-7.9337513025095636E-3"/>
              <c:y val="3.52777777777777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841388888888888E-2"/>
              <c:y val="5.9972222222222225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643833333333437E-2"/>
              <c:y val="1.4111111111110982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layout>
            <c:manualLayout>
              <c:x val="-7.9337513025095636E-3"/>
              <c:y val="3.52777777777777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841388888888888E-2"/>
              <c:y val="5.9972222222222225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643833333333437E-2"/>
              <c:y val="1.4111111111110982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layout>
            <c:manualLayout>
              <c:x val="-7.9337513025095636E-3"/>
              <c:y val="3.52777777777777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841388888888888E-2"/>
              <c:y val="5.9972222222222225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643833333333437E-2"/>
              <c:y val="1.4111111111110982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layout>
            <c:manualLayout>
              <c:x val="-7.9337513025095636E-3"/>
              <c:y val="3.52777777777777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841388888888888E-2"/>
              <c:y val="5.9972222222222225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643833333333437E-2"/>
              <c:y val="1.4111111111110982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QUIMICA'!$AU$4</c:f>
              <c:strCache>
                <c:ptCount val="1"/>
                <c:pt idx="0">
                  <c:v> VOLUMEN ENVIADO A RO (m3)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'DB QUIMICA'!$AU$5:$AU$35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388.57399999999996</c:v>
                </c:pt>
                <c:pt idx="6">
                  <c:v>983.59799999999996</c:v>
                </c:pt>
                <c:pt idx="7">
                  <c:v>892.84300000000007</c:v>
                </c:pt>
                <c:pt idx="8">
                  <c:v>825.06600000000003</c:v>
                </c:pt>
                <c:pt idx="9">
                  <c:v>863.92000000000007</c:v>
                </c:pt>
                <c:pt idx="10">
                  <c:v>404.33300000000003</c:v>
                </c:pt>
                <c:pt idx="11">
                  <c:v>0</c:v>
                </c:pt>
                <c:pt idx="12">
                  <c:v>402.16300000000001</c:v>
                </c:pt>
                <c:pt idx="13">
                  <c:v>897.92100000000005</c:v>
                </c:pt>
                <c:pt idx="14">
                  <c:v>944.20700000000011</c:v>
                </c:pt>
                <c:pt idx="15">
                  <c:v>987.57600000000002</c:v>
                </c:pt>
                <c:pt idx="16">
                  <c:v>755.36500000000001</c:v>
                </c:pt>
                <c:pt idx="17">
                  <c:v>688.20900000000006</c:v>
                </c:pt>
                <c:pt idx="18">
                  <c:v>0</c:v>
                </c:pt>
                <c:pt idx="19">
                  <c:v>829.34699999999998</c:v>
                </c:pt>
                <c:pt idx="20">
                  <c:v>909.375</c:v>
                </c:pt>
                <c:pt idx="21">
                  <c:v>872.69399999999996</c:v>
                </c:pt>
                <c:pt idx="22">
                  <c:v>839.55500000000006</c:v>
                </c:pt>
                <c:pt idx="23">
                  <c:v>825.55399999999997</c:v>
                </c:pt>
                <c:pt idx="24">
                  <c:v>622.58199999999999</c:v>
                </c:pt>
                <c:pt idx="25">
                  <c:v>125.733</c:v>
                </c:pt>
                <c:pt idx="26">
                  <c:v>940.94499999999994</c:v>
                </c:pt>
                <c:pt idx="27">
                  <c:v>940.33199999999999</c:v>
                </c:pt>
                <c:pt idx="28">
                  <c:v>1045.816</c:v>
                </c:pt>
                <c:pt idx="29">
                  <c:v>709.06099999999992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0-4335-B584-8B920AFF52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41659064"/>
        <c:axId val="441660864"/>
      </c:barChart>
      <c:lineChart>
        <c:grouping val="standard"/>
        <c:varyColors val="0"/>
        <c:ser>
          <c:idx val="1"/>
          <c:order val="1"/>
          <c:tx>
            <c:strRef>
              <c:f>'DB QUIMICA'!$AV$4</c:f>
              <c:strCache>
                <c:ptCount val="1"/>
                <c:pt idx="0">
                  <c:v> LIMITE INDICADOR M3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ABC0-4335-B584-8B920AFF52D8}"/>
              </c:ext>
            </c:extLst>
          </c:dPt>
          <c:dLbls>
            <c:dLbl>
              <c:idx val="12"/>
              <c:layout>
                <c:manualLayout>
                  <c:x val="-7.9337513025095636E-3"/>
                  <c:y val="3.52777777777777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BC0-4335-B584-8B920AFF5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'DB QUIMICA'!$AV$5:$AV$35</c:f>
              <c:numCache>
                <c:formatCode>_-"$"\ * #,##0_-;\-"$"\ * #,##0_-;_-"$"\ * "-"??_-;_-@_-</c:formatCode>
                <c:ptCount val="30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C0-4335-B584-8B920AFF52D8}"/>
            </c:ext>
          </c:extLst>
        </c:ser>
        <c:ser>
          <c:idx val="2"/>
          <c:order val="2"/>
          <c:tx>
            <c:strRef>
              <c:f>'DB QUIMICA'!$AW$4</c:f>
              <c:strCache>
                <c:ptCount val="1"/>
                <c:pt idx="0">
                  <c:v> INDICADOR $m3 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BC0-4335-B584-8B920AFF52D8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BC0-4335-B584-8B920AFF52D8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BC0-4335-B584-8B920AFF52D8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BC0-4335-B584-8B920AFF52D8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ABC0-4335-B584-8B920AFF52D8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ABC0-4335-B584-8B920AFF52D8}"/>
              </c:ext>
            </c:extLst>
          </c:dPt>
          <c:dLbls>
            <c:dLbl>
              <c:idx val="15"/>
              <c:layout>
                <c:manualLayout>
                  <c:x val="-1.4841388888888888E-2"/>
                  <c:y val="5.99722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BC0-4335-B584-8B920AFF52D8}"/>
                </c:ext>
              </c:extLst>
            </c:dLbl>
            <c:dLbl>
              <c:idx val="24"/>
              <c:layout>
                <c:manualLayout>
                  <c:x val="-1.4643833333333437E-2"/>
                  <c:y val="1.41111111111109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BC0-4335-B584-8B920AFF52D8}"/>
                </c:ext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'DB QUIMICA'!$AW$5:$AW$35</c:f>
              <c:numCache>
                <c:formatCode>"$"\ 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105.00000000000003</c:v>
                </c:pt>
                <c:pt idx="6">
                  <c:v>105.00000000000001</c:v>
                </c:pt>
                <c:pt idx="7">
                  <c:v>105</c:v>
                </c:pt>
                <c:pt idx="8">
                  <c:v>104.99999999999999</c:v>
                </c:pt>
                <c:pt idx="9">
                  <c:v>104.99999999999999</c:v>
                </c:pt>
                <c:pt idx="10">
                  <c:v>105</c:v>
                </c:pt>
                <c:pt idx="11">
                  <c:v>0</c:v>
                </c:pt>
                <c:pt idx="12">
                  <c:v>105.00000000000001</c:v>
                </c:pt>
                <c:pt idx="13">
                  <c:v>105</c:v>
                </c:pt>
                <c:pt idx="14">
                  <c:v>104.99999999999999</c:v>
                </c:pt>
                <c:pt idx="15">
                  <c:v>105.00000000000001</c:v>
                </c:pt>
                <c:pt idx="16">
                  <c:v>105.00000000000001</c:v>
                </c:pt>
                <c:pt idx="17">
                  <c:v>105</c:v>
                </c:pt>
                <c:pt idx="18">
                  <c:v>0</c:v>
                </c:pt>
                <c:pt idx="19">
                  <c:v>105.00000000000001</c:v>
                </c:pt>
                <c:pt idx="20">
                  <c:v>105</c:v>
                </c:pt>
                <c:pt idx="21">
                  <c:v>105</c:v>
                </c:pt>
                <c:pt idx="22">
                  <c:v>104.99999999999999</c:v>
                </c:pt>
                <c:pt idx="23">
                  <c:v>105.00000000000001</c:v>
                </c:pt>
                <c:pt idx="24">
                  <c:v>105.00000000000003</c:v>
                </c:pt>
                <c:pt idx="25">
                  <c:v>105.00000000000001</c:v>
                </c:pt>
                <c:pt idx="26">
                  <c:v>105.00000000000001</c:v>
                </c:pt>
                <c:pt idx="27">
                  <c:v>105.00000000000001</c:v>
                </c:pt>
                <c:pt idx="28">
                  <c:v>105.00000000000001</c:v>
                </c:pt>
                <c:pt idx="29">
                  <c:v>105.00000000000001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BC0-4335-B584-8B920AFF52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4821320"/>
        <c:axId val="434822400"/>
      </c:lineChart>
      <c:catAx>
        <c:axId val="43482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822400"/>
        <c:crosses val="autoZero"/>
        <c:auto val="1"/>
        <c:lblAlgn val="ctr"/>
        <c:lblOffset val="100"/>
        <c:noMultiLvlLbl val="0"/>
      </c:catAx>
      <c:valAx>
        <c:axId val="4348224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'DB QUIMICA'!$M$3</c:f>
              <c:strCache>
                <c:ptCount val="1"/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821320"/>
        <c:crosses val="autoZero"/>
        <c:crossBetween val="between"/>
      </c:valAx>
      <c:valAx>
        <c:axId val="441660864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1659064"/>
        <c:crosses val="max"/>
        <c:crossBetween val="between"/>
        <c:majorUnit val="100"/>
      </c:valAx>
      <c:catAx>
        <c:axId val="441659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166086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[GRaficas de quimicos.xlsx]DB QUIMICA!TablaDinámica9</c:name>
    <c:fmtId val="1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DE OPERACIÓN - SISTEMA 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QUIMICA'!$AQ$4</c:f>
              <c:strCache>
                <c:ptCount val="1"/>
                <c:pt idx="0">
                  <c:v>VOLUMEN TRATADO GEM  (m3)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QUIMICA'!$AP$5:$AP$35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'DB QUIMICA'!$AQ$5:$AQ$35</c:f>
              <c:numCache>
                <c:formatCode>#,##0</c:formatCode>
                <c:ptCount val="30"/>
                <c:pt idx="0">
                  <c:v>0</c:v>
                </c:pt>
                <c:pt idx="1">
                  <c:v>880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1040</c:v>
                </c:pt>
                <c:pt idx="6">
                  <c:v>1079</c:v>
                </c:pt>
                <c:pt idx="7">
                  <c:v>1200</c:v>
                </c:pt>
                <c:pt idx="8">
                  <c:v>1280</c:v>
                </c:pt>
                <c:pt idx="9">
                  <c:v>1520</c:v>
                </c:pt>
                <c:pt idx="10">
                  <c:v>1040</c:v>
                </c:pt>
                <c:pt idx="11">
                  <c:v>0</c:v>
                </c:pt>
                <c:pt idx="12">
                  <c:v>1360</c:v>
                </c:pt>
                <c:pt idx="13">
                  <c:v>1280</c:v>
                </c:pt>
                <c:pt idx="14">
                  <c:v>1200</c:v>
                </c:pt>
                <c:pt idx="15">
                  <c:v>1600</c:v>
                </c:pt>
                <c:pt idx="16">
                  <c:v>1440</c:v>
                </c:pt>
                <c:pt idx="17">
                  <c:v>1680</c:v>
                </c:pt>
                <c:pt idx="18">
                  <c:v>0</c:v>
                </c:pt>
                <c:pt idx="19">
                  <c:v>1600</c:v>
                </c:pt>
                <c:pt idx="20">
                  <c:v>1360</c:v>
                </c:pt>
                <c:pt idx="21">
                  <c:v>1520</c:v>
                </c:pt>
                <c:pt idx="22">
                  <c:v>1495</c:v>
                </c:pt>
                <c:pt idx="23">
                  <c:v>1360</c:v>
                </c:pt>
                <c:pt idx="24">
                  <c:v>1360</c:v>
                </c:pt>
                <c:pt idx="25">
                  <c:v>800</c:v>
                </c:pt>
                <c:pt idx="26">
                  <c:v>1520</c:v>
                </c:pt>
                <c:pt idx="27">
                  <c:v>1600</c:v>
                </c:pt>
                <c:pt idx="28">
                  <c:v>1680</c:v>
                </c:pt>
                <c:pt idx="29">
                  <c:v>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D-446C-A222-70CCB8E4F2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1952853008"/>
        <c:axId val="1952852528"/>
      </c:barChart>
      <c:lineChart>
        <c:grouping val="standard"/>
        <c:varyColors val="0"/>
        <c:ser>
          <c:idx val="1"/>
          <c:order val="1"/>
          <c:tx>
            <c:strRef>
              <c:f>'DB QUIMICA'!$AR$4</c:f>
              <c:strCache>
                <c:ptCount val="1"/>
                <c:pt idx="0">
                  <c:v>HORAS DE OPERACIÓN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QUIMICA'!$AP$5:$AP$35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'DB QUIMICA'!$AR$5:$AR$35</c:f>
              <c:numCache>
                <c:formatCode>#,##0</c:formatCode>
                <c:ptCount val="30"/>
                <c:pt idx="0">
                  <c:v>0</c:v>
                </c:pt>
                <c:pt idx="1">
                  <c:v>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13</c:v>
                </c:pt>
                <c:pt idx="7">
                  <c:v>15</c:v>
                </c:pt>
                <c:pt idx="8">
                  <c:v>16</c:v>
                </c:pt>
                <c:pt idx="9">
                  <c:v>19</c:v>
                </c:pt>
                <c:pt idx="10">
                  <c:v>13</c:v>
                </c:pt>
                <c:pt idx="11">
                  <c:v>0</c:v>
                </c:pt>
                <c:pt idx="12">
                  <c:v>17</c:v>
                </c:pt>
                <c:pt idx="13">
                  <c:v>16</c:v>
                </c:pt>
                <c:pt idx="14">
                  <c:v>15</c:v>
                </c:pt>
                <c:pt idx="15">
                  <c:v>20</c:v>
                </c:pt>
                <c:pt idx="16">
                  <c:v>18</c:v>
                </c:pt>
                <c:pt idx="17">
                  <c:v>21</c:v>
                </c:pt>
                <c:pt idx="18">
                  <c:v>0</c:v>
                </c:pt>
                <c:pt idx="19">
                  <c:v>20</c:v>
                </c:pt>
                <c:pt idx="20">
                  <c:v>17</c:v>
                </c:pt>
                <c:pt idx="21">
                  <c:v>19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10</c:v>
                </c:pt>
                <c:pt idx="26">
                  <c:v>19</c:v>
                </c:pt>
                <c:pt idx="27">
                  <c:v>20</c:v>
                </c:pt>
                <c:pt idx="28">
                  <c:v>21</c:v>
                </c:pt>
                <c:pt idx="29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9D-446C-A222-70CCB8E4F2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6926095"/>
        <c:axId val="376919375"/>
      </c:lineChart>
      <c:valAx>
        <c:axId val="195285252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 TRATADOS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2853008"/>
        <c:crosses val="max"/>
        <c:crossBetween val="between"/>
      </c:valAx>
      <c:catAx>
        <c:axId val="195285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2852528"/>
        <c:crosses val="autoZero"/>
        <c:auto val="1"/>
        <c:lblAlgn val="ctr"/>
        <c:lblOffset val="100"/>
        <c:noMultiLvlLbl val="0"/>
      </c:catAx>
      <c:valAx>
        <c:axId val="3769193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HORAS DE OPERACION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6926095"/>
        <c:crosses val="autoZero"/>
        <c:crossBetween val="between"/>
      </c:valAx>
      <c:catAx>
        <c:axId val="376926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69193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[GRaficas de quimicos.xlsx]DB QUIMICA!TablaDinámica2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DE OPERACIÓN - SISTEMA OSMOSIS INVERSA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'DB QUIMICA'!$AZ$4</c:f>
              <c:strCache>
                <c:ptCount val="1"/>
                <c:pt idx="0">
                  <c:v>VOLUMEN ENVIADO A RO (m3)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QUIMICA'!$AY$5:$AY$35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'DB QUIMICA'!$AZ$5:$AZ$35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388.57399999999996</c:v>
                </c:pt>
                <c:pt idx="6">
                  <c:v>983.59799999999996</c:v>
                </c:pt>
                <c:pt idx="7">
                  <c:v>892.84300000000007</c:v>
                </c:pt>
                <c:pt idx="8">
                  <c:v>825.06600000000003</c:v>
                </c:pt>
                <c:pt idx="9">
                  <c:v>863.92000000000007</c:v>
                </c:pt>
                <c:pt idx="10">
                  <c:v>404.33300000000003</c:v>
                </c:pt>
                <c:pt idx="11">
                  <c:v>0</c:v>
                </c:pt>
                <c:pt idx="12">
                  <c:v>402.16300000000001</c:v>
                </c:pt>
                <c:pt idx="13">
                  <c:v>897.92100000000005</c:v>
                </c:pt>
                <c:pt idx="14">
                  <c:v>944.20700000000011</c:v>
                </c:pt>
                <c:pt idx="15">
                  <c:v>987.57600000000002</c:v>
                </c:pt>
                <c:pt idx="16">
                  <c:v>755.36500000000001</c:v>
                </c:pt>
                <c:pt idx="17">
                  <c:v>688.20900000000006</c:v>
                </c:pt>
                <c:pt idx="18">
                  <c:v>0</c:v>
                </c:pt>
                <c:pt idx="19">
                  <c:v>829.34699999999998</c:v>
                </c:pt>
                <c:pt idx="20">
                  <c:v>909.375</c:v>
                </c:pt>
                <c:pt idx="21">
                  <c:v>872.69399999999996</c:v>
                </c:pt>
                <c:pt idx="22">
                  <c:v>839.55500000000006</c:v>
                </c:pt>
                <c:pt idx="23">
                  <c:v>825.55399999999997</c:v>
                </c:pt>
                <c:pt idx="24">
                  <c:v>622.58199999999999</c:v>
                </c:pt>
                <c:pt idx="25">
                  <c:v>125.733</c:v>
                </c:pt>
                <c:pt idx="26">
                  <c:v>940.94499999999994</c:v>
                </c:pt>
                <c:pt idx="27">
                  <c:v>940.33199999999999</c:v>
                </c:pt>
                <c:pt idx="28">
                  <c:v>1045.816</c:v>
                </c:pt>
                <c:pt idx="29">
                  <c:v>709.06099999999992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A-4796-8452-7BC76C510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100"/>
        <c:axId val="1961621936"/>
        <c:axId val="1961617616"/>
      </c:barChart>
      <c:lineChart>
        <c:grouping val="standard"/>
        <c:varyColors val="0"/>
        <c:ser>
          <c:idx val="1"/>
          <c:order val="1"/>
          <c:tx>
            <c:strRef>
              <c:f>'DB QUIMICA'!$BA$4</c:f>
              <c:strCache>
                <c:ptCount val="1"/>
                <c:pt idx="0">
                  <c:v>TIEMPO DE OPERACIÓN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QUIMICA'!$AY$5:$AY$35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'DB QUIMICA'!$BA$5:$BA$35</c:f>
              <c:numCache>
                <c:formatCode>0.00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9.3115389082462254</c:v>
                </c:pt>
                <c:pt idx="6">
                  <c:v>24.578780550343964</c:v>
                </c:pt>
                <c:pt idx="7">
                  <c:v>23.008721413721414</c:v>
                </c:pt>
                <c:pt idx="8">
                  <c:v>20.789155769230771</c:v>
                </c:pt>
                <c:pt idx="9">
                  <c:v>22.35182253711201</c:v>
                </c:pt>
                <c:pt idx="10">
                  <c:v>10.939227554179567</c:v>
                </c:pt>
                <c:pt idx="11">
                  <c:v>0</c:v>
                </c:pt>
                <c:pt idx="12">
                  <c:v>9.8088536585365862</c:v>
                </c:pt>
                <c:pt idx="13">
                  <c:v>22.136169806251306</c:v>
                </c:pt>
                <c:pt idx="14">
                  <c:v>21.768511627906975</c:v>
                </c:pt>
                <c:pt idx="15">
                  <c:v>23.532730627705632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9A-4796-8452-7BC76C510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3734544"/>
        <c:axId val="2053735504"/>
      </c:lineChart>
      <c:catAx>
        <c:axId val="205373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3735504"/>
        <c:crosses val="autoZero"/>
        <c:auto val="1"/>
        <c:lblAlgn val="ctr"/>
        <c:lblOffset val="100"/>
        <c:noMultiLvlLbl val="0"/>
      </c:catAx>
      <c:valAx>
        <c:axId val="20537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3734544"/>
        <c:crosses val="autoZero"/>
        <c:crossBetween val="between"/>
      </c:valAx>
      <c:valAx>
        <c:axId val="1961617616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1621936"/>
        <c:crosses val="max"/>
        <c:crossBetween val="between"/>
      </c:valAx>
      <c:catAx>
        <c:axId val="1961621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1617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[GRaficas de quimicos.xlsx]GRAFICAS!TablaDinámica5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COONSUMO</a:t>
            </a:r>
            <a:r>
              <a:rPr lang="es-CO" baseline="0"/>
              <a:t> PPM Vs $M3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6451946353323385E-2"/>
          <c:y val="0.20793102582649275"/>
          <c:w val="0.90637920092540336"/>
          <c:h val="0.621270500679828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GRAFICAS!$W$3</c:f>
              <c:strCache>
                <c:ptCount val="1"/>
                <c:pt idx="0">
                  <c:v>COF 494 - PPM POL CATIONICO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GRAFICAS!$W$4:$W$34</c:f>
              <c:numCache>
                <c:formatCode>#,##0</c:formatCode>
                <c:ptCount val="30"/>
                <c:pt idx="0">
                  <c:v>0</c:v>
                </c:pt>
                <c:pt idx="1">
                  <c:v>2.8409090909090908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3.6057692307692308</c:v>
                </c:pt>
                <c:pt idx="6">
                  <c:v>2.3169601482854496</c:v>
                </c:pt>
                <c:pt idx="7">
                  <c:v>2.0833333333333335</c:v>
                </c:pt>
                <c:pt idx="8">
                  <c:v>2.9296875</c:v>
                </c:pt>
                <c:pt idx="9">
                  <c:v>2.4671052631578947</c:v>
                </c:pt>
                <c:pt idx="10">
                  <c:v>2.4038461538461537</c:v>
                </c:pt>
                <c:pt idx="11">
                  <c:v>0</c:v>
                </c:pt>
                <c:pt idx="12">
                  <c:v>3.6764705882352939</c:v>
                </c:pt>
                <c:pt idx="13">
                  <c:v>3.90625</c:v>
                </c:pt>
                <c:pt idx="14">
                  <c:v>4.166666666666667</c:v>
                </c:pt>
                <c:pt idx="15">
                  <c:v>1.5625</c:v>
                </c:pt>
                <c:pt idx="16">
                  <c:v>2.6041666666666665</c:v>
                </c:pt>
                <c:pt idx="17">
                  <c:v>2.2321428571428572</c:v>
                </c:pt>
                <c:pt idx="18">
                  <c:v>0</c:v>
                </c:pt>
                <c:pt idx="19">
                  <c:v>2.34375</c:v>
                </c:pt>
                <c:pt idx="20">
                  <c:v>2.7573529411764706</c:v>
                </c:pt>
                <c:pt idx="21">
                  <c:v>2.4671052631578947</c:v>
                </c:pt>
                <c:pt idx="22">
                  <c:v>3.3444816053511706</c:v>
                </c:pt>
                <c:pt idx="23">
                  <c:v>0.91911764705882348</c:v>
                </c:pt>
                <c:pt idx="24">
                  <c:v>2.7573529411764706</c:v>
                </c:pt>
                <c:pt idx="25">
                  <c:v>3.125</c:v>
                </c:pt>
                <c:pt idx="26">
                  <c:v>3.2894736842105261</c:v>
                </c:pt>
                <c:pt idx="27">
                  <c:v>1.5625</c:v>
                </c:pt>
                <c:pt idx="28">
                  <c:v>2.2321428571428572</c:v>
                </c:pt>
                <c:pt idx="29">
                  <c:v>2.4671052631578947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B-4BEE-B075-57E44C818656}"/>
            </c:ext>
          </c:extLst>
        </c:ser>
        <c:ser>
          <c:idx val="1"/>
          <c:order val="1"/>
          <c:tx>
            <c:strRef>
              <c:f>GRAFICAS!$X$3</c:f>
              <c:strCache>
                <c:ptCount val="1"/>
                <c:pt idx="0">
                  <c:v>COF 440 - PPM POL ANIONICO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GRAFICAS!$X$4:$X$34</c:f>
              <c:numCache>
                <c:formatCode>#,##0</c:formatCode>
                <c:ptCount val="30"/>
                <c:pt idx="0">
                  <c:v>0</c:v>
                </c:pt>
                <c:pt idx="1">
                  <c:v>2.8409090909090908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1.2019230769230769</c:v>
                </c:pt>
                <c:pt idx="6">
                  <c:v>1.1584800741427248</c:v>
                </c:pt>
                <c:pt idx="7">
                  <c:v>1.0416666666666667</c:v>
                </c:pt>
                <c:pt idx="8">
                  <c:v>1.953125</c:v>
                </c:pt>
                <c:pt idx="9">
                  <c:v>1.6447368421052631</c:v>
                </c:pt>
                <c:pt idx="10">
                  <c:v>0</c:v>
                </c:pt>
                <c:pt idx="11">
                  <c:v>0</c:v>
                </c:pt>
                <c:pt idx="12">
                  <c:v>0.91911764705882348</c:v>
                </c:pt>
                <c:pt idx="13">
                  <c:v>2.9296875</c:v>
                </c:pt>
                <c:pt idx="14">
                  <c:v>1.0416666666666667</c:v>
                </c:pt>
                <c:pt idx="15">
                  <c:v>1.5625</c:v>
                </c:pt>
                <c:pt idx="16">
                  <c:v>0.86805555555555558</c:v>
                </c:pt>
                <c:pt idx="17">
                  <c:v>0.74404761904761907</c:v>
                </c:pt>
                <c:pt idx="18">
                  <c:v>0</c:v>
                </c:pt>
                <c:pt idx="19">
                  <c:v>0.78125</c:v>
                </c:pt>
                <c:pt idx="20">
                  <c:v>1.838235294117647</c:v>
                </c:pt>
                <c:pt idx="21">
                  <c:v>1.6447368421052631</c:v>
                </c:pt>
                <c:pt idx="22">
                  <c:v>1.6722408026755853</c:v>
                </c:pt>
                <c:pt idx="23">
                  <c:v>0.91911764705882348</c:v>
                </c:pt>
                <c:pt idx="24">
                  <c:v>0.91911764705882348</c:v>
                </c:pt>
                <c:pt idx="25">
                  <c:v>1.5625</c:v>
                </c:pt>
                <c:pt idx="26">
                  <c:v>2.4671052631578947</c:v>
                </c:pt>
                <c:pt idx="27">
                  <c:v>1.5625</c:v>
                </c:pt>
                <c:pt idx="28">
                  <c:v>2.2321428571428572</c:v>
                </c:pt>
                <c:pt idx="29">
                  <c:v>2.4671052631578947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2B-4BEE-B075-57E44C818656}"/>
            </c:ext>
          </c:extLst>
        </c:ser>
        <c:ser>
          <c:idx val="2"/>
          <c:order val="2"/>
          <c:tx>
            <c:strRef>
              <c:f>GRAFICAS!$Y$3</c:f>
              <c:strCache>
                <c:ptCount val="1"/>
                <c:pt idx="0">
                  <c:v>COF 280 - PPM ACIDO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GRAFICAS!$Y$4:$Y$34</c:f>
              <c:numCache>
                <c:formatCode>#,##0</c:formatCode>
                <c:ptCount val="30"/>
                <c:pt idx="0">
                  <c:v>0</c:v>
                </c:pt>
                <c:pt idx="1">
                  <c:v>204.54545454545453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144.23076923076923</c:v>
                </c:pt>
                <c:pt idx="6">
                  <c:v>139.01760889712696</c:v>
                </c:pt>
                <c:pt idx="7">
                  <c:v>308.33333333333331</c:v>
                </c:pt>
                <c:pt idx="8">
                  <c:v>335.9375</c:v>
                </c:pt>
                <c:pt idx="9">
                  <c:v>131.57894736842104</c:v>
                </c:pt>
                <c:pt idx="10">
                  <c:v>173.07692307692307</c:v>
                </c:pt>
                <c:pt idx="11">
                  <c:v>0</c:v>
                </c:pt>
                <c:pt idx="12">
                  <c:v>257.35294117647061</c:v>
                </c:pt>
                <c:pt idx="13">
                  <c:v>156.25</c:v>
                </c:pt>
                <c:pt idx="14">
                  <c:v>166.66666666666666</c:v>
                </c:pt>
                <c:pt idx="15">
                  <c:v>200</c:v>
                </c:pt>
                <c:pt idx="16">
                  <c:v>388.88888888888891</c:v>
                </c:pt>
                <c:pt idx="17">
                  <c:v>270.83333333333331</c:v>
                </c:pt>
                <c:pt idx="18">
                  <c:v>0</c:v>
                </c:pt>
                <c:pt idx="19">
                  <c:v>46.875</c:v>
                </c:pt>
                <c:pt idx="20">
                  <c:v>205.88235294117646</c:v>
                </c:pt>
                <c:pt idx="21">
                  <c:v>203.94736842105263</c:v>
                </c:pt>
                <c:pt idx="22">
                  <c:v>214.04682274247492</c:v>
                </c:pt>
                <c:pt idx="23">
                  <c:v>227.94117647058823</c:v>
                </c:pt>
                <c:pt idx="24">
                  <c:v>220.58823529411765</c:v>
                </c:pt>
                <c:pt idx="25">
                  <c:v>287.5</c:v>
                </c:pt>
                <c:pt idx="26">
                  <c:v>315.78947368421052</c:v>
                </c:pt>
                <c:pt idx="27">
                  <c:v>325</c:v>
                </c:pt>
                <c:pt idx="28">
                  <c:v>154.76190476190476</c:v>
                </c:pt>
                <c:pt idx="29">
                  <c:v>223.68421052631578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2B-4BEE-B075-57E44C818656}"/>
            </c:ext>
          </c:extLst>
        </c:ser>
        <c:ser>
          <c:idx val="3"/>
          <c:order val="3"/>
          <c:tx>
            <c:strRef>
              <c:f>GRAFICAS!$Z$3</c:f>
              <c:strCache>
                <c:ptCount val="1"/>
                <c:pt idx="0">
                  <c:v>COF 235 - PPM COAGULANTE 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GRAFICAS!$Z$4:$Z$34</c:f>
              <c:numCache>
                <c:formatCode>#,##0</c:formatCode>
                <c:ptCount val="30"/>
                <c:pt idx="0">
                  <c:v>0</c:v>
                </c:pt>
                <c:pt idx="1">
                  <c:v>136.36363636363637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413.46153846153845</c:v>
                </c:pt>
                <c:pt idx="6">
                  <c:v>389.24930491195551</c:v>
                </c:pt>
                <c:pt idx="7">
                  <c:v>283.33333333333331</c:v>
                </c:pt>
                <c:pt idx="8">
                  <c:v>164.0625</c:v>
                </c:pt>
                <c:pt idx="9">
                  <c:v>276.31578947368422</c:v>
                </c:pt>
                <c:pt idx="10">
                  <c:v>355.76923076923077</c:v>
                </c:pt>
                <c:pt idx="11">
                  <c:v>0</c:v>
                </c:pt>
                <c:pt idx="12">
                  <c:v>220.58823529411765</c:v>
                </c:pt>
                <c:pt idx="13">
                  <c:v>445.3125</c:v>
                </c:pt>
                <c:pt idx="14">
                  <c:v>291.66666666666669</c:v>
                </c:pt>
                <c:pt idx="15">
                  <c:v>318.75</c:v>
                </c:pt>
                <c:pt idx="16">
                  <c:v>375</c:v>
                </c:pt>
                <c:pt idx="17">
                  <c:v>297.61904761904759</c:v>
                </c:pt>
                <c:pt idx="18">
                  <c:v>0</c:v>
                </c:pt>
                <c:pt idx="19">
                  <c:v>268.75</c:v>
                </c:pt>
                <c:pt idx="20">
                  <c:v>279.41176470588238</c:v>
                </c:pt>
                <c:pt idx="21">
                  <c:v>427.63157894736844</c:v>
                </c:pt>
                <c:pt idx="22">
                  <c:v>240.80267558528428</c:v>
                </c:pt>
                <c:pt idx="23">
                  <c:v>227.94117647058823</c:v>
                </c:pt>
                <c:pt idx="24">
                  <c:v>301.47058823529414</c:v>
                </c:pt>
                <c:pt idx="25">
                  <c:v>125</c:v>
                </c:pt>
                <c:pt idx="26">
                  <c:v>289.4736842105263</c:v>
                </c:pt>
                <c:pt idx="27">
                  <c:v>381.25</c:v>
                </c:pt>
                <c:pt idx="28">
                  <c:v>315.47619047619048</c:v>
                </c:pt>
                <c:pt idx="29">
                  <c:v>348.68421052631578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2B-4BEE-B075-57E44C818656}"/>
            </c:ext>
          </c:extLst>
        </c:ser>
        <c:ser>
          <c:idx val="4"/>
          <c:order val="4"/>
          <c:tx>
            <c:strRef>
              <c:f>GRAFICAS!$AA$3</c:f>
              <c:strCache>
                <c:ptCount val="1"/>
                <c:pt idx="0">
                  <c:v>COF 255 - PPM DECOLORANTE 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GRAFICAS!$AA$4:$AA$34</c:f>
              <c:numCache>
                <c:formatCode>#,##0</c:formatCode>
                <c:ptCount val="30"/>
                <c:pt idx="0">
                  <c:v>0</c:v>
                </c:pt>
                <c:pt idx="1">
                  <c:v>102.27272727272727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67.307692307692307</c:v>
                </c:pt>
                <c:pt idx="6">
                  <c:v>111.21408711770158</c:v>
                </c:pt>
                <c:pt idx="7">
                  <c:v>83.333333333333329</c:v>
                </c:pt>
                <c:pt idx="8">
                  <c:v>54.6875</c:v>
                </c:pt>
                <c:pt idx="9">
                  <c:v>92.10526315789474</c:v>
                </c:pt>
                <c:pt idx="10">
                  <c:v>182.69230769230768</c:v>
                </c:pt>
                <c:pt idx="11">
                  <c:v>0</c:v>
                </c:pt>
                <c:pt idx="12">
                  <c:v>110.29411764705883</c:v>
                </c:pt>
                <c:pt idx="13">
                  <c:v>93.75</c:v>
                </c:pt>
                <c:pt idx="14">
                  <c:v>150</c:v>
                </c:pt>
                <c:pt idx="15">
                  <c:v>125</c:v>
                </c:pt>
                <c:pt idx="16">
                  <c:v>173.61111111111111</c:v>
                </c:pt>
                <c:pt idx="17">
                  <c:v>181.54761904761904</c:v>
                </c:pt>
                <c:pt idx="18">
                  <c:v>0</c:v>
                </c:pt>
                <c:pt idx="19">
                  <c:v>109.375</c:v>
                </c:pt>
                <c:pt idx="20">
                  <c:v>139.70588235294119</c:v>
                </c:pt>
                <c:pt idx="21">
                  <c:v>190.78947368421052</c:v>
                </c:pt>
                <c:pt idx="22">
                  <c:v>100.33444816053512</c:v>
                </c:pt>
                <c:pt idx="23">
                  <c:v>110.29411764705883</c:v>
                </c:pt>
                <c:pt idx="24">
                  <c:v>102.94117647058823</c:v>
                </c:pt>
                <c:pt idx="25">
                  <c:v>37.5</c:v>
                </c:pt>
                <c:pt idx="26">
                  <c:v>92.10526315789474</c:v>
                </c:pt>
                <c:pt idx="27">
                  <c:v>112.5</c:v>
                </c:pt>
                <c:pt idx="28">
                  <c:v>148.8095238095238</c:v>
                </c:pt>
                <c:pt idx="29">
                  <c:v>105.26315789473684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2B-4BEE-B075-57E44C81865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693195471"/>
        <c:axId val="693195951"/>
      </c:barChart>
      <c:lineChart>
        <c:grouping val="standard"/>
        <c:varyColors val="0"/>
        <c:ser>
          <c:idx val="5"/>
          <c:order val="5"/>
          <c:tx>
            <c:strRef>
              <c:f>GRAFICAS!$AB$3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GRAFICAS!$AB$4:$AB$34</c:f>
              <c:numCache>
                <c:formatCode>"$"\ #,##0</c:formatCode>
                <c:ptCount val="30"/>
                <c:pt idx="0">
                  <c:v>0</c:v>
                </c:pt>
                <c:pt idx="1">
                  <c:v>2001.6698863636364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2638.6711538461536</c:v>
                </c:pt>
                <c:pt idx="6">
                  <c:v>2771.1464318813714</c:v>
                </c:pt>
                <c:pt idx="7">
                  <c:v>2309.4699999999998</c:v>
                </c:pt>
                <c:pt idx="8">
                  <c:v>1812.61015625</c:v>
                </c:pt>
                <c:pt idx="9">
                  <c:v>2241.3763157894737</c:v>
                </c:pt>
                <c:pt idx="10">
                  <c:v>3164.7182692307692</c:v>
                </c:pt>
                <c:pt idx="11">
                  <c:v>0</c:v>
                </c:pt>
                <c:pt idx="12">
                  <c:v>2363.5055147058824</c:v>
                </c:pt>
                <c:pt idx="13">
                  <c:v>3136.7925781250001</c:v>
                </c:pt>
                <c:pt idx="14">
                  <c:v>2896.0604166666667</c:v>
                </c:pt>
                <c:pt idx="15">
                  <c:v>2646.4334374999999</c:v>
                </c:pt>
                <c:pt idx="16">
                  <c:v>3481.7406249999999</c:v>
                </c:pt>
                <c:pt idx="17">
                  <c:v>3085.6183035714284</c:v>
                </c:pt>
                <c:pt idx="18">
                  <c:v>0</c:v>
                </c:pt>
                <c:pt idx="19">
                  <c:v>2180.94484375</c:v>
                </c:pt>
                <c:pt idx="20">
                  <c:v>2748.0113970588236</c:v>
                </c:pt>
                <c:pt idx="21">
                  <c:v>3660.9736842105262</c:v>
                </c:pt>
                <c:pt idx="22">
                  <c:v>2341.9923076923078</c:v>
                </c:pt>
                <c:pt idx="23">
                  <c:v>2116.0264705882355</c:v>
                </c:pt>
                <c:pt idx="24">
                  <c:v>2486.9143382352941</c:v>
                </c:pt>
                <c:pt idx="25">
                  <c:v>1466.7093749999999</c:v>
                </c:pt>
                <c:pt idx="26">
                  <c:v>2624.4664473684211</c:v>
                </c:pt>
                <c:pt idx="27">
                  <c:v>2916.3146875000002</c:v>
                </c:pt>
                <c:pt idx="28">
                  <c:v>2882.8380952380953</c:v>
                </c:pt>
                <c:pt idx="29">
                  <c:v>2777.1713815789471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2B-4BEE-B075-57E44C81865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48027599"/>
        <c:axId val="1048018479"/>
      </c:lineChart>
      <c:catAx>
        <c:axId val="69319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3195951"/>
        <c:crosses val="autoZero"/>
        <c:auto val="1"/>
        <c:lblAlgn val="ctr"/>
        <c:lblOffset val="100"/>
        <c:noMultiLvlLbl val="0"/>
      </c:catAx>
      <c:valAx>
        <c:axId val="693195951"/>
        <c:scaling>
          <c:orientation val="minMax"/>
          <c:max val="2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PPM</a:t>
                </a:r>
                <a:r>
                  <a:rPr lang="es-CO" baseline="0"/>
                  <a:t>  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3195471"/>
        <c:crosses val="autoZero"/>
        <c:crossBetween val="between"/>
      </c:valAx>
      <c:valAx>
        <c:axId val="1048018479"/>
        <c:scaling>
          <c:orientation val="minMax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027599"/>
        <c:crosses val="max"/>
        <c:crossBetween val="between"/>
      </c:valAx>
      <c:catAx>
        <c:axId val="10480275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80184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[GRaficas de quimicos.xlsx]GRAFICAS!TablaDinámica6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</a:t>
            </a:r>
            <a:r>
              <a:rPr lang="es-CO" baseline="0"/>
              <a:t> (L) Vs $M3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6.0139664162412856E-2"/>
          <c:y val="0.18913399553350699"/>
          <c:w val="0.88938762772490099"/>
          <c:h val="0.617456101501561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GRAFICAS!$AE$3</c:f>
              <c:strCache>
                <c:ptCount val="1"/>
                <c:pt idx="0">
                  <c:v>CONSUMO POL CATIONICO (KG)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GRAFICAS!$AE$4:$AE$34</c:f>
              <c:numCache>
                <c:formatCode>#,##0</c:formatCode>
                <c:ptCount val="30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10</c:v>
                </c:pt>
                <c:pt idx="8">
                  <c:v>15</c:v>
                </c:pt>
                <c:pt idx="9">
                  <c:v>15</c:v>
                </c:pt>
                <c:pt idx="10">
                  <c:v>10</c:v>
                </c:pt>
                <c:pt idx="11">
                  <c:v>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10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20</c:v>
                </c:pt>
                <c:pt idx="23">
                  <c:v>5</c:v>
                </c:pt>
                <c:pt idx="24">
                  <c:v>15</c:v>
                </c:pt>
                <c:pt idx="25">
                  <c:v>10</c:v>
                </c:pt>
                <c:pt idx="26">
                  <c:v>20</c:v>
                </c:pt>
                <c:pt idx="27">
                  <c:v>10</c:v>
                </c:pt>
                <c:pt idx="28">
                  <c:v>15</c:v>
                </c:pt>
                <c:pt idx="2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8-4E35-8F38-B61CABA49408}"/>
            </c:ext>
          </c:extLst>
        </c:ser>
        <c:ser>
          <c:idx val="1"/>
          <c:order val="1"/>
          <c:tx>
            <c:strRef>
              <c:f>GRAFICAS!$AF$3</c:f>
              <c:strCache>
                <c:ptCount val="1"/>
                <c:pt idx="0">
                  <c:v>CONSUMO POL ANIONICO (KG)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GRAFICAS!$AF$4:$AF$34</c:f>
              <c:numCache>
                <c:formatCode>#,##0</c:formatCode>
                <c:ptCount val="30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15</c:v>
                </c:pt>
                <c:pt idx="14">
                  <c:v>5</c:v>
                </c:pt>
                <c:pt idx="15">
                  <c:v>10</c:v>
                </c:pt>
                <c:pt idx="16">
                  <c:v>5</c:v>
                </c:pt>
                <c:pt idx="17">
                  <c:v>5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15</c:v>
                </c:pt>
                <c:pt idx="27">
                  <c:v>10</c:v>
                </c:pt>
                <c:pt idx="28">
                  <c:v>15</c:v>
                </c:pt>
                <c:pt idx="2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58-4E35-8F38-B61CABA49408}"/>
            </c:ext>
          </c:extLst>
        </c:ser>
        <c:ser>
          <c:idx val="2"/>
          <c:order val="2"/>
          <c:tx>
            <c:strRef>
              <c:f>GRAFICAS!$AG$3</c:f>
              <c:strCache>
                <c:ptCount val="1"/>
                <c:pt idx="0">
                  <c:v>CONSUMO LITROS ACIDO (L)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GRAFICAS!$AG$4:$AG$34</c:f>
              <c:numCache>
                <c:formatCode>#,##0</c:formatCode>
                <c:ptCount val="30"/>
                <c:pt idx="0">
                  <c:v>0</c:v>
                </c:pt>
                <c:pt idx="1">
                  <c:v>180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150</c:v>
                </c:pt>
                <c:pt idx="6">
                  <c:v>150</c:v>
                </c:pt>
                <c:pt idx="7">
                  <c:v>370</c:v>
                </c:pt>
                <c:pt idx="8">
                  <c:v>430</c:v>
                </c:pt>
                <c:pt idx="9">
                  <c:v>200</c:v>
                </c:pt>
                <c:pt idx="10">
                  <c:v>180</c:v>
                </c:pt>
                <c:pt idx="11">
                  <c:v>0</c:v>
                </c:pt>
                <c:pt idx="12">
                  <c:v>350</c:v>
                </c:pt>
                <c:pt idx="13">
                  <c:v>200</c:v>
                </c:pt>
                <c:pt idx="14">
                  <c:v>200</c:v>
                </c:pt>
                <c:pt idx="15">
                  <c:v>320</c:v>
                </c:pt>
                <c:pt idx="16">
                  <c:v>560</c:v>
                </c:pt>
                <c:pt idx="17">
                  <c:v>455</c:v>
                </c:pt>
                <c:pt idx="18">
                  <c:v>0</c:v>
                </c:pt>
                <c:pt idx="19">
                  <c:v>75</c:v>
                </c:pt>
                <c:pt idx="20">
                  <c:v>280</c:v>
                </c:pt>
                <c:pt idx="21">
                  <c:v>310</c:v>
                </c:pt>
                <c:pt idx="22">
                  <c:v>320</c:v>
                </c:pt>
                <c:pt idx="23">
                  <c:v>310</c:v>
                </c:pt>
                <c:pt idx="24">
                  <c:v>300</c:v>
                </c:pt>
                <c:pt idx="25">
                  <c:v>230</c:v>
                </c:pt>
                <c:pt idx="26">
                  <c:v>480</c:v>
                </c:pt>
                <c:pt idx="27">
                  <c:v>520</c:v>
                </c:pt>
                <c:pt idx="28">
                  <c:v>260</c:v>
                </c:pt>
                <c:pt idx="29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58-4E35-8F38-B61CABA49408}"/>
            </c:ext>
          </c:extLst>
        </c:ser>
        <c:ser>
          <c:idx val="3"/>
          <c:order val="3"/>
          <c:tx>
            <c:strRef>
              <c:f>GRAFICAS!$AH$3</c:f>
              <c:strCache>
                <c:ptCount val="1"/>
                <c:pt idx="0">
                  <c:v>CONSUMO LITROS COAGULANTE (L)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GRAFICAS!$AH$4:$AH$34</c:f>
              <c:numCache>
                <c:formatCode>#,##0</c:formatCode>
                <c:ptCount val="30"/>
                <c:pt idx="0">
                  <c:v>0</c:v>
                </c:pt>
                <c:pt idx="1">
                  <c:v>120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430</c:v>
                </c:pt>
                <c:pt idx="6">
                  <c:v>420</c:v>
                </c:pt>
                <c:pt idx="7">
                  <c:v>340</c:v>
                </c:pt>
                <c:pt idx="8">
                  <c:v>210</c:v>
                </c:pt>
                <c:pt idx="9">
                  <c:v>420</c:v>
                </c:pt>
                <c:pt idx="10">
                  <c:v>370</c:v>
                </c:pt>
                <c:pt idx="11">
                  <c:v>0</c:v>
                </c:pt>
                <c:pt idx="12">
                  <c:v>300</c:v>
                </c:pt>
                <c:pt idx="13">
                  <c:v>570</c:v>
                </c:pt>
                <c:pt idx="14">
                  <c:v>350</c:v>
                </c:pt>
                <c:pt idx="15">
                  <c:v>510</c:v>
                </c:pt>
                <c:pt idx="16">
                  <c:v>540</c:v>
                </c:pt>
                <c:pt idx="17">
                  <c:v>500</c:v>
                </c:pt>
                <c:pt idx="18">
                  <c:v>0</c:v>
                </c:pt>
                <c:pt idx="19">
                  <c:v>430</c:v>
                </c:pt>
                <c:pt idx="20">
                  <c:v>380</c:v>
                </c:pt>
                <c:pt idx="21">
                  <c:v>650</c:v>
                </c:pt>
                <c:pt idx="22">
                  <c:v>360</c:v>
                </c:pt>
                <c:pt idx="23">
                  <c:v>310</c:v>
                </c:pt>
                <c:pt idx="24">
                  <c:v>410</c:v>
                </c:pt>
                <c:pt idx="25">
                  <c:v>100</c:v>
                </c:pt>
                <c:pt idx="26">
                  <c:v>440</c:v>
                </c:pt>
                <c:pt idx="27">
                  <c:v>610</c:v>
                </c:pt>
                <c:pt idx="28">
                  <c:v>530</c:v>
                </c:pt>
                <c:pt idx="29">
                  <c:v>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58-4E35-8F38-B61CABA49408}"/>
            </c:ext>
          </c:extLst>
        </c:ser>
        <c:ser>
          <c:idx val="4"/>
          <c:order val="4"/>
          <c:tx>
            <c:strRef>
              <c:f>GRAFICAS!$AI$3</c:f>
              <c:strCache>
                <c:ptCount val="1"/>
                <c:pt idx="0">
                  <c:v>CONSUMO LITROS DECOLORANTE (L)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GRAFICAS!$AI$4:$AI$34</c:f>
              <c:numCache>
                <c:formatCode>#,##0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70</c:v>
                </c:pt>
                <c:pt idx="6">
                  <c:v>120</c:v>
                </c:pt>
                <c:pt idx="7">
                  <c:v>100</c:v>
                </c:pt>
                <c:pt idx="8">
                  <c:v>70</c:v>
                </c:pt>
                <c:pt idx="9">
                  <c:v>140</c:v>
                </c:pt>
                <c:pt idx="10">
                  <c:v>190</c:v>
                </c:pt>
                <c:pt idx="11">
                  <c:v>0</c:v>
                </c:pt>
                <c:pt idx="12">
                  <c:v>150</c:v>
                </c:pt>
                <c:pt idx="13">
                  <c:v>120</c:v>
                </c:pt>
                <c:pt idx="14">
                  <c:v>180</c:v>
                </c:pt>
                <c:pt idx="15">
                  <c:v>200</c:v>
                </c:pt>
                <c:pt idx="16">
                  <c:v>250</c:v>
                </c:pt>
                <c:pt idx="17">
                  <c:v>305</c:v>
                </c:pt>
                <c:pt idx="18">
                  <c:v>0</c:v>
                </c:pt>
                <c:pt idx="19">
                  <c:v>175</c:v>
                </c:pt>
                <c:pt idx="20">
                  <c:v>190</c:v>
                </c:pt>
                <c:pt idx="21">
                  <c:v>290</c:v>
                </c:pt>
                <c:pt idx="22">
                  <c:v>150</c:v>
                </c:pt>
                <c:pt idx="23">
                  <c:v>150</c:v>
                </c:pt>
                <c:pt idx="24">
                  <c:v>140</c:v>
                </c:pt>
                <c:pt idx="25">
                  <c:v>30</c:v>
                </c:pt>
                <c:pt idx="26">
                  <c:v>140</c:v>
                </c:pt>
                <c:pt idx="27">
                  <c:v>180</c:v>
                </c:pt>
                <c:pt idx="28">
                  <c:v>250</c:v>
                </c:pt>
                <c:pt idx="29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58-4E35-8F38-B61CABA494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1065307551"/>
        <c:axId val="1065306111"/>
      </c:barChart>
      <c:lineChart>
        <c:grouping val="standard"/>
        <c:varyColors val="0"/>
        <c:ser>
          <c:idx val="5"/>
          <c:order val="5"/>
          <c:tx>
            <c:strRef>
              <c:f>GRAFICAS!$AJ$3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17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758-4E35-8F38-B61CABA494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GRAFICAS!$AJ$4:$AJ$34</c:f>
              <c:numCache>
                <c:formatCode>"$"\ #,##0</c:formatCode>
                <c:ptCount val="30"/>
                <c:pt idx="0">
                  <c:v>0</c:v>
                </c:pt>
                <c:pt idx="1">
                  <c:v>2001.6698863636364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2638.6711538461536</c:v>
                </c:pt>
                <c:pt idx="6">
                  <c:v>2771.1464318813714</c:v>
                </c:pt>
                <c:pt idx="7">
                  <c:v>2309.4699999999998</c:v>
                </c:pt>
                <c:pt idx="8">
                  <c:v>1812.61015625</c:v>
                </c:pt>
                <c:pt idx="9">
                  <c:v>2241.3763157894737</c:v>
                </c:pt>
                <c:pt idx="10">
                  <c:v>3164.7182692307692</c:v>
                </c:pt>
                <c:pt idx="11">
                  <c:v>0</c:v>
                </c:pt>
                <c:pt idx="12">
                  <c:v>2363.5055147058824</c:v>
                </c:pt>
                <c:pt idx="13">
                  <c:v>3136.7925781250001</c:v>
                </c:pt>
                <c:pt idx="14">
                  <c:v>2896.0604166666667</c:v>
                </c:pt>
                <c:pt idx="15">
                  <c:v>2646.4334374999999</c:v>
                </c:pt>
                <c:pt idx="16">
                  <c:v>3481.7406249999999</c:v>
                </c:pt>
                <c:pt idx="17">
                  <c:v>3085.6183035714284</c:v>
                </c:pt>
                <c:pt idx="18">
                  <c:v>0</c:v>
                </c:pt>
                <c:pt idx="19">
                  <c:v>2180.94484375</c:v>
                </c:pt>
                <c:pt idx="20">
                  <c:v>2748.0113970588236</c:v>
                </c:pt>
                <c:pt idx="21">
                  <c:v>3660.9736842105262</c:v>
                </c:pt>
                <c:pt idx="22">
                  <c:v>2341.9923076923078</c:v>
                </c:pt>
                <c:pt idx="23">
                  <c:v>2116.0264705882355</c:v>
                </c:pt>
                <c:pt idx="24">
                  <c:v>2486.9143382352941</c:v>
                </c:pt>
                <c:pt idx="25">
                  <c:v>1466.7093749999999</c:v>
                </c:pt>
                <c:pt idx="26">
                  <c:v>2624.4664473684211</c:v>
                </c:pt>
                <c:pt idx="27">
                  <c:v>2916.3146875000002</c:v>
                </c:pt>
                <c:pt idx="28">
                  <c:v>2882.8380952380953</c:v>
                </c:pt>
                <c:pt idx="29">
                  <c:v>2777.1713815789471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58-4E35-8F38-B61CABA494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65191871"/>
        <c:axId val="1065188031"/>
      </c:lineChart>
      <c:catAx>
        <c:axId val="106530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306111"/>
        <c:crosses val="autoZero"/>
        <c:auto val="1"/>
        <c:lblAlgn val="ctr"/>
        <c:lblOffset val="100"/>
        <c:noMultiLvlLbl val="0"/>
      </c:catAx>
      <c:valAx>
        <c:axId val="1065306111"/>
        <c:scaling>
          <c:orientation val="minMax"/>
          <c:max val="25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 CONSUMIDOS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307551"/>
        <c:crosses val="autoZero"/>
        <c:crossBetween val="between"/>
      </c:valAx>
      <c:valAx>
        <c:axId val="1065188031"/>
        <c:scaling>
          <c:orientation val="minMax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191871"/>
        <c:crosses val="max"/>
        <c:crossBetween val="between"/>
      </c:valAx>
      <c:catAx>
        <c:axId val="106519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51880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[GRaficas de quimicos.xlsx]GRAFICAS!TablaDinámica7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 KG Vs $M3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772984909981386E-2"/>
          <c:y val="0.20041477822732073"/>
          <c:w val="0.89066770850664323"/>
          <c:h val="0.645919263998436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GRAFICAS!$AM$3</c:f>
              <c:strCache>
                <c:ptCount val="1"/>
                <c:pt idx="0">
                  <c:v>KG POL CATIONICO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GRAFICAS!$AM$4:$AM$34</c:f>
              <c:numCache>
                <c:formatCode>#,##0</c:formatCode>
                <c:ptCount val="30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10</c:v>
                </c:pt>
                <c:pt idx="8">
                  <c:v>15</c:v>
                </c:pt>
                <c:pt idx="9">
                  <c:v>15</c:v>
                </c:pt>
                <c:pt idx="10">
                  <c:v>10</c:v>
                </c:pt>
                <c:pt idx="11">
                  <c:v>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10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20</c:v>
                </c:pt>
                <c:pt idx="23">
                  <c:v>5</c:v>
                </c:pt>
                <c:pt idx="24">
                  <c:v>15</c:v>
                </c:pt>
                <c:pt idx="25">
                  <c:v>10</c:v>
                </c:pt>
                <c:pt idx="26">
                  <c:v>20</c:v>
                </c:pt>
                <c:pt idx="27">
                  <c:v>10</c:v>
                </c:pt>
                <c:pt idx="28">
                  <c:v>15</c:v>
                </c:pt>
                <c:pt idx="2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A-4302-8DE6-F2AD2EB765E9}"/>
            </c:ext>
          </c:extLst>
        </c:ser>
        <c:ser>
          <c:idx val="1"/>
          <c:order val="1"/>
          <c:tx>
            <c:strRef>
              <c:f>GRAFICAS!$AN$3</c:f>
              <c:strCache>
                <c:ptCount val="1"/>
                <c:pt idx="0">
                  <c:v>KG POL ANIONICO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GRAFICAS!$AN$4:$AN$34</c:f>
              <c:numCache>
                <c:formatCode>#,##0</c:formatCode>
                <c:ptCount val="30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15</c:v>
                </c:pt>
                <c:pt idx="14">
                  <c:v>5</c:v>
                </c:pt>
                <c:pt idx="15">
                  <c:v>10</c:v>
                </c:pt>
                <c:pt idx="16">
                  <c:v>5</c:v>
                </c:pt>
                <c:pt idx="17">
                  <c:v>5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15</c:v>
                </c:pt>
                <c:pt idx="27">
                  <c:v>10</c:v>
                </c:pt>
                <c:pt idx="28">
                  <c:v>15</c:v>
                </c:pt>
                <c:pt idx="2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5A-4302-8DE6-F2AD2EB765E9}"/>
            </c:ext>
          </c:extLst>
        </c:ser>
        <c:ser>
          <c:idx val="2"/>
          <c:order val="2"/>
          <c:tx>
            <c:strRef>
              <c:f>GRAFICAS!$AO$3</c:f>
              <c:strCache>
                <c:ptCount val="1"/>
                <c:pt idx="0">
                  <c:v>KG ACIDO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GRAFICAS!$AO$4:$AO$34</c:f>
              <c:numCache>
                <c:formatCode>#,##0</c:formatCode>
                <c:ptCount val="30"/>
                <c:pt idx="0">
                  <c:v>0</c:v>
                </c:pt>
                <c:pt idx="1">
                  <c:v>234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195</c:v>
                </c:pt>
                <c:pt idx="6">
                  <c:v>195</c:v>
                </c:pt>
                <c:pt idx="7">
                  <c:v>481</c:v>
                </c:pt>
                <c:pt idx="8">
                  <c:v>559</c:v>
                </c:pt>
                <c:pt idx="9">
                  <c:v>260</c:v>
                </c:pt>
                <c:pt idx="10">
                  <c:v>234</c:v>
                </c:pt>
                <c:pt idx="11">
                  <c:v>0</c:v>
                </c:pt>
                <c:pt idx="12">
                  <c:v>455</c:v>
                </c:pt>
                <c:pt idx="13">
                  <c:v>260</c:v>
                </c:pt>
                <c:pt idx="14">
                  <c:v>260</c:v>
                </c:pt>
                <c:pt idx="15">
                  <c:v>416</c:v>
                </c:pt>
                <c:pt idx="16">
                  <c:v>728</c:v>
                </c:pt>
                <c:pt idx="17">
                  <c:v>591.5</c:v>
                </c:pt>
                <c:pt idx="18">
                  <c:v>0</c:v>
                </c:pt>
                <c:pt idx="19">
                  <c:v>97.5</c:v>
                </c:pt>
                <c:pt idx="20">
                  <c:v>364</c:v>
                </c:pt>
                <c:pt idx="21">
                  <c:v>403</c:v>
                </c:pt>
                <c:pt idx="22">
                  <c:v>416</c:v>
                </c:pt>
                <c:pt idx="23">
                  <c:v>403</c:v>
                </c:pt>
                <c:pt idx="24">
                  <c:v>390</c:v>
                </c:pt>
                <c:pt idx="25">
                  <c:v>299</c:v>
                </c:pt>
                <c:pt idx="26">
                  <c:v>624</c:v>
                </c:pt>
                <c:pt idx="27">
                  <c:v>676</c:v>
                </c:pt>
                <c:pt idx="28">
                  <c:v>338</c:v>
                </c:pt>
                <c:pt idx="29">
                  <c:v>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5A-4302-8DE6-F2AD2EB765E9}"/>
            </c:ext>
          </c:extLst>
        </c:ser>
        <c:ser>
          <c:idx val="3"/>
          <c:order val="3"/>
          <c:tx>
            <c:strRef>
              <c:f>GRAFICAS!$AP$3</c:f>
              <c:strCache>
                <c:ptCount val="1"/>
                <c:pt idx="0">
                  <c:v>KG COAGULANTE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GRAFICAS!$AP$4:$AP$34</c:f>
              <c:numCache>
                <c:formatCode>#,##0</c:formatCode>
                <c:ptCount val="30"/>
                <c:pt idx="0">
                  <c:v>0</c:v>
                </c:pt>
                <c:pt idx="1">
                  <c:v>159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569.75</c:v>
                </c:pt>
                <c:pt idx="6">
                  <c:v>556.5</c:v>
                </c:pt>
                <c:pt idx="7">
                  <c:v>450.5</c:v>
                </c:pt>
                <c:pt idx="8">
                  <c:v>278.25</c:v>
                </c:pt>
                <c:pt idx="9">
                  <c:v>556.5</c:v>
                </c:pt>
                <c:pt idx="10">
                  <c:v>490.25</c:v>
                </c:pt>
                <c:pt idx="11">
                  <c:v>0</c:v>
                </c:pt>
                <c:pt idx="12">
                  <c:v>397.5</c:v>
                </c:pt>
                <c:pt idx="13">
                  <c:v>755.25</c:v>
                </c:pt>
                <c:pt idx="14">
                  <c:v>463.75</c:v>
                </c:pt>
                <c:pt idx="15">
                  <c:v>675.75</c:v>
                </c:pt>
                <c:pt idx="16">
                  <c:v>715.5</c:v>
                </c:pt>
                <c:pt idx="17">
                  <c:v>662.5</c:v>
                </c:pt>
                <c:pt idx="18">
                  <c:v>0</c:v>
                </c:pt>
                <c:pt idx="19">
                  <c:v>569.75</c:v>
                </c:pt>
                <c:pt idx="20">
                  <c:v>503.5</c:v>
                </c:pt>
                <c:pt idx="21">
                  <c:v>861.25</c:v>
                </c:pt>
                <c:pt idx="22">
                  <c:v>477</c:v>
                </c:pt>
                <c:pt idx="23">
                  <c:v>410.75</c:v>
                </c:pt>
                <c:pt idx="24">
                  <c:v>543.25</c:v>
                </c:pt>
                <c:pt idx="25">
                  <c:v>132.5</c:v>
                </c:pt>
                <c:pt idx="26">
                  <c:v>583</c:v>
                </c:pt>
                <c:pt idx="27">
                  <c:v>808.25</c:v>
                </c:pt>
                <c:pt idx="28">
                  <c:v>702.25</c:v>
                </c:pt>
                <c:pt idx="29">
                  <c:v>702.25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5A-4302-8DE6-F2AD2EB765E9}"/>
            </c:ext>
          </c:extLst>
        </c:ser>
        <c:ser>
          <c:idx val="4"/>
          <c:order val="4"/>
          <c:tx>
            <c:strRef>
              <c:f>GRAFICAS!$AQ$3</c:f>
              <c:strCache>
                <c:ptCount val="1"/>
                <c:pt idx="0">
                  <c:v>KG DECOLORANTE 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GRAFICAS!$AQ$4:$AQ$34</c:f>
              <c:numCache>
                <c:formatCode>#,##0</c:formatCode>
                <c:ptCount val="30"/>
                <c:pt idx="0">
                  <c:v>0</c:v>
                </c:pt>
                <c:pt idx="1">
                  <c:v>112.5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87.5</c:v>
                </c:pt>
                <c:pt idx="6">
                  <c:v>150</c:v>
                </c:pt>
                <c:pt idx="7">
                  <c:v>125</c:v>
                </c:pt>
                <c:pt idx="8">
                  <c:v>87.5</c:v>
                </c:pt>
                <c:pt idx="9">
                  <c:v>175</c:v>
                </c:pt>
                <c:pt idx="10">
                  <c:v>237.5</c:v>
                </c:pt>
                <c:pt idx="11">
                  <c:v>0</c:v>
                </c:pt>
                <c:pt idx="12">
                  <c:v>187.5</c:v>
                </c:pt>
                <c:pt idx="13">
                  <c:v>150</c:v>
                </c:pt>
                <c:pt idx="14">
                  <c:v>225</c:v>
                </c:pt>
                <c:pt idx="15">
                  <c:v>250</c:v>
                </c:pt>
                <c:pt idx="16">
                  <c:v>312.5</c:v>
                </c:pt>
                <c:pt idx="17">
                  <c:v>381.25</c:v>
                </c:pt>
                <c:pt idx="18">
                  <c:v>0</c:v>
                </c:pt>
                <c:pt idx="19">
                  <c:v>218.75</c:v>
                </c:pt>
                <c:pt idx="20">
                  <c:v>237.5</c:v>
                </c:pt>
                <c:pt idx="21">
                  <c:v>362.5</c:v>
                </c:pt>
                <c:pt idx="22">
                  <c:v>187.5</c:v>
                </c:pt>
                <c:pt idx="23">
                  <c:v>187.5</c:v>
                </c:pt>
                <c:pt idx="24">
                  <c:v>175</c:v>
                </c:pt>
                <c:pt idx="25">
                  <c:v>37.5</c:v>
                </c:pt>
                <c:pt idx="26">
                  <c:v>175</c:v>
                </c:pt>
                <c:pt idx="27">
                  <c:v>225</c:v>
                </c:pt>
                <c:pt idx="28">
                  <c:v>312.5</c:v>
                </c:pt>
                <c:pt idx="29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5A-4302-8DE6-F2AD2EB765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1065209151"/>
        <c:axId val="1065201951"/>
      </c:barChart>
      <c:lineChart>
        <c:grouping val="standard"/>
        <c:varyColors val="0"/>
        <c:ser>
          <c:idx val="5"/>
          <c:order val="5"/>
          <c:tx>
            <c:strRef>
              <c:f>GRAFICAS!$AR$3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GRAFICAS!$AR$4:$AR$34</c:f>
              <c:numCache>
                <c:formatCode>"$"\ #,##0</c:formatCode>
                <c:ptCount val="30"/>
                <c:pt idx="0">
                  <c:v>0</c:v>
                </c:pt>
                <c:pt idx="1">
                  <c:v>2001.6698863636364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2638.6711538461536</c:v>
                </c:pt>
                <c:pt idx="6">
                  <c:v>2771.1464318813714</c:v>
                </c:pt>
                <c:pt idx="7">
                  <c:v>2309.4699999999998</c:v>
                </c:pt>
                <c:pt idx="8">
                  <c:v>1812.61015625</c:v>
                </c:pt>
                <c:pt idx="9">
                  <c:v>2241.3763157894737</c:v>
                </c:pt>
                <c:pt idx="10">
                  <c:v>3164.7182692307692</c:v>
                </c:pt>
                <c:pt idx="11">
                  <c:v>0</c:v>
                </c:pt>
                <c:pt idx="12">
                  <c:v>2363.5055147058824</c:v>
                </c:pt>
                <c:pt idx="13">
                  <c:v>3136.7925781250001</c:v>
                </c:pt>
                <c:pt idx="14">
                  <c:v>2896.0604166666667</c:v>
                </c:pt>
                <c:pt idx="15">
                  <c:v>2646.4334374999999</c:v>
                </c:pt>
                <c:pt idx="16">
                  <c:v>3481.7406249999999</c:v>
                </c:pt>
                <c:pt idx="17">
                  <c:v>3085.6183035714284</c:v>
                </c:pt>
                <c:pt idx="18">
                  <c:v>0</c:v>
                </c:pt>
                <c:pt idx="19">
                  <c:v>2180.94484375</c:v>
                </c:pt>
                <c:pt idx="20">
                  <c:v>2748.0113970588236</c:v>
                </c:pt>
                <c:pt idx="21">
                  <c:v>3660.9736842105262</c:v>
                </c:pt>
                <c:pt idx="22">
                  <c:v>2341.9923076923078</c:v>
                </c:pt>
                <c:pt idx="23">
                  <c:v>2116.0264705882355</c:v>
                </c:pt>
                <c:pt idx="24">
                  <c:v>2486.9143382352941</c:v>
                </c:pt>
                <c:pt idx="25">
                  <c:v>1466.7093749999999</c:v>
                </c:pt>
                <c:pt idx="26">
                  <c:v>2624.4664473684211</c:v>
                </c:pt>
                <c:pt idx="27">
                  <c:v>2916.3146875000002</c:v>
                </c:pt>
                <c:pt idx="28">
                  <c:v>2882.8380952380953</c:v>
                </c:pt>
                <c:pt idx="29">
                  <c:v>2777.1713815789471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F5A-4302-8DE6-F2AD2EB765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65227871"/>
        <c:axId val="1065210591"/>
      </c:lineChart>
      <c:catAx>
        <c:axId val="106520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01951"/>
        <c:crosses val="autoZero"/>
        <c:auto val="1"/>
        <c:lblAlgn val="ctr"/>
        <c:lblOffset val="100"/>
        <c:noMultiLvlLbl val="0"/>
      </c:catAx>
      <c:valAx>
        <c:axId val="1065201951"/>
        <c:scaling>
          <c:orientation val="minMax"/>
          <c:max val="3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 CONSUMO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09151"/>
        <c:crosses val="autoZero"/>
        <c:crossBetween val="between"/>
      </c:valAx>
      <c:valAx>
        <c:axId val="1065210591"/>
        <c:scaling>
          <c:orientation val="minMax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27871"/>
        <c:crosses val="max"/>
        <c:crossBetween val="between"/>
      </c:valAx>
      <c:catAx>
        <c:axId val="1065227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5210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[GRaficas de quimicos.xlsx]GRAFICAS!TablaDinámica10</c:name>
    <c:fmtId val="1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$ QUIMICO</a:t>
            </a:r>
            <a:r>
              <a:rPr lang="es-CO" baseline="0"/>
              <a:t> / 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6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6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GRAFICAS!$AV$3</c:f>
              <c:strCache>
                <c:ptCount val="1"/>
                <c:pt idx="0">
                  <c:v>INDICADOR $ACIDO/M3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GRAFICAS!$AV$4:$AV$35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220.70454545454547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155.625</c:v>
                </c:pt>
                <c:pt idx="6">
                  <c:v>150</c:v>
                </c:pt>
                <c:pt idx="7">
                  <c:v>332.69166666666666</c:v>
                </c:pt>
                <c:pt idx="8">
                  <c:v>362.4765625</c:v>
                </c:pt>
                <c:pt idx="9">
                  <c:v>141.97368421052633</c:v>
                </c:pt>
                <c:pt idx="10">
                  <c:v>186.75</c:v>
                </c:pt>
                <c:pt idx="11">
                  <c:v>0</c:v>
                </c:pt>
                <c:pt idx="12">
                  <c:v>277.68382352941177</c:v>
                </c:pt>
                <c:pt idx="13">
                  <c:v>168.59375</c:v>
                </c:pt>
                <c:pt idx="14">
                  <c:v>179.83333333333334</c:v>
                </c:pt>
                <c:pt idx="15">
                  <c:v>215.8</c:v>
                </c:pt>
                <c:pt idx="16">
                  <c:v>419.61111111111109</c:v>
                </c:pt>
                <c:pt idx="17">
                  <c:v>292.22916666666669</c:v>
                </c:pt>
                <c:pt idx="18">
                  <c:v>0</c:v>
                </c:pt>
                <c:pt idx="19">
                  <c:v>50.578125</c:v>
                </c:pt>
                <c:pt idx="20">
                  <c:v>222.14705882352942</c:v>
                </c:pt>
                <c:pt idx="21">
                  <c:v>220.05921052631578</c:v>
                </c:pt>
                <c:pt idx="22">
                  <c:v>230.95652173913044</c:v>
                </c:pt>
                <c:pt idx="23">
                  <c:v>245.9485294117647</c:v>
                </c:pt>
                <c:pt idx="24">
                  <c:v>238.01470588235293</c:v>
                </c:pt>
                <c:pt idx="25">
                  <c:v>310.21249999999998</c:v>
                </c:pt>
                <c:pt idx="26">
                  <c:v>340.73684210526318</c:v>
                </c:pt>
                <c:pt idx="27">
                  <c:v>350.67500000000001</c:v>
                </c:pt>
                <c:pt idx="28">
                  <c:v>166.98809523809524</c:v>
                </c:pt>
                <c:pt idx="29">
                  <c:v>241.35526315789474</c:v>
                </c:pt>
                <c:pt idx="30">
                  <c:v>-1.0475728155339805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E-474A-B579-4DF24AA305EA}"/>
            </c:ext>
          </c:extLst>
        </c:ser>
        <c:ser>
          <c:idx val="2"/>
          <c:order val="2"/>
          <c:tx>
            <c:strRef>
              <c:f>GRAFICAS!$AW$3</c:f>
              <c:strCache>
                <c:ptCount val="1"/>
                <c:pt idx="0">
                  <c:v> INDICADOR $COAGULANTE/M3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GRAFICAS!$AW$4:$AW$35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509.16136363636366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1543.8033653846153</c:v>
                </c:pt>
                <c:pt idx="6">
                  <c:v>1453.3985171455051</c:v>
                </c:pt>
                <c:pt idx="7">
                  <c:v>1057.9241666666667</c:v>
                </c:pt>
                <c:pt idx="8">
                  <c:v>612.58476562500005</c:v>
                </c:pt>
                <c:pt idx="9">
                  <c:v>1031.7217105263157</c:v>
                </c:pt>
                <c:pt idx="10">
                  <c:v>1328.3889423076923</c:v>
                </c:pt>
                <c:pt idx="11">
                  <c:v>0</c:v>
                </c:pt>
                <c:pt idx="12">
                  <c:v>823.64338235294122</c:v>
                </c:pt>
                <c:pt idx="13">
                  <c:v>1662.7300781250001</c:v>
                </c:pt>
                <c:pt idx="14">
                  <c:v>1089.0395833333334</c:v>
                </c:pt>
                <c:pt idx="15">
                  <c:v>1190.1646874999999</c:v>
                </c:pt>
                <c:pt idx="16">
                  <c:v>1400.1937499999999</c:v>
                </c:pt>
                <c:pt idx="17">
                  <c:v>1111.264880952381</c:v>
                </c:pt>
                <c:pt idx="18">
                  <c:v>0</c:v>
                </c:pt>
                <c:pt idx="19">
                  <c:v>1003.4721875</c:v>
                </c:pt>
                <c:pt idx="20">
                  <c:v>1043.2816176470587</c:v>
                </c:pt>
                <c:pt idx="21">
                  <c:v>1596.7121710526317</c:v>
                </c:pt>
                <c:pt idx="22">
                  <c:v>899.12107023411374</c:v>
                </c:pt>
                <c:pt idx="23">
                  <c:v>851.09816176470588</c:v>
                </c:pt>
                <c:pt idx="24">
                  <c:v>1125.6459558823528</c:v>
                </c:pt>
                <c:pt idx="25">
                  <c:v>466.73124999999999</c:v>
                </c:pt>
                <c:pt idx="26">
                  <c:v>1080.8513157894736</c:v>
                </c:pt>
                <c:pt idx="27">
                  <c:v>1423.5303125</c:v>
                </c:pt>
                <c:pt idx="28">
                  <c:v>1177.9407738095238</c:v>
                </c:pt>
                <c:pt idx="29">
                  <c:v>1301.9345394736843</c:v>
                </c:pt>
                <c:pt idx="30">
                  <c:v>-8.234149098474342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FE-474A-B579-4DF24AA305EA}"/>
            </c:ext>
          </c:extLst>
        </c:ser>
        <c:ser>
          <c:idx val="3"/>
          <c:order val="3"/>
          <c:tx>
            <c:strRef>
              <c:f>GRAFICAS!$AX$3</c:f>
              <c:strCache>
                <c:ptCount val="1"/>
                <c:pt idx="0">
                  <c:v>INDICADOR $DECOLORANTE/M3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GRAFICAS!$AX$4:$AX$35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804.75852272727275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529.62740384615381</c:v>
                </c:pt>
                <c:pt idx="6">
                  <c:v>875.11584800741423</c:v>
                </c:pt>
                <c:pt idx="7">
                  <c:v>655.72916666666663</c:v>
                </c:pt>
                <c:pt idx="8">
                  <c:v>430.322265625</c:v>
                </c:pt>
                <c:pt idx="9">
                  <c:v>724.75328947368416</c:v>
                </c:pt>
                <c:pt idx="10">
                  <c:v>1437.5600961538462</c:v>
                </c:pt>
                <c:pt idx="11">
                  <c:v>0</c:v>
                </c:pt>
                <c:pt idx="12">
                  <c:v>867.87683823529414</c:v>
                </c:pt>
                <c:pt idx="13">
                  <c:v>737.6953125</c:v>
                </c:pt>
                <c:pt idx="14">
                  <c:v>1180.3125</c:v>
                </c:pt>
                <c:pt idx="15">
                  <c:v>983.59375</c:v>
                </c:pt>
                <c:pt idx="16">
                  <c:v>1366.1024305555557</c:v>
                </c:pt>
                <c:pt idx="17">
                  <c:v>1428.5528273809523</c:v>
                </c:pt>
                <c:pt idx="18">
                  <c:v>0</c:v>
                </c:pt>
                <c:pt idx="19">
                  <c:v>860.64453125</c:v>
                </c:pt>
                <c:pt idx="20">
                  <c:v>1099.3106617647059</c:v>
                </c:pt>
                <c:pt idx="21">
                  <c:v>1501.2746710526317</c:v>
                </c:pt>
                <c:pt idx="22">
                  <c:v>789.50668896321065</c:v>
                </c:pt>
                <c:pt idx="23">
                  <c:v>867.87683823529414</c:v>
                </c:pt>
                <c:pt idx="24">
                  <c:v>810.01838235294122</c:v>
                </c:pt>
                <c:pt idx="25">
                  <c:v>295.078125</c:v>
                </c:pt>
                <c:pt idx="26">
                  <c:v>724.75328947368416</c:v>
                </c:pt>
                <c:pt idx="27">
                  <c:v>885.234375</c:v>
                </c:pt>
                <c:pt idx="28">
                  <c:v>1170.9449404761904</c:v>
                </c:pt>
                <c:pt idx="29">
                  <c:v>828.28947368421052</c:v>
                </c:pt>
                <c:pt idx="30">
                  <c:v>-7.8578363384188625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FE-474A-B579-4DF24AA305EA}"/>
            </c:ext>
          </c:extLst>
        </c:ser>
        <c:ser>
          <c:idx val="4"/>
          <c:order val="4"/>
          <c:tx>
            <c:strRef>
              <c:f>GRAFICAS!$AY$3</c:f>
              <c:strCache>
                <c:ptCount val="1"/>
                <c:pt idx="0">
                  <c:v>INDICADOR $POL ANIONICO/ M3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GRAFICAS!$AY$4:$AY$35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216.47727272727272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91.586538461538467</c:v>
                </c:pt>
                <c:pt idx="6">
                  <c:v>88.276181649675621</c:v>
                </c:pt>
                <c:pt idx="7">
                  <c:v>79.375</c:v>
                </c:pt>
                <c:pt idx="8">
                  <c:v>148.828125</c:v>
                </c:pt>
                <c:pt idx="9">
                  <c:v>125.32894736842105</c:v>
                </c:pt>
                <c:pt idx="10">
                  <c:v>0</c:v>
                </c:pt>
                <c:pt idx="11">
                  <c:v>0</c:v>
                </c:pt>
                <c:pt idx="12">
                  <c:v>70.036764705882348</c:v>
                </c:pt>
                <c:pt idx="13">
                  <c:v>223.2421875</c:v>
                </c:pt>
                <c:pt idx="14">
                  <c:v>79.375</c:v>
                </c:pt>
                <c:pt idx="15">
                  <c:v>119.0625</c:v>
                </c:pt>
                <c:pt idx="16">
                  <c:v>66.145833333333329</c:v>
                </c:pt>
                <c:pt idx="17">
                  <c:v>56.696428571428569</c:v>
                </c:pt>
                <c:pt idx="18">
                  <c:v>0</c:v>
                </c:pt>
                <c:pt idx="19">
                  <c:v>59.53125</c:v>
                </c:pt>
                <c:pt idx="20">
                  <c:v>140.0735294117647</c:v>
                </c:pt>
                <c:pt idx="21">
                  <c:v>125.32894736842105</c:v>
                </c:pt>
                <c:pt idx="22">
                  <c:v>127.4247491638796</c:v>
                </c:pt>
                <c:pt idx="23">
                  <c:v>70.036764705882348</c:v>
                </c:pt>
                <c:pt idx="24">
                  <c:v>70.036764705882348</c:v>
                </c:pt>
                <c:pt idx="25">
                  <c:v>119.0625</c:v>
                </c:pt>
                <c:pt idx="26">
                  <c:v>187.99342105263159</c:v>
                </c:pt>
                <c:pt idx="27">
                  <c:v>119.0625</c:v>
                </c:pt>
                <c:pt idx="28">
                  <c:v>170.08928571428572</c:v>
                </c:pt>
                <c:pt idx="29">
                  <c:v>187.99342105263159</c:v>
                </c:pt>
                <c:pt idx="30">
                  <c:v>-1.0568654646324549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FE-474A-B579-4DF24AA305EA}"/>
            </c:ext>
          </c:extLst>
        </c:ser>
        <c:ser>
          <c:idx val="5"/>
          <c:order val="5"/>
          <c:tx>
            <c:strRef>
              <c:f>GRAFICAS!$AZ$3</c:f>
              <c:strCache>
                <c:ptCount val="1"/>
                <c:pt idx="0">
                  <c:v> INDICADOR $POL CATIONICO / M3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GRAFICAS!$AZ$4:$AZ$35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250.56818181818181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318.02884615384613</c:v>
                </c:pt>
                <c:pt idx="6">
                  <c:v>204.35588507877665</c:v>
                </c:pt>
                <c:pt idx="7">
                  <c:v>183.75</c:v>
                </c:pt>
                <c:pt idx="8">
                  <c:v>258.3984375</c:v>
                </c:pt>
                <c:pt idx="9">
                  <c:v>217.59868421052633</c:v>
                </c:pt>
                <c:pt idx="10">
                  <c:v>212.01923076923077</c:v>
                </c:pt>
                <c:pt idx="11">
                  <c:v>0</c:v>
                </c:pt>
                <c:pt idx="12">
                  <c:v>324.26470588235293</c:v>
                </c:pt>
                <c:pt idx="13">
                  <c:v>344.53125</c:v>
                </c:pt>
                <c:pt idx="14">
                  <c:v>367.5</c:v>
                </c:pt>
                <c:pt idx="15">
                  <c:v>137.8125</c:v>
                </c:pt>
                <c:pt idx="16">
                  <c:v>229.6875</c:v>
                </c:pt>
                <c:pt idx="17">
                  <c:v>196.875</c:v>
                </c:pt>
                <c:pt idx="18">
                  <c:v>0</c:v>
                </c:pt>
                <c:pt idx="19">
                  <c:v>206.71875</c:v>
                </c:pt>
                <c:pt idx="20">
                  <c:v>243.1985294117647</c:v>
                </c:pt>
                <c:pt idx="21">
                  <c:v>217.59868421052633</c:v>
                </c:pt>
                <c:pt idx="22">
                  <c:v>294.98327759197326</c:v>
                </c:pt>
                <c:pt idx="23">
                  <c:v>81.066176470588232</c:v>
                </c:pt>
                <c:pt idx="24">
                  <c:v>243.1985294117647</c:v>
                </c:pt>
                <c:pt idx="25">
                  <c:v>275.625</c:v>
                </c:pt>
                <c:pt idx="26">
                  <c:v>290.13157894736844</c:v>
                </c:pt>
                <c:pt idx="27">
                  <c:v>137.8125</c:v>
                </c:pt>
                <c:pt idx="28">
                  <c:v>196.875</c:v>
                </c:pt>
                <c:pt idx="29">
                  <c:v>217.59868421052633</c:v>
                </c:pt>
                <c:pt idx="30">
                  <c:v>-1.4526699029126213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FE-474A-B579-4DF24AA305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281302111"/>
        <c:axId val="1281302591"/>
      </c:barChart>
      <c:lineChart>
        <c:grouping val="standard"/>
        <c:varyColors val="0"/>
        <c:ser>
          <c:idx val="0"/>
          <c:order val="0"/>
          <c:tx>
            <c:strRef>
              <c:f>GRAFICAS!$AU$3</c:f>
              <c:strCache>
                <c:ptCount val="1"/>
                <c:pt idx="0">
                  <c:v>INDICADOR $m3 </c:v>
                </c:pt>
              </c:strCache>
            </c:strRef>
          </c:tx>
          <c:spPr>
            <a:ln w="28575" cap="rnd">
              <a:solidFill>
                <a:schemeClr val="accent6">
                  <a:alpha val="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GRAFICAS!$AU$4:$AU$35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2001.6698863636364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2638.6711538461536</c:v>
                </c:pt>
                <c:pt idx="6">
                  <c:v>2771.1464318813714</c:v>
                </c:pt>
                <c:pt idx="7">
                  <c:v>2309.4699999999998</c:v>
                </c:pt>
                <c:pt idx="8">
                  <c:v>1812.61015625</c:v>
                </c:pt>
                <c:pt idx="9">
                  <c:v>2241.3763157894737</c:v>
                </c:pt>
                <c:pt idx="10">
                  <c:v>3164.7182692307692</c:v>
                </c:pt>
                <c:pt idx="11">
                  <c:v>0</c:v>
                </c:pt>
                <c:pt idx="12">
                  <c:v>2363.5055147058824</c:v>
                </c:pt>
                <c:pt idx="13">
                  <c:v>3136.7925781250001</c:v>
                </c:pt>
                <c:pt idx="14">
                  <c:v>2896.0604166666667</c:v>
                </c:pt>
                <c:pt idx="15">
                  <c:v>2646.4334374999999</c:v>
                </c:pt>
                <c:pt idx="16">
                  <c:v>3481.7406249999999</c:v>
                </c:pt>
                <c:pt idx="17">
                  <c:v>3085.6183035714284</c:v>
                </c:pt>
                <c:pt idx="18">
                  <c:v>0</c:v>
                </c:pt>
                <c:pt idx="19">
                  <c:v>2180.94484375</c:v>
                </c:pt>
                <c:pt idx="20">
                  <c:v>2748.0113970588236</c:v>
                </c:pt>
                <c:pt idx="21">
                  <c:v>3660.9736842105262</c:v>
                </c:pt>
                <c:pt idx="22">
                  <c:v>2341.9923076923078</c:v>
                </c:pt>
                <c:pt idx="23">
                  <c:v>2116.0264705882355</c:v>
                </c:pt>
                <c:pt idx="24">
                  <c:v>2486.9143382352941</c:v>
                </c:pt>
                <c:pt idx="25">
                  <c:v>1466.7093749999999</c:v>
                </c:pt>
                <c:pt idx="26">
                  <c:v>2624.4664473684211</c:v>
                </c:pt>
                <c:pt idx="27">
                  <c:v>2916.3146875000002</c:v>
                </c:pt>
                <c:pt idx="28">
                  <c:v>2882.8380952380953</c:v>
                </c:pt>
                <c:pt idx="29">
                  <c:v>2777.1713815789471</c:v>
                </c:pt>
                <c:pt idx="30">
                  <c:v>-19.649093619972259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FE-474A-B579-4DF24AA305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1302111"/>
        <c:axId val="1281302591"/>
      </c:lineChart>
      <c:catAx>
        <c:axId val="128130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1302591"/>
        <c:crosses val="autoZero"/>
        <c:auto val="1"/>
        <c:lblAlgn val="ctr"/>
        <c:lblOffset val="100"/>
        <c:noMultiLvlLbl val="0"/>
      </c:catAx>
      <c:valAx>
        <c:axId val="128130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130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606349</xdr:colOff>
      <xdr:row>2</xdr:row>
      <xdr:rowOff>216289</xdr:rowOff>
    </xdr:from>
    <xdr:to>
      <xdr:col>15</xdr:col>
      <xdr:colOff>234131</xdr:colOff>
      <xdr:row>16</xdr:row>
      <xdr:rowOff>158252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C6C879-07F4-4993-8273-3727D53F6B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172011</xdr:colOff>
      <xdr:row>3</xdr:row>
      <xdr:rowOff>233788</xdr:rowOff>
    </xdr:from>
    <xdr:ext cx="1824483" cy="1996107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FECHA 1">
              <a:extLst>
                <a:ext uri="{FF2B5EF4-FFF2-40B4-BE49-F238E27FC236}">
                  <a16:creationId xmlns:a16="http://schemas.microsoft.com/office/drawing/2014/main" id="{218DFBB9-985D-4393-9BA4-31D7F59AA1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011" y="1190934"/>
              <a:ext cx="1824483" cy="19961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twoCellAnchor>
    <xdr:from>
      <xdr:col>1</xdr:col>
      <xdr:colOff>785751</xdr:colOff>
      <xdr:row>19</xdr:row>
      <xdr:rowOff>161262</xdr:rowOff>
    </xdr:from>
    <xdr:to>
      <xdr:col>15</xdr:col>
      <xdr:colOff>443347</xdr:colOff>
      <xdr:row>40</xdr:row>
      <xdr:rowOff>10886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1AE5E87-0850-485B-B4EC-994C2E3DF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45522</xdr:colOff>
      <xdr:row>25</xdr:row>
      <xdr:rowOff>160070</xdr:rowOff>
    </xdr:from>
    <xdr:ext cx="1834008" cy="1616065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FECHA 2">
              <a:extLst>
                <a:ext uri="{FF2B5EF4-FFF2-40B4-BE49-F238E27FC236}">
                  <a16:creationId xmlns:a16="http://schemas.microsoft.com/office/drawing/2014/main" id="{538A40C2-E3C3-475D-AB6B-0C4EBEEA67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522" y="6423338"/>
              <a:ext cx="1834008" cy="16160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twoCellAnchor>
    <xdr:from>
      <xdr:col>2</xdr:col>
      <xdr:colOff>816678</xdr:colOff>
      <xdr:row>30</xdr:row>
      <xdr:rowOff>179367</xdr:rowOff>
    </xdr:from>
    <xdr:to>
      <xdr:col>3</xdr:col>
      <xdr:colOff>56162</xdr:colOff>
      <xdr:row>31</xdr:row>
      <xdr:rowOff>179367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D7D74D34-28FE-4E75-A5DB-08369D5BE300}"/>
            </a:ext>
          </a:extLst>
        </xdr:cNvPr>
        <xdr:cNvSpPr txBox="1"/>
      </xdr:nvSpPr>
      <xdr:spPr>
        <a:xfrm>
          <a:off x="2378778" y="5665767"/>
          <a:ext cx="54824" cy="182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accent6"/>
              </a:solidFill>
            </a:rPr>
            <a:t>$1.000</a:t>
          </a:r>
        </a:p>
      </xdr:txBody>
    </xdr:sp>
    <xdr:clientData/>
  </xdr:twoCellAnchor>
  <xdr:twoCellAnchor>
    <xdr:from>
      <xdr:col>15</xdr:col>
      <xdr:colOff>595745</xdr:colOff>
      <xdr:row>2</xdr:row>
      <xdr:rowOff>219941</xdr:rowOff>
    </xdr:from>
    <xdr:to>
      <xdr:col>23</xdr:col>
      <xdr:colOff>948763</xdr:colOff>
      <xdr:row>16</xdr:row>
      <xdr:rowOff>161904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167BE59-4AF0-4A7C-BE36-2FB3D395E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616528</xdr:colOff>
      <xdr:row>19</xdr:row>
      <xdr:rowOff>166255</xdr:rowOff>
    </xdr:from>
    <xdr:to>
      <xdr:col>23</xdr:col>
      <xdr:colOff>914400</xdr:colOff>
      <xdr:row>40</xdr:row>
      <xdr:rowOff>55418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8BD4DF0-D8EA-47DC-A416-1CC139C36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33</xdr:col>
      <xdr:colOff>478675</xdr:colOff>
      <xdr:row>3</xdr:row>
      <xdr:rowOff>35329</xdr:rowOff>
    </xdr:from>
    <xdr:ext cx="1827786" cy="2024940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DIA 1">
              <a:extLst>
                <a:ext uri="{FF2B5EF4-FFF2-40B4-BE49-F238E27FC236}">
                  <a16:creationId xmlns:a16="http://schemas.microsoft.com/office/drawing/2014/main" id="{A7086276-4795-4C84-9531-FEEED08D38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624065" y="992475"/>
              <a:ext cx="1827786" cy="20249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0.06937</cdr:x>
      <cdr:y>0.5832</cdr:y>
    </cdr:from>
    <cdr:to>
      <cdr:x>0.13286</cdr:x>
      <cdr:y>0.64113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91602CB-D3AA-7BCB-6F10-9A4887F26E98}"/>
            </a:ext>
          </a:extLst>
        </cdr:cNvPr>
        <cdr:cNvSpPr txBox="1"/>
      </cdr:nvSpPr>
      <cdr:spPr>
        <a:xfrm xmlns:a="http://schemas.openxmlformats.org/drawingml/2006/main">
          <a:off x="1369589" y="1851662"/>
          <a:ext cx="1253583" cy="1839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CO" sz="1100">
              <a:solidFill>
                <a:schemeClr val="accent6"/>
              </a:solidFill>
            </a:rPr>
            <a:t>$3.599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161925</xdr:rowOff>
    </xdr:from>
    <xdr:to>
      <xdr:col>14</xdr:col>
      <xdr:colOff>361950</xdr:colOff>
      <xdr:row>20</xdr:row>
      <xdr:rowOff>55067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74C947-8657-4001-B741-46E5C04C5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102221</xdr:colOff>
      <xdr:row>20</xdr:row>
      <xdr:rowOff>156065</xdr:rowOff>
    </xdr:from>
    <xdr:to>
      <xdr:col>14</xdr:col>
      <xdr:colOff>357714</xdr:colOff>
      <xdr:row>37</xdr:row>
      <xdr:rowOff>65808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5DE61D4-3AEF-4C26-B47C-03BB31AAEB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120731</xdr:colOff>
      <xdr:row>38</xdr:row>
      <xdr:rowOff>14843</xdr:rowOff>
    </xdr:from>
    <xdr:to>
      <xdr:col>14</xdr:col>
      <xdr:colOff>363187</xdr:colOff>
      <xdr:row>57</xdr:row>
      <xdr:rowOff>98757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7C4F5A6-E6B9-402C-A2D7-BF03220CE6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21</xdr:col>
      <xdr:colOff>74839</xdr:colOff>
      <xdr:row>36</xdr:row>
      <xdr:rowOff>183697</xdr:rowOff>
    </xdr:from>
    <xdr:to>
      <xdr:col>22</xdr:col>
      <xdr:colOff>1028428</xdr:colOff>
      <xdr:row>49</xdr:row>
      <xdr:rowOff>154034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DIA">
              <a:extLst>
                <a:ext uri="{FF2B5EF4-FFF2-40B4-BE49-F238E27FC236}">
                  <a16:creationId xmlns:a16="http://schemas.microsoft.com/office/drawing/2014/main" id="{EC93A776-E743-4750-ABCD-0883722A7E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061589" y="7359197"/>
              <a:ext cx="1802902" cy="2423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110835</xdr:colOff>
      <xdr:row>58</xdr:row>
      <xdr:rowOff>27709</xdr:rowOff>
    </xdr:from>
    <xdr:to>
      <xdr:col>14</xdr:col>
      <xdr:colOff>354544</xdr:colOff>
      <xdr:row>78</xdr:row>
      <xdr:rowOff>25526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0839B81-6752-4B8B-A755-1253ACA8FB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2026\BALANCES%202026\BALANCE%20ECON&#211;MICO\Qu&#237;mica%20GEM%20RO\DASHBOARD%20COSTOS%20ABRIL.xlsx" TargetMode="External"/><Relationship Id="rId1" Type="http://schemas.openxmlformats.org/officeDocument/2006/relationships/externalLinkPath" Target="file:///T:\2026\BALANCES%202026\BALANCE%20ECON&#211;MICO\Qu&#237;mica%20GEM%20RO\DASHBOARD%20COSTOS%20ABR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YECCIÓN INSUMOS QUÍMICO"/>
      <sheetName val="INVENTARIO Y CONSUMO GEM  "/>
      <sheetName val="DB QUIMICA"/>
      <sheetName val="GRAFICAS"/>
      <sheetName val="INFORME CALIDAD"/>
      <sheetName val="CONSUMO QUÍMICA-CAUDALES GEM  "/>
      <sheetName val="INVENTARIO INSUMOS QUÍMICOS GEM"/>
      <sheetName val="REGISTRO RO"/>
      <sheetName val="CONSUMO QUÍMICA - CAUDALES RO"/>
      <sheetName val="INVENTARIO INSUMOS QUÍMICOS RO"/>
      <sheetName val="Consumos"/>
    </sheetNames>
    <sheetDataSet>
      <sheetData sheetId="0" refreshError="1"/>
      <sheetData sheetId="1" refreshError="1"/>
      <sheetData sheetId="2">
        <row r="8">
          <cell r="Z8">
            <v>32414</v>
          </cell>
          <cell r="AD8">
            <v>86198675.5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2026\BALANCES%202026\BALANCE%20ECON&#211;MICO\Qu&#237;mica%20GEM%20RO\DASHBOARD%20COSTOS%20ABRI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2026\BALANCES%202026\BALANCE%20ECON&#211;MICO\Qu&#237;mica%20GEM%20RO\DASHBOARD%20COSTOS%20ABRI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ilena Landinez Ramirez" refreshedDate="46154.324354282406" createdVersion="8" refreshedVersion="8" minRefreshableVersion="3" recordCount="95" xr:uid="{CB746BFF-452E-4CAF-B66B-B817286583D1}">
  <cacheSource type="worksheet">
    <worksheetSource name="Tabla1" r:id="rId2"/>
  </cacheSource>
  <cacheFields count="60">
    <cacheField name="FECHA" numFmtId="0">
      <sharedItems containsNonDate="0" containsDate="1" containsString="0" containsBlank="1" minDate="2024-09-01T00:00:00" maxDate="2026-05-02T00:00:00" count="548"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m/>
        <d v="2026-03-01T00:00:00" u="1"/>
        <d v="2026-03-02T00:00:00" u="1"/>
        <d v="2026-03-03T00:00:00" u="1"/>
        <d v="2026-03-04T00:00:00" u="1"/>
        <d v="2026-03-05T00:00:00" u="1"/>
        <d v="2026-03-06T00:00:00" u="1"/>
        <d v="2026-03-07T00:00:00" u="1"/>
        <d v="2026-03-08T00:00:00" u="1"/>
        <d v="2026-03-09T00:00:00" u="1"/>
        <d v="2026-03-10T00:00:00" u="1"/>
        <d v="2026-03-11T00:00:00" u="1"/>
        <d v="2026-03-12T00:00:00" u="1"/>
        <d v="2026-03-13T00:00:00" u="1"/>
        <d v="2026-03-14T00:00:00" u="1"/>
        <d v="2026-03-15T00:00:00" u="1"/>
        <d v="2026-03-16T00:00:00" u="1"/>
        <d v="2026-03-17T00:00:00" u="1"/>
        <d v="2026-03-18T00:00:00" u="1"/>
        <d v="2026-03-19T00:00:00" u="1"/>
        <d v="2026-03-20T00:00:00" u="1"/>
        <d v="2026-03-21T00:00:00" u="1"/>
        <d v="2026-03-22T00:00:00" u="1"/>
        <d v="2026-03-23T00:00:00" u="1"/>
        <d v="2026-03-24T00:00:00" u="1"/>
        <d v="2026-03-25T00:00:00" u="1"/>
        <d v="2026-03-26T00:00:00" u="1"/>
        <d v="2026-03-27T00:00:00" u="1"/>
        <d v="2026-03-28T00:00:00" u="1"/>
        <d v="2026-03-29T00:00:00" u="1"/>
        <d v="2026-03-30T00:00:00" u="1"/>
        <d v="2026-03-31T00:00:00" u="1"/>
        <d v="2026-02-0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  <d v="2026-02-13T00:00:00" u="1"/>
        <d v="2026-02-14T00:00:00" u="1"/>
        <d v="2026-02-15T00:00:00" u="1"/>
        <d v="2026-02-16T00:00:00" u="1"/>
        <d v="2026-02-17T00:00:00" u="1"/>
        <d v="2026-02-18T00:00:00" u="1"/>
        <d v="2026-02-19T00:00:00" u="1"/>
        <d v="2026-02-20T00:00:00" u="1"/>
        <d v="2026-02-21T00:00:00" u="1"/>
        <d v="2026-02-22T00:00:00" u="1"/>
        <d v="2026-02-23T00:00:00" u="1"/>
        <d v="2026-02-24T00:00:00" u="1"/>
        <d v="2026-02-25T00:00:00" u="1"/>
        <d v="2026-02-26T00:00:00" u="1"/>
        <d v="2026-02-27T00:00:00" u="1"/>
        <d v="2026-02-28T00:00:00" u="1"/>
        <d v="2026-01-01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6-01-17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  <d v="2026-01-25T00:00:00" u="1"/>
        <d v="2026-01-26T00:00:00" u="1"/>
        <d v="2026-01-27T00:00:00" u="1"/>
        <d v="2026-01-28T00:00:00" u="1"/>
        <d v="2026-01-29T00:00:00" u="1"/>
        <d v="2026-01-30T00:00:00" u="1"/>
        <d v="2026-01-31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9-01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</cacheField>
    <cacheField name="DIA" numFmtId="0">
      <sharedItems containsString="0" containsBlank="1" containsNumber="1" minValue="1" maxValue="31" count="3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m/>
        <n v="3.6857142857142899" u="1"/>
      </sharedItems>
    </cacheField>
    <cacheField name="ANALISIS TURNO" numFmtId="0">
      <sharedItems containsBlank="1"/>
    </cacheField>
    <cacheField name="# TURNO" numFmtId="0">
      <sharedItems containsString="0" containsBlank="1" containsNumber="1" containsInteger="1" minValue="1" maxValue="93"/>
    </cacheField>
    <cacheField name="DILIGENCIAR BITACORA" numFmtId="0">
      <sharedItems containsBlank="1"/>
    </cacheField>
    <cacheField name="FINAL ACIDO (L)" numFmtId="3">
      <sharedItems containsString="0" containsBlank="1" containsNumber="1" containsInteger="1" minValue="1400" maxValue="4300"/>
    </cacheField>
    <cacheField name="FINAL COAGULANTE (L)" numFmtId="3">
      <sharedItems containsString="0" containsBlank="1" containsNumber="1" containsInteger="1" minValue="3180" maxValue="9490"/>
    </cacheField>
    <cacheField name="FINAL DECOLORANTE (L)" numFmtId="3">
      <sharedItems containsString="0" containsBlank="1" containsNumber="1" containsInteger="1" minValue="1440" maxValue="4930"/>
    </cacheField>
    <cacheField name="FINAL POL ANIONICO (KG)" numFmtId="3">
      <sharedItems containsString="0" containsBlank="1" containsNumber="1" containsInteger="1" minValue="80" maxValue="275"/>
    </cacheField>
    <cacheField name="FINAL POL CATIONICO (KG)" numFmtId="3">
      <sharedItems containsString="0" containsBlank="1" containsNumber="1" containsInteger="1" minValue="95" maxValue="450"/>
    </cacheField>
    <cacheField name="Lectura Horometro INICIAL (06:00)" numFmtId="3">
      <sharedItems containsString="0" containsBlank="1" containsNumber="1" containsInteger="1" minValue="17622" maxValue="18025"/>
    </cacheField>
    <cacheField name="CAUDAL TOTAL TRATADO GEM " numFmtId="3">
      <sharedItems containsSemiMixedTypes="0" containsString="0" containsNumber="1" containsInteger="1" minValue="-1442000" maxValue="640"/>
    </cacheField>
    <cacheField name="CAUDAL DE TRATAMIENTO" numFmtId="3">
      <sharedItems containsString="0" containsBlank="1" containsNumber="1" containsInteger="1" minValue="80" maxValue="90"/>
    </cacheField>
    <cacheField name="CONSUMO LITROS ACIDO (L)" numFmtId="3">
      <sharedItems containsSemiMixedTypes="0" containsString="0" containsNumber="1" containsInteger="1" minValue="-2160" maxValue="1400"/>
    </cacheField>
    <cacheField name="CONSUMO LITROS COAGULANTE (L)" numFmtId="3">
      <sharedItems containsString="0" containsBlank="1" containsNumber="1" containsInteger="1" minValue="0" maxValue="3180"/>
    </cacheField>
    <cacheField name="CONSUMO LITROS DECOLORANTE (L)" numFmtId="3">
      <sharedItems containsString="0" containsBlank="1" containsNumber="1" containsInteger="1" minValue="0" maxValue="1440"/>
    </cacheField>
    <cacheField name="CONSUMO POL ANIONICO (KG)" numFmtId="3">
      <sharedItems containsSemiMixedTypes="0" containsString="0" containsNumber="1" containsInteger="1" minValue="-205" maxValue="80"/>
    </cacheField>
    <cacheField name="CONSUMO POL CATIONICO (KG)" numFmtId="3">
      <sharedItems containsString="0" containsBlank="1" containsNumber="1" containsInteger="1" minValue="0" maxValue="95"/>
    </cacheField>
    <cacheField name="KG ACIDO" numFmtId="3">
      <sharedItems containsSemiMixedTypes="0" containsString="0" containsNumber="1" minValue="-2808" maxValue="1820"/>
    </cacheField>
    <cacheField name="KG COAGULANTE" numFmtId="3">
      <sharedItems containsSemiMixedTypes="0" containsString="0" containsNumber="1" minValue="0" maxValue="4213.5"/>
    </cacheField>
    <cacheField name="KG DECOLORANTE " numFmtId="3">
      <sharedItems containsSemiMixedTypes="0" containsString="0" containsNumber="1" minValue="0" maxValue="1800"/>
    </cacheField>
    <cacheField name="KG POL ANIONICO " numFmtId="3">
      <sharedItems containsSemiMixedTypes="0" containsString="0" containsNumber="1" containsInteger="1" minValue="-205" maxValue="80"/>
    </cacheField>
    <cacheField name="KG POL CATIONICO " numFmtId="3">
      <sharedItems containsSemiMixedTypes="0" containsString="0" containsNumber="1" containsInteger="1" minValue="0" maxValue="95"/>
    </cacheField>
    <cacheField name="PPM ACIDO " numFmtId="3">
      <sharedItems containsMixedTypes="1" containsNumber="1" minValue="-1.2621359223300972" maxValue="866.66666666666663"/>
    </cacheField>
    <cacheField name="PPM COAGULANTE " numFmtId="3">
      <sharedItems containsMixedTypes="1" containsNumber="1" minValue="-2.9219833564493758" maxValue="910.9375"/>
    </cacheField>
    <cacheField name="PPM DECOLORANTE " numFmtId="3">
      <sharedItems containsMixedTypes="1" containsNumber="1" minValue="-1.248266296809986" maxValue="375"/>
    </cacheField>
    <cacheField name="PPM POL ANIONICO " numFmtId="3">
      <sharedItems containsMixedTypes="1" containsNumber="1" minValue="-5.5478502080443831E-2" maxValue="20.833333333333332"/>
    </cacheField>
    <cacheField name="PPM POL CATIONICO" numFmtId="3">
      <sharedItems containsMixedTypes="1" containsNumber="1" minValue="-6.5880721220527044E-2" maxValue="25"/>
    </cacheField>
    <cacheField name="DENSIDAD ACIDO" numFmtId="169">
      <sharedItems containsString="0" containsBlank="1" containsNumber="1" minValue="1.3" maxValue="1.3"/>
    </cacheField>
    <cacheField name="DENSIDAD COAGULANTE" numFmtId="169">
      <sharedItems containsString="0" containsBlank="1" containsNumber="1" minValue="1.325" maxValue="1.325"/>
    </cacheField>
    <cacheField name="DENSIDAD DECOLORANTE" numFmtId="169">
      <sharedItems containsString="0" containsBlank="1" containsNumber="1" minValue="1.25" maxValue="1.25"/>
    </cacheField>
    <cacheField name="DENSIDAD ANIONICO" numFmtId="3">
      <sharedItems containsString="0" containsBlank="1" containsNumber="1" containsInteger="1" minValue="2500" maxValue="2500"/>
    </cacheField>
    <cacheField name="DENSIDAD CATIONICO" numFmtId="3">
      <sharedItems containsString="0" containsBlank="1" containsNumber="1" containsInteger="1" minValue="2500" maxValue="2500"/>
    </cacheField>
    <cacheField name="PRECIO (KG) ACIDO" numFmtId="165">
      <sharedItems containsString="0" containsBlank="1" containsNumber="1" containsInteger="1" minValue="830" maxValue="830"/>
    </cacheField>
    <cacheField name="PRECIO (KG) COAGULANTE" numFmtId="165">
      <sharedItems containsString="0" containsBlank="1" containsNumber="1" containsInteger="1" minValue="2818" maxValue="2818"/>
    </cacheField>
    <cacheField name="PRECIO (KG) DECOLORANTE" numFmtId="165">
      <sharedItems containsString="0" containsBlank="1" containsNumber="1" containsInteger="1" minValue="6295" maxValue="6295"/>
    </cacheField>
    <cacheField name="PRECIO (KG) ANIONICO" numFmtId="165">
      <sharedItems containsString="0" containsBlank="1" containsNumber="1" containsInteger="1" minValue="19050" maxValue="19050"/>
    </cacheField>
    <cacheField name="PRECIO (KG) CATIONICO" numFmtId="165">
      <sharedItems containsString="0" containsBlank="1" containsNumber="1" containsInteger="1" minValue="22050" maxValue="22050"/>
    </cacheField>
    <cacheField name="COSTO OPERATIVO ACIDO" numFmtId="165">
      <sharedItems containsSemiMixedTypes="0" containsString="0" containsNumber="1" containsInteger="1" minValue="0" maxValue="1510600"/>
    </cacheField>
    <cacheField name="COSTO OPERATIVO COAGULANTE" numFmtId="165">
      <sharedItems containsSemiMixedTypes="0" containsString="0" containsNumber="1" minValue="0" maxValue="11873643"/>
    </cacheField>
    <cacheField name="COSTO OPERATIVO DECOLORANTE" numFmtId="165">
      <sharedItems containsSemiMixedTypes="0" containsString="0" containsNumber="1" minValue="0" maxValue="11331000"/>
    </cacheField>
    <cacheField name="COSTO OPERATIVO ANIONICO" numFmtId="165">
      <sharedItems containsSemiMixedTypes="0" containsString="0" containsNumber="1" containsInteger="1" minValue="0" maxValue="1524000"/>
    </cacheField>
    <cacheField name="COSTO OPERATIVO CATIONICO" numFmtId="165">
      <sharedItems containsSemiMixedTypes="0" containsString="0" containsNumber="1" containsInteger="1" minValue="0" maxValue="2094750"/>
    </cacheField>
    <cacheField name="COSTO QUIMICA " numFmtId="165">
      <sharedItems containsSemiMixedTypes="0" containsString="0" containsNumber="1" minValue="0" maxValue="28333993"/>
    </cacheField>
    <cacheField name="LIMITE INDICADOR M3" numFmtId="165">
      <sharedItems containsString="0" containsBlank="1" containsNumber="1" containsInteger="1" minValue="3599" maxValue="3599"/>
    </cacheField>
    <cacheField name="$ m3" numFmtId="165">
      <sharedItems containsMixedTypes="1" containsNumber="1" minValue="-19.649093619972259" maxValue="4751.229166666667"/>
    </cacheField>
    <cacheField name="HORAS DE OPERACIÓN" numFmtId="3">
      <sharedItems containsSemiMixedTypes="0" containsString="0" containsNumber="1" containsInteger="1" minValue="-18025" maxValue="8"/>
    </cacheField>
    <cacheField name="INDICADOR" numFmtId="0" formula="(#NAME? /'CAUDAL TOTAL TRATADO GEM ')" databaseField="0"/>
    <cacheField name="INDICADOR $m3" numFmtId="0" formula=" ('COSTO QUIMICA '/'CAUDAL TOTAL TRATADO GEM ')" databaseField="0"/>
    <cacheField name="ppm diario acido" numFmtId="0" formula="('CONSUMO LITROS ACIDO (L)'*1000000)/('CAUDAL TOTAL TRATADO GEM '*1000)" databaseField="0"/>
    <cacheField name="COF 235 - PPM COAGULANTE " numFmtId="0" formula="('CONSUMO LITROS COAGULANTE (L)'*1000000)/('CAUDAL TOTAL TRATADO GEM '*1000)" databaseField="0"/>
    <cacheField name="COF 255 - PPM DECOLORANTE" numFmtId="0" formula="('CONSUMO LITROS DECOLORANTE (L)'*1000000)/('CAUDAL TOTAL TRATADO GEM '*1000)" databaseField="0"/>
    <cacheField name="COF 440 - PPM POL ANIONICO" numFmtId="0" formula="('CONSUMO POL ANIONICO (KG)'*250000)/('CAUDAL TOTAL TRATADO GEM '*1000)" databaseField="0"/>
    <cacheField name="COF 494 - PPM POL CATIONICO" numFmtId="0" formula="('KG POL CATIONICO '*250000)/('CAUDAL TOTAL TRATADO GEM '*1000)" databaseField="0"/>
    <cacheField name="2024 $m3 GEM" numFmtId="0" formula="('LIMITE INDICADOR M3'-'LIMITE INDICADOR M3')+3599" databaseField="0"/>
    <cacheField name="INDICADOR $ACIDO/M3" numFmtId="0" formula="'COSTO OPERATIVO ACIDO'/'CAUDAL TOTAL TRATADO GEM '" databaseField="0"/>
    <cacheField name="INDICADOR $COAGULANTE/M3" numFmtId="0" formula="'COSTO OPERATIVO COAGULANTE'/'CAUDAL TOTAL TRATADO GEM '" databaseField="0"/>
    <cacheField name="INDICADOR $DECOLORANTE/M3" numFmtId="0" formula="'COSTO OPERATIVO DECOLORANTE'/'CAUDAL TOTAL TRATADO GEM '" databaseField="0"/>
    <cacheField name="INDICADOR $POL ANIONICO/ M3" numFmtId="0" formula="'COSTO OPERATIVO ANIONICO'/'CAUDAL TOTAL TRATADO GEM '" databaseField="0"/>
    <cacheField name="INDICADOR $POL CATIONICO / M3" numFmtId="0" formula="'COSTO OPERATIVO CATIONICO'/'CAUDAL TOTAL TRATADO GEM '" databaseField="0"/>
  </cacheFields>
  <extLst>
    <ext xmlns:x14="http://schemas.microsoft.com/office/spreadsheetml/2009/9/main" uri="{725AE2AE-9491-48be-B2B4-4EB974FC3084}">
      <x14:pivotCacheDefinition pivotCacheId="48917969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ilena Landinez Ramirez" refreshedDate="46154.324353356482" createdVersion="8" refreshedVersion="8" minRefreshableVersion="3" recordCount="94" xr:uid="{F7ABC467-92BB-4862-9F6E-2F7B3AFC11C4}">
  <cacheSource type="worksheet">
    <worksheetSource name="Tabla2" r:id="rId2"/>
  </cacheSource>
  <cacheFields count="63">
    <cacheField name="FECHA" numFmtId="14">
      <sharedItems containsNonDate="0" containsDate="1" containsString="0" containsBlank="1" minDate="2024-09-01T00:00:00" maxDate="2026-05-02T00:00:00" count="400"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m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3-01T00:00:00" u="1"/>
        <d v="2025-03-02T00:00:00" u="1"/>
        <d v="2025-03-03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  <fieldGroup par="62"/>
    </cacheField>
    <cacheField name="DIA" numFmtId="1">
      <sharedItems containsSemiMixedTypes="0" containsString="0" containsNumber="1" containsInteger="1" minValue="0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0"/>
        <n v="31" u="1"/>
      </sharedItems>
    </cacheField>
    <cacheField name="TURNO" numFmtId="0">
      <sharedItems containsBlank="1"/>
    </cacheField>
    <cacheField name="HCL (10%)" numFmtId="0">
      <sharedItems containsNonDate="0" containsString="0" containsBlank="1"/>
    </cacheField>
    <cacheField name="KURIVERTER IK-220 (Biocida)" numFmtId="0">
      <sharedItems containsString="0" containsBlank="1" containsNumber="1" containsInteger="1" minValue="0" maxValue="0"/>
    </cacheField>
    <cacheField name="VITEC 7000 (Antiincrustante)" numFmtId="0">
      <sharedItems containsString="0" containsBlank="1" containsNumber="1" containsInteger="1" minValue="0" maxValue="0"/>
    </cacheField>
    <cacheField name="Hidróxido de Sodio (NaOH)" numFmtId="0">
      <sharedItems containsNonDate="0" containsString="0" containsBlank="1"/>
    </cacheField>
    <cacheField name="Bisulfito de sodio " numFmtId="0">
      <sharedItems containsNonDate="0" containsString="0" containsBlank="1"/>
    </cacheField>
    <cacheField name="TIEMPO DE OPERACIÓN (minutos)" numFmtId="2">
      <sharedItems containsMixedTypes="1" containsNumber="1" minValue="0" maxValue="9.8088536585365862"/>
    </cacheField>
    <cacheField name="VOLUMEN ENVIADO A RO (m3)" numFmtId="1">
      <sharedItems containsString="0" containsBlank="1" containsNumber="1" minValue="0" maxValue="402.16300000000001"/>
    </cacheField>
    <cacheField name="Q DE OPERACIÓN (m3/h)" numFmtId="0">
      <sharedItems containsString="0" containsBlank="1" containsNumber="1" containsInteger="1" minValue="0" maxValue="44"/>
    </cacheField>
    <cacheField name="cm HCL (10%)" numFmtId="0">
      <sharedItems containsString="0" containsBlank="1" containsNumber="1" containsInteger="1" minValue="0" maxValue="0"/>
    </cacheField>
    <cacheField name="cm IK-220 (Biocida)" numFmtId="0">
      <sharedItems containsString="0" containsBlank="1" containsNumber="1" containsInteger="1" minValue="0" maxValue="0"/>
    </cacheField>
    <cacheField name="cm Vitec 7000/4000" numFmtId="0">
      <sharedItems containsSemiMixedTypes="0" containsString="0" containsNumber="1" containsInteger="1" minValue="0" maxValue="0"/>
    </cacheField>
    <cacheField name="cm NaOH" numFmtId="0">
      <sharedItems containsSemiMixedTypes="0" containsString="0" containsNumber="1" containsInteger="1" minValue="0" maxValue="0"/>
    </cacheField>
    <cacheField name="cm Bisulfito de sodio" numFmtId="0">
      <sharedItems containsString="0" containsBlank="1" containsNumber="1" containsInteger="1" minValue="0" maxValue="0"/>
    </cacheField>
    <cacheField name="(INV- L) - HCL (10%)" numFmtId="1">
      <sharedItems containsSemiMixedTypes="0" containsString="0" containsNumber="1" containsInteger="1" minValue="0" maxValue="0"/>
    </cacheField>
    <cacheField name="(INV -L) - KURIVERTER IK-220 (Biocida)" numFmtId="1">
      <sharedItems containsSemiMixedTypes="0" containsString="0" containsNumber="1" containsInteger="1" minValue="0" maxValue="0"/>
    </cacheField>
    <cacheField name="(INV -L) - VITEC 7000 (Antiincrustante)" numFmtId="1">
      <sharedItems containsSemiMixedTypes="0" containsString="0" containsNumber="1" containsInteger="1" minValue="0" maxValue="0"/>
    </cacheField>
    <cacheField name="(INV -L) - Hidróxido de Sodio (NaOH)" numFmtId="1">
      <sharedItems containsSemiMixedTypes="0" containsString="0" containsNumber="1" containsInteger="1" minValue="0" maxValue="0"/>
    </cacheField>
    <cacheField name="(INV -L) Bisulfito de sodio " numFmtId="1">
      <sharedItems containsSemiMixedTypes="0" containsString="0" containsNumber="1" containsInteger="1" minValue="0" maxValue="0"/>
    </cacheField>
    <cacheField name="CONSUMO (L) HCL (10%)2" numFmtId="1">
      <sharedItems containsSemiMixedTypes="0" containsString="0" containsNumber="1" containsInteger="1" minValue="0" maxValue="0"/>
    </cacheField>
    <cacheField name="CONSUMO (L) KURIVERTER IK-220 (Biocida)" numFmtId="1">
      <sharedItems containsSemiMixedTypes="0" containsString="0" containsNumber="1" containsInteger="1" minValue="0" maxValue="0"/>
    </cacheField>
    <cacheField name="CONSUMO (L) VITEC 7000 (Antiincrustante)" numFmtId="1">
      <sharedItems containsSemiMixedTypes="0" containsString="0" containsNumber="1" containsInteger="1" minValue="0" maxValue="0"/>
    </cacheField>
    <cacheField name="CONSUMO (L) Hidróxido de Sodio (NaOH)" numFmtId="1">
      <sharedItems containsSemiMixedTypes="0" containsString="0" containsNumber="1" containsInteger="1" minValue="0" maxValue="0"/>
    </cacheField>
    <cacheField name="CONSUMO (L) Bisulfito de sodio" numFmtId="1">
      <sharedItems containsSemiMixedTypes="0" containsString="0" containsNumber="1" containsInteger="1" minValue="0" maxValue="0"/>
    </cacheField>
    <cacheField name="DENSIDAD HCL (10%)" numFmtId="0">
      <sharedItems containsString="0" containsBlank="1" containsNumber="1" minValue="1.18" maxValue="1.18"/>
    </cacheField>
    <cacheField name="DENSIDAD KURIVERTER IK-220 (Biocida)" numFmtId="0">
      <sharedItems containsString="0" containsBlank="1" containsNumber="1" minValue="1.28" maxValue="1.28"/>
    </cacheField>
    <cacheField name="DENSIDAD VITEC 7000 (Antiincrustante)" numFmtId="0">
      <sharedItems containsString="0" containsBlank="1" containsNumber="1" minValue="1.2" maxValue="1.2"/>
    </cacheField>
    <cacheField name="DENSIDAD Hidróxido de Sodio (NaOH)" numFmtId="0">
      <sharedItems containsString="0" containsBlank="1" containsNumber="1" minValue="1.53" maxValue="1.53"/>
    </cacheField>
    <cacheField name="DENSIDAD Bisulfito de sodio " numFmtId="0">
      <sharedItems containsString="0" containsBlank="1" containsNumber="1" minValue="1.2" maxValue="1.2"/>
    </cacheField>
    <cacheField name="CONSUMO (Kg) HCL (10%)22" numFmtId="1">
      <sharedItems containsSemiMixedTypes="0" containsString="0" containsNumber="1" containsInteger="1" minValue="0" maxValue="0"/>
    </cacheField>
    <cacheField name="CONSUMO (Kg) KURIVERTER IK-220 (Biocida)" numFmtId="1">
      <sharedItems containsSemiMixedTypes="0" containsString="0" containsNumber="1" containsInteger="1" minValue="0" maxValue="0"/>
    </cacheField>
    <cacheField name="CONSUMO (Kg) VITEC 7000 (Antiincrustante)" numFmtId="1">
      <sharedItems containsSemiMixedTypes="0" containsString="0" containsNumber="1" containsInteger="1" minValue="0" maxValue="0"/>
    </cacheField>
    <cacheField name="CONSUMO (Kg) Hidróxido de Sodio (NaOH)" numFmtId="1">
      <sharedItems containsSemiMixedTypes="0" containsString="0" containsNumber="1" containsInteger="1" minValue="0" maxValue="0"/>
    </cacheField>
    <cacheField name="CONSUMO (Kg) Bisulfito de sodio6" numFmtId="1">
      <sharedItems containsSemiMixedTypes="0" containsString="0" containsNumber="1" containsInteger="1" minValue="0" maxValue="0"/>
    </cacheField>
    <cacheField name="PPM HCL (10%)" numFmtId="1">
      <sharedItems containsMixedTypes="1" containsNumber="1" containsInteger="1" minValue="0" maxValue="0"/>
    </cacheField>
    <cacheField name="PPM  KURIVERTER IK-220 (Biocida)" numFmtId="1">
      <sharedItems containsMixedTypes="1" containsNumber="1" containsInteger="1" minValue="0" maxValue="0"/>
    </cacheField>
    <cacheField name="PPM  VITEC 7000 (Antiincrustante)" numFmtId="1">
      <sharedItems containsMixedTypes="1" containsNumber="1" containsInteger="1" minValue="0" maxValue="0"/>
    </cacheField>
    <cacheField name="PPM  Hidróxido de Sodio (NaOH)" numFmtId="1">
      <sharedItems containsMixedTypes="1" containsNumber="1" containsInteger="1" minValue="0" maxValue="0"/>
    </cacheField>
    <cacheField name="PPM Bisulfito de sodio " numFmtId="1">
      <sharedItems containsMixedTypes="1" containsNumber="1" containsInteger="1" minValue="0" maxValue="0"/>
    </cacheField>
    <cacheField name="PRECIO HCL (10%)" numFmtId="42">
      <sharedItems containsSemiMixedTypes="0" containsString="0" containsNumber="1" containsInteger="1" minValue="1650" maxValue="1650"/>
    </cacheField>
    <cacheField name="PRECIO KURIVERTER IK-220 (Biocida)" numFmtId="42">
      <sharedItems containsSemiMixedTypes="0" containsString="0" containsNumber="1" containsInteger="1" minValue="19160" maxValue="19160"/>
    </cacheField>
    <cacheField name="PRECIO VITEC 7000 (Antiincrustante)" numFmtId="42">
      <sharedItems containsSemiMixedTypes="0" containsString="0" containsNumber="1" containsInteger="1" minValue="36239" maxValue="36239"/>
    </cacheField>
    <cacheField name="PRECIO Hidróxido de Sodio (NaOH)" numFmtId="42">
      <sharedItems containsSemiMixedTypes="0" containsString="0" containsNumber="1" containsInteger="1" minValue="1298" maxValue="1298"/>
    </cacheField>
    <cacheField name="PRECIO Bisulfito de sodio " numFmtId="42">
      <sharedItems containsSemiMixedTypes="0" containsString="0" containsNumber="1" containsInteger="1" minValue="4200" maxValue="4200"/>
    </cacheField>
    <cacheField name="COSTO OPERATIVO HCL (10%)" numFmtId="42">
      <sharedItems containsSemiMixedTypes="0" containsString="0" containsNumber="1" containsInteger="1" minValue="0" maxValue="0"/>
    </cacheField>
    <cacheField name="COSTO OPERATIVO KURIVERTER IK-220 (Biocida)" numFmtId="42">
      <sharedItems containsSemiMixedTypes="0" containsString="0" containsNumber="1" containsInteger="1" minValue="0" maxValue="0"/>
    </cacheField>
    <cacheField name="COSTO OPERATIVO VITEC 7000 (Antiincrustante)" numFmtId="42">
      <sharedItems containsSemiMixedTypes="0" containsString="0" containsNumber="1" containsInteger="1" minValue="0" maxValue="0"/>
    </cacheField>
    <cacheField name="COSTO OPERATIVO Hidróxido de Sodio (NaOH)" numFmtId="42">
      <sharedItems containsSemiMixedTypes="0" containsString="0" containsNumber="1" containsInteger="1" minValue="0" maxValue="0"/>
    </cacheField>
    <cacheField name="COSTO OPERATIVO Bisulfito de sodio " numFmtId="42">
      <sharedItems containsSemiMixedTypes="0" containsString="0" containsNumber="1" minValue="0" maxValue="42227.115000000005"/>
    </cacheField>
    <cacheField name="COSTO QUIMICA " numFmtId="42">
      <sharedItems containsSemiMixedTypes="0" containsString="0" containsNumber="1" minValue="0" maxValue="42227.115000000005"/>
    </cacheField>
    <cacheField name="LIMITE INDICADOR M3" numFmtId="42">
      <sharedItems containsString="0" containsBlank="1" containsNumber="1" containsInteger="1" minValue="1000" maxValue="1000"/>
    </cacheField>
    <cacheField name="$m3 ENVIADO A RO (m3)" numFmtId="42">
      <sharedItems containsMixedTypes="1" containsNumber="1" minValue="105" maxValue="105.00000000000001"/>
    </cacheField>
    <cacheField name="INDICADOR $m3 RO" numFmtId="0" formula="('COSTO QUIMICA '/'VOLUMEN ENVIADO A RO (m3)')" databaseField="0"/>
    <cacheField name="PPM HCL" numFmtId="0" formula=" ('CONSUMO (Kg) HCL (10%)22'*1000)/'VOLUMEN ENVIADO A RO (m3)'" databaseField="0"/>
    <cacheField name="PPM KURIVERTER" numFmtId="0" formula="('CONSUMO (Kg) KURIVERTER IK-220 (Biocida)'*1000)/'VOLUMEN ENVIADO A RO (m3)'" databaseField="0"/>
    <cacheField name="PPM VITEC" numFmtId="0" formula=" ('CONSUMO (Kg) VITEC 7000 (Antiincrustante)'*1000)/'VOLUMEN ENVIADO A RO (m3)'" databaseField="0"/>
    <cacheField name="PPM NaOH" numFmtId="0" formula=" ('CONSUMO (Kg) Hidróxido de Sodio (NaOH)'*1000)/#NAME?" databaseField="0"/>
    <cacheField name="PPM BISULFITO" numFmtId="0" formula=" ('CONSUMO (Kg) Bisulfito de sodio6'*1000)/'VOLUMEN ENVIADO A RO (m3)'" databaseField="0"/>
    <cacheField name="Meses (FECHA)" numFmtId="0" databaseField="0">
      <fieldGroup base="0">
        <rangePr groupBy="months" startDate="2026-04-01T00:00:00" endDate="2026-05-02T00:00:00"/>
        <groupItems count="14">
          <s v="&lt;1/04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/05/2026"/>
        </groupItems>
      </fieldGroup>
    </cacheField>
    <cacheField name="Trimestres (FECHA)" numFmtId="0" databaseField="0">
      <fieldGroup base="0">
        <rangePr groupBy="quarters" startDate="2026-04-01T00:00:00" endDate="2026-05-02T00:00:00"/>
        <groupItems count="6">
          <s v="&lt;1/04/2026"/>
          <s v="Trim.1"/>
          <s v="Trim.2"/>
          <s v="Trim.3"/>
          <s v="Trim.4"/>
          <s v="&gt;2/05/2026"/>
        </groupItems>
      </fieldGroup>
    </cacheField>
    <cacheField name="Años (FECHA)" numFmtId="0" databaseField="0">
      <fieldGroup base="0">
        <rangePr groupBy="years" startDate="2026-04-01T00:00:00" endDate="2026-05-02T00:00:00"/>
        <groupItems count="3">
          <s v="&lt;1/04/2026"/>
          <s v="2026"/>
          <s v="&gt;2/05/2026"/>
        </groupItems>
      </fieldGroup>
    </cacheField>
  </cacheFields>
  <extLst>
    <ext xmlns:x14="http://schemas.microsoft.com/office/spreadsheetml/2009/9/main" uri="{725AE2AE-9491-48be-B2B4-4EB974FC3084}">
      <x14:pivotCacheDefinition pivotCacheId="4449144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  <x v="0"/>
    <s v="1 (NOCHE)"/>
    <n v="1"/>
    <s v="FINAL TURNO 3"/>
    <n v="2780"/>
    <n v="5720"/>
    <n v="4280"/>
    <n v="275"/>
    <n v="450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0"/>
    <x v="0"/>
    <s v="2 (MAÑANA)"/>
    <n v="2"/>
    <s v="FINAL TURNO 1"/>
    <n v="2780"/>
    <n v="5720"/>
    <n v="4280"/>
    <n v="275"/>
    <n v="450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0"/>
    <x v="0"/>
    <s v="3(TARDE)"/>
    <n v="3"/>
    <s v="FINAL TURNO 2"/>
    <n v="2780"/>
    <n v="5720"/>
    <n v="4280"/>
    <n v="275"/>
    <n v="450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1"/>
    <x v="1"/>
    <s v="2 (NOCHE)"/>
    <n v="4"/>
    <s v="FINAL TURNO 3"/>
    <n v="2780"/>
    <n v="5720"/>
    <n v="4280"/>
    <n v="275"/>
    <n v="450"/>
    <n v="17622"/>
    <n v="480"/>
    <n v="80"/>
    <n v="80"/>
    <n v="20"/>
    <n v="80"/>
    <n v="5"/>
    <n v="5"/>
    <n v="104"/>
    <n v="26.5"/>
    <n v="100"/>
    <n v="5"/>
    <n v="5"/>
    <n v="216.66666666666666"/>
    <n v="55.208333333333336"/>
    <n v="208.33333333333334"/>
    <n v="10.416666666666666"/>
    <n v="10.416666666666666"/>
    <n v="1.3"/>
    <n v="1.325"/>
    <n v="1.25"/>
    <n v="2500"/>
    <n v="2500"/>
    <n v="830"/>
    <n v="2818"/>
    <n v="6295"/>
    <n v="19050"/>
    <n v="22050"/>
    <n v="86320"/>
    <n v="74677"/>
    <n v="629500"/>
    <n v="95250"/>
    <n v="110250"/>
    <n v="995997"/>
    <n v="3599"/>
    <n v="2074.9937500000001"/>
    <n v="6"/>
  </r>
  <r>
    <x v="1"/>
    <x v="1"/>
    <s v="3 (MAÑANA)"/>
    <n v="5"/>
    <s v="FINAL TURNO 1"/>
    <n v="2700"/>
    <n v="5700"/>
    <n v="4200"/>
    <n v="270"/>
    <n v="445"/>
    <n v="17628"/>
    <n v="400"/>
    <n v="80"/>
    <n v="100"/>
    <n v="100"/>
    <n v="10"/>
    <n v="5"/>
    <n v="5"/>
    <n v="130"/>
    <n v="132.5"/>
    <n v="12.5"/>
    <n v="5"/>
    <n v="5"/>
    <n v="325"/>
    <n v="331.25"/>
    <n v="31.25"/>
    <n v="12.5"/>
    <n v="12.5"/>
    <n v="1.3"/>
    <n v="1.325"/>
    <n v="1.25"/>
    <n v="2500"/>
    <n v="2500"/>
    <n v="830"/>
    <n v="2818"/>
    <n v="6295"/>
    <n v="19050"/>
    <n v="22050"/>
    <n v="107900"/>
    <n v="373385"/>
    <n v="78687.5"/>
    <n v="95250"/>
    <n v="110250"/>
    <n v="765472.5"/>
    <n v="3599"/>
    <n v="1913.6812500000001"/>
    <n v="5"/>
  </r>
  <r>
    <x v="1"/>
    <x v="1"/>
    <s v="3(TARDE)"/>
    <n v="6"/>
    <s v="FINAL TURNO 2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2"/>
    <x v="2"/>
    <s v="3 (NOCHE)"/>
    <n v="7"/>
    <s v="FINAL TURNO 3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2"/>
    <x v="2"/>
    <s v="4 (MAÑANA)"/>
    <n v="8"/>
    <s v="FINAL TURNO 1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2"/>
    <x v="2"/>
    <s v="3(TARDE)"/>
    <n v="9"/>
    <s v="FINAL TURNO 2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3"/>
    <x v="3"/>
    <s v="4 (NOCHE)"/>
    <n v="10"/>
    <s v="FINAL TURNO 3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3"/>
    <x v="3"/>
    <s v="5 (MAÑANA)"/>
    <n v="11"/>
    <s v="FINAL TURNO 1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3"/>
    <x v="3"/>
    <s v="3(TARDE)"/>
    <n v="12"/>
    <s v="FINAL TURNO 2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4"/>
    <x v="4"/>
    <s v="5 (NOCHE)"/>
    <n v="13"/>
    <s v="FINAL TURNO 3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4"/>
    <x v="4"/>
    <s v="6 (MAÑANA)"/>
    <n v="14"/>
    <s v="FINAL TURNO 1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4"/>
    <x v="4"/>
    <s v="3(TARDE)"/>
    <n v="15"/>
    <s v="FINAL TURNO 2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5"/>
    <x v="5"/>
    <s v="6 (NOCHE)"/>
    <n v="16"/>
    <s v="FINAL TURNO 3"/>
    <n v="2600"/>
    <n v="5600"/>
    <n v="4190"/>
    <n v="265"/>
    <n v="440"/>
    <n v="17633"/>
    <n v="160"/>
    <n v="80"/>
    <n v="20"/>
    <n v="110"/>
    <n v="0"/>
    <n v="0"/>
    <n v="0"/>
    <n v="26"/>
    <n v="145.75"/>
    <n v="0"/>
    <n v="0"/>
    <n v="0"/>
    <n v="162.5"/>
    <n v="910.9375"/>
    <n v="0"/>
    <n v="0"/>
    <n v="0"/>
    <n v="1.3"/>
    <n v="1.325"/>
    <n v="1.25"/>
    <n v="2500"/>
    <n v="2500"/>
    <n v="830"/>
    <n v="2818"/>
    <n v="6295"/>
    <n v="19050"/>
    <n v="22050"/>
    <n v="21580"/>
    <n v="410723.5"/>
    <n v="0"/>
    <n v="0"/>
    <n v="0"/>
    <n v="432303.5"/>
    <n v="3599"/>
    <n v="2701.8968749999999"/>
    <n v="2"/>
  </r>
  <r>
    <x v="5"/>
    <x v="5"/>
    <s v="7 (MAÑANA)"/>
    <n v="17"/>
    <s v="FINAL TURNO 1"/>
    <n v="2580"/>
    <n v="9490"/>
    <n v="4190"/>
    <n v="265"/>
    <n v="440"/>
    <n v="17635"/>
    <n v="480"/>
    <n v="80"/>
    <n v="20"/>
    <n v="140"/>
    <n v="40"/>
    <n v="5"/>
    <n v="10"/>
    <n v="26"/>
    <n v="185.5"/>
    <n v="50"/>
    <n v="5"/>
    <n v="10"/>
    <n v="54.166666666666664"/>
    <n v="386.45833333333331"/>
    <n v="104.16666666666667"/>
    <n v="10.416666666666666"/>
    <n v="20.833333333333332"/>
    <n v="1.3"/>
    <n v="1.325"/>
    <n v="1.25"/>
    <n v="2500"/>
    <n v="2500"/>
    <n v="830"/>
    <n v="2818"/>
    <n v="6295"/>
    <n v="19050"/>
    <n v="22050"/>
    <n v="21580"/>
    <n v="522739"/>
    <n v="314750"/>
    <n v="95250"/>
    <n v="220500"/>
    <n v="1174819"/>
    <n v="3599"/>
    <n v="2447.5395833333332"/>
    <n v="6"/>
  </r>
  <r>
    <x v="5"/>
    <x v="5"/>
    <s v="3(TARDE)"/>
    <n v="18"/>
    <s v="FINAL TURNO 2"/>
    <n v="2560"/>
    <n v="9200"/>
    <n v="4150"/>
    <n v="260"/>
    <n v="430"/>
    <n v="17641"/>
    <n v="400"/>
    <n v="80"/>
    <n v="110"/>
    <n v="180"/>
    <n v="30"/>
    <n v="0"/>
    <n v="5"/>
    <n v="143"/>
    <n v="238.5"/>
    <n v="37.5"/>
    <n v="0"/>
    <n v="5"/>
    <n v="357.5"/>
    <n v="596.25"/>
    <n v="93.75"/>
    <n v="0"/>
    <n v="12.5"/>
    <n v="1.3"/>
    <n v="1.325"/>
    <n v="1.25"/>
    <n v="2500"/>
    <n v="2500"/>
    <n v="830"/>
    <n v="2818"/>
    <n v="6295"/>
    <n v="19050"/>
    <n v="22050"/>
    <n v="118690"/>
    <n v="672093"/>
    <n v="236062.5"/>
    <n v="0"/>
    <n v="110250"/>
    <n v="1137095.5"/>
    <n v="3599"/>
    <n v="2842.73875"/>
    <n v="5"/>
  </r>
  <r>
    <x v="6"/>
    <x v="6"/>
    <s v="7 (NOCHE)"/>
    <n v="19"/>
    <s v="FINAL TURNO 3"/>
    <n v="2450"/>
    <n v="9020"/>
    <n v="4120"/>
    <n v="260"/>
    <n v="425"/>
    <n v="17646"/>
    <n v="498"/>
    <n v="83"/>
    <n v="50"/>
    <n v="90"/>
    <n v="20"/>
    <n v="0"/>
    <n v="0"/>
    <n v="65"/>
    <n v="119.25"/>
    <n v="25"/>
    <n v="0"/>
    <n v="0"/>
    <n v="130.52208835341366"/>
    <n v="239.45783132530121"/>
    <n v="50.200803212851405"/>
    <n v="0"/>
    <n v="0"/>
    <n v="1.3"/>
    <n v="1.325"/>
    <n v="1.25"/>
    <n v="2500"/>
    <n v="2500"/>
    <n v="830"/>
    <n v="2818"/>
    <n v="6295"/>
    <n v="19050"/>
    <n v="22050"/>
    <n v="53950"/>
    <n v="336046.5"/>
    <n v="157375"/>
    <n v="0"/>
    <n v="0"/>
    <n v="547371.5"/>
    <n v="3599"/>
    <n v="1099.1395582329317"/>
    <n v="6"/>
  </r>
  <r>
    <x v="6"/>
    <x v="6"/>
    <s v="8 (MAÑANA)"/>
    <n v="20"/>
    <s v="FINAL TURNO 1"/>
    <n v="2400"/>
    <n v="8930"/>
    <n v="4100"/>
    <n v="260"/>
    <n v="425"/>
    <n v="17652"/>
    <n v="249"/>
    <n v="83"/>
    <n v="0"/>
    <n v="170"/>
    <n v="30"/>
    <n v="0"/>
    <n v="5"/>
    <n v="0"/>
    <n v="225.25"/>
    <n v="37.5"/>
    <n v="0"/>
    <n v="5"/>
    <n v="0"/>
    <n v="904.61847389558238"/>
    <n v="150.60240963855421"/>
    <n v="0"/>
    <n v="20.080321285140563"/>
    <n v="1.3"/>
    <n v="1.325"/>
    <n v="1.25"/>
    <n v="2500"/>
    <n v="2500"/>
    <n v="830"/>
    <n v="2818"/>
    <n v="6295"/>
    <n v="19050"/>
    <n v="22050"/>
    <n v="0"/>
    <n v="634754.5"/>
    <n v="236062.5"/>
    <n v="0"/>
    <n v="110250"/>
    <n v="981067"/>
    <n v="3599"/>
    <n v="3940.0281124497992"/>
    <n v="3"/>
  </r>
  <r>
    <x v="6"/>
    <x v="6"/>
    <s v="3(TARDE)"/>
    <n v="21"/>
    <s v="FINAL TURNO 2"/>
    <n v="2400"/>
    <n v="8760"/>
    <n v="4070"/>
    <n v="260"/>
    <n v="420"/>
    <n v="17655"/>
    <n v="332"/>
    <n v="83"/>
    <n v="100"/>
    <n v="160"/>
    <n v="70"/>
    <n v="5"/>
    <n v="5"/>
    <n v="130"/>
    <n v="212"/>
    <n v="87.5"/>
    <n v="5"/>
    <n v="5"/>
    <n v="391.56626506024094"/>
    <n v="638.5542168674699"/>
    <n v="263.5542168674699"/>
    <n v="15.060240963855422"/>
    <n v="15.060240963855422"/>
    <n v="1.3"/>
    <n v="1.325"/>
    <n v="1.25"/>
    <n v="2500"/>
    <n v="2500"/>
    <n v="830"/>
    <n v="2818"/>
    <n v="6295"/>
    <n v="19050"/>
    <n v="22050"/>
    <n v="107900"/>
    <n v="597416"/>
    <n v="550812.5"/>
    <n v="95250"/>
    <n v="110250"/>
    <n v="1461628.5"/>
    <n v="3599"/>
    <n v="4402.4954819277109"/>
    <n v="4"/>
  </r>
  <r>
    <x v="7"/>
    <x v="7"/>
    <s v="8 (NOCHE)"/>
    <n v="22"/>
    <s v="FINAL TURNO 3"/>
    <n v="2300"/>
    <n v="8450"/>
    <n v="4000"/>
    <n v="255"/>
    <n v="415"/>
    <n v="17659"/>
    <n v="400"/>
    <n v="80"/>
    <n v="150"/>
    <n v="110"/>
    <n v="60"/>
    <n v="0"/>
    <n v="0"/>
    <n v="195"/>
    <n v="145.75"/>
    <n v="75"/>
    <n v="0"/>
    <n v="0"/>
    <n v="487.5"/>
    <n v="364.375"/>
    <n v="187.5"/>
    <n v="0"/>
    <n v="0"/>
    <n v="1.3"/>
    <n v="1.325"/>
    <n v="1.25"/>
    <n v="2500"/>
    <n v="2500"/>
    <n v="830"/>
    <n v="2818"/>
    <n v="6295"/>
    <n v="19050"/>
    <n v="22050"/>
    <n v="161850"/>
    <n v="410723.5"/>
    <n v="472125"/>
    <n v="0"/>
    <n v="0"/>
    <n v="1044698.5"/>
    <n v="3599"/>
    <n v="2611.7462500000001"/>
    <n v="5"/>
  </r>
  <r>
    <x v="7"/>
    <x v="7"/>
    <s v="9 (MAÑANA)"/>
    <n v="23"/>
    <s v="FINAL TURNO 1"/>
    <n v="2150"/>
    <n v="8340"/>
    <n v="3940"/>
    <n v="255"/>
    <n v="415"/>
    <n v="17664"/>
    <n v="240"/>
    <n v="80"/>
    <n v="130"/>
    <n v="110"/>
    <n v="10"/>
    <n v="0"/>
    <n v="5"/>
    <n v="169"/>
    <n v="145.75"/>
    <n v="12.5"/>
    <n v="0"/>
    <n v="5"/>
    <n v="704.16666666666663"/>
    <n v="607.29166666666663"/>
    <n v="52.083333333333336"/>
    <n v="0"/>
    <n v="20.833333333333332"/>
    <n v="1.3"/>
    <n v="1.325"/>
    <n v="1.25"/>
    <n v="2500"/>
    <n v="2500"/>
    <n v="830"/>
    <n v="2818"/>
    <n v="6295"/>
    <n v="19050"/>
    <n v="22050"/>
    <n v="140270"/>
    <n v="410723.5"/>
    <n v="78687.5"/>
    <n v="0"/>
    <n v="110250"/>
    <n v="739931"/>
    <n v="3599"/>
    <n v="3083.0458333333331"/>
    <n v="3"/>
  </r>
  <r>
    <x v="7"/>
    <x v="7"/>
    <s v="3(TARDE)"/>
    <n v="24"/>
    <s v="FINAL TURNO 2"/>
    <n v="4020"/>
    <n v="8230"/>
    <n v="4930"/>
    <n v="255"/>
    <n v="410"/>
    <n v="17667"/>
    <n v="560"/>
    <n v="80"/>
    <n v="90"/>
    <n v="120"/>
    <n v="30"/>
    <n v="5"/>
    <n v="5"/>
    <n v="117"/>
    <n v="159"/>
    <n v="37.5"/>
    <n v="5"/>
    <n v="5"/>
    <n v="208.92857142857142"/>
    <n v="283.92857142857144"/>
    <n v="66.964285714285708"/>
    <n v="8.9285714285714288"/>
    <n v="8.9285714285714288"/>
    <n v="1.3"/>
    <n v="1.325"/>
    <n v="1.25"/>
    <n v="2500"/>
    <n v="2500"/>
    <n v="830"/>
    <n v="2818"/>
    <n v="6295"/>
    <n v="19050"/>
    <n v="22050"/>
    <n v="97110"/>
    <n v="448062"/>
    <n v="236062.5"/>
    <n v="95250"/>
    <n v="110250"/>
    <n v="986734.5"/>
    <n v="3599"/>
    <n v="1762.0258928571429"/>
    <n v="7"/>
  </r>
  <r>
    <x v="8"/>
    <x v="8"/>
    <s v="9 (NOCHE)"/>
    <n v="25"/>
    <s v="FINAL TURNO 3"/>
    <n v="3930"/>
    <n v="8110"/>
    <n v="4900"/>
    <n v="250"/>
    <n v="405"/>
    <n v="17674"/>
    <n v="560"/>
    <n v="80"/>
    <n v="70"/>
    <n v="100"/>
    <n v="10"/>
    <n v="5"/>
    <n v="5"/>
    <n v="91"/>
    <n v="132.5"/>
    <n v="12.5"/>
    <n v="5"/>
    <n v="5"/>
    <n v="162.5"/>
    <n v="236.60714285714286"/>
    <n v="22.321428571428573"/>
    <n v="8.9285714285714288"/>
    <n v="8.9285714285714288"/>
    <n v="1.3"/>
    <n v="1.325"/>
    <n v="1.25"/>
    <n v="2500"/>
    <n v="2500"/>
    <n v="830"/>
    <n v="2818"/>
    <n v="6295"/>
    <n v="19050"/>
    <n v="22050"/>
    <n v="75530"/>
    <n v="373385"/>
    <n v="78687.5"/>
    <n v="95250"/>
    <n v="110250"/>
    <n v="733102.5"/>
    <n v="3599"/>
    <n v="1309.1116071428571"/>
    <n v="7"/>
  </r>
  <r>
    <x v="8"/>
    <x v="8"/>
    <s v="10 (MAÑANA)"/>
    <n v="26"/>
    <s v="FINAL TURNO 1"/>
    <n v="3860"/>
    <n v="8010"/>
    <n v="4890"/>
    <n v="245"/>
    <n v="400"/>
    <n v="17681"/>
    <n v="240"/>
    <n v="80"/>
    <n v="160"/>
    <n v="60"/>
    <n v="30"/>
    <n v="5"/>
    <n v="5"/>
    <n v="208"/>
    <n v="79.5"/>
    <n v="37.5"/>
    <n v="5"/>
    <n v="5"/>
    <n v="866.66666666666663"/>
    <n v="331.25"/>
    <n v="156.25"/>
    <n v="20.833333333333332"/>
    <n v="20.833333333333332"/>
    <n v="1.3"/>
    <n v="1.325"/>
    <n v="1.25"/>
    <n v="2500"/>
    <n v="2500"/>
    <n v="830"/>
    <n v="2818"/>
    <n v="6295"/>
    <n v="19050"/>
    <n v="22050"/>
    <n v="172640"/>
    <n v="224031"/>
    <n v="236062.5"/>
    <n v="95250"/>
    <n v="110250"/>
    <n v="838233.5"/>
    <n v="3599"/>
    <n v="3492.6395833333331"/>
    <n v="3"/>
  </r>
  <r>
    <x v="8"/>
    <x v="8"/>
    <s v="3(TARDE)"/>
    <n v="27"/>
    <s v="FINAL TURNO 2"/>
    <n v="3700"/>
    <n v="7900"/>
    <n v="4860"/>
    <n v="240"/>
    <n v="395"/>
    <n v="17684"/>
    <n v="480"/>
    <n v="80"/>
    <n v="200"/>
    <n v="50"/>
    <n v="30"/>
    <n v="0"/>
    <n v="5"/>
    <n v="260"/>
    <n v="66.25"/>
    <n v="37.5"/>
    <n v="0"/>
    <n v="5"/>
    <n v="541.66666666666663"/>
    <n v="138.02083333333334"/>
    <n v="78.125"/>
    <n v="0"/>
    <n v="10.416666666666666"/>
    <n v="1.3"/>
    <n v="1.325"/>
    <n v="1.25"/>
    <n v="2500"/>
    <n v="2500"/>
    <n v="830"/>
    <n v="2818"/>
    <n v="6295"/>
    <n v="19050"/>
    <n v="22050"/>
    <n v="215800"/>
    <n v="186692.5"/>
    <n v="236062.5"/>
    <n v="0"/>
    <n v="110250"/>
    <n v="748805"/>
    <n v="3599"/>
    <n v="1560.0104166666667"/>
    <n v="6"/>
  </r>
  <r>
    <x v="9"/>
    <x v="9"/>
    <s v="10 (NOCHE)"/>
    <n v="28"/>
    <s v="FINAL TURNO 3"/>
    <n v="3500"/>
    <n v="7800"/>
    <n v="4830"/>
    <n v="240"/>
    <n v="390"/>
    <n v="17690"/>
    <n v="480"/>
    <n v="80"/>
    <n v="10"/>
    <n v="10"/>
    <n v="60"/>
    <n v="5"/>
    <n v="5"/>
    <n v="13"/>
    <n v="13.25"/>
    <n v="75"/>
    <n v="5"/>
    <n v="5"/>
    <n v="27.083333333333332"/>
    <n v="27.604166666666668"/>
    <n v="156.25"/>
    <n v="10.416666666666666"/>
    <n v="10.416666666666666"/>
    <n v="1.3"/>
    <n v="1.325"/>
    <n v="1.25"/>
    <n v="2500"/>
    <n v="2500"/>
    <n v="830"/>
    <n v="2818"/>
    <n v="6295"/>
    <n v="19050"/>
    <n v="22050"/>
    <n v="10790"/>
    <n v="37338.5"/>
    <n v="472125"/>
    <n v="95250"/>
    <n v="110250"/>
    <n v="725753.5"/>
    <n v="3599"/>
    <n v="1511.9864583333333"/>
    <n v="6"/>
  </r>
  <r>
    <x v="9"/>
    <x v="9"/>
    <s v="11 (MAÑANA)"/>
    <n v="29"/>
    <s v="FINAL TURNO 1"/>
    <n v="3490"/>
    <n v="7790"/>
    <n v="4770"/>
    <n v="235"/>
    <n v="385"/>
    <n v="17696"/>
    <n v="400"/>
    <n v="80"/>
    <n v="80"/>
    <n v="190"/>
    <n v="20"/>
    <n v="0"/>
    <n v="5"/>
    <n v="104"/>
    <n v="251.75"/>
    <n v="25"/>
    <n v="0"/>
    <n v="5"/>
    <n v="260"/>
    <n v="629.375"/>
    <n v="62.5"/>
    <n v="0"/>
    <n v="12.5"/>
    <n v="1.3"/>
    <n v="1.325"/>
    <n v="1.25"/>
    <n v="2500"/>
    <n v="2500"/>
    <n v="830"/>
    <n v="2818"/>
    <n v="6295"/>
    <n v="19050"/>
    <n v="22050"/>
    <n v="86320"/>
    <n v="709431.5"/>
    <n v="157375"/>
    <n v="0"/>
    <n v="110250"/>
    <n v="1063376.5"/>
    <n v="3599"/>
    <n v="2658.4412499999999"/>
    <n v="5"/>
  </r>
  <r>
    <x v="9"/>
    <x v="9"/>
    <s v="3(TARDE)"/>
    <n v="30"/>
    <s v="FINAL TURNO 2"/>
    <n v="3340"/>
    <n v="7600"/>
    <n v="4750"/>
    <n v="235"/>
    <n v="380"/>
    <n v="17701"/>
    <n v="640"/>
    <n v="80"/>
    <n v="110"/>
    <n v="220"/>
    <n v="60"/>
    <n v="5"/>
    <n v="5"/>
    <n v="143"/>
    <n v="291.5"/>
    <n v="75"/>
    <n v="5"/>
    <n v="5"/>
    <n v="223.4375"/>
    <n v="455.46875"/>
    <n v="117.1875"/>
    <n v="7.8125"/>
    <n v="7.8125"/>
    <n v="1.3"/>
    <n v="1.325"/>
    <n v="1.25"/>
    <n v="2500"/>
    <n v="2500"/>
    <n v="830"/>
    <n v="2818"/>
    <n v="6295"/>
    <n v="19050"/>
    <n v="22050"/>
    <n v="118690"/>
    <n v="821447"/>
    <n v="472125"/>
    <n v="95250"/>
    <n v="110250"/>
    <n v="1617762"/>
    <n v="3599"/>
    <n v="2527.7531250000002"/>
    <n v="8"/>
  </r>
  <r>
    <x v="10"/>
    <x v="10"/>
    <s v="11 (NOCHE)"/>
    <n v="31"/>
    <s v="FINAL TURNO 3"/>
    <n v="3230"/>
    <n v="7170"/>
    <n v="4690"/>
    <n v="230"/>
    <n v="375"/>
    <n v="17709"/>
    <n v="400"/>
    <n v="80"/>
    <n v="110"/>
    <n v="100"/>
    <n v="90"/>
    <n v="0"/>
    <n v="5"/>
    <n v="143"/>
    <n v="132.5"/>
    <n v="112.5"/>
    <n v="0"/>
    <n v="5"/>
    <n v="357.5"/>
    <n v="331.25"/>
    <n v="281.25"/>
    <n v="0"/>
    <n v="12.5"/>
    <n v="1.3"/>
    <n v="1.325"/>
    <n v="1.25"/>
    <n v="2500"/>
    <n v="2500"/>
    <n v="830"/>
    <n v="2818"/>
    <n v="6295"/>
    <n v="19050"/>
    <n v="22050"/>
    <n v="118690"/>
    <n v="373385"/>
    <n v="708187.5"/>
    <n v="0"/>
    <n v="110250"/>
    <n v="1310512.5"/>
    <n v="3599"/>
    <n v="3276.28125"/>
    <n v="5"/>
  </r>
  <r>
    <x v="10"/>
    <x v="10"/>
    <s v="12 (MAÑANA)"/>
    <n v="32"/>
    <s v="FINAL TURNO 1"/>
    <n v="3120"/>
    <n v="7070"/>
    <n v="4600"/>
    <n v="230"/>
    <n v="370"/>
    <n v="17714"/>
    <n v="320"/>
    <n v="80"/>
    <n v="20"/>
    <n v="170"/>
    <n v="50"/>
    <n v="0"/>
    <n v="0"/>
    <n v="26"/>
    <n v="225.25"/>
    <n v="62.5"/>
    <n v="0"/>
    <n v="0"/>
    <n v="81.25"/>
    <n v="703.90625"/>
    <n v="195.3125"/>
    <n v="0"/>
    <n v="0"/>
    <n v="1.3"/>
    <n v="1.325"/>
    <n v="1.25"/>
    <n v="2500"/>
    <n v="2500"/>
    <n v="830"/>
    <n v="2818"/>
    <n v="6295"/>
    <n v="19050"/>
    <n v="22050"/>
    <n v="21580"/>
    <n v="634754.5"/>
    <n v="393437.5"/>
    <n v="0"/>
    <n v="0"/>
    <n v="1049772"/>
    <n v="3599"/>
    <n v="3280.5374999999999"/>
    <n v="4"/>
  </r>
  <r>
    <x v="10"/>
    <x v="10"/>
    <s v="3(TARDE)"/>
    <n v="33"/>
    <s v="FINAL TURNO 2"/>
    <n v="3100"/>
    <n v="6900"/>
    <n v="4550"/>
    <n v="230"/>
    <n v="370"/>
    <n v="17718"/>
    <n v="320"/>
    <n v="80"/>
    <n v="50"/>
    <n v="100"/>
    <n v="50"/>
    <n v="0"/>
    <n v="5"/>
    <n v="65"/>
    <n v="132.5"/>
    <n v="62.5"/>
    <n v="0"/>
    <n v="5"/>
    <n v="203.125"/>
    <n v="414.0625"/>
    <n v="195.3125"/>
    <n v="0"/>
    <n v="15.625"/>
    <n v="1.3"/>
    <n v="1.325"/>
    <n v="1.25"/>
    <n v="2500"/>
    <n v="2500"/>
    <n v="830"/>
    <n v="2818"/>
    <n v="6295"/>
    <n v="19050"/>
    <n v="22050"/>
    <n v="53950"/>
    <n v="373385"/>
    <n v="393437.5"/>
    <n v="0"/>
    <n v="110250"/>
    <n v="931022.5"/>
    <n v="3599"/>
    <n v="2909.4453125"/>
    <n v="4"/>
  </r>
  <r>
    <x v="11"/>
    <x v="11"/>
    <s v="12 (NOCHE)"/>
    <n v="34"/>
    <s v="FINAL TURNO 3"/>
    <n v="3050"/>
    <n v="6800"/>
    <n v="4500"/>
    <n v="230"/>
    <n v="365"/>
    <n v="177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11"/>
    <x v="11"/>
    <s v="13 (MAÑANA)"/>
    <n v="35"/>
    <s v="FINAL TURNO 1"/>
    <n v="3050"/>
    <n v="6800"/>
    <n v="4500"/>
    <n v="230"/>
    <n v="365"/>
    <n v="177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11"/>
    <x v="11"/>
    <s v="3(TARDE)"/>
    <n v="36"/>
    <s v="FINAL TURNO 2"/>
    <n v="3050"/>
    <n v="6800"/>
    <n v="4500"/>
    <n v="230"/>
    <n v="365"/>
    <n v="177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12"/>
    <x v="12"/>
    <s v="13 (NOCHE)"/>
    <n v="37"/>
    <s v="FINAL TURNO 3"/>
    <n v="3050"/>
    <n v="6800"/>
    <n v="4500"/>
    <n v="230"/>
    <n v="365"/>
    <n v="17722"/>
    <n v="480"/>
    <n v="80"/>
    <n v="150"/>
    <n v="100"/>
    <n v="20"/>
    <n v="0"/>
    <n v="10"/>
    <n v="195"/>
    <n v="132.5"/>
    <n v="25"/>
    <n v="0"/>
    <n v="10"/>
    <n v="406.25"/>
    <n v="276.04166666666669"/>
    <n v="52.083333333333336"/>
    <n v="0"/>
    <n v="20.833333333333332"/>
    <n v="1.3"/>
    <n v="1.325"/>
    <n v="1.25"/>
    <n v="2500"/>
    <n v="2500"/>
    <n v="830"/>
    <n v="2818"/>
    <n v="6295"/>
    <n v="19050"/>
    <n v="22050"/>
    <n v="161850"/>
    <n v="373385"/>
    <n v="157375"/>
    <n v="0"/>
    <n v="220500"/>
    <n v="913110"/>
    <n v="3599"/>
    <n v="1902.3125"/>
    <n v="6"/>
  </r>
  <r>
    <x v="12"/>
    <x v="12"/>
    <s v="14 (MAÑANA)"/>
    <n v="38"/>
    <s v="FINAL TURNO 1"/>
    <n v="2900"/>
    <n v="6700"/>
    <n v="4480"/>
    <n v="230"/>
    <n v="355"/>
    <n v="17728"/>
    <n v="400"/>
    <n v="80"/>
    <n v="100"/>
    <n v="100"/>
    <n v="30"/>
    <n v="5"/>
    <n v="5"/>
    <n v="130"/>
    <n v="132.5"/>
    <n v="37.5"/>
    <n v="5"/>
    <n v="5"/>
    <n v="325"/>
    <n v="331.25"/>
    <n v="93.75"/>
    <n v="12.5"/>
    <n v="12.5"/>
    <n v="1.3"/>
    <n v="1.325"/>
    <n v="1.25"/>
    <n v="2500"/>
    <n v="2500"/>
    <n v="830"/>
    <n v="2818"/>
    <n v="6295"/>
    <n v="19050"/>
    <n v="22050"/>
    <n v="107900"/>
    <n v="373385"/>
    <n v="236062.5"/>
    <n v="95250"/>
    <n v="110250"/>
    <n v="922847.5"/>
    <n v="3599"/>
    <n v="2307.1187500000001"/>
    <n v="5"/>
  </r>
  <r>
    <x v="12"/>
    <x v="12"/>
    <s v="3(TARDE)"/>
    <n v="39"/>
    <s v="FINAL TURNO 2"/>
    <n v="2800"/>
    <n v="6600"/>
    <n v="4450"/>
    <n v="225"/>
    <n v="350"/>
    <n v="17733"/>
    <n v="480"/>
    <n v="80"/>
    <n v="100"/>
    <n v="100"/>
    <n v="100"/>
    <n v="0"/>
    <n v="5"/>
    <n v="130"/>
    <n v="132.5"/>
    <n v="125"/>
    <n v="0"/>
    <n v="5"/>
    <n v="270.83333333333331"/>
    <n v="276.04166666666669"/>
    <n v="260.41666666666669"/>
    <n v="0"/>
    <n v="10.416666666666666"/>
    <n v="1.3"/>
    <n v="1.325"/>
    <n v="1.25"/>
    <n v="2500"/>
    <n v="2500"/>
    <n v="830"/>
    <n v="2818"/>
    <n v="6295"/>
    <n v="19050"/>
    <n v="22050"/>
    <n v="107900"/>
    <n v="373385"/>
    <n v="786875"/>
    <n v="0"/>
    <n v="110250"/>
    <n v="1378410"/>
    <n v="3599"/>
    <n v="2871.6875"/>
    <n v="6"/>
  </r>
  <r>
    <x v="13"/>
    <x v="13"/>
    <s v="14 (NOCHE)"/>
    <n v="40"/>
    <s v="FINAL TURNO 3"/>
    <n v="2700"/>
    <n v="6500"/>
    <n v="4350"/>
    <n v="225"/>
    <n v="345"/>
    <n v="17739"/>
    <n v="560"/>
    <n v="80"/>
    <n v="100"/>
    <n v="200"/>
    <n v="70"/>
    <n v="5"/>
    <n v="10"/>
    <n v="130"/>
    <n v="265"/>
    <n v="87.5"/>
    <n v="5"/>
    <n v="10"/>
    <n v="232.14285714285714"/>
    <n v="473.21428571428572"/>
    <n v="156.25"/>
    <n v="8.9285714285714288"/>
    <n v="17.857142857142858"/>
    <n v="1.3"/>
    <n v="1.325"/>
    <n v="1.25"/>
    <n v="2500"/>
    <n v="2500"/>
    <n v="830"/>
    <n v="2818"/>
    <n v="6295"/>
    <n v="19050"/>
    <n v="22050"/>
    <n v="107900"/>
    <n v="746770"/>
    <n v="550812.5"/>
    <n v="95250"/>
    <n v="220500"/>
    <n v="1721232.5"/>
    <n v="3599"/>
    <n v="3073.6294642857142"/>
    <n v="7"/>
  </r>
  <r>
    <x v="13"/>
    <x v="13"/>
    <s v="15 (MAÑANA)"/>
    <n v="41"/>
    <s v="FINAL TURNO 1"/>
    <n v="2600"/>
    <n v="6300"/>
    <n v="4280"/>
    <n v="220"/>
    <n v="335"/>
    <n v="17746"/>
    <n v="240"/>
    <n v="80"/>
    <n v="60"/>
    <n v="140"/>
    <n v="30"/>
    <n v="5"/>
    <n v="5"/>
    <n v="78"/>
    <n v="185.5"/>
    <n v="37.5"/>
    <n v="5"/>
    <n v="5"/>
    <n v="325"/>
    <n v="772.91666666666663"/>
    <n v="156.25"/>
    <n v="20.833333333333332"/>
    <n v="20.833333333333332"/>
    <n v="1.3"/>
    <n v="1.325"/>
    <n v="1.25"/>
    <n v="2500"/>
    <n v="2500"/>
    <n v="830"/>
    <n v="2818"/>
    <n v="6295"/>
    <n v="19050"/>
    <n v="22050"/>
    <n v="64740"/>
    <n v="522739"/>
    <n v="236062.5"/>
    <n v="95250"/>
    <n v="110250"/>
    <n v="1029041.5"/>
    <n v="3599"/>
    <n v="4287.6729166666664"/>
    <n v="3"/>
  </r>
  <r>
    <x v="13"/>
    <x v="13"/>
    <s v="3(TARDE)"/>
    <n v="42"/>
    <s v="FINAL TURNO 2"/>
    <n v="2540"/>
    <n v="6160"/>
    <n v="4250"/>
    <n v="215"/>
    <n v="330"/>
    <n v="17749"/>
    <n v="480"/>
    <n v="80"/>
    <n v="40"/>
    <n v="230"/>
    <n v="20"/>
    <n v="5"/>
    <n v="5"/>
    <n v="52"/>
    <n v="304.75"/>
    <n v="25"/>
    <n v="5"/>
    <n v="5"/>
    <n v="108.33333333333333"/>
    <n v="634.89583333333337"/>
    <n v="52.083333333333336"/>
    <n v="10.416666666666666"/>
    <n v="10.416666666666666"/>
    <n v="1.3"/>
    <n v="1.325"/>
    <n v="1.25"/>
    <n v="2500"/>
    <n v="2500"/>
    <n v="830"/>
    <n v="2818"/>
    <n v="6295"/>
    <n v="19050"/>
    <n v="22050"/>
    <n v="43160"/>
    <n v="858785.5"/>
    <n v="157375"/>
    <n v="95250"/>
    <n v="110250"/>
    <n v="1264820.5"/>
    <n v="3599"/>
    <n v="2635.0427083333334"/>
    <n v="6"/>
  </r>
  <r>
    <x v="14"/>
    <x v="14"/>
    <s v="15 (NOCHE)"/>
    <n v="43"/>
    <s v="FINAL TURNO 3"/>
    <n v="2500"/>
    <n v="5930"/>
    <n v="4230"/>
    <n v="210"/>
    <n v="325"/>
    <n v="17755"/>
    <n v="480"/>
    <n v="80"/>
    <n v="170"/>
    <n v="200"/>
    <n v="80"/>
    <n v="0"/>
    <n v="5"/>
    <n v="221"/>
    <n v="265"/>
    <n v="100"/>
    <n v="0"/>
    <n v="5"/>
    <n v="460.41666666666669"/>
    <n v="552.08333333333337"/>
    <n v="208.33333333333334"/>
    <n v="0"/>
    <n v="10.416666666666666"/>
    <n v="1.3"/>
    <n v="1.325"/>
    <n v="1.25"/>
    <n v="2500"/>
    <n v="2500"/>
    <n v="830"/>
    <n v="2818"/>
    <n v="6295"/>
    <n v="19050"/>
    <n v="22050"/>
    <n v="183430"/>
    <n v="746770"/>
    <n v="629500"/>
    <n v="0"/>
    <n v="110250"/>
    <n v="1669950"/>
    <n v="3599"/>
    <n v="3479.0625"/>
    <n v="6"/>
  </r>
  <r>
    <x v="14"/>
    <x v="14"/>
    <s v="16 (MAÑANA)"/>
    <n v="44"/>
    <s v="FINAL TURNO 1"/>
    <n v="2330"/>
    <n v="5730"/>
    <n v="4150"/>
    <n v="210"/>
    <n v="320"/>
    <n v="17761"/>
    <n v="400"/>
    <n v="80"/>
    <n v="30"/>
    <n v="130"/>
    <n v="50"/>
    <n v="0"/>
    <n v="10"/>
    <n v="39"/>
    <n v="172.25"/>
    <n v="62.5"/>
    <n v="0"/>
    <n v="10"/>
    <n v="97.5"/>
    <n v="430.625"/>
    <n v="156.25"/>
    <n v="0"/>
    <n v="25"/>
    <n v="1.3"/>
    <n v="1.325"/>
    <n v="1.25"/>
    <n v="2500"/>
    <n v="2500"/>
    <n v="830"/>
    <n v="2818"/>
    <n v="6295"/>
    <n v="19050"/>
    <n v="22050"/>
    <n v="32370"/>
    <n v="485400.5"/>
    <n v="393437.5"/>
    <n v="0"/>
    <n v="220500"/>
    <n v="1131708"/>
    <n v="3599"/>
    <n v="2829.27"/>
    <n v="5"/>
  </r>
  <r>
    <x v="14"/>
    <x v="14"/>
    <s v="3(TARDE)"/>
    <n v="45"/>
    <s v="FINAL TURNO 2"/>
    <n v="2300"/>
    <n v="5600"/>
    <n v="4100"/>
    <n v="210"/>
    <n v="310"/>
    <n v="17766"/>
    <n v="320"/>
    <n v="80"/>
    <n v="0"/>
    <n v="20"/>
    <n v="50"/>
    <n v="5"/>
    <n v="5"/>
    <n v="0"/>
    <n v="26.5"/>
    <n v="62.5"/>
    <n v="5"/>
    <n v="5"/>
    <n v="0"/>
    <n v="82.8125"/>
    <n v="195.3125"/>
    <n v="15.625"/>
    <n v="15.625"/>
    <n v="1.3"/>
    <n v="1.325"/>
    <n v="1.25"/>
    <n v="2500"/>
    <n v="2500"/>
    <n v="830"/>
    <n v="2818"/>
    <n v="6295"/>
    <n v="19050"/>
    <n v="22050"/>
    <n v="0"/>
    <n v="74677"/>
    <n v="393437.5"/>
    <n v="95250"/>
    <n v="110250"/>
    <n v="673614.5"/>
    <n v="3599"/>
    <n v="2105.0453124999999"/>
    <n v="4"/>
  </r>
  <r>
    <x v="15"/>
    <x v="15"/>
    <s v="16 (NOCHE)"/>
    <n v="46"/>
    <s v="FINAL TURNO 3"/>
    <n v="4300"/>
    <n v="7580"/>
    <n v="4050"/>
    <n v="205"/>
    <n v="305"/>
    <n v="17770"/>
    <n v="560"/>
    <n v="80"/>
    <n v="100"/>
    <n v="220"/>
    <n v="80"/>
    <n v="5"/>
    <n v="5"/>
    <n v="130"/>
    <n v="291.5"/>
    <n v="100"/>
    <n v="5"/>
    <n v="5"/>
    <n v="232.14285714285714"/>
    <n v="520.53571428571433"/>
    <n v="178.57142857142858"/>
    <n v="8.9285714285714288"/>
    <n v="8.9285714285714288"/>
    <n v="1.3"/>
    <n v="1.325"/>
    <n v="1.25"/>
    <n v="2500"/>
    <n v="2500"/>
    <n v="830"/>
    <n v="2818"/>
    <n v="6295"/>
    <n v="19050"/>
    <n v="22050"/>
    <n v="107900"/>
    <n v="821447"/>
    <n v="629500"/>
    <n v="95250"/>
    <n v="110250"/>
    <n v="1764347"/>
    <n v="3599"/>
    <n v="3150.6196428571429"/>
    <n v="7"/>
  </r>
  <r>
    <x v="15"/>
    <x v="15"/>
    <s v="17 (MAÑANA)"/>
    <n v="47"/>
    <s v="FINAL TURNO 1"/>
    <n v="4200"/>
    <n v="7360"/>
    <n v="3970"/>
    <n v="200"/>
    <n v="300"/>
    <n v="17777"/>
    <n v="560"/>
    <n v="80"/>
    <n v="90"/>
    <n v="140"/>
    <n v="50"/>
    <n v="0"/>
    <n v="0"/>
    <n v="117"/>
    <n v="185.5"/>
    <n v="62.5"/>
    <n v="0"/>
    <n v="0"/>
    <n v="208.92857142857142"/>
    <n v="331.25"/>
    <n v="111.60714285714286"/>
    <n v="0"/>
    <n v="0"/>
    <n v="1.3"/>
    <n v="1.325"/>
    <n v="1.25"/>
    <n v="2500"/>
    <n v="2500"/>
    <n v="830"/>
    <n v="2818"/>
    <n v="6295"/>
    <n v="19050"/>
    <n v="22050"/>
    <n v="97110"/>
    <n v="522739"/>
    <n v="393437.5"/>
    <n v="0"/>
    <n v="0"/>
    <n v="1013286.5"/>
    <n v="3599"/>
    <n v="1809.4401785714285"/>
    <n v="7"/>
  </r>
  <r>
    <x v="15"/>
    <x v="15"/>
    <s v="3(TARDE)"/>
    <n v="48"/>
    <s v="FINAL TURNO 2"/>
    <n v="4110"/>
    <n v="7220"/>
    <n v="3920"/>
    <n v="200"/>
    <n v="300"/>
    <n v="17784"/>
    <n v="480"/>
    <n v="80"/>
    <n v="130"/>
    <n v="150"/>
    <n v="70"/>
    <n v="5"/>
    <n v="5"/>
    <n v="169"/>
    <n v="198.75"/>
    <n v="87.5"/>
    <n v="5"/>
    <n v="5"/>
    <n v="352.08333333333331"/>
    <n v="414.0625"/>
    <n v="182.29166666666666"/>
    <n v="10.416666666666666"/>
    <n v="10.416666666666666"/>
    <n v="1.3"/>
    <n v="1.325"/>
    <n v="1.25"/>
    <n v="2500"/>
    <n v="2500"/>
    <n v="830"/>
    <n v="2818"/>
    <n v="6295"/>
    <n v="19050"/>
    <n v="22050"/>
    <n v="140270"/>
    <n v="560077.5"/>
    <n v="550812.5"/>
    <n v="95250"/>
    <n v="110250"/>
    <n v="1456660"/>
    <n v="3599"/>
    <n v="3034.7083333333335"/>
    <n v="6"/>
  </r>
  <r>
    <x v="16"/>
    <x v="16"/>
    <s v="17 (NOCHE)"/>
    <n v="49"/>
    <s v="FINAL TURNO 3"/>
    <n v="3980"/>
    <n v="8920"/>
    <n v="3850"/>
    <n v="195"/>
    <n v="295"/>
    <n v="17790"/>
    <n v="560"/>
    <n v="80"/>
    <n v="100"/>
    <n v="190"/>
    <n v="90"/>
    <n v="0"/>
    <n v="10"/>
    <n v="130"/>
    <n v="251.75"/>
    <n v="112.5"/>
    <n v="0"/>
    <n v="10"/>
    <n v="232.14285714285714"/>
    <n v="449.55357142857144"/>
    <n v="200.89285714285714"/>
    <n v="0"/>
    <n v="17.857142857142858"/>
    <n v="1.3"/>
    <n v="1.325"/>
    <n v="1.25"/>
    <n v="2500"/>
    <n v="2500"/>
    <n v="830"/>
    <n v="2818"/>
    <n v="6295"/>
    <n v="19050"/>
    <n v="22050"/>
    <n v="107900"/>
    <n v="709431.5"/>
    <n v="708187.5"/>
    <n v="0"/>
    <n v="220500"/>
    <n v="1746019"/>
    <n v="3599"/>
    <n v="3117.8910714285716"/>
    <n v="7"/>
  </r>
  <r>
    <x v="16"/>
    <x v="16"/>
    <s v="18 (MAÑANA)"/>
    <n v="50"/>
    <s v="FINAL TURNO 1"/>
    <n v="3880"/>
    <n v="8730"/>
    <n v="3760"/>
    <n v="195"/>
    <n v="285"/>
    <n v="17797"/>
    <n v="320"/>
    <n v="80"/>
    <n v="200"/>
    <n v="180"/>
    <n v="70"/>
    <n v="0"/>
    <n v="0"/>
    <n v="260"/>
    <n v="238.5"/>
    <n v="87.5"/>
    <n v="0"/>
    <n v="0"/>
    <n v="812.5"/>
    <n v="745.3125"/>
    <n v="273.4375"/>
    <n v="0"/>
    <n v="0"/>
    <n v="1.3"/>
    <n v="1.325"/>
    <n v="1.25"/>
    <n v="2500"/>
    <n v="2500"/>
    <n v="830"/>
    <n v="2818"/>
    <n v="6295"/>
    <n v="19050"/>
    <n v="22050"/>
    <n v="215800"/>
    <n v="672093"/>
    <n v="550812.5"/>
    <n v="0"/>
    <n v="0"/>
    <n v="1438705.5"/>
    <n v="3599"/>
    <n v="4495.9546874999996"/>
    <n v="4"/>
  </r>
  <r>
    <x v="16"/>
    <x v="16"/>
    <s v="3(TARDE)"/>
    <n v="51"/>
    <s v="FINAL TURNO 2"/>
    <n v="3680"/>
    <n v="8550"/>
    <n v="3690"/>
    <n v="195"/>
    <n v="285"/>
    <n v="17801"/>
    <n v="560"/>
    <n v="80"/>
    <n v="260"/>
    <n v="170"/>
    <n v="90"/>
    <n v="5"/>
    <n v="5"/>
    <n v="338"/>
    <n v="225.25"/>
    <n v="112.5"/>
    <n v="5"/>
    <n v="5"/>
    <n v="603.57142857142856"/>
    <n v="402.23214285714283"/>
    <n v="200.89285714285714"/>
    <n v="8.9285714285714288"/>
    <n v="8.9285714285714288"/>
    <n v="1.3"/>
    <n v="1.325"/>
    <n v="1.25"/>
    <n v="2500"/>
    <n v="2500"/>
    <n v="830"/>
    <n v="2818"/>
    <n v="6295"/>
    <n v="19050"/>
    <n v="22050"/>
    <n v="280540"/>
    <n v="634754.5"/>
    <n v="708187.5"/>
    <n v="95250"/>
    <n v="110250"/>
    <n v="1828982"/>
    <n v="3599"/>
    <n v="3266.0392857142856"/>
    <n v="7"/>
  </r>
  <r>
    <x v="17"/>
    <x v="17"/>
    <s v="18 (NOCHE)"/>
    <n v="52"/>
    <s v="FINAL TURNO 3"/>
    <n v="3420"/>
    <n v="8380"/>
    <n v="3600"/>
    <n v="190"/>
    <n v="280"/>
    <n v="17808"/>
    <n v="640"/>
    <n v="80"/>
    <n v="120"/>
    <n v="170"/>
    <n v="60"/>
    <n v="0"/>
    <n v="10"/>
    <n v="156"/>
    <n v="225.25"/>
    <n v="75"/>
    <n v="0"/>
    <n v="10"/>
    <n v="243.75"/>
    <n v="351.953125"/>
    <n v="117.1875"/>
    <n v="0"/>
    <n v="15.625"/>
    <n v="1.3"/>
    <n v="1.325"/>
    <n v="1.25"/>
    <n v="2500"/>
    <n v="2500"/>
    <n v="830"/>
    <n v="2818"/>
    <n v="6295"/>
    <n v="19050"/>
    <n v="22050"/>
    <n v="129480"/>
    <n v="634754.5"/>
    <n v="472125"/>
    <n v="0"/>
    <n v="220500"/>
    <n v="1456859.5"/>
    <n v="3599"/>
    <n v="2276.3429687500002"/>
    <n v="8"/>
  </r>
  <r>
    <x v="17"/>
    <x v="17"/>
    <s v="19 (MAÑANA)"/>
    <n v="53"/>
    <s v="FINAL TURNO 1"/>
    <n v="3300"/>
    <n v="8060"/>
    <n v="3540"/>
    <n v="190"/>
    <n v="270"/>
    <n v="17816"/>
    <n v="640"/>
    <n v="80"/>
    <n v="300"/>
    <n v="180"/>
    <n v="140"/>
    <n v="0"/>
    <n v="0"/>
    <n v="390"/>
    <n v="238.5"/>
    <n v="175"/>
    <n v="0"/>
    <n v="0"/>
    <n v="609.375"/>
    <n v="372.65625"/>
    <n v="273.4375"/>
    <n v="0"/>
    <n v="0"/>
    <n v="1.3"/>
    <n v="1.325"/>
    <n v="1.25"/>
    <n v="2500"/>
    <n v="2500"/>
    <n v="830"/>
    <n v="2818"/>
    <n v="6295"/>
    <n v="19050"/>
    <n v="22050"/>
    <n v="323700"/>
    <n v="672093"/>
    <n v="1101625"/>
    <n v="0"/>
    <n v="0"/>
    <n v="2097418"/>
    <n v="3599"/>
    <n v="3277.2156249999998"/>
    <n v="8"/>
  </r>
  <r>
    <x v="17"/>
    <x v="17"/>
    <s v="3(TARDE)"/>
    <n v="54"/>
    <s v="FINAL TURNO 2"/>
    <n v="3000"/>
    <n v="7880"/>
    <n v="3400"/>
    <n v="190"/>
    <n v="270"/>
    <n v="17824"/>
    <n v="400"/>
    <n v="80"/>
    <n v="35"/>
    <n v="150"/>
    <n v="105"/>
    <n v="5"/>
    <n v="5"/>
    <n v="45.5"/>
    <n v="198.75"/>
    <n v="131.25"/>
    <n v="5"/>
    <n v="5"/>
    <n v="113.75"/>
    <n v="496.875"/>
    <n v="328.125"/>
    <n v="12.5"/>
    <n v="12.5"/>
    <n v="1.3"/>
    <n v="1.325"/>
    <n v="1.25"/>
    <n v="2500"/>
    <n v="2500"/>
    <n v="830"/>
    <n v="2818"/>
    <n v="6295"/>
    <n v="19050"/>
    <n v="22050"/>
    <n v="37765"/>
    <n v="560077.5"/>
    <n v="826218.75"/>
    <n v="95250"/>
    <n v="110250"/>
    <n v="1629561.25"/>
    <n v="3599"/>
    <n v="4073.9031249999998"/>
    <n v="5"/>
  </r>
  <r>
    <x v="18"/>
    <x v="18"/>
    <s v="19 (NOCHE)"/>
    <n v="55"/>
    <s v="FINAL TURNO 3"/>
    <n v="2965"/>
    <n v="7730"/>
    <n v="3295"/>
    <n v="185"/>
    <n v="265"/>
    <n v="17829"/>
    <n v="0"/>
    <n v="80"/>
    <n v="0"/>
    <n v="0"/>
    <n v="0"/>
    <n v="0"/>
    <n v="10"/>
    <n v="0"/>
    <n v="0"/>
    <n v="0"/>
    <n v="0"/>
    <n v="1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220500"/>
    <n v="220500"/>
    <n v="3599"/>
    <e v="#DIV/0!"/>
    <n v="0"/>
  </r>
  <r>
    <x v="18"/>
    <x v="18"/>
    <s v="20 (MAÑANA)"/>
    <n v="56"/>
    <s v="FINAL TURNO 1"/>
    <n v="2965"/>
    <n v="7730"/>
    <n v="3295"/>
    <n v="185"/>
    <n v="255"/>
    <n v="17829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18"/>
    <x v="18"/>
    <s v="3(TARDE)"/>
    <n v="57"/>
    <s v="FINAL TURNO 2"/>
    <n v="2965"/>
    <n v="7730"/>
    <n v="3295"/>
    <n v="185"/>
    <n v="255"/>
    <n v="17829"/>
    <n v="0"/>
    <n v="80"/>
    <n v="0"/>
    <n v="0"/>
    <n v="0"/>
    <n v="0"/>
    <n v="5"/>
    <n v="0"/>
    <n v="0"/>
    <n v="0"/>
    <n v="0"/>
    <n v="5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110250"/>
    <n v="110250"/>
    <n v="3599"/>
    <e v="#DIV/0!"/>
    <n v="0"/>
  </r>
  <r>
    <x v="19"/>
    <x v="19"/>
    <s v="20 (NOCHE)"/>
    <n v="58"/>
    <s v="FINAL TURNO 3"/>
    <n v="2965"/>
    <n v="7730"/>
    <n v="3295"/>
    <n v="185"/>
    <n v="250"/>
    <n v="17829"/>
    <n v="400"/>
    <n v="80"/>
    <n v="35"/>
    <n v="150"/>
    <n v="105"/>
    <n v="0"/>
    <n v="0"/>
    <n v="45.5"/>
    <n v="198.75"/>
    <n v="131.25"/>
    <n v="0"/>
    <n v="0"/>
    <n v="113.75"/>
    <n v="496.875"/>
    <n v="328.125"/>
    <n v="0"/>
    <n v="0"/>
    <n v="1.3"/>
    <n v="1.325"/>
    <n v="1.25"/>
    <n v="2500"/>
    <n v="2500"/>
    <n v="830"/>
    <n v="2818"/>
    <n v="6295"/>
    <n v="19050"/>
    <n v="22050"/>
    <n v="37765"/>
    <n v="560077.5"/>
    <n v="826218.75"/>
    <n v="0"/>
    <n v="0"/>
    <n v="1424061.25"/>
    <n v="3599"/>
    <n v="3560.1531249999998"/>
    <n v="5"/>
  </r>
  <r>
    <x v="19"/>
    <x v="19"/>
    <s v="21 (MAÑANA)"/>
    <n v="59"/>
    <s v="FINAL TURNO 1"/>
    <n v="2930"/>
    <n v="7580"/>
    <n v="3190"/>
    <n v="185"/>
    <n v="250"/>
    <n v="17834"/>
    <n v="640"/>
    <n v="80"/>
    <n v="30"/>
    <n v="180"/>
    <n v="50"/>
    <n v="5"/>
    <n v="5"/>
    <n v="39"/>
    <n v="238.5"/>
    <n v="62.5"/>
    <n v="5"/>
    <n v="5"/>
    <n v="60.9375"/>
    <n v="372.65625"/>
    <n v="97.65625"/>
    <n v="7.8125"/>
    <n v="7.8125"/>
    <n v="1.3"/>
    <n v="1.325"/>
    <n v="1.25"/>
    <n v="2500"/>
    <n v="2500"/>
    <n v="830"/>
    <n v="2818"/>
    <n v="6295"/>
    <n v="19050"/>
    <n v="22050"/>
    <n v="32370"/>
    <n v="672093"/>
    <n v="393437.5"/>
    <n v="95250"/>
    <n v="110250"/>
    <n v="1303400.5"/>
    <n v="3599"/>
    <n v="2036.56328125"/>
    <n v="8"/>
  </r>
  <r>
    <x v="19"/>
    <x v="19"/>
    <s v="3(TARDE)"/>
    <n v="60"/>
    <s v="FINAL TURNO 2"/>
    <n v="2900"/>
    <n v="7400"/>
    <n v="3140"/>
    <n v="180"/>
    <n v="245"/>
    <n v="17842"/>
    <n v="560"/>
    <n v="80"/>
    <n v="10"/>
    <n v="100"/>
    <n v="20"/>
    <n v="0"/>
    <n v="10"/>
    <n v="13"/>
    <n v="132.5"/>
    <n v="25"/>
    <n v="0"/>
    <n v="10"/>
    <n v="23.214285714285715"/>
    <n v="236.60714285714286"/>
    <n v="44.642857142857146"/>
    <n v="0"/>
    <n v="17.857142857142858"/>
    <n v="1.3"/>
    <n v="1.325"/>
    <n v="1.25"/>
    <n v="2500"/>
    <n v="2500"/>
    <n v="830"/>
    <n v="2818"/>
    <n v="6295"/>
    <n v="19050"/>
    <n v="22050"/>
    <n v="10790"/>
    <n v="373385"/>
    <n v="157375"/>
    <n v="0"/>
    <n v="220500"/>
    <n v="762050"/>
    <n v="3599"/>
    <n v="1360.8035714285713"/>
    <n v="7"/>
  </r>
  <r>
    <x v="20"/>
    <x v="20"/>
    <s v="21 (NOCHE)"/>
    <n v="61"/>
    <s v="FINAL TURNO 3"/>
    <n v="2890"/>
    <n v="7300"/>
    <n v="3120"/>
    <n v="180"/>
    <n v="235"/>
    <n v="17849"/>
    <n v="400"/>
    <n v="80"/>
    <n v="90"/>
    <n v="150"/>
    <n v="120"/>
    <n v="5"/>
    <n v="5"/>
    <n v="117"/>
    <n v="198.75"/>
    <n v="150"/>
    <n v="5"/>
    <n v="5"/>
    <n v="292.5"/>
    <n v="496.875"/>
    <n v="375"/>
    <n v="12.5"/>
    <n v="12.5"/>
    <n v="1.3"/>
    <n v="1.325"/>
    <n v="1.25"/>
    <n v="2500"/>
    <n v="2500"/>
    <n v="830"/>
    <n v="2818"/>
    <n v="6295"/>
    <n v="19050"/>
    <n v="22050"/>
    <n v="97110"/>
    <n v="560077.5"/>
    <n v="944250"/>
    <n v="95250"/>
    <n v="110250"/>
    <n v="1806937.5"/>
    <n v="3599"/>
    <n v="4517.34375"/>
    <n v="5"/>
  </r>
  <r>
    <x v="20"/>
    <x v="20"/>
    <s v="22 (MAÑANA)"/>
    <n v="62"/>
    <s v="FINAL TURNO 1"/>
    <n v="2800"/>
    <n v="7030"/>
    <n v="3000"/>
    <n v="175"/>
    <n v="230"/>
    <n v="17854"/>
    <n v="480"/>
    <n v="80"/>
    <n v="130"/>
    <n v="150"/>
    <n v="50"/>
    <n v="0"/>
    <n v="5"/>
    <n v="169"/>
    <n v="198.75"/>
    <n v="62.5"/>
    <n v="0"/>
    <n v="5"/>
    <n v="352.08333333333331"/>
    <n v="414.0625"/>
    <n v="130.20833333333334"/>
    <n v="0"/>
    <n v="10.416666666666666"/>
    <n v="1.3"/>
    <n v="1.325"/>
    <n v="1.25"/>
    <n v="2500"/>
    <n v="2500"/>
    <n v="830"/>
    <n v="2818"/>
    <n v="6295"/>
    <n v="19050"/>
    <n v="22050"/>
    <n v="140270"/>
    <n v="560077.5"/>
    <n v="393437.5"/>
    <n v="0"/>
    <n v="110250"/>
    <n v="1204035"/>
    <n v="3599"/>
    <n v="2508.40625"/>
    <n v="6"/>
  </r>
  <r>
    <x v="20"/>
    <x v="20"/>
    <s v="3(TARDE)"/>
    <n v="63"/>
    <s v="FINAL TURNO 2"/>
    <n v="2670"/>
    <n v="6880"/>
    <n v="2950"/>
    <n v="175"/>
    <n v="225"/>
    <n v="17860"/>
    <n v="480"/>
    <n v="80"/>
    <n v="60"/>
    <n v="80"/>
    <n v="20"/>
    <n v="5"/>
    <n v="5"/>
    <n v="78"/>
    <n v="106"/>
    <n v="25"/>
    <n v="5"/>
    <n v="5"/>
    <n v="162.5"/>
    <n v="220.83333333333334"/>
    <n v="52.083333333333336"/>
    <n v="10.416666666666666"/>
    <n v="10.416666666666666"/>
    <n v="1.3"/>
    <n v="1.325"/>
    <n v="1.25"/>
    <n v="2500"/>
    <n v="2500"/>
    <n v="830"/>
    <n v="2818"/>
    <n v="6295"/>
    <n v="19050"/>
    <n v="22050"/>
    <n v="64740"/>
    <n v="298708"/>
    <n v="157375"/>
    <n v="95250"/>
    <n v="110250"/>
    <n v="726323"/>
    <n v="3599"/>
    <n v="1513.1729166666667"/>
    <n v="6"/>
  </r>
  <r>
    <x v="21"/>
    <x v="21"/>
    <s v="22 (NOCHE)"/>
    <n v="64"/>
    <s v="FINAL TURNO 3"/>
    <n v="2610"/>
    <n v="6800"/>
    <n v="2930"/>
    <n v="170"/>
    <n v="220"/>
    <n v="17866"/>
    <n v="480"/>
    <n v="80"/>
    <n v="110"/>
    <n v="250"/>
    <n v="130"/>
    <n v="5"/>
    <n v="5"/>
    <n v="143"/>
    <n v="331.25"/>
    <n v="162.5"/>
    <n v="5"/>
    <n v="5"/>
    <n v="297.91666666666669"/>
    <n v="690.10416666666663"/>
    <n v="338.54166666666669"/>
    <n v="10.416666666666666"/>
    <n v="10.416666666666666"/>
    <n v="1.3"/>
    <n v="1.325"/>
    <n v="1.25"/>
    <n v="2500"/>
    <n v="2500"/>
    <n v="830"/>
    <n v="2818"/>
    <n v="6295"/>
    <n v="19050"/>
    <n v="22050"/>
    <n v="118690"/>
    <n v="933462.5"/>
    <n v="1022937.5"/>
    <n v="95250"/>
    <n v="110250"/>
    <n v="2280590"/>
    <n v="3599"/>
    <n v="4751.229166666667"/>
    <n v="6"/>
  </r>
  <r>
    <x v="21"/>
    <x v="21"/>
    <s v="23 (MAÑANA)"/>
    <n v="65"/>
    <s v="FINAL TURNO 1"/>
    <n v="2500"/>
    <n v="6550"/>
    <n v="2800"/>
    <n v="165"/>
    <n v="215"/>
    <n v="17872"/>
    <n v="400"/>
    <n v="80"/>
    <n v="180"/>
    <n v="200"/>
    <n v="80"/>
    <n v="0"/>
    <n v="5"/>
    <n v="234"/>
    <n v="265"/>
    <n v="100"/>
    <n v="0"/>
    <n v="5"/>
    <n v="585"/>
    <n v="662.5"/>
    <n v="250"/>
    <n v="0"/>
    <n v="12.5"/>
    <n v="1.3"/>
    <n v="1.325"/>
    <n v="1.25"/>
    <n v="2500"/>
    <n v="2500"/>
    <n v="830"/>
    <n v="2818"/>
    <n v="6295"/>
    <n v="19050"/>
    <n v="22050"/>
    <n v="194220"/>
    <n v="746770"/>
    <n v="629500"/>
    <n v="0"/>
    <n v="110250"/>
    <n v="1680740"/>
    <n v="3599"/>
    <n v="4201.8500000000004"/>
    <n v="5"/>
  </r>
  <r>
    <x v="21"/>
    <x v="21"/>
    <s v="3(TARDE)"/>
    <n v="66"/>
    <s v="FINAL TURNO 2"/>
    <n v="2250"/>
    <n v="6350"/>
    <n v="2720"/>
    <n v="165"/>
    <n v="210"/>
    <n v="17877"/>
    <n v="640"/>
    <n v="80"/>
    <n v="20"/>
    <n v="200"/>
    <n v="80"/>
    <n v="5"/>
    <n v="5"/>
    <n v="26"/>
    <n v="265"/>
    <n v="100"/>
    <n v="5"/>
    <n v="5"/>
    <n v="40.625"/>
    <n v="414.0625"/>
    <n v="156.25"/>
    <n v="7.8125"/>
    <n v="7.8125"/>
    <n v="1.3"/>
    <n v="1.325"/>
    <n v="1.25"/>
    <n v="2500"/>
    <n v="2500"/>
    <n v="830"/>
    <n v="2818"/>
    <n v="6295"/>
    <n v="19050"/>
    <n v="22050"/>
    <n v="21580"/>
    <n v="746770"/>
    <n v="629500"/>
    <n v="95250"/>
    <n v="110250"/>
    <n v="1603350"/>
    <n v="3599"/>
    <n v="2505.234375"/>
    <n v="8"/>
  </r>
  <r>
    <x v="22"/>
    <x v="22"/>
    <s v="23 (NOCHE)"/>
    <n v="67"/>
    <s v="FINAL TURNO 3"/>
    <n v="2230"/>
    <n v="6000"/>
    <n v="2640"/>
    <n v="160"/>
    <n v="205"/>
    <n v="17885"/>
    <n v="595"/>
    <n v="85"/>
    <n v="20"/>
    <n v="150"/>
    <n v="80"/>
    <n v="5"/>
    <n v="10"/>
    <n v="26"/>
    <n v="198.75"/>
    <n v="100"/>
    <n v="5"/>
    <n v="10"/>
    <n v="43.69747899159664"/>
    <n v="334.03361344537814"/>
    <n v="168.0672268907563"/>
    <n v="8.4033613445378155"/>
    <n v="16.806722689075631"/>
    <n v="1.3"/>
    <n v="1.325"/>
    <n v="1.25"/>
    <n v="2500"/>
    <n v="2500"/>
    <n v="830"/>
    <n v="2818"/>
    <n v="6295"/>
    <n v="19050"/>
    <n v="22050"/>
    <n v="21580"/>
    <n v="560077.5"/>
    <n v="629500"/>
    <n v="95250"/>
    <n v="220500"/>
    <n v="1526907.5"/>
    <n v="3599"/>
    <n v="2566.2310924369749"/>
    <n v="7"/>
  </r>
  <r>
    <x v="22"/>
    <x v="22"/>
    <s v="24 (MAÑANA)"/>
    <n v="68"/>
    <s v="FINAL TURNO 1"/>
    <n v="2210"/>
    <n v="5850"/>
    <n v="2560"/>
    <n v="155"/>
    <n v="195"/>
    <n v="17892"/>
    <n v="450"/>
    <n v="90"/>
    <n v="190"/>
    <n v="120"/>
    <n v="60"/>
    <n v="0"/>
    <n v="0"/>
    <n v="247"/>
    <n v="159"/>
    <n v="75"/>
    <n v="0"/>
    <n v="0"/>
    <n v="548.88888888888891"/>
    <n v="353.33333333333331"/>
    <n v="166.66666666666666"/>
    <n v="0"/>
    <n v="0"/>
    <n v="1.3"/>
    <n v="1.325"/>
    <n v="1.25"/>
    <n v="2500"/>
    <n v="2500"/>
    <n v="830"/>
    <n v="2818"/>
    <n v="6295"/>
    <n v="19050"/>
    <n v="22050"/>
    <n v="205010"/>
    <n v="448062"/>
    <n v="472125"/>
    <n v="0"/>
    <n v="0"/>
    <n v="1125197"/>
    <n v="3599"/>
    <n v="2500.4377777777777"/>
    <n v="5"/>
  </r>
  <r>
    <x v="22"/>
    <x v="22"/>
    <s v="3(TARDE)"/>
    <n v="69"/>
    <s v="FINAL TURNO 2"/>
    <n v="2020"/>
    <n v="5730"/>
    <n v="2500"/>
    <n v="155"/>
    <n v="195"/>
    <n v="17897"/>
    <n v="450"/>
    <n v="90"/>
    <n v="110"/>
    <n v="90"/>
    <n v="10"/>
    <n v="5"/>
    <n v="10"/>
    <n v="143"/>
    <n v="119.25"/>
    <n v="12.5"/>
    <n v="5"/>
    <n v="10"/>
    <n v="317.77777777777777"/>
    <n v="265"/>
    <n v="27.777777777777779"/>
    <n v="11.111111111111111"/>
    <n v="22.222222222222221"/>
    <n v="1.3"/>
    <n v="1.325"/>
    <n v="1.25"/>
    <n v="2500"/>
    <n v="2500"/>
    <n v="830"/>
    <n v="2818"/>
    <n v="6295"/>
    <n v="19050"/>
    <n v="22050"/>
    <n v="118690"/>
    <n v="336046.5"/>
    <n v="78687.5"/>
    <n v="95250"/>
    <n v="220500"/>
    <n v="849174"/>
    <n v="3599"/>
    <n v="1887.0533333333333"/>
    <n v="5"/>
  </r>
  <r>
    <x v="23"/>
    <x v="23"/>
    <s v="24 (NOCHE)"/>
    <n v="70"/>
    <s v="FINAL TURNO 3"/>
    <n v="1910"/>
    <n v="5480"/>
    <n v="2490"/>
    <n v="150"/>
    <n v="185"/>
    <n v="17902"/>
    <n v="560"/>
    <n v="80"/>
    <n v="160"/>
    <n v="120"/>
    <n v="40"/>
    <n v="5"/>
    <n v="5"/>
    <n v="208"/>
    <n v="159"/>
    <n v="50"/>
    <n v="5"/>
    <n v="5"/>
    <n v="371.42857142857144"/>
    <n v="283.92857142857144"/>
    <n v="89.285714285714292"/>
    <n v="8.9285714285714288"/>
    <n v="8.9285714285714288"/>
    <n v="1.3"/>
    <n v="1.325"/>
    <n v="1.25"/>
    <n v="2500"/>
    <n v="2500"/>
    <n v="830"/>
    <n v="2818"/>
    <n v="6295"/>
    <n v="19050"/>
    <n v="22050"/>
    <n v="172640"/>
    <n v="448062"/>
    <n v="314750"/>
    <n v="95250"/>
    <n v="110250"/>
    <n v="1140952"/>
    <n v="3599"/>
    <n v="2037.4142857142858"/>
    <n v="7"/>
  </r>
  <r>
    <x v="23"/>
    <x v="23"/>
    <s v="25 (MAÑANA)"/>
    <n v="71"/>
    <s v="FINAL TURNO 1"/>
    <n v="1750"/>
    <n v="5360"/>
    <n v="2450"/>
    <n v="145"/>
    <n v="180"/>
    <n v="17909"/>
    <n v="320"/>
    <n v="80"/>
    <n v="70"/>
    <n v="110"/>
    <n v="10"/>
    <n v="0"/>
    <n v="0"/>
    <n v="91"/>
    <n v="145.75"/>
    <n v="12.5"/>
    <n v="0"/>
    <n v="0"/>
    <n v="284.375"/>
    <n v="455.46875"/>
    <n v="39.0625"/>
    <n v="0"/>
    <n v="0"/>
    <n v="1.3"/>
    <n v="1.325"/>
    <n v="1.25"/>
    <n v="2500"/>
    <n v="2500"/>
    <n v="830"/>
    <n v="2818"/>
    <n v="6295"/>
    <n v="19050"/>
    <n v="22050"/>
    <n v="75530"/>
    <n v="410723.5"/>
    <n v="78687.5"/>
    <n v="0"/>
    <n v="0"/>
    <n v="564941"/>
    <n v="3599"/>
    <n v="1765.440625"/>
    <n v="4"/>
  </r>
  <r>
    <x v="23"/>
    <x v="23"/>
    <s v="3(TARDE)"/>
    <n v="72"/>
    <s v="FINAL TURNO 2"/>
    <n v="3680"/>
    <n v="6250"/>
    <n v="2440"/>
    <n v="145"/>
    <n v="180"/>
    <n v="17913"/>
    <n v="480"/>
    <n v="80"/>
    <n v="80"/>
    <n v="80"/>
    <n v="100"/>
    <n v="0"/>
    <n v="0"/>
    <n v="104"/>
    <n v="106"/>
    <n v="125"/>
    <n v="0"/>
    <n v="0"/>
    <n v="216.66666666666666"/>
    <n v="220.83333333333334"/>
    <n v="260.41666666666669"/>
    <n v="0"/>
    <n v="0"/>
    <n v="1.3"/>
    <n v="1.325"/>
    <n v="1.25"/>
    <n v="2500"/>
    <n v="2500"/>
    <n v="830"/>
    <n v="2818"/>
    <n v="6295"/>
    <n v="19050"/>
    <n v="22050"/>
    <n v="86320"/>
    <n v="298708"/>
    <n v="786875"/>
    <n v="0"/>
    <n v="0"/>
    <n v="1171903"/>
    <n v="3599"/>
    <n v="2441.4645833333334"/>
    <n v="6"/>
  </r>
  <r>
    <x v="24"/>
    <x v="24"/>
    <s v="25 (NOCHE)"/>
    <n v="73"/>
    <s v="FINAL TURNO 3"/>
    <n v="3600"/>
    <n v="6170"/>
    <n v="2340"/>
    <n v="145"/>
    <n v="180"/>
    <n v="17919"/>
    <n v="480"/>
    <n v="80"/>
    <n v="110"/>
    <n v="190"/>
    <n v="40"/>
    <n v="5"/>
    <n v="5"/>
    <n v="143"/>
    <n v="251.75"/>
    <n v="50"/>
    <n v="5"/>
    <n v="5"/>
    <n v="297.91666666666669"/>
    <n v="524.47916666666663"/>
    <n v="104.16666666666667"/>
    <n v="10.416666666666666"/>
    <n v="10.416666666666666"/>
    <n v="1.3"/>
    <n v="1.325"/>
    <n v="1.25"/>
    <n v="2500"/>
    <n v="2500"/>
    <n v="830"/>
    <n v="2818"/>
    <n v="6295"/>
    <n v="19050"/>
    <n v="22050"/>
    <n v="118690"/>
    <n v="709431.5"/>
    <n v="314750"/>
    <n v="95250"/>
    <n v="110250"/>
    <n v="1348371.5"/>
    <n v="3599"/>
    <n v="2809.1072916666667"/>
    <n v="6"/>
  </r>
  <r>
    <x v="24"/>
    <x v="24"/>
    <s v="26 (MAÑANA)"/>
    <n v="74"/>
    <s v="FINAL TURNO 1"/>
    <n v="3490"/>
    <n v="5980"/>
    <n v="2300"/>
    <n v="140"/>
    <n v="175"/>
    <n v="17925"/>
    <n v="480"/>
    <n v="80"/>
    <n v="160"/>
    <n v="80"/>
    <n v="15"/>
    <n v="0"/>
    <n v="5"/>
    <n v="208"/>
    <n v="106"/>
    <n v="18.75"/>
    <n v="0"/>
    <n v="5"/>
    <n v="433.33333333333331"/>
    <n v="220.83333333333334"/>
    <n v="39.0625"/>
    <n v="0"/>
    <n v="10.416666666666666"/>
    <n v="1.3"/>
    <n v="1.325"/>
    <n v="1.25"/>
    <n v="2500"/>
    <n v="2500"/>
    <n v="830"/>
    <n v="2818"/>
    <n v="6295"/>
    <n v="19050"/>
    <n v="22050"/>
    <n v="172640"/>
    <n v="298708"/>
    <n v="118031.25"/>
    <n v="0"/>
    <n v="110250"/>
    <n v="699629.25"/>
    <n v="3599"/>
    <n v="1457.5609374999999"/>
    <n v="6"/>
  </r>
  <r>
    <x v="24"/>
    <x v="24"/>
    <s v="3(TARDE)"/>
    <n v="75"/>
    <s v="FINAL TURNO 2"/>
    <n v="3330"/>
    <n v="5900"/>
    <n v="2285"/>
    <n v="140"/>
    <n v="170"/>
    <n v="17931"/>
    <n v="400"/>
    <n v="80"/>
    <n v="30"/>
    <n v="140"/>
    <n v="85"/>
    <n v="0"/>
    <n v="5"/>
    <n v="39"/>
    <n v="185.5"/>
    <n v="106.25"/>
    <n v="0"/>
    <n v="5"/>
    <n v="97.5"/>
    <n v="463.75"/>
    <n v="265.625"/>
    <n v="0"/>
    <n v="12.5"/>
    <n v="1.3"/>
    <n v="1.325"/>
    <n v="1.25"/>
    <n v="2500"/>
    <n v="2500"/>
    <n v="830"/>
    <n v="2818"/>
    <n v="6295"/>
    <n v="19050"/>
    <n v="22050"/>
    <n v="32370"/>
    <n v="522739"/>
    <n v="668843.75"/>
    <n v="0"/>
    <n v="110250"/>
    <n v="1334202.75"/>
    <n v="3599"/>
    <n v="3335.506875"/>
    <n v="5"/>
  </r>
  <r>
    <x v="25"/>
    <x v="25"/>
    <s v="26 (NOCHE)"/>
    <n v="76"/>
    <s v="FINAL TURNO 3"/>
    <n v="3300"/>
    <n v="5760"/>
    <n v="2200"/>
    <n v="140"/>
    <n v="165"/>
    <n v="17936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25"/>
    <x v="25"/>
    <s v="27 (MAÑANA)"/>
    <n v="77"/>
    <s v="FINAL TURNO 1"/>
    <n v="3300"/>
    <n v="5760"/>
    <n v="2200"/>
    <n v="140"/>
    <n v="165"/>
    <n v="17936"/>
    <n v="320"/>
    <n v="80"/>
    <n v="0"/>
    <n v="40"/>
    <n v="0"/>
    <n v="5"/>
    <n v="5"/>
    <n v="0"/>
    <n v="53"/>
    <n v="0"/>
    <n v="5"/>
    <n v="5"/>
    <n v="0"/>
    <n v="165.625"/>
    <n v="0"/>
    <n v="15.625"/>
    <n v="15.625"/>
    <n v="1.3"/>
    <n v="1.325"/>
    <n v="1.25"/>
    <n v="2500"/>
    <n v="2500"/>
    <n v="830"/>
    <n v="2818"/>
    <n v="6295"/>
    <n v="19050"/>
    <n v="22050"/>
    <n v="0"/>
    <n v="149354"/>
    <n v="0"/>
    <n v="95250"/>
    <n v="110250"/>
    <n v="354854"/>
    <n v="3599"/>
    <n v="1108.91875"/>
    <n v="4"/>
  </r>
  <r>
    <x v="25"/>
    <x v="25"/>
    <s v="3(TARDE)"/>
    <n v="78"/>
    <s v="FINAL TURNO 2"/>
    <n v="3300"/>
    <n v="5720"/>
    <n v="2200"/>
    <n v="135"/>
    <n v="160"/>
    <n v="17940"/>
    <n v="480"/>
    <n v="80"/>
    <n v="230"/>
    <n v="60"/>
    <n v="30"/>
    <n v="0"/>
    <n v="5"/>
    <n v="299"/>
    <n v="79.5"/>
    <n v="37.5"/>
    <n v="0"/>
    <n v="5"/>
    <n v="622.91666666666663"/>
    <n v="165.625"/>
    <n v="78.125"/>
    <n v="0"/>
    <n v="10.416666666666666"/>
    <n v="1.3"/>
    <n v="1.325"/>
    <n v="1.25"/>
    <n v="2500"/>
    <n v="2500"/>
    <n v="830"/>
    <n v="2818"/>
    <n v="6295"/>
    <n v="19050"/>
    <n v="22050"/>
    <n v="248170"/>
    <n v="224031"/>
    <n v="236062.5"/>
    <n v="0"/>
    <n v="110250"/>
    <n v="818513.5"/>
    <n v="3599"/>
    <n v="1705.2364583333333"/>
    <n v="6"/>
  </r>
  <r>
    <x v="26"/>
    <x v="26"/>
    <s v="27 (NOCHE)"/>
    <n v="79"/>
    <s v="FINAL TURNO 3"/>
    <n v="3000"/>
    <n v="5660"/>
    <n v="2170"/>
    <n v="135"/>
    <n v="155"/>
    <n v="17946"/>
    <n v="640"/>
    <n v="80"/>
    <n v="200"/>
    <n v="220"/>
    <n v="90"/>
    <n v="5"/>
    <n v="5"/>
    <n v="260"/>
    <n v="291.5"/>
    <n v="112.5"/>
    <n v="5"/>
    <n v="5"/>
    <n v="406.25"/>
    <n v="455.46875"/>
    <n v="175.78125"/>
    <n v="7.8125"/>
    <n v="7.8125"/>
    <n v="1.3"/>
    <n v="1.325"/>
    <n v="1.25"/>
    <n v="2500"/>
    <n v="2500"/>
    <n v="830"/>
    <n v="2818"/>
    <n v="6295"/>
    <n v="19050"/>
    <n v="22050"/>
    <n v="215800"/>
    <n v="821447"/>
    <n v="708187.5"/>
    <n v="95250"/>
    <n v="110250"/>
    <n v="1950934.5"/>
    <n v="3599"/>
    <n v="3048.3351562500002"/>
    <n v="8"/>
  </r>
  <r>
    <x v="26"/>
    <x v="26"/>
    <s v="28 (MAÑANA)"/>
    <n v="80"/>
    <s v="FINAL TURNO 1"/>
    <n v="2800"/>
    <n v="5320"/>
    <n v="2080"/>
    <n v="130"/>
    <n v="150"/>
    <n v="17954"/>
    <n v="400"/>
    <n v="80"/>
    <n v="120"/>
    <n v="120"/>
    <n v="10"/>
    <n v="5"/>
    <n v="5"/>
    <n v="156"/>
    <n v="159"/>
    <n v="12.5"/>
    <n v="5"/>
    <n v="5"/>
    <n v="390"/>
    <n v="397.5"/>
    <n v="31.25"/>
    <n v="12.5"/>
    <n v="12.5"/>
    <n v="1.3"/>
    <n v="1.325"/>
    <n v="1.25"/>
    <n v="2500"/>
    <n v="2500"/>
    <n v="830"/>
    <n v="2818"/>
    <n v="6295"/>
    <n v="19050"/>
    <n v="22050"/>
    <n v="129480"/>
    <n v="448062"/>
    <n v="78687.5"/>
    <n v="95250"/>
    <n v="110250"/>
    <n v="861729.5"/>
    <n v="3599"/>
    <n v="2154.32375"/>
    <n v="5"/>
  </r>
  <r>
    <x v="26"/>
    <x v="26"/>
    <s v="3(TARDE)"/>
    <n v="81"/>
    <s v="FINAL TURNO 2"/>
    <n v="2680"/>
    <n v="5050"/>
    <n v="2070"/>
    <n v="125"/>
    <n v="145"/>
    <n v="17959"/>
    <n v="480"/>
    <n v="80"/>
    <n v="160"/>
    <n v="100"/>
    <n v="40"/>
    <n v="5"/>
    <n v="10"/>
    <n v="208"/>
    <n v="132.5"/>
    <n v="50"/>
    <n v="5"/>
    <n v="10"/>
    <n v="433.33333333333331"/>
    <n v="276.04166666666669"/>
    <n v="104.16666666666667"/>
    <n v="10.416666666666666"/>
    <n v="20.833333333333332"/>
    <n v="1.3"/>
    <n v="1.325"/>
    <n v="1.25"/>
    <n v="2500"/>
    <n v="2500"/>
    <n v="830"/>
    <n v="2818"/>
    <n v="6295"/>
    <n v="19050"/>
    <n v="22050"/>
    <n v="172640"/>
    <n v="373385"/>
    <n v="314750"/>
    <n v="95250"/>
    <n v="220500"/>
    <n v="1176525"/>
    <n v="3599"/>
    <n v="2451.09375"/>
    <n v="6"/>
  </r>
  <r>
    <x v="27"/>
    <x v="27"/>
    <s v="28 (NOCHE)"/>
    <n v="82"/>
    <s v="FINAL TURNO 3"/>
    <n v="2520"/>
    <n v="4950"/>
    <n v="2030"/>
    <n v="120"/>
    <n v="135"/>
    <n v="17965"/>
    <n v="640"/>
    <n v="80"/>
    <n v="195"/>
    <n v="210"/>
    <n v="50"/>
    <n v="0"/>
    <n v="0"/>
    <n v="253.5"/>
    <n v="278.25"/>
    <n v="62.5"/>
    <n v="0"/>
    <n v="0"/>
    <n v="396.09375"/>
    <n v="434.765625"/>
    <n v="97.65625"/>
    <n v="0"/>
    <n v="0"/>
    <n v="1.3"/>
    <n v="1.325"/>
    <n v="1.25"/>
    <n v="2500"/>
    <n v="2500"/>
    <n v="830"/>
    <n v="2818"/>
    <n v="6295"/>
    <n v="19050"/>
    <n v="22050"/>
    <n v="210405"/>
    <n v="784108.5"/>
    <n v="393437.5"/>
    <n v="0"/>
    <n v="0"/>
    <n v="1387951"/>
    <n v="3599"/>
    <n v="2168.6734375000001"/>
    <n v="8"/>
  </r>
  <r>
    <x v="27"/>
    <x v="27"/>
    <s v="29 (MAÑANA)"/>
    <n v="83"/>
    <s v="FINAL TURNO 1"/>
    <n v="2325"/>
    <n v="4740"/>
    <n v="1980"/>
    <n v="120"/>
    <n v="135"/>
    <n v="17973"/>
    <n v="480"/>
    <n v="80"/>
    <n v="195"/>
    <n v="210"/>
    <n v="50"/>
    <n v="5"/>
    <n v="5"/>
    <n v="253.5"/>
    <n v="278.25"/>
    <n v="62.5"/>
    <n v="5"/>
    <n v="5"/>
    <n v="528.125"/>
    <n v="579.6875"/>
    <n v="130.20833333333334"/>
    <n v="10.416666666666666"/>
    <n v="10.416666666666666"/>
    <n v="1.3"/>
    <n v="1.325"/>
    <n v="1.25"/>
    <n v="2500"/>
    <n v="2500"/>
    <n v="830"/>
    <n v="2818"/>
    <n v="6295"/>
    <n v="19050"/>
    <n v="22050"/>
    <n v="210405"/>
    <n v="784108.5"/>
    <n v="393437.5"/>
    <n v="95250"/>
    <n v="110250"/>
    <n v="1593451"/>
    <n v="3599"/>
    <n v="3319.6895833333333"/>
    <n v="6"/>
  </r>
  <r>
    <x v="27"/>
    <x v="27"/>
    <s v="3(TARDE)"/>
    <n v="84"/>
    <s v="FINAL TURNO 2"/>
    <n v="2130"/>
    <n v="4530"/>
    <n v="1930"/>
    <n v="115"/>
    <n v="130"/>
    <n v="17979"/>
    <n v="480"/>
    <n v="80"/>
    <n v="130"/>
    <n v="190"/>
    <n v="80"/>
    <n v="5"/>
    <n v="5"/>
    <n v="169"/>
    <n v="251.75"/>
    <n v="100"/>
    <n v="5"/>
    <n v="5"/>
    <n v="352.08333333333331"/>
    <n v="524.47916666666663"/>
    <n v="208.33333333333334"/>
    <n v="10.416666666666666"/>
    <n v="10.416666666666666"/>
    <n v="1.3"/>
    <n v="1.325"/>
    <n v="1.25"/>
    <n v="2500"/>
    <n v="2500"/>
    <n v="830"/>
    <n v="2818"/>
    <n v="6295"/>
    <n v="19050"/>
    <n v="22050"/>
    <n v="140270"/>
    <n v="709431.5"/>
    <n v="629500"/>
    <n v="95250"/>
    <n v="110250"/>
    <n v="1684701.5"/>
    <n v="3599"/>
    <n v="3509.7947916666667"/>
    <n v="6"/>
  </r>
  <r>
    <x v="28"/>
    <x v="28"/>
    <s v="29 (NOCHE)"/>
    <n v="85"/>
    <s v="FINAL TURNO 3"/>
    <n v="2000"/>
    <n v="4340"/>
    <n v="1850"/>
    <n v="110"/>
    <n v="125"/>
    <n v="17985"/>
    <n v="560"/>
    <n v="80"/>
    <n v="190"/>
    <n v="230"/>
    <n v="90"/>
    <n v="5"/>
    <n v="5"/>
    <n v="247"/>
    <n v="304.75"/>
    <n v="112.5"/>
    <n v="5"/>
    <n v="5"/>
    <n v="441.07142857142856"/>
    <n v="544.19642857142856"/>
    <n v="200.89285714285714"/>
    <n v="8.9285714285714288"/>
    <n v="8.9285714285714288"/>
    <n v="1.3"/>
    <n v="1.325"/>
    <n v="1.25"/>
    <n v="2500"/>
    <n v="2500"/>
    <n v="830"/>
    <n v="2818"/>
    <n v="6295"/>
    <n v="19050"/>
    <n v="22050"/>
    <n v="205010"/>
    <n v="858785.5"/>
    <n v="708187.5"/>
    <n v="95250"/>
    <n v="110250"/>
    <n v="1977483"/>
    <n v="3599"/>
    <n v="3531.2196428571428"/>
    <n v="7"/>
  </r>
  <r>
    <x v="28"/>
    <x v="28"/>
    <s v="30 (MAÑANA)"/>
    <n v="86"/>
    <s v="FINAL TURNO 1"/>
    <n v="1810"/>
    <n v="4110"/>
    <n v="1760"/>
    <n v="105"/>
    <n v="120"/>
    <n v="17992"/>
    <n v="560"/>
    <n v="80"/>
    <n v="10"/>
    <n v="110"/>
    <n v="100"/>
    <n v="5"/>
    <n v="5"/>
    <n v="13"/>
    <n v="145.75"/>
    <n v="125"/>
    <n v="5"/>
    <n v="5"/>
    <n v="23.214285714285715"/>
    <n v="260.26785714285717"/>
    <n v="223.21428571428572"/>
    <n v="8.9285714285714288"/>
    <n v="8.9285714285714288"/>
    <n v="1.3"/>
    <n v="1.325"/>
    <n v="1.25"/>
    <n v="2500"/>
    <n v="2500"/>
    <n v="830"/>
    <n v="2818"/>
    <n v="6295"/>
    <n v="19050"/>
    <n v="22050"/>
    <n v="10790"/>
    <n v="410723.5"/>
    <n v="786875"/>
    <n v="95250"/>
    <n v="110250"/>
    <n v="1413888.5"/>
    <n v="3599"/>
    <n v="2524.800892857143"/>
    <n v="7"/>
  </r>
  <r>
    <x v="28"/>
    <x v="28"/>
    <s v="3(TARDE)"/>
    <n v="87"/>
    <s v="FINAL TURNO 2"/>
    <n v="1800"/>
    <n v="4000"/>
    <n v="1660"/>
    <n v="100"/>
    <n v="115"/>
    <n v="17999"/>
    <n v="560"/>
    <n v="80"/>
    <n v="60"/>
    <n v="190"/>
    <n v="60"/>
    <n v="5"/>
    <n v="5"/>
    <n v="78"/>
    <n v="251.75"/>
    <n v="75"/>
    <n v="5"/>
    <n v="5"/>
    <n v="139.28571428571428"/>
    <n v="449.55357142857144"/>
    <n v="133.92857142857142"/>
    <n v="8.9285714285714288"/>
    <n v="8.9285714285714288"/>
    <n v="1.3"/>
    <n v="1.325"/>
    <n v="1.25"/>
    <n v="2500"/>
    <n v="2500"/>
    <n v="830"/>
    <n v="2818"/>
    <n v="6295"/>
    <n v="19050"/>
    <n v="22050"/>
    <n v="64740"/>
    <n v="709431.5"/>
    <n v="472125"/>
    <n v="95250"/>
    <n v="110250"/>
    <n v="1451796.5"/>
    <n v="3599"/>
    <n v="2592.4937500000001"/>
    <n v="7"/>
  </r>
  <r>
    <x v="29"/>
    <x v="29"/>
    <s v="30 (NOCHE)"/>
    <n v="88"/>
    <s v="FINAL TURNO 3"/>
    <n v="1740"/>
    <n v="3810"/>
    <n v="1600"/>
    <n v="95"/>
    <n v="110"/>
    <n v="18006"/>
    <n v="560"/>
    <n v="80"/>
    <n v="130"/>
    <n v="200"/>
    <n v="50"/>
    <n v="5"/>
    <n v="5"/>
    <n v="169"/>
    <n v="265"/>
    <n v="62.5"/>
    <n v="5"/>
    <n v="5"/>
    <n v="301.78571428571428"/>
    <n v="473.21428571428572"/>
    <n v="111.60714285714286"/>
    <n v="8.9285714285714288"/>
    <n v="8.9285714285714288"/>
    <n v="1.3"/>
    <n v="1.325"/>
    <n v="1.25"/>
    <n v="2500"/>
    <n v="2500"/>
    <n v="830"/>
    <n v="2818"/>
    <n v="6295"/>
    <n v="19050"/>
    <n v="22050"/>
    <n v="140270"/>
    <n v="746770"/>
    <n v="393437.5"/>
    <n v="95250"/>
    <n v="110250"/>
    <n v="1485977.5"/>
    <n v="3599"/>
    <n v="2653.53125"/>
    <n v="7"/>
  </r>
  <r>
    <x v="29"/>
    <x v="29"/>
    <s v="31 (MAÑANA)"/>
    <n v="89"/>
    <s v="FINAL TURNO 1"/>
    <n v="1610"/>
    <n v="3510"/>
    <n v="1550"/>
    <n v="90"/>
    <n v="105"/>
    <n v="18013"/>
    <n v="560"/>
    <n v="80"/>
    <n v="130"/>
    <n v="210"/>
    <n v="50"/>
    <n v="5"/>
    <n v="5"/>
    <n v="169"/>
    <n v="278.25"/>
    <n v="62.5"/>
    <n v="5"/>
    <n v="5"/>
    <n v="301.78571428571428"/>
    <n v="496.875"/>
    <n v="111.60714285714286"/>
    <n v="8.9285714285714288"/>
    <n v="8.9285714285714288"/>
    <n v="1.3"/>
    <n v="1.325"/>
    <n v="1.25"/>
    <n v="2500"/>
    <n v="2500"/>
    <n v="830"/>
    <n v="2818"/>
    <n v="6295"/>
    <n v="19050"/>
    <n v="22050"/>
    <n v="140270"/>
    <n v="784108.5"/>
    <n v="393437.5"/>
    <n v="95250"/>
    <n v="110250"/>
    <n v="1523316"/>
    <n v="3599"/>
    <n v="2720.207142857143"/>
    <n v="7"/>
  </r>
  <r>
    <x v="29"/>
    <x v="29"/>
    <s v="3(TARDE)"/>
    <n v="90"/>
    <s v="FINAL TURNO 2"/>
    <n v="1480"/>
    <n v="3300"/>
    <n v="1500"/>
    <n v="85"/>
    <n v="100"/>
    <n v="18020"/>
    <n v="400"/>
    <n v="80"/>
    <n v="80"/>
    <n v="120"/>
    <n v="60"/>
    <n v="5"/>
    <n v="5"/>
    <n v="104"/>
    <n v="159"/>
    <n v="75"/>
    <n v="5"/>
    <n v="5"/>
    <n v="260"/>
    <n v="397.5"/>
    <n v="187.5"/>
    <n v="12.5"/>
    <n v="12.5"/>
    <n v="1.3"/>
    <n v="1.325"/>
    <n v="1.25"/>
    <n v="2500"/>
    <n v="2500"/>
    <n v="830"/>
    <n v="2818"/>
    <n v="6295"/>
    <n v="19050"/>
    <n v="22050"/>
    <n v="86320"/>
    <n v="448062"/>
    <n v="472125"/>
    <n v="95250"/>
    <n v="110250"/>
    <n v="1212007"/>
    <n v="3599"/>
    <n v="3030.0174999999999"/>
    <n v="5"/>
  </r>
  <r>
    <x v="30"/>
    <x v="30"/>
    <s v="31 (NOCHE)"/>
    <n v="91"/>
    <s v="FINAL TURNO 3"/>
    <n v="1400"/>
    <n v="3180"/>
    <n v="1440"/>
    <n v="80"/>
    <n v="95"/>
    <n v="18025"/>
    <n v="-1442000"/>
    <n v="80"/>
    <n v="1400"/>
    <n v="3180"/>
    <n v="1440"/>
    <n v="80"/>
    <n v="95"/>
    <n v="1820"/>
    <n v="4213.5"/>
    <n v="1800"/>
    <n v="80"/>
    <n v="95"/>
    <n v="-1.2621359223300972"/>
    <n v="-2.9219833564493758"/>
    <n v="-1.248266296809986"/>
    <n v="-5.5478502080443831E-2"/>
    <n v="-6.5880721220527044E-2"/>
    <n v="1.3"/>
    <n v="1.325"/>
    <n v="1.25"/>
    <n v="2500"/>
    <n v="2500"/>
    <n v="830"/>
    <n v="2818"/>
    <n v="6295"/>
    <n v="19050"/>
    <n v="22050"/>
    <n v="1510600"/>
    <n v="11873643"/>
    <n v="11331000"/>
    <n v="1524000"/>
    <n v="2094750"/>
    <n v="28333993"/>
    <n v="3599"/>
    <n v="-19.649093619972259"/>
    <n v="-18025"/>
  </r>
  <r>
    <x v="30"/>
    <x v="30"/>
    <s v="32 (MAÑANA)"/>
    <n v="92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30"/>
    <x v="30"/>
    <s v="3(TARDE)"/>
    <n v="93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31"/>
    <x v="31"/>
    <m/>
    <m/>
    <m/>
    <m/>
    <m/>
    <m/>
    <m/>
    <m/>
    <m/>
    <n v="0"/>
    <m/>
    <n v="0"/>
    <m/>
    <m/>
    <n v="0"/>
    <m/>
    <n v="0"/>
    <n v="0"/>
    <n v="0"/>
    <n v="0"/>
    <n v="0"/>
    <e v="#DIV/0!"/>
    <e v="#DIV/0!"/>
    <e v="#DIV/0!"/>
    <e v="#DIV/0!"/>
    <e v="#DIV/0!"/>
    <m/>
    <m/>
    <m/>
    <m/>
    <m/>
    <m/>
    <m/>
    <m/>
    <m/>
    <m/>
    <n v="0"/>
    <n v="0"/>
    <n v="0"/>
    <n v="0"/>
    <n v="0"/>
    <n v="0"/>
    <m/>
    <e v="#DIV/0!"/>
    <n v="0"/>
  </r>
  <r>
    <x v="31"/>
    <x v="31"/>
    <m/>
    <m/>
    <m/>
    <m/>
    <m/>
    <m/>
    <m/>
    <m/>
    <m/>
    <n v="0"/>
    <m/>
    <n v="-2160"/>
    <m/>
    <m/>
    <n v="-205"/>
    <m/>
    <n v="-2808"/>
    <n v="0"/>
    <n v="0"/>
    <n v="-205"/>
    <n v="0"/>
    <e v="#DIV/0!"/>
    <e v="#DIV/0!"/>
    <e v="#DIV/0!"/>
    <e v="#DIV/0!"/>
    <e v="#DIV/0!"/>
    <m/>
    <m/>
    <m/>
    <m/>
    <m/>
    <m/>
    <m/>
    <m/>
    <m/>
    <m/>
    <n v="0"/>
    <n v="0"/>
    <n v="0"/>
    <n v="0"/>
    <n v="0"/>
    <n v="0"/>
    <m/>
    <e v="#DIV/0!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s v="1 (NOCHE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0"/>
    <x v="0"/>
    <s v="2 (MAÑANA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0"/>
    <x v="0"/>
    <s v="3(TARDE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"/>
    <x v="1"/>
    <s v="1 (NOCHE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"/>
    <x v="1"/>
    <s v="2 (MAÑANA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"/>
    <x v="1"/>
    <s v="3(TARDE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"/>
    <x v="2"/>
    <s v="1 (NOCHE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"/>
    <x v="2"/>
    <s v="2 (MAÑANA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"/>
    <x v="2"/>
    <s v="3(TARDE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"/>
    <x v="3"/>
    <s v="1 (NOCHE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"/>
    <x v="3"/>
    <s v="2 (MAÑANA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"/>
    <x v="3"/>
    <s v="3(TARDE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4"/>
    <x v="4"/>
    <s v="1 (NOCHE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4"/>
    <x v="4"/>
    <s v="2 (MAÑANA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4"/>
    <x v="4"/>
    <s v="3(TARDE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5"/>
    <x v="5"/>
    <s v="1 (NOCHE)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5"/>
    <x v="5"/>
    <s v="2 (MAÑANA)"/>
    <m/>
    <m/>
    <m/>
    <m/>
    <m/>
    <n v="2.5106341463414634"/>
    <n v="102.93600000000001"/>
    <n v="41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10808.28"/>
    <n v="10808.28"/>
    <n v="1000"/>
    <n v="105"/>
  </r>
  <r>
    <x v="5"/>
    <x v="5"/>
    <s v="3(TARDE)"/>
    <m/>
    <m/>
    <m/>
    <m/>
    <m/>
    <n v="6.8009047619047616"/>
    <n v="285.63799999999998"/>
    <n v="42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9991.99"/>
    <n v="29991.99"/>
    <n v="1000"/>
    <n v="105.00000000000001"/>
  </r>
  <r>
    <x v="6"/>
    <x v="6"/>
    <s v="1 (NOCHE)"/>
    <m/>
    <m/>
    <m/>
    <m/>
    <m/>
    <n v="8.2798292682926835"/>
    <n v="339.47300000000001"/>
    <n v="41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5644.665000000008"/>
    <n v="35644.665000000008"/>
    <n v="1000"/>
    <n v="105.00000000000001"/>
  </r>
  <r>
    <x v="6"/>
    <x v="6"/>
    <s v="2 (MAÑANA)"/>
    <m/>
    <m/>
    <m/>
    <m/>
    <m/>
    <n v="8.4659000000000013"/>
    <n v="338.63600000000002"/>
    <n v="4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5556.780000000006"/>
    <n v="35556.780000000006"/>
    <n v="1000"/>
    <n v="105.00000000000001"/>
  </r>
  <r>
    <x v="6"/>
    <x v="6"/>
    <s v="3(TARDE)"/>
    <m/>
    <m/>
    <m/>
    <m/>
    <m/>
    <n v="7.8330512820512812"/>
    <n v="305.48899999999998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2076.345000000001"/>
    <n v="32076.345000000001"/>
    <n v="1000"/>
    <n v="105.00000000000001"/>
  </r>
  <r>
    <x v="7"/>
    <x v="7"/>
    <s v="1 (NOCHE)"/>
    <m/>
    <m/>
    <m/>
    <m/>
    <m/>
    <n v="7.5921538461538463"/>
    <n v="296.09399999999999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1089.870000000003"/>
    <n v="31089.870000000003"/>
    <n v="1000"/>
    <n v="105.00000000000001"/>
  </r>
  <r>
    <x v="7"/>
    <x v="7"/>
    <s v="2 (MAÑANA)"/>
    <m/>
    <m/>
    <m/>
    <m/>
    <m/>
    <n v="8.8325675675675672"/>
    <n v="326.80500000000001"/>
    <n v="37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4314.525000000001"/>
    <n v="34314.525000000001"/>
    <n v="1000"/>
    <n v="105"/>
  </r>
  <r>
    <x v="7"/>
    <x v="7"/>
    <s v="3(TARDE)"/>
    <m/>
    <m/>
    <m/>
    <m/>
    <m/>
    <n v="6.5840000000000005"/>
    <n v="269.94400000000002"/>
    <n v="41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8344.120000000003"/>
    <n v="28344.120000000003"/>
    <n v="1000"/>
    <n v="105"/>
  </r>
  <r>
    <x v="8"/>
    <x v="8"/>
    <s v="1 (NOCHE)"/>
    <m/>
    <m/>
    <m/>
    <m/>
    <m/>
    <n v="6.9993499999999997"/>
    <n v="279.97399999999999"/>
    <n v="4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9397.27"/>
    <n v="29397.27"/>
    <n v="1000"/>
    <n v="105"/>
  </r>
  <r>
    <x v="8"/>
    <x v="8"/>
    <s v="2 (MAÑANA)"/>
    <m/>
    <m/>
    <m/>
    <m/>
    <m/>
    <n v="7.289575000000001"/>
    <n v="291.58300000000003"/>
    <n v="4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0616.215000000004"/>
    <n v="30616.215000000004"/>
    <n v="1000"/>
    <n v="105"/>
  </r>
  <r>
    <x v="8"/>
    <x v="8"/>
    <s v="3(TARDE)"/>
    <m/>
    <m/>
    <m/>
    <m/>
    <m/>
    <n v="6.500230769230769"/>
    <n v="253.50899999999999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6618.445"/>
    <n v="26618.445"/>
    <n v="1000"/>
    <n v="105"/>
  </r>
  <r>
    <x v="9"/>
    <x v="9"/>
    <s v="1 (NOCHE)"/>
    <m/>
    <m/>
    <m/>
    <m/>
    <m/>
    <n v="6.3903589743589739"/>
    <n v="249.22399999999999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6168.52"/>
    <n v="26168.52"/>
    <n v="1000"/>
    <n v="105"/>
  </r>
  <r>
    <x v="9"/>
    <x v="9"/>
    <s v="2 (MAÑANA)"/>
    <m/>
    <m/>
    <m/>
    <m/>
    <m/>
    <n v="8.1603846153846149"/>
    <n v="318.255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3416.775000000001"/>
    <n v="33416.775000000001"/>
    <n v="1000"/>
    <n v="105"/>
  </r>
  <r>
    <x v="9"/>
    <x v="9"/>
    <s v="3(TARDE)"/>
    <m/>
    <m/>
    <m/>
    <m/>
    <m/>
    <n v="7.8010789473684206"/>
    <n v="296.44099999999997"/>
    <n v="38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1126.304999999997"/>
    <n v="31126.304999999997"/>
    <n v="1000"/>
    <n v="105"/>
  </r>
  <r>
    <x v="10"/>
    <x v="10"/>
    <s v="1 (NOCHE)"/>
    <m/>
    <m/>
    <m/>
    <m/>
    <m/>
    <n v="8.0998157894736842"/>
    <n v="307.79300000000001"/>
    <n v="38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2318.265000000003"/>
    <n v="32318.265000000003"/>
    <n v="1000"/>
    <n v="105.00000000000001"/>
  </r>
  <r>
    <x v="10"/>
    <x v="10"/>
    <s v="2 (MAÑANA)"/>
    <m/>
    <m/>
    <m/>
    <m/>
    <m/>
    <n v="2.8394117647058827"/>
    <n v="96.54"/>
    <n v="34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10136.700000000003"/>
    <n v="10136.700000000003"/>
    <n v="1000"/>
    <n v="105.00000000000001"/>
  </r>
  <r>
    <x v="10"/>
    <x v="10"/>
    <s v="3(TARDE)"/>
    <m/>
    <m/>
    <m/>
    <m/>
    <m/>
    <n v="0"/>
    <n v="0"/>
    <n v="34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1"/>
    <x v="11"/>
    <s v="1 (NOCHE)"/>
    <m/>
    <m/>
    <m/>
    <m/>
    <m/>
    <n v="0"/>
    <n v="0"/>
    <n v="34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1"/>
    <x v="11"/>
    <s v="2 (MAÑANA)"/>
    <m/>
    <m/>
    <m/>
    <m/>
    <m/>
    <n v="0"/>
    <n v="0"/>
    <n v="34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1"/>
    <x v="11"/>
    <s v="3(TARDE)"/>
    <m/>
    <n v="0"/>
    <n v="0"/>
    <m/>
    <m/>
    <n v="0"/>
    <n v="0"/>
    <n v="34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2"/>
    <x v="12"/>
    <s v="1 (NOCHE)"/>
    <m/>
    <m/>
    <m/>
    <m/>
    <m/>
    <n v="0"/>
    <n v="0"/>
    <n v="34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2"/>
    <x v="12"/>
    <s v="2 (MAÑANA)"/>
    <m/>
    <m/>
    <m/>
    <m/>
    <m/>
    <n v="0"/>
    <n v="0"/>
    <n v="41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2"/>
    <x v="12"/>
    <s v="3(TARDE)"/>
    <m/>
    <m/>
    <m/>
    <m/>
    <m/>
    <n v="9.8088536585365862"/>
    <n v="402.16300000000001"/>
    <n v="41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42227.115000000005"/>
    <n v="42227.115000000005"/>
    <n v="1000"/>
    <n v="105.00000000000001"/>
  </r>
  <r>
    <x v="13"/>
    <x v="13"/>
    <s v="1 (NOCHE)"/>
    <m/>
    <m/>
    <m/>
    <m/>
    <m/>
    <n v="8.3421578947368431"/>
    <n v="317.00200000000001"/>
    <n v="38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3285.21"/>
    <n v="33285.21"/>
    <n v="1000"/>
    <n v="105"/>
  </r>
  <r>
    <x v="13"/>
    <x v="13"/>
    <s v="2 (MAÑANA)"/>
    <m/>
    <m/>
    <m/>
    <m/>
    <m/>
    <n v="6.111756097560975"/>
    <n v="250.58199999999999"/>
    <n v="41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6311.11"/>
    <n v="26311.11"/>
    <n v="1000"/>
    <n v="105"/>
  </r>
  <r>
    <x v="13"/>
    <x v="13"/>
    <s v="3(TARDE)"/>
    <m/>
    <m/>
    <m/>
    <m/>
    <m/>
    <n v="7.6822558139534882"/>
    <n v="330.33699999999999"/>
    <n v="43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4685.385000000002"/>
    <n v="34685.385000000002"/>
    <n v="1000"/>
    <n v="105.00000000000001"/>
  </r>
  <r>
    <x v="14"/>
    <x v="14"/>
    <s v="1 (NOCHE)"/>
    <m/>
    <m/>
    <m/>
    <m/>
    <m/>
    <n v="7.7647674418604646"/>
    <n v="333.88499999999999"/>
    <n v="43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5057.925000000003"/>
    <n v="35057.925000000003"/>
    <n v="1000"/>
    <n v="105.00000000000001"/>
  </r>
  <r>
    <x v="14"/>
    <x v="14"/>
    <s v="2 (MAÑANA)"/>
    <m/>
    <m/>
    <m/>
    <m/>
    <m/>
    <n v="8.1609999999999996"/>
    <n v="359.084"/>
    <n v="44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7703.82"/>
    <n v="37703.82"/>
    <n v="1000"/>
    <n v="105"/>
  </r>
  <r>
    <x v="14"/>
    <x v="14"/>
    <s v="3(TARDE)"/>
    <m/>
    <m/>
    <m/>
    <m/>
    <m/>
    <n v="5.8427441860465112"/>
    <n v="251.238"/>
    <n v="43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6379.99"/>
    <n v="26379.99"/>
    <n v="1000"/>
    <n v="105"/>
  </r>
  <r>
    <x v="15"/>
    <x v="15"/>
    <s v="1 (NOCHE)"/>
    <m/>
    <m/>
    <m/>
    <m/>
    <m/>
    <n v="8.8095238095238102"/>
    <n v="370"/>
    <n v="42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8850"/>
    <n v="38850"/>
    <n v="1000"/>
    <n v="105"/>
  </r>
  <r>
    <x v="15"/>
    <x v="15"/>
    <s v="2 (MAÑANA)"/>
    <m/>
    <m/>
    <m/>
    <m/>
    <m/>
    <n v="7.5612750000000002"/>
    <n v="302.45100000000002"/>
    <n v="4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1757.355000000003"/>
    <n v="31757.355000000003"/>
    <n v="1000"/>
    <n v="105"/>
  </r>
  <r>
    <x v="15"/>
    <x v="15"/>
    <s v="3(TARDE)"/>
    <m/>
    <m/>
    <m/>
    <m/>
    <m/>
    <n v="7.1619318181818183"/>
    <n v="315.125"/>
    <n v="44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3088.125"/>
    <n v="33088.125"/>
    <n v="1000"/>
    <n v="105"/>
  </r>
  <r>
    <x v="16"/>
    <x v="16"/>
    <s v="1 (NOCHE)"/>
    <m/>
    <m/>
    <m/>
    <m/>
    <m/>
    <n v="7.0373684210526317"/>
    <n v="267.42"/>
    <n v="38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8079.100000000006"/>
    <n v="28079.100000000006"/>
    <n v="1000"/>
    <n v="105.00000000000001"/>
  </r>
  <r>
    <x v="16"/>
    <x v="16"/>
    <s v="2 (MAÑANA)"/>
    <m/>
    <m/>
    <m/>
    <m/>
    <m/>
    <e v="#DIV/0!"/>
    <n v="176.687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18552.135000000002"/>
    <n v="18552.135000000002"/>
    <n v="1000"/>
    <n v="105"/>
  </r>
  <r>
    <x v="16"/>
    <x v="16"/>
    <s v="3(TARDE)"/>
    <m/>
    <m/>
    <m/>
    <m/>
    <m/>
    <e v="#DIV/0!"/>
    <n v="311.25799999999998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2682.089999999997"/>
    <n v="32682.089999999997"/>
    <n v="1000"/>
    <n v="105"/>
  </r>
  <r>
    <x v="17"/>
    <x v="17"/>
    <s v="1 (NOCHE)"/>
    <m/>
    <m/>
    <m/>
    <m/>
    <m/>
    <e v="#DIV/0!"/>
    <n v="302.95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1809.75"/>
    <n v="31809.75"/>
    <n v="1000"/>
    <n v="105"/>
  </r>
  <r>
    <x v="17"/>
    <x v="17"/>
    <s v="2 (MAÑANA)"/>
    <m/>
    <m/>
    <m/>
    <m/>
    <m/>
    <e v="#DIV/0!"/>
    <n v="156.4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16422"/>
    <n v="16422"/>
    <n v="1000"/>
    <n v="105"/>
  </r>
  <r>
    <x v="17"/>
    <x v="17"/>
    <s v="3(TARDE)"/>
    <m/>
    <m/>
    <m/>
    <m/>
    <m/>
    <e v="#DIV/0!"/>
    <n v="228.859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4030.195000000003"/>
    <n v="24030.195000000003"/>
    <n v="1000"/>
    <n v="105.00000000000001"/>
  </r>
  <r>
    <x v="18"/>
    <x v="18"/>
    <s v="1 (NOCHE)"/>
    <m/>
    <m/>
    <m/>
    <m/>
    <m/>
    <e v="#DIV/0!"/>
    <n v="0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8"/>
    <x v="18"/>
    <s v="2 (MAÑANA)"/>
    <m/>
    <m/>
    <m/>
    <m/>
    <m/>
    <e v="#DIV/0!"/>
    <n v="0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8"/>
    <x v="18"/>
    <s v="3(TARDE)"/>
    <m/>
    <m/>
    <m/>
    <m/>
    <m/>
    <e v="#DIV/0!"/>
    <n v="0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9"/>
    <x v="19"/>
    <s v="1 (NOCHE)"/>
    <m/>
    <m/>
    <m/>
    <m/>
    <m/>
    <e v="#DIV/0!"/>
    <n v="212.46299999999999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2308.615000000002"/>
    <n v="22308.615000000002"/>
    <n v="1000"/>
    <n v="105.00000000000001"/>
  </r>
  <r>
    <x v="19"/>
    <x v="19"/>
    <s v="2 (MAÑANA)"/>
    <m/>
    <m/>
    <m/>
    <m/>
    <m/>
    <e v="#DIV/0!"/>
    <n v="321.68200000000002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3776.610000000008"/>
    <n v="33776.610000000008"/>
    <n v="1000"/>
    <n v="105.00000000000001"/>
  </r>
  <r>
    <x v="19"/>
    <x v="19"/>
    <s v="3(TARDE)"/>
    <m/>
    <m/>
    <m/>
    <m/>
    <m/>
    <e v="#DIV/0!"/>
    <n v="295.202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0996.210000000003"/>
    <n v="30996.210000000003"/>
    <n v="1000"/>
    <n v="105.00000000000001"/>
  </r>
  <r>
    <x v="20"/>
    <x v="20"/>
    <s v="1 (NOCHE)"/>
    <m/>
    <m/>
    <m/>
    <m/>
    <m/>
    <e v="#DIV/0!"/>
    <n v="295.144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0990.120000000003"/>
    <n v="30990.120000000003"/>
    <n v="1000"/>
    <n v="105"/>
  </r>
  <r>
    <x v="20"/>
    <x v="20"/>
    <s v="2 (MAÑANA)"/>
    <m/>
    <m/>
    <m/>
    <m/>
    <m/>
    <e v="#DIV/0!"/>
    <n v="313.81799999999998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2950.89"/>
    <n v="32950.89"/>
    <n v="1000"/>
    <n v="105"/>
  </r>
  <r>
    <x v="20"/>
    <x v="20"/>
    <s v="3(TARDE)"/>
    <m/>
    <m/>
    <m/>
    <m/>
    <m/>
    <e v="#DIV/0!"/>
    <n v="300.413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1543.365000000002"/>
    <n v="31543.365000000002"/>
    <n v="1000"/>
    <n v="105"/>
  </r>
  <r>
    <x v="21"/>
    <x v="21"/>
    <s v="1 (NOCHE)"/>
    <m/>
    <m/>
    <m/>
    <m/>
    <m/>
    <e v="#DIV/0!"/>
    <n v="260.72399999999999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7376.02"/>
    <n v="27376.02"/>
    <n v="1000"/>
    <n v="105"/>
  </r>
  <r>
    <x v="21"/>
    <x v="21"/>
    <s v="2 (MAÑANA)"/>
    <m/>
    <m/>
    <m/>
    <m/>
    <m/>
    <e v="#DIV/0!"/>
    <n v="304.88600000000002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2013.030000000006"/>
    <n v="32013.030000000006"/>
    <n v="1000"/>
    <n v="105.00000000000001"/>
  </r>
  <r>
    <x v="21"/>
    <x v="21"/>
    <s v="3(TARDE)"/>
    <m/>
    <m/>
    <m/>
    <m/>
    <m/>
    <e v="#DIV/0!"/>
    <n v="307.084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2243.82"/>
    <n v="32243.82"/>
    <n v="1000"/>
    <n v="105"/>
  </r>
  <r>
    <x v="22"/>
    <x v="22"/>
    <s v="1 (NOCHE)"/>
    <m/>
    <m/>
    <m/>
    <m/>
    <m/>
    <e v="#DIV/0!"/>
    <n v="253.452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6612.460000000003"/>
    <n v="26612.460000000003"/>
    <n v="1000"/>
    <n v="105.00000000000001"/>
  </r>
  <r>
    <x v="22"/>
    <x v="22"/>
    <s v="2 (MAÑANA)"/>
    <m/>
    <m/>
    <m/>
    <m/>
    <m/>
    <e v="#DIV/0!"/>
    <n v="295.526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1030.230000000003"/>
    <n v="31030.230000000003"/>
    <n v="1000"/>
    <n v="105.00000000000001"/>
  </r>
  <r>
    <x v="22"/>
    <x v="22"/>
    <s v="3(TARDE)"/>
    <m/>
    <m/>
    <m/>
    <m/>
    <m/>
    <e v="#DIV/0!"/>
    <n v="290.577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0510.584999999999"/>
    <n v="30510.584999999999"/>
    <n v="1000"/>
    <n v="105"/>
  </r>
  <r>
    <x v="23"/>
    <x v="23"/>
    <s v="1 (NOCHE)"/>
    <m/>
    <m/>
    <m/>
    <m/>
    <m/>
    <e v="#DIV/0!"/>
    <n v="281.216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9527.68"/>
    <n v="29527.68"/>
    <n v="1000"/>
    <n v="105"/>
  </r>
  <r>
    <x v="23"/>
    <x v="23"/>
    <s v="2 (MAÑANA)"/>
    <m/>
    <m/>
    <m/>
    <m/>
    <m/>
    <e v="#DIV/0!"/>
    <n v="285.122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9937.810000000005"/>
    <n v="29937.810000000005"/>
    <n v="1000"/>
    <n v="105.00000000000001"/>
  </r>
  <r>
    <x v="23"/>
    <x v="23"/>
    <s v="3(TARDE)"/>
    <m/>
    <m/>
    <m/>
    <m/>
    <m/>
    <e v="#DIV/0!"/>
    <n v="259.216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7217.68"/>
    <n v="27217.68"/>
    <n v="1000"/>
    <n v="105"/>
  </r>
  <r>
    <x v="24"/>
    <x v="24"/>
    <s v="1 (NOCHE)"/>
    <m/>
    <m/>
    <m/>
    <m/>
    <m/>
    <e v="#DIV/0!"/>
    <n v="394.848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41459.040000000008"/>
    <n v="41459.040000000008"/>
    <n v="1000"/>
    <n v="105.00000000000001"/>
  </r>
  <r>
    <x v="24"/>
    <x v="24"/>
    <s v="2 (MAÑANA)"/>
    <m/>
    <m/>
    <m/>
    <m/>
    <m/>
    <e v="#DIV/0!"/>
    <n v="227.734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3912.070000000003"/>
    <n v="23912.070000000003"/>
    <n v="1000"/>
    <n v="105.00000000000001"/>
  </r>
  <r>
    <x v="24"/>
    <x v="24"/>
    <s v="3(TARDE)"/>
    <m/>
    <m/>
    <m/>
    <m/>
    <m/>
    <e v="#DIV/0!"/>
    <n v="0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5"/>
    <x v="25"/>
    <s v="1 (NOCHE)"/>
    <m/>
    <m/>
    <m/>
    <m/>
    <m/>
    <e v="#DIV/0!"/>
    <n v="0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5"/>
    <x v="25"/>
    <s v="2 (MAÑANA)"/>
    <m/>
    <m/>
    <m/>
    <m/>
    <m/>
    <e v="#DIV/0!"/>
    <n v="0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5"/>
    <x v="25"/>
    <s v="3(TARDE)"/>
    <m/>
    <m/>
    <m/>
    <m/>
    <m/>
    <e v="#DIV/0!"/>
    <n v="125.733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13201.965000000002"/>
    <n v="13201.965000000002"/>
    <n v="1000"/>
    <n v="105.00000000000001"/>
  </r>
  <r>
    <x v="26"/>
    <x v="26"/>
    <s v="1 (NOCHE)"/>
    <m/>
    <m/>
    <m/>
    <m/>
    <m/>
    <e v="#DIV/0!"/>
    <n v="317.26299999999998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3312.614999999998"/>
    <n v="33312.614999999998"/>
    <n v="1000"/>
    <n v="105"/>
  </r>
  <r>
    <x v="26"/>
    <x v="26"/>
    <s v="2 (MAÑANA)"/>
    <m/>
    <m/>
    <m/>
    <m/>
    <m/>
    <e v="#DIV/0!"/>
    <n v="318.51100000000002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3443.655000000006"/>
    <n v="33443.655000000006"/>
    <n v="1000"/>
    <n v="105.00000000000001"/>
  </r>
  <r>
    <x v="26"/>
    <x v="26"/>
    <s v="3(TARDE)"/>
    <m/>
    <m/>
    <m/>
    <m/>
    <m/>
    <e v="#DIV/0!"/>
    <n v="305.17099999999999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2042.954999999998"/>
    <n v="32042.954999999998"/>
    <n v="1000"/>
    <n v="105"/>
  </r>
  <r>
    <x v="27"/>
    <x v="27"/>
    <s v="1 (NOCHE)"/>
    <m/>
    <m/>
    <m/>
    <m/>
    <m/>
    <e v="#DIV/0!"/>
    <n v="293.098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0775.290000000005"/>
    <n v="30775.290000000005"/>
    <n v="1000"/>
    <n v="105.00000000000001"/>
  </r>
  <r>
    <x v="27"/>
    <x v="27"/>
    <s v="2 (MAÑANA)"/>
    <m/>
    <m/>
    <m/>
    <m/>
    <m/>
    <e v="#DIV/0!"/>
    <n v="314.642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3037.410000000003"/>
    <n v="33037.410000000003"/>
    <n v="1000"/>
    <n v="105.00000000000001"/>
  </r>
  <r>
    <x v="27"/>
    <x v="27"/>
    <s v="3(TARDE)"/>
    <m/>
    <m/>
    <m/>
    <m/>
    <m/>
    <e v="#DIV/0!"/>
    <n v="332.59199999999998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4922.160000000003"/>
    <n v="34922.160000000003"/>
    <n v="1000"/>
    <n v="105.00000000000001"/>
  </r>
  <r>
    <x v="28"/>
    <x v="28"/>
    <s v="1 (NOCHE)"/>
    <m/>
    <m/>
    <m/>
    <m/>
    <m/>
    <e v="#DIV/0!"/>
    <n v="360.151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7815.855000000003"/>
    <n v="37815.855000000003"/>
    <n v="1000"/>
    <n v="105"/>
  </r>
  <r>
    <x v="28"/>
    <x v="28"/>
    <s v="2 (MAÑANA)"/>
    <m/>
    <m/>
    <m/>
    <m/>
    <m/>
    <e v="#DIV/0!"/>
    <n v="364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8220"/>
    <n v="38220"/>
    <n v="1000"/>
    <n v="105"/>
  </r>
  <r>
    <x v="28"/>
    <x v="28"/>
    <s v="3(TARDE)"/>
    <m/>
    <m/>
    <m/>
    <m/>
    <m/>
    <e v="#DIV/0!"/>
    <n v="321.66500000000002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3774.825000000004"/>
    <n v="33774.825000000004"/>
    <n v="1000"/>
    <n v="105"/>
  </r>
  <r>
    <x v="29"/>
    <x v="29"/>
    <s v="1 (NOCHE)"/>
    <m/>
    <m/>
    <m/>
    <m/>
    <m/>
    <e v="#DIV/0!"/>
    <n v="297.668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1255.140000000003"/>
    <n v="31255.140000000003"/>
    <n v="1000"/>
    <n v="105.00000000000001"/>
  </r>
  <r>
    <x v="29"/>
    <x v="29"/>
    <s v="2 (MAÑANA)"/>
    <m/>
    <m/>
    <m/>
    <m/>
    <m/>
    <e v="#DIV/0!"/>
    <n v="229.208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4066.84"/>
    <n v="24066.84"/>
    <n v="1000"/>
    <n v="105"/>
  </r>
  <r>
    <x v="29"/>
    <x v="29"/>
    <s v="3(TARDE)"/>
    <m/>
    <m/>
    <m/>
    <m/>
    <m/>
    <e v="#DIV/0!"/>
    <n v="182.185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19129.425000000003"/>
    <n v="19129.425000000003"/>
    <n v="1000"/>
    <n v="105.00000000000001"/>
  </r>
  <r>
    <x v="30"/>
    <x v="0"/>
    <s v="1 (NOCH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0"/>
    <x v="0"/>
    <s v="2 (MAÑANA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0"/>
    <x v="0"/>
    <s v="3(TARD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1"/>
    <x v="30"/>
    <m/>
    <m/>
    <m/>
    <m/>
    <m/>
    <m/>
    <e v="#DIV/0!"/>
    <m/>
    <m/>
    <m/>
    <m/>
    <n v="0"/>
    <n v="0"/>
    <m/>
    <n v="0"/>
    <n v="0"/>
    <n v="0"/>
    <n v="0"/>
    <n v="0"/>
    <n v="0"/>
    <n v="0"/>
    <n v="0"/>
    <n v="0"/>
    <n v="0"/>
    <m/>
    <m/>
    <m/>
    <m/>
    <m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m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254CE-D760-4F73-AA8E-DCBBC838D48E}" name="TablaDinámica1" cacheId="1" applyNumberFormats="0" applyBorderFormats="0" applyFontFormats="0" applyPatternFormats="0" applyAlignmentFormats="0" applyWidthHeightFormats="1" dataCaption="Valores" errorCaption="-" showError="1" missingCaption="0" updatedVersion="8" minRefreshableVersion="3" useAutoFormatting="1" colGrandTotals="0" itemPrintTitles="1" createdVersion="8" indent="0" outline="1" outlineData="1" multipleFieldFilters="0" chartFormat="142" rowHeaderCaption="DIA">
  <location ref="AJ4:AM35" firstHeaderRow="0" firstDataRow="1" firstDataCol="1"/>
  <pivotFields count="60">
    <pivotField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x="31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AUDAL TOTAL TRATADO GEM " fld="11" baseField="0" baseItem="0"/>
    <dataField name="  INDICADOR $m3" fld="48" baseField="0" baseItem="0" numFmtId="3"/>
    <dataField name="  2025 $m3 GEM " fld="44" subtotal="min" baseField="0" baseItem="0" numFmtId="165"/>
  </dataFields>
  <formats count="35">
    <format dxfId="5">
      <pivotArea outline="0" collapsedLevelsAreSubtotals="1" fieldPosition="0"/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outline="0" collapsedLevelsAreSubtotals="1" fieldPosition="0"/>
    </format>
    <format dxfId="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4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">
      <pivotArea type="all" dataOnly="0" outline="0" fieldPosition="0"/>
    </format>
    <format dxfId="17">
      <pivotArea outline="0" collapsedLevelsAreSubtotals="1" fieldPosition="0"/>
    </format>
    <format dxfId="18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20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">
      <pivotArea type="all" dataOnly="0" outline="0" fieldPosition="0"/>
    </format>
    <format dxfId="23">
      <pivotArea outline="0" collapsedLevelsAreSubtotals="1" fieldPosition="0"/>
    </format>
    <format dxfId="2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25">
      <pivotArea dataOnly="0" labelOnly="1" grandRow="1" outline="0" fieldPosition="0"/>
    </format>
    <format dxfId="26">
      <pivotArea field="1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">
      <pivotArea type="all" dataOnly="0" outline="0" fieldPosition="0"/>
    </format>
    <format dxfId="29">
      <pivotArea outline="0" collapsedLevelsAreSubtotals="1" fieldPosition="0"/>
    </format>
    <format dxfId="30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32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6">
      <pivotArea collapsedLevelsAreSubtotals="1" fieldPosition="0">
        <references count="2">
          <reference field="4294967294" count="1" selected="0">
            <x v="1"/>
          </reference>
          <reference field="1" count="28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37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21">
    <chartFormat chart="4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48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48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48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48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9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9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9" format="21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139" format="22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139" format="23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139" format="24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139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1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1" format="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1" format="35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141" format="36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141" format="37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141" format="38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141" format="39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D8A7A-5F2D-4C70-A087-88ABD7872D7F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Y4:BA35" firstHeaderRow="0" firstDataRow="1" firstDataCol="1"/>
  <pivotFields count="63">
    <pivotField showAll="0">
      <items count="401"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t="default"/>
      </items>
    </pivotField>
    <pivotField axis="axisRow" numFmtId="1" showAll="0">
      <items count="33"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dataFiel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3">
        <item x="1"/>
        <item x="0"/>
        <item x="2"/>
      </items>
    </pivotField>
  </pivotFields>
  <rowFields count="1">
    <field x="1"/>
  </rowFields>
  <rowItems count="3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N ENVIADO A RO (m3) " fld="9" baseField="0" baseItem="0"/>
    <dataField name="TIEMPO DE OPERACIÓN" fld="8" baseField="0" baseItem="0" numFmtId="2"/>
  </dataFields>
  <chartFormats count="4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7BF4EE-0FF1-4D3A-A6C3-58CB8FD9FD4A}" name="TablaDinámica3" cacheId="0" applyNumberFormats="0" applyBorderFormats="0" applyFontFormats="0" applyPatternFormats="0" applyAlignmentFormats="0" applyWidthHeightFormats="1" dataCaption="Valores" errorCaption="0" showError="1" missingCaption="0" updatedVersion="8" minRefreshableVersion="3" itemPrintTitles="1" createdVersion="8" indent="0" outline="1" outlineData="1" multipleFieldFilters="0" chartFormat="70" rowHeaderCaption="DÍA">
  <location ref="AT4:AW35" firstHeaderRow="0" firstDataRow="1" firstDataCol="1"/>
  <pivotFields count="63">
    <pivotField numFmtId="14" showAll="0">
      <items count="401"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x="31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dataField="1" numFmtId="42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VOLUMEN ENVIADO A RO (m3)" fld="9" baseField="0" baseItem="0"/>
    <dataField name=" LIMITE INDICADOR M3" fld="52" subtotal="min" baseField="0" baseItem="0" numFmtId="166"/>
    <dataField name=" INDICADOR $m3 RO" fld="54" baseField="0" baseItem="0" numFmtId="165"/>
  </dataFields>
  <formats count="3">
    <format dxfId="40">
      <pivotArea field="1" type="button" dataOnly="0" labelOnly="1" outline="0" axis="axisRow" fieldPosition="0"/>
    </format>
    <format dxfId="4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2">
    <chartFormat chart="2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9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21" format="20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21" format="21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22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25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22" format="26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22" format="27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67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2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7" format="29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67" format="3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7" format="31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67" format="32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67" format="33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67" format="34">
      <pivotArea type="data" outline="0" fieldPosition="0">
        <references count="2">
          <reference field="4294967294" count="1" selected="0">
            <x v="2"/>
          </reference>
          <reference field="1" count="1" selected="0">
            <x v="23"/>
          </reference>
        </references>
      </pivotArea>
    </chartFormat>
    <chartFormat chart="67" format="35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67" format="36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69" format="4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" format="4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9" format="49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69" format="5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9" format="51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69" format="52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69" format="53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69" format="54">
      <pivotArea type="data" outline="0" fieldPosition="0">
        <references count="2">
          <reference field="4294967294" count="1" selected="0">
            <x v="2"/>
          </reference>
          <reference field="1" count="1" selected="0">
            <x v="23"/>
          </reference>
        </references>
      </pivotArea>
    </chartFormat>
    <chartFormat chart="69" format="55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69" format="56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C52AB-0BDF-43D1-9F62-CC71C80FBD24}" name="TablaDinámica9" cacheId="1" applyNumberFormats="0" applyBorderFormats="0" applyFontFormats="0" applyPatternFormats="0" applyAlignmentFormats="0" applyWidthHeightFormats="1" dataCaption="Valores" errorCaption="-" missingCaption="0" showMissing="0" updatedVersion="8" minRefreshableVersion="3" useAutoFormatting="1" itemPrintTitles="1" createdVersion="8" indent="0" outline="1" outlineData="1" multipleFieldFilters="0" chartFormat="141" rowHeaderCaption="DIA">
  <location ref="AP4:AR35" firstHeaderRow="0" firstDataRow="1" firstDataCol="1"/>
  <pivotFields count="60">
    <pivotField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x="31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N TRATADO GEM  (m3)" fld="11" baseField="0" baseItem="0"/>
    <dataField name="HORAS DE OPERACIÓN " fld="46" baseField="0" baseItem="0"/>
  </dataFields>
  <formats count="23">
    <format dxfId="43">
      <pivotArea outline="0" collapsedLevelsAreSubtotals="1" fieldPosition="0"/>
    </format>
    <format dxfId="44">
      <pivotArea outline="0" collapsedLevelsAreSubtotals="1" fieldPosition="0"/>
    </format>
    <format dxfId="45">
      <pivotArea type="all" dataOnly="0" outline="0" fieldPosition="0"/>
    </format>
    <format dxfId="46">
      <pivotArea outline="0" collapsedLevelsAreSubtotals="1" fieldPosition="0"/>
    </format>
    <format dxfId="47">
      <pivotArea field="1" type="button" dataOnly="0" labelOnly="1" outline="0" axis="axisRow" fieldPosition="0"/>
    </format>
    <format dxfId="48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9">
      <pivotArea dataOnly="0" labelOnly="1" grandRow="1" outline="0" fieldPosition="0"/>
    </format>
    <format dxfId="50">
      <pivotArea type="all" dataOnly="0" outline="0" fieldPosition="0"/>
    </format>
    <format dxfId="51">
      <pivotArea outline="0" collapsedLevelsAreSubtotals="1" fieldPosition="0"/>
    </format>
    <format dxfId="52">
      <pivotArea field="1" type="button" dataOnly="0" labelOnly="1" outline="0" axis="axisRow" fieldPosition="0"/>
    </format>
    <format dxfId="53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4">
      <pivotArea dataOnly="0" labelOnly="1" grandRow="1" outline="0" fieldPosition="0"/>
    </format>
    <format dxfId="55">
      <pivotArea type="all" dataOnly="0" outline="0" fieldPosition="0"/>
    </format>
    <format dxfId="56">
      <pivotArea outline="0" collapsedLevelsAreSubtotals="1" fieldPosition="0"/>
    </format>
    <format dxfId="57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8">
      <pivotArea dataOnly="0" labelOnly="1" grandRow="1" outline="0" fieldPosition="0"/>
    </format>
    <format dxfId="59">
      <pivotArea field="1" type="button" dataOnly="0" labelOnly="1" outline="0" axis="axisRow" fieldPosition="0"/>
    </format>
    <format dxfId="60">
      <pivotArea type="all" dataOnly="0" outline="0" fieldPosition="0"/>
    </format>
    <format dxfId="61">
      <pivotArea outline="0" collapsedLevelsAreSubtotals="1" fieldPosition="0"/>
    </format>
    <format dxfId="62">
      <pivotArea field="1" type="button" dataOnly="0" labelOnly="1" outline="0" axis="axisRow" fieldPosition="0"/>
    </format>
    <format dxfId="63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4">
      <pivotArea dataOnly="0" labelOnly="1" grandRow="1" outline="0" fieldPosition="0"/>
    </format>
    <format dxfId="65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3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8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0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09186-F550-4694-B1B1-7D1FC5A9C432}" name="TablaDinámica5" cacheId="1" applyNumberFormats="0" applyBorderFormats="0" applyFontFormats="0" applyPatternFormats="0" applyAlignmentFormats="0" applyWidthHeightFormats="1" dataCaption="Valores" errorCaption="-" missingCaption="0" showMissing="0" updatedVersion="8" minRefreshableVersion="3" useAutoFormatting="1" itemPrintTitles="1" createdVersion="8" indent="0" outline="1" outlineData="1" multipleFieldFilters="0" chartFormat="131" rowHeaderCaption="DIA">
  <location ref="BH4:BJ35" firstHeaderRow="0" firstDataRow="1" firstDataCol="1"/>
  <pivotFields count="60">
    <pivotField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x="31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N TRATADO GEM  (m3)" fld="11" baseField="0" baseItem="0"/>
    <dataField name="COSTO QUIMICA  GEM" fld="43" baseField="0" baseItem="0"/>
  </dataFields>
  <formats count="24">
    <format dxfId="66">
      <pivotArea outline="0" collapsedLevelsAreSubtotals="1" fieldPosition="0"/>
    </format>
    <format dxfId="67">
      <pivotArea outline="0" collapsedLevelsAreSubtotals="1" fieldPosition="0"/>
    </format>
    <format dxfId="68">
      <pivotArea type="all" dataOnly="0" outline="0" fieldPosition="0"/>
    </format>
    <format dxfId="69">
      <pivotArea outline="0" collapsedLevelsAreSubtotals="1" fieldPosition="0"/>
    </format>
    <format dxfId="70">
      <pivotArea field="1" type="button" dataOnly="0" labelOnly="1" outline="0" axis="axisRow" fieldPosition="0"/>
    </format>
    <format dxfId="71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72">
      <pivotArea dataOnly="0" labelOnly="1" grandRow="1" outline="0" fieldPosition="0"/>
    </format>
    <format dxfId="73">
      <pivotArea type="all" dataOnly="0" outline="0" fieldPosition="0"/>
    </format>
    <format dxfId="74">
      <pivotArea outline="0" collapsedLevelsAreSubtotals="1" fieldPosition="0"/>
    </format>
    <format dxfId="75">
      <pivotArea field="1" type="button" dataOnly="0" labelOnly="1" outline="0" axis="axisRow" fieldPosition="0"/>
    </format>
    <format dxfId="76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77">
      <pivotArea dataOnly="0" labelOnly="1" grandRow="1" outline="0" fieldPosition="0"/>
    </format>
    <format dxfId="78">
      <pivotArea type="all" dataOnly="0" outline="0" fieldPosition="0"/>
    </format>
    <format dxfId="79">
      <pivotArea outline="0" collapsedLevelsAreSubtotals="1" fieldPosition="0"/>
    </format>
    <format dxfId="80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81">
      <pivotArea dataOnly="0" labelOnly="1" grandRow="1" outline="0" fieldPosition="0"/>
    </format>
    <format dxfId="82">
      <pivotArea type="all" dataOnly="0" outline="0" fieldPosition="0"/>
    </format>
    <format dxfId="83">
      <pivotArea outline="0" collapsedLevelsAreSubtotals="1" fieldPosition="0"/>
    </format>
    <format dxfId="8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85">
      <pivotArea dataOnly="0" labelOnly="1" grandRow="1" outline="0" fieldPosition="0"/>
    </format>
    <format dxfId="8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7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88">
      <pivotArea field="1" type="button" dataOnly="0" labelOnly="1" outline="0" axis="axisRow" fieldPosition="0"/>
    </format>
    <format dxfId="89">
      <pivotArea dataOnly="0" labelOnly="1" fieldPosition="0">
        <references count="1">
          <reference field="1" count="1">
            <x v="11"/>
          </reference>
        </references>
      </pivotArea>
    </format>
  </formats>
  <chartFormats count="1">
    <chartFormat chart="1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B95EA-18AD-4D3F-BC2A-7A8E8CAE753F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C4:BF35" firstHeaderRow="0" firstDataRow="1" firstDataCol="1"/>
  <pivotFields count="63">
    <pivotField showAll="0">
      <items count="401"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t="default"/>
      </items>
    </pivotField>
    <pivotField axis="axisRow" numFmtId="1" showAll="0">
      <items count="33"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dataFiel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dataField="1" numFmtId="42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3">
        <item x="1"/>
        <item x="0"/>
        <item x="2"/>
      </items>
    </pivotField>
  </pivotFields>
  <rowFields count="1">
    <field x="1"/>
  </rowFields>
  <rowItems count="3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OLUMEN ENVIADO A RO (m3) " fld="9" baseField="0" baseItem="0"/>
    <dataField name="TIEMPO DE OPERACIÓN" fld="8" baseField="0" baseItem="0" numFmtId="2"/>
    <dataField name="COSTO QUIMICA  " fld="51" baseField="0" baseItem="0" numFmtId="4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6E62F-5196-4785-9C75-0E8FF5F7D310}" name="TablaDinámica6" cacheId="1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9" rowHeaderCaption="DIA">
  <location ref="AD3:AJ34" firstHeaderRow="0" firstDataRow="1" firstDataCol="1" rowPageCount="1" colPageCount="1"/>
  <pivotFields count="60">
    <pivotField axis="axisPage" numFmtId="14" multipleItemSelectionAllowed="1"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x="31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numFmtId="173" showAll="0"/>
    <pivotField numFmtId="173" showAll="0"/>
    <pivotField numFmtId="173" showAll="0"/>
    <pivotField numFmtId="3" showAll="0"/>
    <pivotField numFmtId="3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CONSUMO POL CATIONICO (KG) " fld="17" baseField="0" baseItem="0" numFmtId="3"/>
    <dataField name="CONSUMO POL ANIONICO (KG) " fld="16" baseField="0" baseItem="0" numFmtId="3"/>
    <dataField name="CONSUMO LITROS ACIDO (L) " fld="13" baseField="0" baseItem="0" numFmtId="3"/>
    <dataField name="CONSUMO LITROS COAGULANTE (L) " fld="14" baseField="0" baseItem="0" numFmtId="3"/>
    <dataField name="CONSUMO LITROS DECOLORANTE (L) " fld="15" baseField="0" baseItem="0" numFmtId="3"/>
    <dataField name=" INDICADOR $m3 " fld="48" baseField="0" baseItem="0"/>
  </dataFields>
  <formats count="4">
    <format dxfId="90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91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92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9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hartFormats count="16"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5"/>
          </reference>
          <reference field="1" count="1" selected="0">
            <x v="18"/>
          </reference>
        </references>
      </pivotArea>
    </chartFormat>
    <chartFormat chart="1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1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8" format="1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8" format="1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8" format="13">
      <pivotArea type="data" outline="0" fieldPosition="0">
        <references count="2">
          <reference field="4294967294" count="1" selected="0">
            <x v="5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3C455-1998-4283-8E20-6C93317D6EEC}" name="TablaDinámica7" cacheId="1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8" rowHeaderCaption="DIA">
  <location ref="AL3:AR34" firstHeaderRow="0" firstDataRow="1" firstDataCol="1" rowPageCount="1" colPageCount="1"/>
  <pivotFields count="60">
    <pivotField axis="axisPage" numFmtId="14" multipleItemSelectionAllowed="1"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x="31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showAll="0"/>
    <pivotField showAll="0"/>
    <pivotField showAll="0"/>
    <pivotField showAll="0"/>
    <pivotField showAll="0"/>
    <pivotField numFmtId="173" showAll="0"/>
    <pivotField numFmtId="173" showAll="0"/>
    <pivotField numFmtId="173" showAll="0"/>
    <pivotField numFmtId="3" showAll="0"/>
    <pivotField numFmtId="3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KG POL CATIONICO  " fld="22" baseField="0" baseItem="0" numFmtId="3"/>
    <dataField name="KG POL ANIONICO  " fld="21" baseField="0" baseItem="0" numFmtId="3"/>
    <dataField name="KG ACIDO " fld="18" baseField="0" baseItem="0" numFmtId="3"/>
    <dataField name="KG COAGULANTE " fld="19" baseField="0" baseItem="0" numFmtId="3"/>
    <dataField name="KG DECOLORANTE  " fld="20" baseField="0" baseItem="0" numFmtId="3"/>
    <dataField name=" INDICADOR $m3 " fld="48" baseField="0" baseItem="0"/>
  </dataFields>
  <formats count="3">
    <format dxfId="94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95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96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chartFormats count="17"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5"/>
          </reference>
          <reference field="1" count="1" selected="0">
            <x v="18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4"/>
          </reference>
          <reference field="1" count="1" selected="0">
            <x v="23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98D18F-020E-42CC-8E8D-FBD07014E9CD}" name="TablaDinámica5" cacheId="1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5" rowHeaderCaption="DIA">
  <location ref="V3:AB34" firstHeaderRow="0" firstDataRow="1" firstDataCol="1" rowPageCount="1" colPageCount="1"/>
  <pivotFields count="60">
    <pivotField axis="axisPage" numFmtId="14" multipleItemSelectionAllowed="1"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x="31"/>
        <item t="default"/>
      </items>
    </pivotField>
    <pivotField axis="axisRow" numFmtId="1" showAll="0" sortType="ascending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numFmtId="173" showAll="0"/>
    <pivotField numFmtId="173" showAll="0"/>
    <pivotField numFmtId="173" showAll="0"/>
    <pivotField numFmtId="3" showAll="0"/>
    <pivotField numFmtId="3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COF 494 - PPM POL CATIONICO " fld="53" baseField="0" baseItem="0" numFmtId="3"/>
    <dataField name="COF 440 - PPM POL ANIONICO " fld="52" baseField="0" baseItem="0" numFmtId="3"/>
    <dataField name="COF 280 - PPM ACIDO " fld="49" baseField="0" baseItem="0" numFmtId="3"/>
    <dataField name="COF 235 - PPM COAGULANTE  " fld="50" baseField="0" baseItem="0" numFmtId="3"/>
    <dataField name="COF 255 - PPM DECOLORANTE " fld="51" baseField="0" baseItem="0" numFmtId="3"/>
    <dataField name=" INDICADOR $m3 " fld="48" baseField="0" baseItem="0"/>
  </dataFields>
  <formats count="3">
    <format dxfId="97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98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99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chartFormats count="12"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" format="1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9D691-432F-4D7A-9D45-004A482BD5CD}" name="TablaDinámica10" cacheId="1" applyNumberFormats="0" applyBorderFormats="0" applyFontFormats="0" applyPatternFormats="0" applyAlignmentFormats="0" applyWidthHeightFormats="1" dataCaption="Valores" errorCaption="0" showError="1" missingCaption="0" showMissing="0" updatedVersion="8" minRefreshableVersion="3" useAutoFormatting="1" itemPrintTitles="1" createdVersion="8" indent="0" outline="1" outlineData="1" multipleFieldFilters="0" chartFormat="137" rowHeaderCaption="DIA">
  <location ref="AT3:AZ35" firstHeaderRow="0" firstDataRow="1" firstDataCol="1"/>
  <pivotFields count="60">
    <pivotField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x="31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INDICADOR $m3 " fld="48" baseField="0" baseItem="0" numFmtId="166"/>
    <dataField name="INDICADOR $ACIDO/M3 " fld="55" baseField="0" baseItem="0" numFmtId="166"/>
    <dataField name=" INDICADOR $COAGULANTE/M3 " fld="56" baseField="0" baseItem="0" numFmtId="166"/>
    <dataField name="INDICADOR $DECOLORANTE/M3 " fld="57" baseField="0" baseItem="0" numFmtId="166"/>
    <dataField name="INDICADOR $POL ANIONICO/ M3 " fld="58" baseField="0" baseItem="0" numFmtId="166"/>
    <dataField name=" INDICADOR $POL CATIONICO / M3 " fld="59" baseField="0" baseItem="0" numFmtId="166"/>
  </dataFields>
  <formats count="26">
    <format dxfId="100">
      <pivotArea outline="0" collapsedLevelsAreSubtotals="1" fieldPosition="0"/>
    </format>
    <format dxfId="101">
      <pivotArea outline="0" collapsedLevelsAreSubtotals="1" fieldPosition="0"/>
    </format>
    <format dxfId="102">
      <pivotArea type="all" dataOnly="0" outline="0" fieldPosition="0"/>
    </format>
    <format dxfId="103">
      <pivotArea outline="0" collapsedLevelsAreSubtotals="1" fieldPosition="0"/>
    </format>
    <format dxfId="104">
      <pivotArea field="1" type="button" dataOnly="0" labelOnly="1" outline="0" axis="axisRow" fieldPosition="0"/>
    </format>
    <format dxfId="105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06">
      <pivotArea dataOnly="0" labelOnly="1" grandRow="1" outline="0" fieldPosition="0"/>
    </format>
    <format dxfId="107">
      <pivotArea type="all" dataOnly="0" outline="0" fieldPosition="0"/>
    </format>
    <format dxfId="108">
      <pivotArea outline="0" collapsedLevelsAreSubtotals="1" fieldPosition="0"/>
    </format>
    <format dxfId="109">
      <pivotArea field="1" type="button" dataOnly="0" labelOnly="1" outline="0" axis="axisRow" fieldPosition="0"/>
    </format>
    <format dxfId="110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11">
      <pivotArea dataOnly="0" labelOnly="1" grandRow="1" outline="0" fieldPosition="0"/>
    </format>
    <format dxfId="112">
      <pivotArea type="all" dataOnly="0" outline="0" fieldPosition="0"/>
    </format>
    <format dxfId="113">
      <pivotArea outline="0" collapsedLevelsAreSubtotals="1" fieldPosition="0"/>
    </format>
    <format dxfId="11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15">
      <pivotArea dataOnly="0" labelOnly="1" grandRow="1" outline="0" fieldPosition="0"/>
    </format>
    <format dxfId="116">
      <pivotArea type="all" dataOnly="0" outline="0" fieldPosition="0"/>
    </format>
    <format dxfId="117">
      <pivotArea outline="0" collapsedLevelsAreSubtotals="1" fieldPosition="0"/>
    </format>
    <format dxfId="118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19">
      <pivotArea dataOnly="0" labelOnly="1" grandRow="1" outline="0" fieldPosition="0"/>
    </format>
    <format dxfId="120">
      <pivotArea field="1" type="button" dataOnly="0" labelOnly="1" outline="0" axis="axisRow" fieldPosition="0"/>
    </format>
    <format dxfId="121">
      <pivotArea dataOnly="0" labelOnly="1" fieldPosition="0">
        <references count="1">
          <reference field="1" count="1">
            <x v="11"/>
          </reference>
        </references>
      </pivotArea>
    </format>
    <format dxfId="12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2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4">
      <pivotArea dataOnly="0" fieldPosition="0">
        <references count="1">
          <reference field="1" count="0"/>
        </references>
      </pivotArea>
    </format>
    <format dxfId="125">
      <pivotArea outline="0" collapsedLevelsAreSubtotals="1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</formats>
  <chartFormats count="12">
    <chartFormat chart="13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3" format="1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3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3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6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6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6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6" format="2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6" format="2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6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" xr10:uid="{C7E0A261-22BE-4372-8536-BF36A54AA81E}" sourceName="DIA">
  <pivotTables>
    <pivotTable tabId="1" name="TablaDinámica5"/>
    <pivotTable tabId="1" name="TablaDinámica6"/>
    <pivotTable tabId="1" name="TablaDinámica7"/>
    <pivotTable tabId="1" name="TablaDinámica10"/>
  </pivotTables>
  <data>
    <tabular pivotCacheId="489179697">
      <items count="3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/>
        <i x="3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1" xr10:uid="{B3ED3A29-0E02-4AC6-847B-BEE30BDE1FB2}" sourceName="FECHA">
  <data>
    <tabular pivotCacheId="489179697">
      <items count="548">
        <i x="518"/>
        <i x="519"/>
        <i x="520"/>
        <i x="521"/>
        <i x="522"/>
        <i x="523"/>
        <i x="524"/>
        <i x="525"/>
        <i x="526"/>
        <i x="527"/>
        <i x="528"/>
        <i x="529"/>
        <i x="530"/>
        <i x="531"/>
        <i x="532"/>
        <i x="533"/>
        <i x="534"/>
        <i x="535"/>
        <i x="536"/>
        <i x="537"/>
        <i x="538"/>
        <i x="539"/>
        <i x="540"/>
        <i x="541"/>
        <i x="542"/>
        <i x="543"/>
        <i x="544"/>
        <i x="545"/>
        <i x="546"/>
        <i x="547"/>
        <i x="487"/>
        <i x="488"/>
        <i x="489"/>
        <i x="490"/>
        <i x="491"/>
        <i x="492"/>
        <i x="493"/>
        <i x="494"/>
        <i x="495"/>
        <i x="496"/>
        <i x="497"/>
        <i x="498"/>
        <i x="499"/>
        <i x="500"/>
        <i x="501"/>
        <i x="502"/>
        <i x="503"/>
        <i x="504"/>
        <i x="505"/>
        <i x="506"/>
        <i x="507"/>
        <i x="508"/>
        <i x="509"/>
        <i x="510"/>
        <i x="511"/>
        <i x="512"/>
        <i x="513"/>
        <i x="514"/>
        <i x="515"/>
        <i x="516"/>
        <i x="517"/>
        <i x="457"/>
        <i x="458"/>
        <i x="459"/>
        <i x="460"/>
        <i x="461"/>
        <i x="462"/>
        <i x="463"/>
        <i x="464"/>
        <i x="465"/>
        <i x="466"/>
        <i x="467"/>
        <i x="468"/>
        <i x="469"/>
        <i x="470"/>
        <i x="471"/>
        <i x="472"/>
        <i x="473"/>
        <i x="474"/>
        <i x="475"/>
        <i x="476"/>
        <i x="477"/>
        <i x="478"/>
        <i x="479"/>
        <i x="480"/>
        <i x="481"/>
        <i x="482"/>
        <i x="483"/>
        <i x="484"/>
        <i x="485"/>
        <i x="486"/>
        <i x="426"/>
        <i x="427"/>
        <i x="428"/>
        <i x="429"/>
        <i x="430"/>
        <i x="431"/>
        <i x="432"/>
        <i x="433"/>
        <i x="434"/>
        <i x="435"/>
        <i x="436"/>
        <i x="437"/>
        <i x="438"/>
        <i x="439"/>
        <i x="440"/>
        <i x="441"/>
        <i x="442"/>
        <i x="443"/>
        <i x="444"/>
        <i x="445"/>
        <i x="446"/>
        <i x="447"/>
        <i x="448"/>
        <i x="449"/>
        <i x="450"/>
        <i x="451"/>
        <i x="452"/>
        <i x="453"/>
        <i x="454"/>
        <i x="455"/>
        <i x="456"/>
        <i x="395"/>
        <i x="396"/>
        <i x="397"/>
        <i x="398"/>
        <i x="399"/>
        <i x="400"/>
        <i x="401"/>
        <i x="402"/>
        <i x="403"/>
        <i x="404"/>
        <i x="405"/>
        <i x="406"/>
        <i x="407"/>
        <i x="408"/>
        <i x="409"/>
        <i x="410"/>
        <i x="411"/>
        <i x="412"/>
        <i x="413"/>
        <i x="414"/>
        <i x="415"/>
        <i x="416"/>
        <i x="417"/>
        <i x="418"/>
        <i x="419"/>
        <i x="420"/>
        <i x="421"/>
        <i x="422"/>
        <i x="423"/>
        <i x="424"/>
        <i x="425"/>
        <i x="367"/>
        <i x="368"/>
        <i x="369"/>
        <i x="370"/>
        <i x="371"/>
        <i x="372"/>
        <i x="373"/>
        <i x="374"/>
        <i x="375"/>
        <i x="376"/>
        <i x="377"/>
        <i x="378"/>
        <i x="379"/>
        <i x="380"/>
        <i x="381"/>
        <i x="382"/>
        <i x="383"/>
        <i x="384"/>
        <i x="385"/>
        <i x="386"/>
        <i x="387"/>
        <i x="388"/>
        <i x="389"/>
        <i x="390"/>
        <i x="391"/>
        <i x="392"/>
        <i x="393"/>
        <i x="394"/>
        <i x="336"/>
        <i x="337"/>
        <i x="338"/>
        <i x="339"/>
        <i x="340"/>
        <i x="341"/>
        <i x="342"/>
        <i x="343"/>
        <i x="344"/>
        <i x="345"/>
        <i x="346"/>
        <i x="347"/>
        <i x="348"/>
        <i x="349"/>
        <i x="350"/>
        <i x="351"/>
        <i x="352"/>
        <i x="353"/>
        <i x="354"/>
        <i x="355"/>
        <i x="356"/>
        <i x="357"/>
        <i x="358"/>
        <i x="359"/>
        <i x="360"/>
        <i x="361"/>
        <i x="362"/>
        <i x="363"/>
        <i x="364"/>
        <i x="365"/>
        <i x="366"/>
        <i x="306"/>
        <i x="307"/>
        <i x="308"/>
        <i x="309"/>
        <i x="310"/>
        <i x="311"/>
        <i x="312"/>
        <i x="313"/>
        <i x="314"/>
        <i x="315"/>
        <i x="316"/>
        <i x="317"/>
        <i x="318"/>
        <i x="319"/>
        <i x="320"/>
        <i x="321"/>
        <i x="322"/>
        <i x="323"/>
        <i x="324"/>
        <i x="325"/>
        <i x="326"/>
        <i x="327"/>
        <i x="328"/>
        <i x="329"/>
        <i x="330"/>
        <i x="331"/>
        <i x="332"/>
        <i x="333"/>
        <i x="334"/>
        <i x="335"/>
        <i x="275"/>
        <i x="276"/>
        <i x="277"/>
        <i x="278"/>
        <i x="279"/>
        <i x="280"/>
        <i x="281"/>
        <i x="282"/>
        <i x="283"/>
        <i x="284"/>
        <i x="285"/>
        <i x="286"/>
        <i x="287"/>
        <i x="288"/>
        <i x="289"/>
        <i x="290"/>
        <i x="291"/>
        <i x="292"/>
        <i x="293"/>
        <i x="294"/>
        <i x="295"/>
        <i x="296"/>
        <i x="297"/>
        <i x="298"/>
        <i x="299"/>
        <i x="300"/>
        <i x="301"/>
        <i x="302"/>
        <i x="303"/>
        <i x="304"/>
        <i x="305"/>
        <i x="244"/>
        <i x="245"/>
        <i x="246"/>
        <i x="247"/>
        <i x="248"/>
        <i x="249"/>
        <i x="250"/>
        <i x="251"/>
        <i x="252"/>
        <i x="253"/>
        <i x="254"/>
        <i x="255"/>
        <i x="256"/>
        <i x="257"/>
        <i x="258"/>
        <i x="259"/>
        <i x="260"/>
        <i x="261"/>
        <i x="262"/>
        <i x="263"/>
        <i x="264"/>
        <i x="265"/>
        <i x="266"/>
        <i x="267"/>
        <i x="268"/>
        <i x="269"/>
        <i x="270"/>
        <i x="271"/>
        <i x="272"/>
        <i x="273"/>
        <i x="274"/>
        <i x="243"/>
        <i x="214"/>
        <i x="215"/>
        <i x="216"/>
        <i x="217"/>
        <i x="218"/>
        <i x="219"/>
        <i x="220"/>
        <i x="221"/>
        <i x="222"/>
        <i x="223"/>
        <i x="224"/>
        <i x="225"/>
        <i x="226"/>
        <i x="227"/>
        <i x="228"/>
        <i x="229"/>
        <i x="230"/>
        <i x="231"/>
        <i x="232"/>
        <i x="233"/>
        <i x="234"/>
        <i x="235"/>
        <i x="236"/>
        <i x="237"/>
        <i x="238"/>
        <i x="239"/>
        <i x="240"/>
        <i x="241"/>
        <i x="242"/>
        <i x="183"/>
        <i x="184"/>
        <i x="185"/>
        <i x="186"/>
        <i x="187"/>
        <i x="188"/>
        <i x="189"/>
        <i x="190"/>
        <i x="191"/>
        <i x="192"/>
        <i x="193"/>
        <i x="194"/>
        <i x="195"/>
        <i x="196"/>
        <i x="197"/>
        <i x="198"/>
        <i x="199"/>
        <i x="200"/>
        <i x="201"/>
        <i x="202"/>
        <i x="203"/>
        <i x="204"/>
        <i x="205"/>
        <i x="206"/>
        <i x="207"/>
        <i x="208"/>
        <i x="209"/>
        <i x="210"/>
        <i x="211"/>
        <i x="212"/>
        <i x="213"/>
        <i x="153"/>
        <i x="154"/>
        <i x="155"/>
        <i x="156"/>
        <i x="157"/>
        <i x="158"/>
        <i x="159"/>
        <i x="160"/>
        <i x="161"/>
        <i x="162"/>
        <i x="163"/>
        <i x="164"/>
        <i x="165"/>
        <i x="166"/>
        <i x="167"/>
        <i x="168"/>
        <i x="169"/>
        <i x="170"/>
        <i x="171"/>
        <i x="172"/>
        <i x="173"/>
        <i x="174"/>
        <i x="175"/>
        <i x="176"/>
        <i x="177"/>
        <i x="178"/>
        <i x="179"/>
        <i x="180"/>
        <i x="181"/>
        <i x="182"/>
        <i x="122"/>
        <i x="123"/>
        <i x="124"/>
        <i x="125"/>
        <i x="126"/>
        <i x="127"/>
        <i x="128"/>
        <i x="129"/>
        <i x="130"/>
        <i x="131"/>
        <i x="132"/>
        <i x="133"/>
        <i x="134"/>
        <i x="135"/>
        <i x="136"/>
        <i x="137"/>
        <i x="138"/>
        <i x="139"/>
        <i x="140"/>
        <i x="141"/>
        <i x="142"/>
        <i x="143"/>
        <i x="144"/>
        <i x="145"/>
        <i x="146"/>
        <i x="147"/>
        <i x="148"/>
        <i x="149"/>
        <i x="150"/>
        <i x="151"/>
        <i x="152"/>
        <i x="91"/>
        <i x="92"/>
        <i x="93"/>
        <i x="94"/>
        <i x="95"/>
        <i x="96"/>
        <i x="97"/>
        <i x="98"/>
        <i x="99"/>
        <i x="100"/>
        <i x="101"/>
        <i x="102"/>
        <i x="103"/>
        <i x="104"/>
        <i x="105"/>
        <i x="106"/>
        <i x="107"/>
        <i x="108"/>
        <i x="109"/>
        <i x="110"/>
        <i x="111"/>
        <i x="112"/>
        <i x="113"/>
        <i x="114"/>
        <i x="115"/>
        <i x="116"/>
        <i x="117"/>
        <i x="118"/>
        <i x="119"/>
        <i x="120"/>
        <i x="121"/>
        <i x="63"/>
        <i x="64"/>
        <i x="65"/>
        <i x="66"/>
        <i x="67"/>
        <i x="68"/>
        <i x="69"/>
        <i x="70"/>
        <i x="71"/>
        <i x="72"/>
        <i x="73"/>
        <i x="74"/>
        <i x="75"/>
        <i x="76"/>
        <i x="77"/>
        <i x="78"/>
        <i x="79"/>
        <i x="80"/>
        <i x="81"/>
        <i x="82"/>
        <i x="83"/>
        <i x="84"/>
        <i x="85"/>
        <i x="86"/>
        <i x="87"/>
        <i x="88"/>
        <i x="89"/>
        <i x="90"/>
        <i x="32"/>
        <i x="33"/>
        <i x="34"/>
        <i x="35"/>
        <i x="36"/>
        <i x="37"/>
        <i x="38"/>
        <i x="39"/>
        <i x="40"/>
        <i x="41"/>
        <i x="42"/>
        <i x="43"/>
        <i x="44"/>
        <i x="45"/>
        <i x="46"/>
        <i x="47"/>
        <i x="48"/>
        <i x="49"/>
        <i x="50"/>
        <i x="51"/>
        <i x="52"/>
        <i x="53"/>
        <i x="54"/>
        <i x="55"/>
        <i x="56"/>
        <i x="57"/>
        <i x="58"/>
        <i x="59"/>
        <i x="60"/>
        <i x="61"/>
        <i x="62"/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/>
        <i x="3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2" xr10:uid="{F7762282-3646-42AF-9579-8A4E6122A535}" sourceName="FECHA">
  <data>
    <tabular pivotCacheId="444914485">
      <items count="40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/>
        <i x="31"/>
        <i x="370" nd="1"/>
        <i x="371" nd="1"/>
        <i x="372" nd="1"/>
        <i x="373" nd="1"/>
        <i x="374" nd="1"/>
        <i x="375" nd="1"/>
        <i x="376" nd="1"/>
        <i x="377" nd="1"/>
        <i x="378" nd="1"/>
        <i x="379" nd="1"/>
        <i x="380" nd="1"/>
        <i x="381" nd="1"/>
        <i x="382" nd="1"/>
        <i x="383" nd="1"/>
        <i x="384" nd="1"/>
        <i x="385" nd="1"/>
        <i x="386" nd="1"/>
        <i x="387" nd="1"/>
        <i x="388" nd="1"/>
        <i x="389" nd="1"/>
        <i x="390" nd="1"/>
        <i x="391" nd="1"/>
        <i x="392" nd="1"/>
        <i x="393" nd="1"/>
        <i x="394" nd="1"/>
        <i x="395" nd="1"/>
        <i x="396" nd="1"/>
        <i x="397" nd="1"/>
        <i x="398" nd="1"/>
        <i x="399" nd="1"/>
        <i x="339" nd="1"/>
        <i x="340" nd="1"/>
        <i x="341" nd="1"/>
        <i x="342" nd="1"/>
        <i x="343" nd="1"/>
        <i x="344" nd="1"/>
        <i x="345" nd="1"/>
        <i x="346" nd="1"/>
        <i x="347" nd="1"/>
        <i x="348" nd="1"/>
        <i x="349" nd="1"/>
        <i x="350" nd="1"/>
        <i x="351" nd="1"/>
        <i x="352" nd="1"/>
        <i x="353" nd="1"/>
        <i x="354" nd="1"/>
        <i x="355" nd="1"/>
        <i x="356" nd="1"/>
        <i x="357" nd="1"/>
        <i x="358" nd="1"/>
        <i x="359" nd="1"/>
        <i x="360" nd="1"/>
        <i x="361" nd="1"/>
        <i x="362" nd="1"/>
        <i x="363" nd="1"/>
        <i x="364" nd="1"/>
        <i x="365" nd="1"/>
        <i x="366" nd="1"/>
        <i x="367" nd="1"/>
        <i x="368" nd="1"/>
        <i x="369" nd="1"/>
        <i x="308" nd="1"/>
        <i x="309" nd="1"/>
        <i x="310" nd="1"/>
        <i x="311" nd="1"/>
        <i x="312" nd="1"/>
        <i x="313" nd="1"/>
        <i x="314" nd="1"/>
        <i x="315" nd="1"/>
        <i x="316" nd="1"/>
        <i x="317" nd="1"/>
        <i x="318" nd="1"/>
        <i x="319" nd="1"/>
        <i x="320" nd="1"/>
        <i x="321" nd="1"/>
        <i x="322" nd="1"/>
        <i x="323" nd="1"/>
        <i x="324" nd="1"/>
        <i x="325" nd="1"/>
        <i x="326" nd="1"/>
        <i x="327" nd="1"/>
        <i x="328" nd="1"/>
        <i x="329" nd="1"/>
        <i x="330" nd="1"/>
        <i x="331" nd="1"/>
        <i x="332" nd="1"/>
        <i x="333" nd="1"/>
        <i x="334" nd="1"/>
        <i x="335" nd="1"/>
        <i x="336" nd="1"/>
        <i x="337" nd="1"/>
        <i x="338" nd="1"/>
        <i x="277" nd="1"/>
        <i x="278" nd="1"/>
        <i x="279" nd="1"/>
        <i x="280" nd="1"/>
        <i x="281" nd="1"/>
        <i x="282" nd="1"/>
        <i x="283" nd="1"/>
        <i x="284" nd="1"/>
        <i x="285" nd="1"/>
        <i x="286" nd="1"/>
        <i x="287" nd="1"/>
        <i x="288" nd="1"/>
        <i x="289" nd="1"/>
        <i x="290" nd="1"/>
        <i x="291" nd="1"/>
        <i x="292" nd="1"/>
        <i x="293" nd="1"/>
        <i x="294" nd="1"/>
        <i x="295" nd="1"/>
        <i x="296" nd="1"/>
        <i x="297" nd="1"/>
        <i x="298" nd="1"/>
        <i x="299" nd="1"/>
        <i x="300" nd="1"/>
        <i x="301" nd="1"/>
        <i x="302" nd="1"/>
        <i x="303" nd="1"/>
        <i x="304" nd="1"/>
        <i x="305" nd="1"/>
        <i x="306" nd="1"/>
        <i x="307" nd="1"/>
        <i x="246" nd="1"/>
        <i x="247" nd="1"/>
        <i x="248" nd="1"/>
        <i x="249" nd="1"/>
        <i x="250" nd="1"/>
        <i x="251" nd="1"/>
        <i x="252" nd="1"/>
        <i x="253" nd="1"/>
        <i x="254" nd="1"/>
        <i x="255" nd="1"/>
        <i x="256" nd="1"/>
        <i x="257" nd="1"/>
        <i x="258" nd="1"/>
        <i x="259" nd="1"/>
        <i x="260" nd="1"/>
        <i x="261" nd="1"/>
        <i x="262" nd="1"/>
        <i x="263" nd="1"/>
        <i x="264" nd="1"/>
        <i x="265" nd="1"/>
        <i x="266" nd="1"/>
        <i x="267" nd="1"/>
        <i x="268" nd="1"/>
        <i x="269" nd="1"/>
        <i x="270" nd="1"/>
        <i x="271" nd="1"/>
        <i x="272" nd="1"/>
        <i x="273" nd="1"/>
        <i x="274" nd="1"/>
        <i x="275" nd="1"/>
        <i x="276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  <i x="234" nd="1"/>
        <i x="235" nd="1"/>
        <i x="236" nd="1"/>
        <i x="237" nd="1"/>
        <i x="238" nd="1"/>
        <i x="239" nd="1"/>
        <i x="240" nd="1"/>
        <i x="241" nd="1"/>
        <i x="242" nd="1"/>
        <i x="243" nd="1"/>
        <i x="244" nd="1"/>
        <i x="245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198" nd="1"/>
        <i x="199" nd="1"/>
        <i x="200" nd="1"/>
        <i x="201" nd="1"/>
        <i x="202" nd="1"/>
        <i x="203" nd="1"/>
        <i x="204" nd="1"/>
        <i x="205" nd="1"/>
        <i x="206" nd="1"/>
        <i x="207" nd="1"/>
        <i x="208" nd="1"/>
        <i x="209" nd="1"/>
        <i x="210" nd="1"/>
        <i x="211" nd="1"/>
        <i x="212" nd="1"/>
        <i x="213" nd="1"/>
        <i x="214" nd="1"/>
        <i x="215" nd="1"/>
        <i x="154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82" nd="1"/>
        <i x="183" nd="1"/>
        <i x="184" nd="1"/>
        <i x="124" nd="1"/>
        <i x="125" nd="1"/>
        <i x="126" nd="1"/>
        <i x="127" nd="1"/>
        <i x="128" nd="1"/>
        <i x="129" nd="1"/>
        <i x="130" nd="1"/>
        <i x="131" nd="1"/>
        <i x="132" nd="1"/>
        <i x="133" nd="1"/>
        <i x="134" nd="1"/>
        <i x="135" nd="1"/>
        <i x="136" nd="1"/>
        <i x="137" nd="1"/>
        <i x="138" nd="1"/>
        <i x="139" nd="1"/>
        <i x="140" nd="1"/>
        <i x="141" nd="1"/>
        <i x="142" nd="1"/>
        <i x="143" nd="1"/>
        <i x="144" nd="1"/>
        <i x="145" nd="1"/>
        <i x="146" nd="1"/>
        <i x="147" nd="1"/>
        <i x="148" nd="1"/>
        <i x="149" nd="1"/>
        <i x="150" nd="1"/>
        <i x="151" nd="1"/>
        <i x="152" nd="1"/>
        <i x="153" nd="1"/>
        <i x="93" nd="1"/>
        <i x="94" nd="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121" nd="1"/>
        <i x="122" nd="1"/>
        <i x="123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90" nd="1"/>
        <i x="91" nd="1"/>
        <i x="92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  <i x="59" nd="1"/>
        <i x="60" nd="1"/>
        <i x="61" nd="1"/>
        <i x="62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" xr10:uid="{6108C1B1-055D-4456-8FF6-6725A0C1908E}" sourceName="DIA">
  <data>
    <tabular pivotCacheId="489179697">
      <items count="33">
        <i x="0" s="1"/>
        <i x="1" s="1"/>
        <i x="2" s="1"/>
        <i x="32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1" xr10:uid="{2BA4D664-B855-44B3-A24F-88F24A711FEF}" cache="SegmentaciónDeDatos_FECHA1" caption="FECHA" startItem="24" rowHeight="241300"/>
  <slicer name="FECHA 2" xr10:uid="{D44779A1-B54B-41F4-AC22-8F8FDBE7030D}" cache="SegmentaciónDeDatos_FECHA2" caption="FECHA" startItem="27" rowHeight="241300"/>
  <slicer name="DIA 1" xr10:uid="{C4361ED2-33F1-4F74-BBB3-F615B86A65BC}" cache="SegmentaciónDeDatos_DIA1" caption="DIA" startItem="9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F3A12F76-CD90-44F4-8B76-4956B68CD3B2}" cache="SegmentaciónDeDatos_DIA" caption="DIA" startItem="21" rowHeight="234950"/>
</slicer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microsoft.com/office/2007/relationships/slicer" Target="../slicers/slicer2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6B04-C23D-44E7-A54C-CAA9670602FF}">
  <sheetPr>
    <tabColor rgb="FF00B050"/>
  </sheetPr>
  <dimension ref="A1:BV108"/>
  <sheetViews>
    <sheetView tabSelected="1" topLeftCell="A4" zoomScale="82" zoomScaleNormal="55" workbookViewId="0">
      <selection activeCell="AC25" sqref="AC25"/>
    </sheetView>
  </sheetViews>
  <sheetFormatPr baseColWidth="10" defaultRowHeight="14.4" x14ac:dyDescent="0.3"/>
  <cols>
    <col min="1" max="25" width="21" style="111" customWidth="1"/>
    <col min="26" max="26" width="30.5546875" style="111" customWidth="1"/>
    <col min="27" max="28" width="19.44140625" style="111" customWidth="1"/>
    <col min="29" max="29" width="29.88671875" style="111" customWidth="1"/>
    <col min="30" max="30" width="25.44140625" style="111" customWidth="1"/>
    <col min="31" max="31" width="19.44140625" style="111" customWidth="1"/>
    <col min="32" max="32" width="21" style="111" customWidth="1"/>
    <col min="33" max="33" width="11.44140625" customWidth="1"/>
    <col min="34" max="34" width="30.88671875" customWidth="1"/>
    <col min="35" max="35" width="11.5546875" style="107"/>
    <col min="36" max="36" width="17.109375" style="110" bestFit="1" customWidth="1"/>
    <col min="37" max="37" width="42.88671875" style="110" bestFit="1" customWidth="1"/>
    <col min="38" max="38" width="23.33203125" style="109" bestFit="1" customWidth="1"/>
    <col min="39" max="39" width="21" style="109" bestFit="1" customWidth="1"/>
    <col min="40" max="40" width="14.44140625" style="109" bestFit="1" customWidth="1"/>
    <col min="41" max="41" width="11.5546875" style="109" customWidth="1"/>
    <col min="42" max="42" width="17.109375" style="109" bestFit="1" customWidth="1"/>
    <col min="43" max="43" width="40.6640625" style="109" bestFit="1" customWidth="1"/>
    <col min="44" max="44" width="31.6640625" style="109" bestFit="1" customWidth="1"/>
    <col min="45" max="45" width="12.5546875" style="109" customWidth="1"/>
    <col min="46" max="46" width="16.6640625" bestFit="1" customWidth="1"/>
    <col min="47" max="47" width="24.33203125" bestFit="1" customWidth="1"/>
    <col min="48" max="48" width="18.5546875" bestFit="1" customWidth="1"/>
    <col min="49" max="49" width="29" style="108" customWidth="1"/>
    <col min="50" max="50" width="12.88671875" style="107" bestFit="1" customWidth="1"/>
    <col min="51" max="51" width="24.88671875" style="107" bestFit="1" customWidth="1"/>
    <col min="52" max="52" width="40.109375" style="107" bestFit="1" customWidth="1"/>
    <col min="53" max="53" width="32" style="107" bestFit="1" customWidth="1"/>
    <col min="55" max="55" width="24.88671875" bestFit="1" customWidth="1"/>
    <col min="56" max="56" width="40.109375" bestFit="1" customWidth="1"/>
    <col min="57" max="57" width="32" bestFit="1" customWidth="1"/>
    <col min="58" max="58" width="23.44140625" bestFit="1" customWidth="1"/>
    <col min="60" max="60" width="17.109375" bestFit="1" customWidth="1"/>
    <col min="61" max="61" width="40.6640625" bestFit="1" customWidth="1"/>
    <col min="62" max="62" width="29.44140625" bestFit="1" customWidth="1"/>
    <col min="63" max="63" width="38.6640625" bestFit="1" customWidth="1"/>
    <col min="65" max="65" width="16.44140625" bestFit="1" customWidth="1"/>
    <col min="66" max="66" width="19.88671875" bestFit="1" customWidth="1"/>
    <col min="67" max="67" width="14.44140625" bestFit="1" customWidth="1"/>
    <col min="68" max="68" width="15.109375" bestFit="1" customWidth="1"/>
    <col min="69" max="69" width="19.109375" bestFit="1" customWidth="1"/>
    <col min="70" max="70" width="17.5546875" bestFit="1" customWidth="1"/>
    <col min="71" max="72" width="19.88671875" bestFit="1" customWidth="1"/>
  </cols>
  <sheetData>
    <row r="1" spans="1:74" ht="28.5" customHeight="1" x14ac:dyDescent="0.3">
      <c r="A1" s="140" t="s">
        <v>104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07"/>
      <c r="AH1" s="107"/>
      <c r="AJ1" s="139" t="s">
        <v>103</v>
      </c>
      <c r="AK1" s="139"/>
      <c r="AL1" s="139"/>
      <c r="AM1" s="139"/>
      <c r="AN1" s="107"/>
      <c r="AO1" s="107"/>
      <c r="AP1" s="107"/>
      <c r="AQ1" s="107"/>
      <c r="AR1" s="107"/>
      <c r="AS1" s="107"/>
      <c r="AT1" s="139" t="s">
        <v>102</v>
      </c>
      <c r="AU1" s="139"/>
      <c r="AV1" s="139"/>
      <c r="AW1" s="139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</row>
    <row r="2" spans="1:74" ht="25.8" x14ac:dyDescent="0.5">
      <c r="A2" s="138" t="s">
        <v>101</v>
      </c>
      <c r="B2" s="120" t="s">
        <v>100</v>
      </c>
      <c r="AG2" s="107"/>
      <c r="AH2" s="107"/>
      <c r="AS2" s="107"/>
      <c r="AT2" s="110"/>
      <c r="AU2" s="110"/>
      <c r="AV2" s="109"/>
      <c r="AW2" s="109"/>
      <c r="AX2" s="107" t="s">
        <v>99</v>
      </c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</row>
    <row r="3" spans="1:74" ht="21" x14ac:dyDescent="0.3">
      <c r="B3" s="137"/>
      <c r="C3" s="137"/>
      <c r="AG3" s="107"/>
      <c r="AH3" s="107"/>
      <c r="AS3" s="107"/>
      <c r="AT3" s="110"/>
      <c r="AU3" s="110"/>
      <c r="AV3" s="109"/>
      <c r="AW3" s="109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</row>
    <row r="4" spans="1:74" ht="21" x14ac:dyDescent="0.3">
      <c r="Z4" s="120" t="s">
        <v>98</v>
      </c>
      <c r="AA4" s="120"/>
      <c r="AG4" s="107"/>
      <c r="AH4" s="107"/>
      <c r="AJ4" s="134" t="s">
        <v>7</v>
      </c>
      <c r="AK4" s="136" t="s">
        <v>97</v>
      </c>
      <c r="AL4" s="136" t="s">
        <v>96</v>
      </c>
      <c r="AM4" s="135" t="s">
        <v>95</v>
      </c>
      <c r="AN4"/>
      <c r="AP4" s="134" t="s">
        <v>7</v>
      </c>
      <c r="AQ4" s="132" t="s">
        <v>85</v>
      </c>
      <c r="AR4" s="54" t="s">
        <v>94</v>
      </c>
      <c r="AS4" s="107"/>
      <c r="AT4" s="133" t="s">
        <v>93</v>
      </c>
      <c r="AU4" t="s">
        <v>92</v>
      </c>
      <c r="AV4" t="s">
        <v>91</v>
      </c>
      <c r="AW4" t="s">
        <v>90</v>
      </c>
      <c r="AY4" t="s">
        <v>89</v>
      </c>
      <c r="AZ4" t="s">
        <v>88</v>
      </c>
      <c r="BA4" t="s">
        <v>87</v>
      </c>
      <c r="BB4" s="107"/>
      <c r="BC4" t="s">
        <v>89</v>
      </c>
      <c r="BD4" t="s">
        <v>88</v>
      </c>
      <c r="BE4" t="s">
        <v>87</v>
      </c>
      <c r="BF4" t="s">
        <v>86</v>
      </c>
      <c r="BG4" s="107"/>
      <c r="BH4" s="6" t="s">
        <v>7</v>
      </c>
      <c r="BI4" s="132" t="s">
        <v>85</v>
      </c>
      <c r="BJ4" s="54" t="s">
        <v>84</v>
      </c>
      <c r="BL4" s="107"/>
      <c r="BU4" s="107"/>
      <c r="BV4" s="107"/>
    </row>
    <row r="5" spans="1:74" x14ac:dyDescent="0.3">
      <c r="AG5" s="107"/>
      <c r="AH5" s="107"/>
      <c r="AJ5" s="15">
        <v>1</v>
      </c>
      <c r="AK5" s="114">
        <v>0</v>
      </c>
      <c r="AL5" s="114">
        <v>0</v>
      </c>
      <c r="AM5" s="118">
        <v>3599</v>
      </c>
      <c r="AN5"/>
      <c r="AP5" s="15">
        <v>1</v>
      </c>
      <c r="AQ5" s="114">
        <v>0</v>
      </c>
      <c r="AR5" s="114">
        <v>0</v>
      </c>
      <c r="AS5" s="107"/>
      <c r="AT5" s="12">
        <v>1</v>
      </c>
      <c r="AU5">
        <v>0</v>
      </c>
      <c r="AV5" s="117">
        <v>1000</v>
      </c>
      <c r="AW5" s="14">
        <v>0</v>
      </c>
      <c r="AY5" s="12">
        <v>1</v>
      </c>
      <c r="AZ5">
        <v>0</v>
      </c>
      <c r="BA5" s="116" t="e">
        <v>#DIV/0!</v>
      </c>
      <c r="BB5" s="107"/>
      <c r="BC5" s="12">
        <v>1</v>
      </c>
      <c r="BD5">
        <v>0</v>
      </c>
      <c r="BE5" s="116" t="e">
        <v>#DIV/0!</v>
      </c>
      <c r="BF5" s="115">
        <v>0</v>
      </c>
      <c r="BG5" s="107"/>
      <c r="BH5" s="15">
        <v>1</v>
      </c>
      <c r="BI5" s="114">
        <v>0</v>
      </c>
      <c r="BJ5" s="131">
        <v>0</v>
      </c>
      <c r="BL5" s="107"/>
      <c r="BU5" s="107"/>
      <c r="BV5" s="107"/>
    </row>
    <row r="6" spans="1:74" ht="22.2" x14ac:dyDescent="0.3">
      <c r="Z6" s="126" t="s">
        <v>83</v>
      </c>
      <c r="AA6" s="126"/>
      <c r="AB6" s="126"/>
      <c r="AC6" s="126"/>
      <c r="AD6" s="126"/>
      <c r="AG6" s="107"/>
      <c r="AH6" s="107"/>
      <c r="AJ6" s="15">
        <v>2</v>
      </c>
      <c r="AK6" s="114">
        <v>880</v>
      </c>
      <c r="AL6" s="114">
        <v>2001.6698863636364</v>
      </c>
      <c r="AM6" s="118">
        <v>3599</v>
      </c>
      <c r="AN6"/>
      <c r="AP6" s="15">
        <v>2</v>
      </c>
      <c r="AQ6" s="114">
        <v>880</v>
      </c>
      <c r="AR6" s="114">
        <v>11</v>
      </c>
      <c r="AS6" s="107"/>
      <c r="AT6" s="12">
        <v>2</v>
      </c>
      <c r="AU6">
        <v>0</v>
      </c>
      <c r="AV6" s="117">
        <v>1000</v>
      </c>
      <c r="AW6" s="14">
        <v>0</v>
      </c>
      <c r="AY6" s="12">
        <v>2</v>
      </c>
      <c r="AZ6">
        <v>0</v>
      </c>
      <c r="BA6" s="116" t="e">
        <v>#DIV/0!</v>
      </c>
      <c r="BB6" s="107"/>
      <c r="BC6" s="12">
        <v>2</v>
      </c>
      <c r="BD6">
        <v>0</v>
      </c>
      <c r="BE6" s="116" t="e">
        <v>#DIV/0!</v>
      </c>
      <c r="BF6" s="115">
        <v>0</v>
      </c>
      <c r="BG6" s="107"/>
      <c r="BH6" s="15">
        <v>2</v>
      </c>
      <c r="BI6" s="114">
        <v>880</v>
      </c>
      <c r="BJ6" s="114">
        <v>1761469.5</v>
      </c>
      <c r="BL6" s="107"/>
      <c r="BU6" s="107"/>
      <c r="BV6" s="107"/>
    </row>
    <row r="7" spans="1:74" ht="36" x14ac:dyDescent="0.3">
      <c r="Z7" s="125" t="s">
        <v>82</v>
      </c>
      <c r="AA7" s="125" t="s">
        <v>76</v>
      </c>
      <c r="AB7" s="125" t="s">
        <v>75</v>
      </c>
      <c r="AC7" s="125" t="s">
        <v>81</v>
      </c>
      <c r="AD7" s="125" t="s">
        <v>73</v>
      </c>
      <c r="AG7" s="107"/>
      <c r="AH7" s="107"/>
      <c r="AJ7" s="15">
        <v>3</v>
      </c>
      <c r="AK7" s="114">
        <v>0</v>
      </c>
      <c r="AL7" s="114">
        <v>0</v>
      </c>
      <c r="AM7" s="118">
        <v>3599</v>
      </c>
      <c r="AN7"/>
      <c r="AP7" s="15">
        <v>3</v>
      </c>
      <c r="AQ7" s="114">
        <v>0</v>
      </c>
      <c r="AR7" s="114">
        <v>0</v>
      </c>
      <c r="AS7" s="107"/>
      <c r="AT7" s="12">
        <v>3</v>
      </c>
      <c r="AU7">
        <v>0</v>
      </c>
      <c r="AV7" s="117">
        <v>1000</v>
      </c>
      <c r="AW7" s="14">
        <v>0</v>
      </c>
      <c r="AY7" s="12">
        <v>3</v>
      </c>
      <c r="AZ7">
        <v>0</v>
      </c>
      <c r="BA7" s="116" t="e">
        <v>#DIV/0!</v>
      </c>
      <c r="BB7" s="107"/>
      <c r="BC7" s="12">
        <v>3</v>
      </c>
      <c r="BD7">
        <v>0</v>
      </c>
      <c r="BE7" s="116" t="e">
        <v>#DIV/0!</v>
      </c>
      <c r="BF7" s="115">
        <v>0</v>
      </c>
      <c r="BG7" s="107"/>
      <c r="BH7" s="15">
        <v>3</v>
      </c>
      <c r="BI7" s="114">
        <v>0</v>
      </c>
      <c r="BJ7" s="114">
        <v>0</v>
      </c>
      <c r="BL7" s="107"/>
      <c r="BU7" s="107"/>
      <c r="BV7" s="107"/>
    </row>
    <row r="8" spans="1:74" ht="22.2" x14ac:dyDescent="0.45">
      <c r="Z8" s="124">
        <f>GETPIVOTDATA("  CAUDAL TOTAL TRATADO GEM ",$AJ$4)</f>
        <v>32414</v>
      </c>
      <c r="AA8" s="130">
        <f>AD8/Z8</f>
        <v>2659.3038656136237</v>
      </c>
      <c r="AB8" s="124">
        <f>Z8/80</f>
        <v>405.17500000000001</v>
      </c>
      <c r="AC8" s="121">
        <f>AD8/AB8</f>
        <v>212744.30924908989</v>
      </c>
      <c r="AD8" s="130">
        <f>GETPIVOTDATA("COSTO QUIMICA  GEM",$BH$4)</f>
        <v>86198675.5</v>
      </c>
      <c r="AG8" s="107"/>
      <c r="AH8" s="107"/>
      <c r="AJ8" s="15">
        <v>4</v>
      </c>
      <c r="AK8" s="114">
        <v>0</v>
      </c>
      <c r="AL8" s="114">
        <v>0</v>
      </c>
      <c r="AM8" s="118">
        <v>3599</v>
      </c>
      <c r="AN8"/>
      <c r="AP8" s="15">
        <v>4</v>
      </c>
      <c r="AQ8" s="114">
        <v>0</v>
      </c>
      <c r="AR8" s="114">
        <v>0</v>
      </c>
      <c r="AS8" s="107"/>
      <c r="AT8" s="12">
        <v>4</v>
      </c>
      <c r="AU8">
        <v>0</v>
      </c>
      <c r="AV8" s="117">
        <v>1000</v>
      </c>
      <c r="AW8" s="14">
        <v>0</v>
      </c>
      <c r="AY8" s="12">
        <v>4</v>
      </c>
      <c r="AZ8">
        <v>0</v>
      </c>
      <c r="BA8" s="116" t="e">
        <v>#DIV/0!</v>
      </c>
      <c r="BB8" s="107"/>
      <c r="BC8" s="12">
        <v>4</v>
      </c>
      <c r="BD8">
        <v>0</v>
      </c>
      <c r="BE8" s="116" t="e">
        <v>#DIV/0!</v>
      </c>
      <c r="BF8" s="115">
        <v>0</v>
      </c>
      <c r="BG8" s="107"/>
      <c r="BH8" s="15">
        <v>4</v>
      </c>
      <c r="BI8" s="114">
        <v>0</v>
      </c>
      <c r="BJ8" s="114">
        <v>0</v>
      </c>
      <c r="BL8" s="107"/>
      <c r="BU8" s="107"/>
      <c r="BV8" s="107"/>
    </row>
    <row r="9" spans="1:74" x14ac:dyDescent="0.3">
      <c r="AG9" s="107"/>
      <c r="AH9" s="107"/>
      <c r="AJ9" s="15">
        <v>5</v>
      </c>
      <c r="AK9" s="114">
        <v>0</v>
      </c>
      <c r="AL9" s="114">
        <v>0</v>
      </c>
      <c r="AM9" s="118">
        <v>3599</v>
      </c>
      <c r="AN9"/>
      <c r="AP9" s="15">
        <v>5</v>
      </c>
      <c r="AQ9" s="114">
        <v>0</v>
      </c>
      <c r="AR9" s="114">
        <v>0</v>
      </c>
      <c r="AS9" s="107"/>
      <c r="AT9" s="12">
        <v>5</v>
      </c>
      <c r="AU9">
        <v>0</v>
      </c>
      <c r="AV9" s="117">
        <v>1000</v>
      </c>
      <c r="AW9" s="14">
        <v>0</v>
      </c>
      <c r="AY9" s="12">
        <v>5</v>
      </c>
      <c r="AZ9">
        <v>0</v>
      </c>
      <c r="BA9" s="116" t="e">
        <v>#DIV/0!</v>
      </c>
      <c r="BB9" s="107"/>
      <c r="BC9" s="12">
        <v>5</v>
      </c>
      <c r="BD9">
        <v>0</v>
      </c>
      <c r="BE9" s="116" t="e">
        <v>#DIV/0!</v>
      </c>
      <c r="BF9" s="115">
        <v>0</v>
      </c>
      <c r="BG9" s="107"/>
      <c r="BH9" s="15">
        <v>5</v>
      </c>
      <c r="BI9" s="114">
        <v>0</v>
      </c>
      <c r="BJ9" s="114">
        <v>0</v>
      </c>
      <c r="BL9" s="107"/>
      <c r="BU9" s="107"/>
      <c r="BV9" s="107"/>
    </row>
    <row r="10" spans="1:74" x14ac:dyDescent="0.3">
      <c r="AG10" s="107"/>
      <c r="AH10" s="107"/>
      <c r="AJ10" s="15">
        <v>6</v>
      </c>
      <c r="AK10" s="114">
        <v>1040</v>
      </c>
      <c r="AL10" s="114">
        <v>2638.6711538461536</v>
      </c>
      <c r="AM10" s="118">
        <v>3599</v>
      </c>
      <c r="AN10"/>
      <c r="AP10" s="15">
        <v>6</v>
      </c>
      <c r="AQ10" s="114">
        <v>1040</v>
      </c>
      <c r="AR10" s="114">
        <v>13</v>
      </c>
      <c r="AS10" s="107"/>
      <c r="AT10" s="12">
        <v>6</v>
      </c>
      <c r="AU10">
        <v>388.57399999999996</v>
      </c>
      <c r="AV10" s="117">
        <v>1000</v>
      </c>
      <c r="AW10" s="14">
        <v>105.00000000000003</v>
      </c>
      <c r="AY10" s="12">
        <v>6</v>
      </c>
      <c r="AZ10">
        <v>388.57399999999996</v>
      </c>
      <c r="BA10" s="116">
        <v>9.3115389082462254</v>
      </c>
      <c r="BB10" s="107"/>
      <c r="BC10" s="12">
        <v>6</v>
      </c>
      <c r="BD10">
        <v>388.57399999999996</v>
      </c>
      <c r="BE10" s="116">
        <v>9.3115389082462254</v>
      </c>
      <c r="BF10" s="115">
        <v>40800.270000000004</v>
      </c>
      <c r="BG10" s="107"/>
      <c r="BH10" s="15">
        <v>6</v>
      </c>
      <c r="BI10" s="114">
        <v>1040</v>
      </c>
      <c r="BJ10" s="114">
        <v>2744218</v>
      </c>
      <c r="BL10" s="107"/>
      <c r="BU10" s="107"/>
      <c r="BV10" s="107"/>
    </row>
    <row r="11" spans="1:74" x14ac:dyDescent="0.3">
      <c r="AG11" s="107"/>
      <c r="AH11" s="107"/>
      <c r="AJ11" s="15">
        <v>7</v>
      </c>
      <c r="AK11" s="114">
        <v>1079</v>
      </c>
      <c r="AL11" s="114">
        <v>2771.1464318813714</v>
      </c>
      <c r="AM11" s="118">
        <v>3599</v>
      </c>
      <c r="AN11"/>
      <c r="AP11" s="15">
        <v>7</v>
      </c>
      <c r="AQ11" s="114">
        <v>1079</v>
      </c>
      <c r="AR11" s="114">
        <v>13</v>
      </c>
      <c r="AS11" s="107"/>
      <c r="AT11" s="12">
        <v>7</v>
      </c>
      <c r="AU11">
        <v>983.59799999999996</v>
      </c>
      <c r="AV11" s="117">
        <v>1000</v>
      </c>
      <c r="AW11" s="14">
        <v>105.00000000000001</v>
      </c>
      <c r="AY11" s="12">
        <v>7</v>
      </c>
      <c r="AZ11">
        <v>983.59799999999996</v>
      </c>
      <c r="BA11" s="116">
        <v>24.578780550343964</v>
      </c>
      <c r="BB11" s="107"/>
      <c r="BC11" s="12">
        <v>7</v>
      </c>
      <c r="BD11">
        <v>983.59799999999996</v>
      </c>
      <c r="BE11" s="116">
        <v>24.578780550343964</v>
      </c>
      <c r="BF11" s="115">
        <v>103277.79000000001</v>
      </c>
      <c r="BG11" s="107"/>
      <c r="BH11" s="15">
        <v>7</v>
      </c>
      <c r="BI11" s="114">
        <v>1079</v>
      </c>
      <c r="BJ11" s="114">
        <v>2990067</v>
      </c>
      <c r="BL11" s="107"/>
      <c r="BU11" s="107"/>
      <c r="BV11" s="107"/>
    </row>
    <row r="12" spans="1:74" x14ac:dyDescent="0.3">
      <c r="AG12" s="107"/>
      <c r="AH12" s="107"/>
      <c r="AJ12" s="15">
        <v>8</v>
      </c>
      <c r="AK12" s="114">
        <v>1200</v>
      </c>
      <c r="AL12" s="114">
        <v>2309.4699999999998</v>
      </c>
      <c r="AM12" s="118">
        <v>3599</v>
      </c>
      <c r="AN12"/>
      <c r="AP12" s="15">
        <v>8</v>
      </c>
      <c r="AQ12" s="114">
        <v>1200</v>
      </c>
      <c r="AR12" s="114">
        <v>15</v>
      </c>
      <c r="AS12" s="107"/>
      <c r="AT12" s="12">
        <v>8</v>
      </c>
      <c r="AU12">
        <v>892.84300000000007</v>
      </c>
      <c r="AV12" s="117">
        <v>1000</v>
      </c>
      <c r="AW12" s="14">
        <v>105</v>
      </c>
      <c r="AY12" s="12">
        <v>8</v>
      </c>
      <c r="AZ12">
        <v>892.84300000000007</v>
      </c>
      <c r="BA12" s="116">
        <v>23.008721413721414</v>
      </c>
      <c r="BB12" s="107"/>
      <c r="BC12" s="12">
        <v>8</v>
      </c>
      <c r="BD12">
        <v>892.84300000000007</v>
      </c>
      <c r="BE12" s="116">
        <v>23.008721413721414</v>
      </c>
      <c r="BF12" s="115">
        <v>93748.515000000014</v>
      </c>
      <c r="BG12" s="107"/>
      <c r="BH12" s="15">
        <v>8</v>
      </c>
      <c r="BI12" s="114">
        <v>1200</v>
      </c>
      <c r="BJ12" s="114">
        <v>2771364</v>
      </c>
      <c r="BL12" s="107"/>
      <c r="BU12" s="107"/>
      <c r="BV12" s="107"/>
    </row>
    <row r="13" spans="1:74" x14ac:dyDescent="0.3">
      <c r="AG13" s="107"/>
      <c r="AH13" s="107"/>
      <c r="AJ13" s="15">
        <v>9</v>
      </c>
      <c r="AK13" s="114">
        <v>1280</v>
      </c>
      <c r="AL13" s="114">
        <v>1812.61015625</v>
      </c>
      <c r="AM13" s="118">
        <v>3599</v>
      </c>
      <c r="AN13"/>
      <c r="AP13" s="15">
        <v>9</v>
      </c>
      <c r="AQ13" s="114">
        <v>1280</v>
      </c>
      <c r="AR13" s="114">
        <v>16</v>
      </c>
      <c r="AS13" s="107"/>
      <c r="AT13" s="12">
        <v>9</v>
      </c>
      <c r="AU13">
        <v>825.06600000000003</v>
      </c>
      <c r="AV13" s="117">
        <v>1000</v>
      </c>
      <c r="AW13" s="14">
        <v>104.99999999999999</v>
      </c>
      <c r="AY13" s="12">
        <v>9</v>
      </c>
      <c r="AZ13">
        <v>825.06600000000003</v>
      </c>
      <c r="BA13" s="116">
        <v>20.789155769230771</v>
      </c>
      <c r="BB13" s="107"/>
      <c r="BC13" s="12">
        <v>9</v>
      </c>
      <c r="BD13">
        <v>825.06600000000003</v>
      </c>
      <c r="BE13" s="116">
        <v>20.789155769230771</v>
      </c>
      <c r="BF13" s="115">
        <v>86631.93</v>
      </c>
      <c r="BG13" s="107"/>
      <c r="BH13" s="15">
        <v>9</v>
      </c>
      <c r="BI13" s="114">
        <v>1280</v>
      </c>
      <c r="BJ13" s="114">
        <v>2320141</v>
      </c>
      <c r="BL13" s="107"/>
      <c r="BU13" s="107"/>
      <c r="BV13" s="107"/>
    </row>
    <row r="14" spans="1:74" x14ac:dyDescent="0.3">
      <c r="AG14" s="107"/>
      <c r="AH14" s="107"/>
      <c r="AJ14" s="15">
        <v>10</v>
      </c>
      <c r="AK14" s="114">
        <v>1520</v>
      </c>
      <c r="AL14" s="114">
        <v>2241.3763157894737</v>
      </c>
      <c r="AM14" s="118">
        <v>3599</v>
      </c>
      <c r="AN14"/>
      <c r="AP14" s="15">
        <v>10</v>
      </c>
      <c r="AQ14" s="114">
        <v>1520</v>
      </c>
      <c r="AR14" s="114">
        <v>19</v>
      </c>
      <c r="AS14" s="107"/>
      <c r="AT14" s="12">
        <v>10</v>
      </c>
      <c r="AU14">
        <v>863.92000000000007</v>
      </c>
      <c r="AV14" s="117">
        <v>1000</v>
      </c>
      <c r="AW14" s="14">
        <v>104.99999999999999</v>
      </c>
      <c r="AY14" s="12">
        <v>10</v>
      </c>
      <c r="AZ14">
        <v>863.92000000000007</v>
      </c>
      <c r="BA14" s="116">
        <v>22.35182253711201</v>
      </c>
      <c r="BB14" s="107"/>
      <c r="BC14" s="12">
        <v>10</v>
      </c>
      <c r="BD14">
        <v>863.92000000000007</v>
      </c>
      <c r="BE14" s="116">
        <v>22.35182253711201</v>
      </c>
      <c r="BF14" s="115">
        <v>90711.599999999991</v>
      </c>
      <c r="BG14" s="107"/>
      <c r="BH14" s="15">
        <v>10</v>
      </c>
      <c r="BI14" s="114">
        <v>1520</v>
      </c>
      <c r="BJ14" s="114">
        <v>3406892</v>
      </c>
      <c r="BL14" s="107"/>
      <c r="BU14" s="107"/>
      <c r="BV14" s="107"/>
    </row>
    <row r="15" spans="1:74" x14ac:dyDescent="0.3">
      <c r="AG15" s="107"/>
      <c r="AH15" s="107"/>
      <c r="AJ15" s="15">
        <v>11</v>
      </c>
      <c r="AK15" s="114">
        <v>1040</v>
      </c>
      <c r="AL15" s="114">
        <v>3164.7182692307692</v>
      </c>
      <c r="AM15" s="118">
        <v>3599</v>
      </c>
      <c r="AN15"/>
      <c r="AP15" s="15">
        <v>11</v>
      </c>
      <c r="AQ15" s="114">
        <v>1040</v>
      </c>
      <c r="AR15" s="114">
        <v>13</v>
      </c>
      <c r="AS15" s="107"/>
      <c r="AT15" s="12">
        <v>11</v>
      </c>
      <c r="AU15">
        <v>404.33300000000003</v>
      </c>
      <c r="AV15" s="117">
        <v>1000</v>
      </c>
      <c r="AW15" s="14">
        <v>105</v>
      </c>
      <c r="AY15" s="12">
        <v>11</v>
      </c>
      <c r="AZ15">
        <v>404.33300000000003</v>
      </c>
      <c r="BA15" s="116">
        <v>10.939227554179567</v>
      </c>
      <c r="BB15" s="107"/>
      <c r="BC15" s="12">
        <v>11</v>
      </c>
      <c r="BD15">
        <v>404.33300000000003</v>
      </c>
      <c r="BE15" s="116">
        <v>10.939227554179567</v>
      </c>
      <c r="BF15" s="115">
        <v>42454.965000000004</v>
      </c>
      <c r="BG15" s="107"/>
      <c r="BH15" s="129">
        <v>11</v>
      </c>
      <c r="BI15" s="114">
        <v>1040</v>
      </c>
      <c r="BJ15" s="114">
        <v>3291307</v>
      </c>
      <c r="BL15" s="107"/>
      <c r="BU15" s="107"/>
      <c r="BV15" s="107"/>
    </row>
    <row r="16" spans="1:74" x14ac:dyDescent="0.3">
      <c r="AG16" s="107"/>
      <c r="AH16" s="107"/>
      <c r="AJ16" s="15">
        <v>12</v>
      </c>
      <c r="AK16" s="114">
        <v>0</v>
      </c>
      <c r="AL16" s="114">
        <v>0</v>
      </c>
      <c r="AM16" s="118">
        <v>3599</v>
      </c>
      <c r="AN16"/>
      <c r="AP16" s="15">
        <v>12</v>
      </c>
      <c r="AQ16" s="114">
        <v>0</v>
      </c>
      <c r="AR16" s="114">
        <v>0</v>
      </c>
      <c r="AS16" s="107"/>
      <c r="AT16" s="12">
        <v>12</v>
      </c>
      <c r="AU16">
        <v>0</v>
      </c>
      <c r="AV16" s="117">
        <v>1000</v>
      </c>
      <c r="AW16" s="14">
        <v>0</v>
      </c>
      <c r="AY16" s="12">
        <v>12</v>
      </c>
      <c r="AZ16">
        <v>0</v>
      </c>
      <c r="BA16" s="116">
        <v>0</v>
      </c>
      <c r="BB16" s="107"/>
      <c r="BC16" s="12">
        <v>12</v>
      </c>
      <c r="BD16">
        <v>0</v>
      </c>
      <c r="BE16" s="116">
        <v>0</v>
      </c>
      <c r="BF16" s="115">
        <v>0</v>
      </c>
      <c r="BG16" s="107"/>
      <c r="BH16" s="15">
        <v>12</v>
      </c>
      <c r="BI16" s="114">
        <v>0</v>
      </c>
      <c r="BJ16" s="114">
        <v>0</v>
      </c>
      <c r="BL16" s="107"/>
      <c r="BU16" s="107"/>
      <c r="BV16" s="107"/>
    </row>
    <row r="17" spans="1:74" x14ac:dyDescent="0.3">
      <c r="AG17" s="107"/>
      <c r="AH17" s="107"/>
      <c r="AJ17" s="15">
        <v>13</v>
      </c>
      <c r="AK17" s="114">
        <v>1360</v>
      </c>
      <c r="AL17" s="114">
        <v>2363.5055147058824</v>
      </c>
      <c r="AM17" s="118">
        <v>3599</v>
      </c>
      <c r="AN17"/>
      <c r="AP17" s="15">
        <v>13</v>
      </c>
      <c r="AQ17" s="114">
        <v>1360</v>
      </c>
      <c r="AR17" s="114">
        <v>17</v>
      </c>
      <c r="AS17" s="107"/>
      <c r="AT17" s="12">
        <v>13</v>
      </c>
      <c r="AU17">
        <v>402.16300000000001</v>
      </c>
      <c r="AV17" s="117">
        <v>1000</v>
      </c>
      <c r="AW17" s="14">
        <v>105.00000000000001</v>
      </c>
      <c r="AY17" s="12">
        <v>13</v>
      </c>
      <c r="AZ17">
        <v>402.16300000000001</v>
      </c>
      <c r="BA17" s="116">
        <v>9.8088536585365862</v>
      </c>
      <c r="BB17" s="107"/>
      <c r="BC17" s="12">
        <v>13</v>
      </c>
      <c r="BD17">
        <v>402.16300000000001</v>
      </c>
      <c r="BE17" s="116">
        <v>9.8088536585365862</v>
      </c>
      <c r="BF17" s="115">
        <v>42227.115000000005</v>
      </c>
      <c r="BG17" s="107"/>
      <c r="BH17" s="15">
        <v>13</v>
      </c>
      <c r="BI17" s="114">
        <v>1360</v>
      </c>
      <c r="BJ17" s="114">
        <v>3214367.5</v>
      </c>
      <c r="BL17" s="107"/>
      <c r="BU17" s="107"/>
      <c r="BV17" s="107"/>
    </row>
    <row r="18" spans="1:74" x14ac:dyDescent="0.3">
      <c r="AG18" s="107"/>
      <c r="AH18" s="107"/>
      <c r="AJ18" s="15">
        <v>14</v>
      </c>
      <c r="AK18" s="114">
        <v>1280</v>
      </c>
      <c r="AL18" s="114">
        <v>3136.7925781250001</v>
      </c>
      <c r="AM18" s="118">
        <v>3599</v>
      </c>
      <c r="AN18"/>
      <c r="AO18" s="107"/>
      <c r="AP18" s="15">
        <v>14</v>
      </c>
      <c r="AQ18" s="114">
        <v>1280</v>
      </c>
      <c r="AR18" s="114">
        <v>16</v>
      </c>
      <c r="AS18" s="107"/>
      <c r="AT18" s="12">
        <v>14</v>
      </c>
      <c r="AU18">
        <v>897.92100000000005</v>
      </c>
      <c r="AV18" s="117">
        <v>1000</v>
      </c>
      <c r="AW18" s="14">
        <v>105</v>
      </c>
      <c r="AY18" s="12">
        <v>14</v>
      </c>
      <c r="AZ18">
        <v>897.92100000000005</v>
      </c>
      <c r="BA18" s="116">
        <v>22.136169806251306</v>
      </c>
      <c r="BB18" s="107"/>
      <c r="BC18" s="12">
        <v>14</v>
      </c>
      <c r="BD18">
        <v>897.92100000000005</v>
      </c>
      <c r="BE18" s="116">
        <v>22.136169806251306</v>
      </c>
      <c r="BF18" s="115">
        <v>94281.705000000002</v>
      </c>
      <c r="BG18" s="107"/>
      <c r="BH18" s="15">
        <v>14</v>
      </c>
      <c r="BI18" s="114">
        <v>1280</v>
      </c>
      <c r="BJ18" s="114">
        <v>4015094.5</v>
      </c>
      <c r="BL18" s="107"/>
      <c r="BT18" s="107"/>
      <c r="BU18" s="107"/>
      <c r="BV18" s="107"/>
    </row>
    <row r="19" spans="1:74" ht="25.8" x14ac:dyDescent="0.5">
      <c r="A19" s="128" t="s">
        <v>80</v>
      </c>
      <c r="B19" s="128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AG19" s="107"/>
      <c r="AH19" s="107"/>
      <c r="AJ19" s="15">
        <v>15</v>
      </c>
      <c r="AK19" s="114">
        <v>1200</v>
      </c>
      <c r="AL19" s="114">
        <v>2896.0604166666667</v>
      </c>
      <c r="AM19" s="118">
        <v>3599</v>
      </c>
      <c r="AN19"/>
      <c r="AO19" s="107"/>
      <c r="AP19" s="15">
        <v>15</v>
      </c>
      <c r="AQ19" s="114">
        <v>1200</v>
      </c>
      <c r="AR19" s="114">
        <v>15</v>
      </c>
      <c r="AS19" s="107"/>
      <c r="AT19" s="12">
        <v>15</v>
      </c>
      <c r="AU19">
        <v>944.20700000000011</v>
      </c>
      <c r="AV19" s="117">
        <v>1000</v>
      </c>
      <c r="AW19" s="14">
        <v>104.99999999999999</v>
      </c>
      <c r="AY19" s="12">
        <v>15</v>
      </c>
      <c r="AZ19">
        <v>944.20700000000011</v>
      </c>
      <c r="BA19" s="116">
        <v>21.768511627906975</v>
      </c>
      <c r="BB19" s="107"/>
      <c r="BC19" s="12">
        <v>15</v>
      </c>
      <c r="BD19">
        <v>944.20700000000011</v>
      </c>
      <c r="BE19" s="116">
        <v>21.768511627906975</v>
      </c>
      <c r="BF19" s="115">
        <v>99141.735000000001</v>
      </c>
      <c r="BG19" s="107"/>
      <c r="BH19" s="15">
        <v>15</v>
      </c>
      <c r="BI19" s="114">
        <v>1200</v>
      </c>
      <c r="BJ19" s="114">
        <v>3475272.5</v>
      </c>
      <c r="BL19" s="107"/>
      <c r="BT19" s="107"/>
      <c r="BU19" s="107"/>
      <c r="BV19" s="107"/>
    </row>
    <row r="20" spans="1:74" x14ac:dyDescent="0.3">
      <c r="AG20" s="107"/>
      <c r="AH20" s="107"/>
      <c r="AJ20" s="15">
        <v>16</v>
      </c>
      <c r="AK20" s="114">
        <v>1600</v>
      </c>
      <c r="AL20" s="114">
        <v>2646.4334374999999</v>
      </c>
      <c r="AM20" s="118">
        <v>3599</v>
      </c>
      <c r="AN20"/>
      <c r="AO20" s="107"/>
      <c r="AP20" s="15">
        <v>16</v>
      </c>
      <c r="AQ20" s="114">
        <v>1600</v>
      </c>
      <c r="AR20" s="114">
        <v>20</v>
      </c>
      <c r="AS20" s="107"/>
      <c r="AT20" s="12">
        <v>16</v>
      </c>
      <c r="AU20">
        <v>987.57600000000002</v>
      </c>
      <c r="AV20" s="117">
        <v>1000</v>
      </c>
      <c r="AW20" s="14">
        <v>105.00000000000001</v>
      </c>
      <c r="AY20" s="12">
        <v>16</v>
      </c>
      <c r="AZ20">
        <v>987.57600000000002</v>
      </c>
      <c r="BA20" s="116">
        <v>23.532730627705632</v>
      </c>
      <c r="BB20" s="107"/>
      <c r="BC20" s="12">
        <v>16</v>
      </c>
      <c r="BD20">
        <v>987.57600000000002</v>
      </c>
      <c r="BE20" s="116">
        <v>23.532730627705632</v>
      </c>
      <c r="BF20" s="115">
        <v>103695.48000000001</v>
      </c>
      <c r="BG20" s="107"/>
      <c r="BH20" s="15">
        <v>16</v>
      </c>
      <c r="BI20" s="114">
        <v>1600</v>
      </c>
      <c r="BJ20" s="114">
        <v>4234293.5</v>
      </c>
      <c r="BL20" s="107"/>
      <c r="BT20" s="107"/>
      <c r="BU20" s="107"/>
      <c r="BV20" s="107"/>
    </row>
    <row r="21" spans="1:74" ht="21" x14ac:dyDescent="0.3">
      <c r="Z21" s="120" t="s">
        <v>79</v>
      </c>
      <c r="AA21" s="120"/>
      <c r="AG21" s="107"/>
      <c r="AH21" s="107"/>
      <c r="AJ21" s="15">
        <v>17</v>
      </c>
      <c r="AK21" s="114">
        <v>1440</v>
      </c>
      <c r="AL21" s="114">
        <v>3481.7406249999999</v>
      </c>
      <c r="AM21" s="118">
        <v>3599</v>
      </c>
      <c r="AN21"/>
      <c r="AO21" s="107"/>
      <c r="AP21" s="15">
        <v>17</v>
      </c>
      <c r="AQ21" s="114">
        <v>1440</v>
      </c>
      <c r="AR21" s="114">
        <v>18</v>
      </c>
      <c r="AS21" s="107"/>
      <c r="AT21" s="12">
        <v>17</v>
      </c>
      <c r="AU21">
        <v>755.36500000000001</v>
      </c>
      <c r="AV21" s="117">
        <v>1000</v>
      </c>
      <c r="AW21" s="14">
        <v>105.00000000000001</v>
      </c>
      <c r="AY21" s="12">
        <v>17</v>
      </c>
      <c r="AZ21">
        <v>755.36500000000001</v>
      </c>
      <c r="BA21" s="116" t="e">
        <v>#DIV/0!</v>
      </c>
      <c r="BB21" s="107"/>
      <c r="BC21" s="12">
        <v>17</v>
      </c>
      <c r="BD21">
        <v>755.36500000000001</v>
      </c>
      <c r="BE21" s="116" t="e">
        <v>#DIV/0!</v>
      </c>
      <c r="BF21" s="115">
        <v>79313.325000000012</v>
      </c>
      <c r="BG21" s="107"/>
      <c r="BH21" s="15">
        <v>17</v>
      </c>
      <c r="BI21" s="114">
        <v>1440</v>
      </c>
      <c r="BJ21" s="114">
        <v>5013706.5</v>
      </c>
      <c r="BL21" s="107"/>
      <c r="BT21" s="107"/>
      <c r="BU21" s="107"/>
      <c r="BV21" s="107"/>
    </row>
    <row r="22" spans="1:74" x14ac:dyDescent="0.3">
      <c r="AG22" s="107"/>
      <c r="AH22" s="107"/>
      <c r="AJ22" s="15">
        <v>18</v>
      </c>
      <c r="AK22" s="114">
        <v>1680</v>
      </c>
      <c r="AL22" s="114">
        <v>3085.6183035714284</v>
      </c>
      <c r="AM22" s="118">
        <v>3599</v>
      </c>
      <c r="AN22"/>
      <c r="AO22" s="107"/>
      <c r="AP22" s="15">
        <v>18</v>
      </c>
      <c r="AQ22" s="114">
        <v>1680</v>
      </c>
      <c r="AR22" s="114">
        <v>21</v>
      </c>
      <c r="AS22" s="107"/>
      <c r="AT22" s="12">
        <v>18</v>
      </c>
      <c r="AU22">
        <v>688.20900000000006</v>
      </c>
      <c r="AV22" s="117">
        <v>1000</v>
      </c>
      <c r="AW22" s="14">
        <v>105</v>
      </c>
      <c r="AY22" s="12">
        <v>18</v>
      </c>
      <c r="AZ22">
        <v>688.20900000000006</v>
      </c>
      <c r="BA22" s="116" t="e">
        <v>#DIV/0!</v>
      </c>
      <c r="BB22" s="107"/>
      <c r="BC22" s="12">
        <v>18</v>
      </c>
      <c r="BD22">
        <v>688.20900000000006</v>
      </c>
      <c r="BE22" s="116" t="e">
        <v>#DIV/0!</v>
      </c>
      <c r="BF22" s="115">
        <v>72261.945000000007</v>
      </c>
      <c r="BG22" s="107"/>
      <c r="BH22" s="15">
        <v>18</v>
      </c>
      <c r="BI22" s="114">
        <v>1680</v>
      </c>
      <c r="BJ22" s="114">
        <v>5183838.75</v>
      </c>
      <c r="BL22" s="107"/>
      <c r="BT22" s="107"/>
      <c r="BU22" s="107"/>
      <c r="BV22" s="107"/>
    </row>
    <row r="23" spans="1:74" ht="22.2" x14ac:dyDescent="0.3">
      <c r="Z23" s="126" t="s">
        <v>78</v>
      </c>
      <c r="AA23" s="126"/>
      <c r="AB23" s="126"/>
      <c r="AC23" s="126"/>
      <c r="AD23" s="126"/>
      <c r="AG23" s="107"/>
      <c r="AH23" s="107"/>
      <c r="AJ23" s="15">
        <v>19</v>
      </c>
      <c r="AK23" s="114">
        <v>0</v>
      </c>
      <c r="AL23" s="114">
        <v>0</v>
      </c>
      <c r="AM23" s="118">
        <v>3599</v>
      </c>
      <c r="AN23"/>
      <c r="AO23" s="107"/>
      <c r="AP23" s="15">
        <v>19</v>
      </c>
      <c r="AQ23" s="114">
        <v>0</v>
      </c>
      <c r="AR23" s="114">
        <v>0</v>
      </c>
      <c r="AS23" s="107"/>
      <c r="AT23" s="12">
        <v>19</v>
      </c>
      <c r="AU23">
        <v>0</v>
      </c>
      <c r="AV23" s="117">
        <v>1000</v>
      </c>
      <c r="AW23" s="14">
        <v>0</v>
      </c>
      <c r="AY23" s="12">
        <v>19</v>
      </c>
      <c r="AZ23">
        <v>0</v>
      </c>
      <c r="BA23" s="116" t="e">
        <v>#DIV/0!</v>
      </c>
      <c r="BB23" s="107"/>
      <c r="BC23" s="12">
        <v>19</v>
      </c>
      <c r="BD23">
        <v>0</v>
      </c>
      <c r="BE23" s="116" t="e">
        <v>#DIV/0!</v>
      </c>
      <c r="BF23" s="115">
        <v>0</v>
      </c>
      <c r="BG23" s="107"/>
      <c r="BH23" s="15">
        <v>19</v>
      </c>
      <c r="BI23" s="114">
        <v>0</v>
      </c>
      <c r="BJ23" s="114">
        <v>330750</v>
      </c>
      <c r="BL23" s="107"/>
      <c r="BT23" s="107"/>
      <c r="BU23" s="107"/>
      <c r="BV23" s="107"/>
    </row>
    <row r="24" spans="1:74" ht="36" x14ac:dyDescent="0.3">
      <c r="Z24" s="125" t="s">
        <v>77</v>
      </c>
      <c r="AA24" s="125" t="s">
        <v>76</v>
      </c>
      <c r="AB24" s="125" t="s">
        <v>75</v>
      </c>
      <c r="AC24" s="125" t="s">
        <v>74</v>
      </c>
      <c r="AD24" s="125" t="s">
        <v>73</v>
      </c>
      <c r="AG24" s="107"/>
      <c r="AH24" s="107"/>
      <c r="AJ24" s="15">
        <v>20</v>
      </c>
      <c r="AK24" s="114">
        <v>1600</v>
      </c>
      <c r="AL24" s="114">
        <v>2180.94484375</v>
      </c>
      <c r="AM24" s="118">
        <v>3599</v>
      </c>
      <c r="AN24"/>
      <c r="AO24" s="107"/>
      <c r="AP24" s="15">
        <v>20</v>
      </c>
      <c r="AQ24" s="114">
        <v>1600</v>
      </c>
      <c r="AR24" s="114">
        <v>20</v>
      </c>
      <c r="AS24" s="107"/>
      <c r="AT24" s="12">
        <v>20</v>
      </c>
      <c r="AU24">
        <v>829.34699999999998</v>
      </c>
      <c r="AV24" s="117">
        <v>1000</v>
      </c>
      <c r="AW24" s="14">
        <v>105.00000000000001</v>
      </c>
      <c r="AY24" s="12">
        <v>20</v>
      </c>
      <c r="AZ24">
        <v>829.34699999999998</v>
      </c>
      <c r="BA24" s="116" t="e">
        <v>#DIV/0!</v>
      </c>
      <c r="BB24" s="107"/>
      <c r="BC24" s="12">
        <v>20</v>
      </c>
      <c r="BD24">
        <v>829.34699999999998</v>
      </c>
      <c r="BE24" s="116" t="e">
        <v>#DIV/0!</v>
      </c>
      <c r="BF24" s="115">
        <v>87081.435000000012</v>
      </c>
      <c r="BG24" s="107"/>
      <c r="BH24" s="15">
        <v>20</v>
      </c>
      <c r="BI24" s="114">
        <v>1600</v>
      </c>
      <c r="BJ24" s="114">
        <v>3489511.75</v>
      </c>
      <c r="BL24" s="107"/>
      <c r="BT24" s="107"/>
      <c r="BU24" s="107"/>
      <c r="BV24" s="107"/>
    </row>
    <row r="25" spans="1:74" ht="22.2" x14ac:dyDescent="0.45">
      <c r="Z25" s="124">
        <f>+GETPIVOTDATA(" VOLUMEN ENVIADO A RO (m3)",$AT$4)</f>
        <v>17694.769000000008</v>
      </c>
      <c r="AA25" s="123">
        <f>+AD25/Z25</f>
        <v>104.99999999999997</v>
      </c>
      <c r="AB25" s="122" t="e">
        <f>GETPIVOTDATA("TIEMPO DE OPERACIÓN",$AY$4)</f>
        <v>#DIV/0!</v>
      </c>
      <c r="AC25" s="121" t="e">
        <f>AD25/AB25</f>
        <v>#DIV/0!</v>
      </c>
      <c r="AD25" s="121">
        <f>GETPIVOTDATA("COSTO QUIMICA  ",$BC$4)</f>
        <v>1857950.7450000003</v>
      </c>
      <c r="AG25" s="107"/>
      <c r="AH25" s="107"/>
      <c r="AJ25" s="15">
        <v>21</v>
      </c>
      <c r="AK25" s="114">
        <v>1360</v>
      </c>
      <c r="AL25" s="114">
        <v>2748.0113970588236</v>
      </c>
      <c r="AM25" s="118">
        <v>3599</v>
      </c>
      <c r="AN25"/>
      <c r="AO25" s="107"/>
      <c r="AP25" s="15">
        <v>21</v>
      </c>
      <c r="AQ25" s="114">
        <v>1360</v>
      </c>
      <c r="AR25" s="114">
        <v>17</v>
      </c>
      <c r="AT25" s="12">
        <v>21</v>
      </c>
      <c r="AU25">
        <v>909.375</v>
      </c>
      <c r="AV25" s="117">
        <v>1000</v>
      </c>
      <c r="AW25" s="14">
        <v>105</v>
      </c>
      <c r="AY25" s="12">
        <v>21</v>
      </c>
      <c r="AZ25">
        <v>909.375</v>
      </c>
      <c r="BA25" s="116" t="e">
        <v>#DIV/0!</v>
      </c>
      <c r="BB25" s="107"/>
      <c r="BC25" s="12">
        <v>21</v>
      </c>
      <c r="BD25">
        <v>909.375</v>
      </c>
      <c r="BE25" s="116" t="e">
        <v>#DIV/0!</v>
      </c>
      <c r="BF25" s="115">
        <v>95484.375</v>
      </c>
      <c r="BG25" s="107"/>
      <c r="BH25" s="15">
        <v>21</v>
      </c>
      <c r="BI25" s="114">
        <v>1360</v>
      </c>
      <c r="BJ25" s="114">
        <v>3737295.5</v>
      </c>
      <c r="BL25" s="107"/>
      <c r="BT25" s="107"/>
      <c r="BU25" s="107"/>
      <c r="BV25" s="107"/>
    </row>
    <row r="26" spans="1:74" x14ac:dyDescent="0.3">
      <c r="AG26" s="107"/>
      <c r="AH26" s="107"/>
      <c r="AJ26" s="15">
        <v>22</v>
      </c>
      <c r="AK26" s="114">
        <v>1520</v>
      </c>
      <c r="AL26" s="114">
        <v>3660.9736842105262</v>
      </c>
      <c r="AM26" s="118">
        <v>3599</v>
      </c>
      <c r="AN26"/>
      <c r="AO26" s="107"/>
      <c r="AP26" s="15">
        <v>22</v>
      </c>
      <c r="AQ26" s="114">
        <v>1520</v>
      </c>
      <c r="AR26" s="114">
        <v>19</v>
      </c>
      <c r="AT26" s="12">
        <v>22</v>
      </c>
      <c r="AU26">
        <v>872.69399999999996</v>
      </c>
      <c r="AV26" s="117">
        <v>1000</v>
      </c>
      <c r="AW26" s="14">
        <v>105</v>
      </c>
      <c r="AY26" s="12">
        <v>22</v>
      </c>
      <c r="AZ26">
        <v>872.69399999999996</v>
      </c>
      <c r="BA26" s="116" t="e">
        <v>#DIV/0!</v>
      </c>
      <c r="BB26" s="107"/>
      <c r="BC26" s="12">
        <v>22</v>
      </c>
      <c r="BD26">
        <v>872.69399999999996</v>
      </c>
      <c r="BE26" s="116" t="e">
        <v>#DIV/0!</v>
      </c>
      <c r="BF26" s="115">
        <v>91632.87</v>
      </c>
      <c r="BG26" s="107"/>
      <c r="BH26" s="15">
        <v>22</v>
      </c>
      <c r="BI26" s="114">
        <v>1520</v>
      </c>
      <c r="BJ26" s="114">
        <v>5564680</v>
      </c>
    </row>
    <row r="27" spans="1:74" x14ac:dyDescent="0.3">
      <c r="AG27" s="107"/>
      <c r="AH27" s="107"/>
      <c r="AJ27" s="15">
        <v>23</v>
      </c>
      <c r="AK27" s="114">
        <v>1495</v>
      </c>
      <c r="AL27" s="114">
        <v>2341.9923076923078</v>
      </c>
      <c r="AM27" s="118">
        <v>3599</v>
      </c>
      <c r="AN27"/>
      <c r="AO27" s="107"/>
      <c r="AP27" s="15">
        <v>23</v>
      </c>
      <c r="AQ27" s="114">
        <v>1495</v>
      </c>
      <c r="AR27" s="114">
        <v>17</v>
      </c>
      <c r="AT27" s="12">
        <v>23</v>
      </c>
      <c r="AU27">
        <v>839.55500000000006</v>
      </c>
      <c r="AV27" s="117">
        <v>1000</v>
      </c>
      <c r="AW27" s="14">
        <v>104.99999999999999</v>
      </c>
      <c r="AY27" s="12">
        <v>23</v>
      </c>
      <c r="AZ27">
        <v>839.55500000000006</v>
      </c>
      <c r="BA27" s="116" t="e">
        <v>#DIV/0!</v>
      </c>
      <c r="BB27" s="107"/>
      <c r="BC27" s="12">
        <v>23</v>
      </c>
      <c r="BD27">
        <v>839.55500000000006</v>
      </c>
      <c r="BE27" s="116" t="e">
        <v>#DIV/0!</v>
      </c>
      <c r="BF27" s="115">
        <v>88153.274999999994</v>
      </c>
      <c r="BG27" s="107"/>
      <c r="BH27" s="15">
        <v>23</v>
      </c>
      <c r="BI27" s="114">
        <v>1495</v>
      </c>
      <c r="BJ27" s="114">
        <v>3501278.5</v>
      </c>
    </row>
    <row r="28" spans="1:74" ht="21" x14ac:dyDescent="0.3">
      <c r="C28" s="120"/>
      <c r="AC28" s="119"/>
      <c r="AD28" s="119"/>
      <c r="AE28" s="119"/>
      <c r="AG28" s="107"/>
      <c r="AH28" s="107"/>
      <c r="AJ28" s="15">
        <v>24</v>
      </c>
      <c r="AK28" s="114">
        <v>1360</v>
      </c>
      <c r="AL28" s="114">
        <v>2116.0264705882355</v>
      </c>
      <c r="AM28" s="118">
        <v>3599</v>
      </c>
      <c r="AN28"/>
      <c r="AO28" s="107"/>
      <c r="AP28" s="15">
        <v>24</v>
      </c>
      <c r="AQ28" s="114">
        <v>1360</v>
      </c>
      <c r="AR28" s="114">
        <v>17</v>
      </c>
      <c r="AT28" s="12">
        <v>24</v>
      </c>
      <c r="AU28">
        <v>825.55399999999997</v>
      </c>
      <c r="AV28" s="117">
        <v>1000</v>
      </c>
      <c r="AW28" s="14">
        <v>105.00000000000001</v>
      </c>
      <c r="AY28" s="12">
        <v>24</v>
      </c>
      <c r="AZ28">
        <v>825.55399999999997</v>
      </c>
      <c r="BA28" s="116" t="e">
        <v>#DIV/0!</v>
      </c>
      <c r="BB28" s="107"/>
      <c r="BC28" s="12">
        <v>24</v>
      </c>
      <c r="BD28">
        <v>825.55399999999997</v>
      </c>
      <c r="BE28" s="116" t="e">
        <v>#DIV/0!</v>
      </c>
      <c r="BF28" s="115">
        <v>86683.170000000013</v>
      </c>
      <c r="BG28" s="107"/>
      <c r="BH28" s="15">
        <v>24</v>
      </c>
      <c r="BI28" s="114">
        <v>1360</v>
      </c>
      <c r="BJ28" s="114">
        <v>2877796</v>
      </c>
    </row>
    <row r="29" spans="1:74" x14ac:dyDescent="0.3">
      <c r="AG29" s="107"/>
      <c r="AH29" s="107"/>
      <c r="AJ29" s="15">
        <v>25</v>
      </c>
      <c r="AK29" s="114">
        <v>1360</v>
      </c>
      <c r="AL29" s="114">
        <v>2486.9143382352941</v>
      </c>
      <c r="AM29" s="118">
        <v>3599</v>
      </c>
      <c r="AN29"/>
      <c r="AO29" s="107"/>
      <c r="AP29" s="15">
        <v>25</v>
      </c>
      <c r="AQ29" s="114">
        <v>1360</v>
      </c>
      <c r="AR29" s="114">
        <v>17</v>
      </c>
      <c r="AT29" s="12">
        <v>25</v>
      </c>
      <c r="AU29">
        <v>622.58199999999999</v>
      </c>
      <c r="AV29" s="117">
        <v>1000</v>
      </c>
      <c r="AW29" s="14">
        <v>105.00000000000003</v>
      </c>
      <c r="AY29" s="12">
        <v>25</v>
      </c>
      <c r="AZ29">
        <v>622.58199999999999</v>
      </c>
      <c r="BA29" s="116" t="e">
        <v>#DIV/0!</v>
      </c>
      <c r="BB29" s="107"/>
      <c r="BC29" s="12">
        <v>25</v>
      </c>
      <c r="BD29">
        <v>622.58199999999999</v>
      </c>
      <c r="BE29" s="116" t="e">
        <v>#DIV/0!</v>
      </c>
      <c r="BF29" s="115">
        <v>65371.110000000015</v>
      </c>
      <c r="BG29" s="107"/>
      <c r="BH29" s="15">
        <v>25</v>
      </c>
      <c r="BI29" s="114">
        <v>1360</v>
      </c>
      <c r="BJ29" s="114">
        <v>3382203.5</v>
      </c>
      <c r="BK29" s="107"/>
    </row>
    <row r="30" spans="1:74" x14ac:dyDescent="0.3">
      <c r="AG30" s="107"/>
      <c r="AH30" s="107"/>
      <c r="AJ30" s="15">
        <v>26</v>
      </c>
      <c r="AK30" s="114">
        <v>800</v>
      </c>
      <c r="AL30" s="114">
        <v>1466.7093749999999</v>
      </c>
      <c r="AM30" s="118">
        <v>3599</v>
      </c>
      <c r="AN30"/>
      <c r="AO30" s="107"/>
      <c r="AP30" s="15">
        <v>26</v>
      </c>
      <c r="AQ30" s="114">
        <v>800</v>
      </c>
      <c r="AR30" s="114">
        <v>10</v>
      </c>
      <c r="AT30" s="12">
        <v>26</v>
      </c>
      <c r="AU30">
        <v>125.733</v>
      </c>
      <c r="AV30" s="117">
        <v>1000</v>
      </c>
      <c r="AW30" s="14">
        <v>105.00000000000001</v>
      </c>
      <c r="AY30" s="12">
        <v>26</v>
      </c>
      <c r="AZ30">
        <v>125.733</v>
      </c>
      <c r="BA30" s="116" t="e">
        <v>#DIV/0!</v>
      </c>
      <c r="BB30" s="107"/>
      <c r="BC30" s="12">
        <v>26</v>
      </c>
      <c r="BD30">
        <v>125.733</v>
      </c>
      <c r="BE30" s="116" t="e">
        <v>#DIV/0!</v>
      </c>
      <c r="BF30" s="115">
        <v>13201.965000000002</v>
      </c>
      <c r="BG30" s="107"/>
      <c r="BH30" s="15">
        <v>26</v>
      </c>
      <c r="BI30" s="114">
        <v>800</v>
      </c>
      <c r="BJ30" s="114">
        <v>1173367.5</v>
      </c>
      <c r="BK30" s="107"/>
    </row>
    <row r="31" spans="1:74" x14ac:dyDescent="0.3">
      <c r="AG31" s="107"/>
      <c r="AH31" s="107"/>
      <c r="AJ31" s="15">
        <v>27</v>
      </c>
      <c r="AK31" s="114">
        <v>1520</v>
      </c>
      <c r="AL31" s="114">
        <v>2624.4664473684211</v>
      </c>
      <c r="AM31" s="118">
        <v>3599</v>
      </c>
      <c r="AN31"/>
      <c r="AO31" s="107"/>
      <c r="AP31" s="15">
        <v>27</v>
      </c>
      <c r="AQ31" s="114">
        <v>1520</v>
      </c>
      <c r="AR31" s="114">
        <v>19</v>
      </c>
      <c r="AT31" s="12">
        <v>27</v>
      </c>
      <c r="AU31">
        <v>940.94499999999994</v>
      </c>
      <c r="AV31" s="117">
        <v>1000</v>
      </c>
      <c r="AW31" s="14">
        <v>105.00000000000001</v>
      </c>
      <c r="AY31" s="12">
        <v>27</v>
      </c>
      <c r="AZ31">
        <v>940.94499999999994</v>
      </c>
      <c r="BA31" s="116" t="e">
        <v>#DIV/0!</v>
      </c>
      <c r="BB31" s="107"/>
      <c r="BC31" s="12">
        <v>27</v>
      </c>
      <c r="BD31">
        <v>940.94499999999994</v>
      </c>
      <c r="BE31" s="116" t="e">
        <v>#DIV/0!</v>
      </c>
      <c r="BF31" s="115">
        <v>98799.225000000006</v>
      </c>
      <c r="BG31" s="107"/>
      <c r="BH31" s="15">
        <v>27</v>
      </c>
      <c r="BI31" s="114">
        <v>1520</v>
      </c>
      <c r="BJ31" s="114">
        <v>3989189</v>
      </c>
      <c r="BK31" s="107"/>
    </row>
    <row r="32" spans="1:74" x14ac:dyDescent="0.3">
      <c r="AG32" s="107"/>
      <c r="AH32" s="107"/>
      <c r="AJ32" s="15">
        <v>28</v>
      </c>
      <c r="AK32" s="114">
        <v>1600</v>
      </c>
      <c r="AL32" s="114">
        <v>2916.3146875000002</v>
      </c>
      <c r="AM32" s="118">
        <v>3599</v>
      </c>
      <c r="AN32"/>
      <c r="AO32" s="107"/>
      <c r="AP32" s="15">
        <v>28</v>
      </c>
      <c r="AQ32" s="114">
        <v>1600</v>
      </c>
      <c r="AR32" s="114">
        <v>20</v>
      </c>
      <c r="AT32" s="12">
        <v>28</v>
      </c>
      <c r="AU32">
        <v>940.33199999999999</v>
      </c>
      <c r="AV32" s="117">
        <v>1000</v>
      </c>
      <c r="AW32" s="14">
        <v>105.00000000000001</v>
      </c>
      <c r="AY32" s="12">
        <v>28</v>
      </c>
      <c r="AZ32">
        <v>940.33199999999999</v>
      </c>
      <c r="BA32" s="116" t="e">
        <v>#DIV/0!</v>
      </c>
      <c r="BB32" s="107"/>
      <c r="BC32" s="12">
        <v>28</v>
      </c>
      <c r="BD32">
        <v>940.33199999999999</v>
      </c>
      <c r="BE32" s="116" t="e">
        <v>#DIV/0!</v>
      </c>
      <c r="BF32" s="115">
        <v>98734.860000000015</v>
      </c>
      <c r="BG32" s="107"/>
      <c r="BH32" s="15">
        <v>28</v>
      </c>
      <c r="BI32" s="114">
        <v>1600</v>
      </c>
      <c r="BJ32" s="114">
        <v>4666103.5</v>
      </c>
      <c r="BK32" s="107"/>
    </row>
    <row r="33" spans="33:63" x14ac:dyDescent="0.3">
      <c r="AG33" s="107"/>
      <c r="AH33" s="107"/>
      <c r="AJ33" s="15">
        <v>29</v>
      </c>
      <c r="AK33" s="114">
        <v>1680</v>
      </c>
      <c r="AL33" s="114">
        <v>2882.8380952380953</v>
      </c>
      <c r="AM33" s="118">
        <v>3599</v>
      </c>
      <c r="AN33"/>
      <c r="AO33" s="107"/>
      <c r="AP33" s="15">
        <v>29</v>
      </c>
      <c r="AQ33" s="114">
        <v>1680</v>
      </c>
      <c r="AR33" s="114">
        <v>21</v>
      </c>
      <c r="AT33" s="12">
        <v>29</v>
      </c>
      <c r="AU33">
        <v>1045.816</v>
      </c>
      <c r="AV33" s="117">
        <v>1000</v>
      </c>
      <c r="AW33" s="14">
        <v>105.00000000000001</v>
      </c>
      <c r="AY33" s="12">
        <v>29</v>
      </c>
      <c r="AZ33">
        <v>1045.816</v>
      </c>
      <c r="BA33" s="116" t="e">
        <v>#DIV/0!</v>
      </c>
      <c r="BB33" s="107"/>
      <c r="BC33" s="12">
        <v>29</v>
      </c>
      <c r="BD33">
        <v>1045.816</v>
      </c>
      <c r="BE33" s="116" t="e">
        <v>#DIV/0!</v>
      </c>
      <c r="BF33" s="115">
        <v>109810.68000000002</v>
      </c>
      <c r="BG33" s="107"/>
      <c r="BH33" s="15">
        <v>29</v>
      </c>
      <c r="BI33" s="114">
        <v>1680</v>
      </c>
      <c r="BJ33" s="114">
        <v>4843168</v>
      </c>
      <c r="BK33" s="107"/>
    </row>
    <row r="34" spans="33:63" x14ac:dyDescent="0.3">
      <c r="AG34" s="107"/>
      <c r="AH34" s="107"/>
      <c r="AJ34" s="15">
        <v>30</v>
      </c>
      <c r="AK34" s="114">
        <v>1520</v>
      </c>
      <c r="AL34" s="114">
        <v>2777.1713815789471</v>
      </c>
      <c r="AM34" s="118">
        <v>3599</v>
      </c>
      <c r="AN34"/>
      <c r="AO34" s="107"/>
      <c r="AP34" s="15">
        <v>30</v>
      </c>
      <c r="AQ34" s="114">
        <v>1520</v>
      </c>
      <c r="AR34" s="114">
        <v>19</v>
      </c>
      <c r="AT34" s="12">
        <v>30</v>
      </c>
      <c r="AU34">
        <v>709.06099999999992</v>
      </c>
      <c r="AV34" s="117">
        <v>1000</v>
      </c>
      <c r="AW34" s="14">
        <v>105.00000000000001</v>
      </c>
      <c r="AY34" s="12">
        <v>30</v>
      </c>
      <c r="AZ34">
        <v>709.06099999999992</v>
      </c>
      <c r="BA34" s="116" t="e">
        <v>#DIV/0!</v>
      </c>
      <c r="BB34" s="107"/>
      <c r="BC34" s="12">
        <v>30</v>
      </c>
      <c r="BD34">
        <v>709.06099999999992</v>
      </c>
      <c r="BE34" s="116" t="e">
        <v>#DIV/0!</v>
      </c>
      <c r="BF34" s="115">
        <v>74451.404999999999</v>
      </c>
      <c r="BG34" s="107"/>
      <c r="BH34" s="15">
        <v>30</v>
      </c>
      <c r="BI34" s="114">
        <v>1520</v>
      </c>
      <c r="BJ34" s="114">
        <v>4221300.5</v>
      </c>
      <c r="BK34" s="107"/>
    </row>
    <row r="35" spans="33:63" x14ac:dyDescent="0.3">
      <c r="AG35" s="107"/>
      <c r="AH35" s="107"/>
      <c r="AJ35" s="15" t="s">
        <v>45</v>
      </c>
      <c r="AK35" s="114">
        <v>32414</v>
      </c>
      <c r="AL35" s="114">
        <v>2659.3038656136237</v>
      </c>
      <c r="AM35" s="118">
        <v>3599</v>
      </c>
      <c r="AN35"/>
      <c r="AO35" s="107"/>
      <c r="AP35" s="15" t="s">
        <v>45</v>
      </c>
      <c r="AQ35" s="114">
        <v>32414</v>
      </c>
      <c r="AR35" s="114">
        <v>403</v>
      </c>
      <c r="AT35" s="12" t="s">
        <v>45</v>
      </c>
      <c r="AU35">
        <v>17694.769000000008</v>
      </c>
      <c r="AV35" s="117">
        <v>1000</v>
      </c>
      <c r="AW35" s="14">
        <v>104.99999999999994</v>
      </c>
      <c r="AY35" s="12" t="s">
        <v>45</v>
      </c>
      <c r="AZ35">
        <v>17694.769000000004</v>
      </c>
      <c r="BA35" s="116" t="e">
        <v>#DIV/0!</v>
      </c>
      <c r="BB35" s="107"/>
      <c r="BC35" s="12" t="s">
        <v>45</v>
      </c>
      <c r="BD35">
        <v>17694.769000000004</v>
      </c>
      <c r="BE35" s="116" t="e">
        <v>#DIV/0!</v>
      </c>
      <c r="BF35" s="115">
        <v>1857950.7450000003</v>
      </c>
      <c r="BG35" s="107"/>
      <c r="BH35" s="15" t="s">
        <v>45</v>
      </c>
      <c r="BI35" s="114">
        <v>32414</v>
      </c>
      <c r="BJ35" s="114">
        <v>86198675.5</v>
      </c>
      <c r="BK35" s="107"/>
    </row>
    <row r="36" spans="33:63" x14ac:dyDescent="0.3">
      <c r="AG36" s="107"/>
      <c r="AH36" s="107"/>
      <c r="AJ36"/>
      <c r="AK36"/>
      <c r="AL36"/>
      <c r="AM36"/>
      <c r="AN36"/>
      <c r="AO36" s="107"/>
      <c r="AP36"/>
      <c r="AQ36"/>
      <c r="AR36"/>
      <c r="AW36"/>
      <c r="AY36"/>
      <c r="AZ36"/>
      <c r="BA36"/>
      <c r="BB36" s="107"/>
      <c r="BG36" s="107"/>
      <c r="BK36" s="107"/>
    </row>
    <row r="37" spans="33:63" x14ac:dyDescent="0.3">
      <c r="AG37" s="107"/>
      <c r="AH37" s="107"/>
      <c r="AJ37" s="107"/>
      <c r="AK37" s="107"/>
      <c r="AL37" s="107"/>
      <c r="AM37" s="107"/>
      <c r="AN37" s="107"/>
      <c r="AO37" s="107"/>
      <c r="AP37"/>
      <c r="AQ37"/>
      <c r="AR37" s="107"/>
      <c r="AS37" s="107"/>
      <c r="AT37" s="107"/>
      <c r="AU37" s="107"/>
      <c r="AV37" s="107"/>
      <c r="AW37" s="107"/>
      <c r="AY37"/>
      <c r="AZ37"/>
      <c r="BA37"/>
      <c r="BB37" s="107"/>
      <c r="BG37" s="107"/>
      <c r="BH37" s="107"/>
      <c r="BI37" s="107"/>
      <c r="BJ37" s="107"/>
      <c r="BK37" s="107"/>
    </row>
    <row r="38" spans="33:63" x14ac:dyDescent="0.3">
      <c r="AG38" s="107"/>
      <c r="AH38" s="107"/>
      <c r="AJ38" s="107"/>
      <c r="AK38" s="107"/>
      <c r="AL38" s="107"/>
      <c r="AM38" s="107"/>
      <c r="AN38" s="107"/>
      <c r="AO38" s="107"/>
      <c r="AP38"/>
      <c r="AQ38"/>
      <c r="AR38" s="107"/>
      <c r="AS38" s="107"/>
      <c r="AT38" s="107"/>
      <c r="AU38" s="107"/>
      <c r="AV38" s="107"/>
      <c r="AW38" s="107"/>
      <c r="BB38" s="107"/>
      <c r="BC38" s="107"/>
      <c r="BD38" s="107"/>
      <c r="BE38" s="107"/>
      <c r="BF38" s="107"/>
      <c r="BG38" s="107"/>
      <c r="BH38" s="107"/>
      <c r="BI38" s="107"/>
      <c r="BJ38" s="107"/>
      <c r="BK38" s="107"/>
    </row>
    <row r="39" spans="33:63" x14ac:dyDescent="0.3">
      <c r="AG39" s="107"/>
      <c r="AH39" s="107"/>
      <c r="AP39"/>
      <c r="AQ39"/>
      <c r="AR39" s="107"/>
      <c r="AT39" s="109"/>
      <c r="AU39" s="109"/>
      <c r="AV39" s="109"/>
      <c r="AW39" s="109"/>
      <c r="AX39" s="109"/>
      <c r="AY39" s="109"/>
      <c r="AZ39" s="109"/>
      <c r="BA39" s="109"/>
      <c r="BB39" s="107"/>
      <c r="BC39" s="107"/>
      <c r="BD39" s="107"/>
      <c r="BE39" s="107"/>
      <c r="BF39" s="107"/>
      <c r="BG39" s="107"/>
      <c r="BH39" s="107"/>
      <c r="BI39" s="107"/>
      <c r="BJ39" s="107"/>
      <c r="BK39" s="107"/>
    </row>
    <row r="40" spans="33:63" x14ac:dyDescent="0.3">
      <c r="AG40" s="107"/>
      <c r="AH40" s="107"/>
      <c r="AP40"/>
      <c r="AQ40"/>
      <c r="AR40" s="107"/>
      <c r="AT40" s="109"/>
      <c r="AU40" s="109"/>
      <c r="AV40" s="109"/>
      <c r="AW40" s="109"/>
      <c r="AX40" s="109"/>
      <c r="AY40" s="109"/>
      <c r="AZ40" s="109"/>
      <c r="BA40" s="109"/>
      <c r="BB40" s="107"/>
      <c r="BC40" s="107"/>
      <c r="BD40" s="107"/>
      <c r="BE40" s="107"/>
      <c r="BF40" s="107"/>
      <c r="BG40" s="107"/>
      <c r="BH40" s="107"/>
      <c r="BI40" s="107"/>
      <c r="BJ40" s="107"/>
      <c r="BK40" s="107"/>
    </row>
    <row r="41" spans="33:63" x14ac:dyDescent="0.3">
      <c r="AG41" s="107"/>
      <c r="AH41" s="107"/>
      <c r="AP41"/>
      <c r="AQ41"/>
      <c r="AR41" s="107"/>
      <c r="AT41" s="109"/>
      <c r="AU41" s="109"/>
      <c r="AV41" s="109"/>
      <c r="AW41" s="109"/>
      <c r="AX41" s="109"/>
      <c r="AY41" s="109"/>
      <c r="AZ41" s="109"/>
      <c r="BA41" s="109"/>
      <c r="BB41" s="107"/>
      <c r="BC41" s="107"/>
      <c r="BD41" s="107"/>
      <c r="BE41" s="107"/>
      <c r="BF41" s="107"/>
      <c r="BG41" s="107"/>
      <c r="BH41" s="107"/>
      <c r="BI41" s="107"/>
      <c r="BJ41" s="107"/>
      <c r="BK41" s="107"/>
    </row>
    <row r="42" spans="33:63" x14ac:dyDescent="0.3">
      <c r="AG42" s="107"/>
      <c r="AH42" s="107"/>
      <c r="AP42"/>
      <c r="AQ42"/>
      <c r="AR42" s="107"/>
      <c r="AT42" s="109"/>
      <c r="AU42" s="109"/>
      <c r="AV42" s="109"/>
      <c r="AW42" s="109"/>
      <c r="AX42" s="109"/>
      <c r="AY42" s="109"/>
      <c r="AZ42" s="109"/>
      <c r="BA42" s="109"/>
      <c r="BB42" s="107"/>
      <c r="BC42" s="107"/>
      <c r="BD42" s="107"/>
      <c r="BE42" s="107"/>
      <c r="BF42" s="107"/>
      <c r="BG42" s="107"/>
      <c r="BH42" s="107"/>
      <c r="BI42" s="107"/>
      <c r="BJ42" s="107"/>
      <c r="BK42" s="107"/>
    </row>
    <row r="43" spans="33:63" x14ac:dyDescent="0.3">
      <c r="AG43" s="107"/>
      <c r="AH43" s="107"/>
      <c r="AP43"/>
      <c r="AQ43"/>
      <c r="AR43" s="107"/>
      <c r="AT43" s="109"/>
      <c r="AU43" s="109"/>
      <c r="AV43" s="109"/>
      <c r="AW43" s="109"/>
      <c r="AX43" s="109"/>
      <c r="AY43" s="109"/>
      <c r="AZ43" s="109"/>
      <c r="BA43" s="109"/>
      <c r="BB43" s="107"/>
      <c r="BC43" s="107"/>
      <c r="BD43" s="107"/>
      <c r="BE43" s="107"/>
      <c r="BF43" s="107"/>
      <c r="BG43" s="107"/>
      <c r="BH43" s="107"/>
      <c r="BI43" s="107"/>
      <c r="BJ43" s="107"/>
      <c r="BK43" s="107"/>
    </row>
    <row r="44" spans="33:63" x14ac:dyDescent="0.3">
      <c r="AG44" s="107"/>
      <c r="AH44" s="107"/>
      <c r="AP44"/>
      <c r="AQ44"/>
      <c r="AR44" s="107"/>
      <c r="AT44" s="109"/>
      <c r="AU44" s="109"/>
      <c r="AV44" s="109"/>
      <c r="AW44" s="109"/>
      <c r="AX44" s="109"/>
      <c r="AY44" s="109"/>
      <c r="AZ44" s="109"/>
      <c r="BA44" s="109"/>
      <c r="BB44" s="107"/>
      <c r="BC44" s="107"/>
      <c r="BD44" s="107"/>
      <c r="BE44" s="107"/>
      <c r="BF44" s="107"/>
      <c r="BG44" s="107"/>
      <c r="BH44" s="107"/>
      <c r="BI44" s="107"/>
      <c r="BJ44" s="107"/>
      <c r="BK44" s="107"/>
    </row>
    <row r="45" spans="33:63" x14ac:dyDescent="0.3">
      <c r="AG45" s="107"/>
      <c r="AH45" s="107"/>
      <c r="AP45"/>
      <c r="AQ45"/>
      <c r="AR45" s="107"/>
      <c r="AT45" s="109"/>
      <c r="AU45" s="109"/>
      <c r="AV45" s="109"/>
      <c r="AW45" s="109"/>
      <c r="AX45" s="109"/>
      <c r="AY45" s="109"/>
      <c r="AZ45" s="109"/>
      <c r="BA45" s="109"/>
      <c r="BB45" s="107"/>
      <c r="BC45" s="107"/>
      <c r="BD45" s="107"/>
      <c r="BE45" s="107"/>
      <c r="BF45" s="107"/>
      <c r="BG45" s="107"/>
      <c r="BH45" s="107"/>
      <c r="BI45" s="107"/>
      <c r="BJ45" s="107"/>
      <c r="BK45" s="107"/>
    </row>
    <row r="46" spans="33:63" x14ac:dyDescent="0.3">
      <c r="AG46" s="107"/>
      <c r="AH46" s="107"/>
      <c r="AP46"/>
      <c r="AQ46"/>
      <c r="AR46" s="107"/>
      <c r="AW46"/>
    </row>
    <row r="47" spans="33:63" x14ac:dyDescent="0.3">
      <c r="AG47" s="107"/>
      <c r="AH47" s="107"/>
      <c r="AP47"/>
      <c r="AQ47"/>
      <c r="AW47"/>
    </row>
    <row r="48" spans="33:63" x14ac:dyDescent="0.3">
      <c r="AG48" s="107"/>
      <c r="AH48" s="107"/>
      <c r="AP48"/>
      <c r="AQ48"/>
      <c r="AW48"/>
    </row>
    <row r="49" spans="2:49" x14ac:dyDescent="0.3">
      <c r="AG49" s="107"/>
      <c r="AH49" s="107"/>
      <c r="AP49"/>
      <c r="AQ49"/>
      <c r="AW49"/>
    </row>
    <row r="50" spans="2:49" x14ac:dyDescent="0.3">
      <c r="AG50" s="107"/>
      <c r="AH50" s="107"/>
      <c r="AP50"/>
      <c r="AQ50"/>
      <c r="AW50"/>
    </row>
    <row r="51" spans="2:49" x14ac:dyDescent="0.3">
      <c r="AG51" s="107"/>
      <c r="AH51" s="107"/>
      <c r="AP51"/>
      <c r="AQ51"/>
      <c r="AW51"/>
    </row>
    <row r="52" spans="2:49" x14ac:dyDescent="0.3">
      <c r="AG52" s="107"/>
      <c r="AH52" s="107"/>
      <c r="AP52"/>
      <c r="AQ52"/>
      <c r="AW52"/>
    </row>
    <row r="53" spans="2:49" x14ac:dyDescent="0.3">
      <c r="AG53" s="107"/>
      <c r="AH53" s="107"/>
      <c r="AP53"/>
      <c r="AQ53"/>
      <c r="AW53"/>
    </row>
    <row r="54" spans="2:49" x14ac:dyDescent="0.3"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AG54" s="107"/>
      <c r="AH54" s="107"/>
      <c r="AP54"/>
      <c r="AQ54"/>
      <c r="AW54"/>
    </row>
    <row r="55" spans="2:49" x14ac:dyDescent="0.3"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AG55" s="107"/>
      <c r="AH55" s="107"/>
      <c r="AP55"/>
      <c r="AQ55"/>
      <c r="AW55"/>
    </row>
    <row r="56" spans="2:49" x14ac:dyDescent="0.3">
      <c r="AG56" s="107"/>
      <c r="AH56" s="107"/>
      <c r="AP56"/>
      <c r="AQ56"/>
      <c r="AW56"/>
    </row>
    <row r="57" spans="2:49" x14ac:dyDescent="0.3">
      <c r="AG57" s="107"/>
      <c r="AH57" s="107"/>
      <c r="AP57"/>
      <c r="AQ57"/>
      <c r="AW57"/>
    </row>
    <row r="58" spans="2:49" x14ac:dyDescent="0.3"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AG58" s="107"/>
      <c r="AH58" s="107"/>
      <c r="AP58"/>
      <c r="AQ58"/>
      <c r="AW58"/>
    </row>
    <row r="59" spans="2:49" x14ac:dyDescent="0.3">
      <c r="AG59" s="107"/>
      <c r="AH59" s="107"/>
      <c r="AP59"/>
      <c r="AQ59"/>
      <c r="AW59"/>
    </row>
    <row r="60" spans="2:49" x14ac:dyDescent="0.3">
      <c r="AG60" s="107"/>
      <c r="AH60" s="107"/>
      <c r="AP60"/>
      <c r="AQ60"/>
      <c r="AW60"/>
    </row>
    <row r="61" spans="2:49" x14ac:dyDescent="0.3">
      <c r="AG61" s="107"/>
      <c r="AH61" s="107"/>
      <c r="AP61"/>
      <c r="AQ61"/>
      <c r="AW61"/>
    </row>
    <row r="62" spans="2:49" x14ac:dyDescent="0.3">
      <c r="AG62" s="107"/>
      <c r="AH62" s="107"/>
      <c r="AP62"/>
      <c r="AQ62"/>
      <c r="AW62"/>
    </row>
    <row r="63" spans="2:49" x14ac:dyDescent="0.3">
      <c r="AG63" s="107"/>
      <c r="AH63" s="107"/>
      <c r="AP63"/>
      <c r="AQ63"/>
      <c r="AW63"/>
    </row>
    <row r="64" spans="2:49" x14ac:dyDescent="0.3">
      <c r="AG64" s="107"/>
      <c r="AH64" s="107"/>
      <c r="AP64"/>
      <c r="AQ64"/>
      <c r="AW64"/>
    </row>
    <row r="65" spans="33:49" x14ac:dyDescent="0.3">
      <c r="AG65" s="107"/>
      <c r="AH65" s="107"/>
      <c r="AP65"/>
      <c r="AQ65"/>
      <c r="AW65"/>
    </row>
    <row r="66" spans="33:49" x14ac:dyDescent="0.3">
      <c r="AG66" s="107"/>
      <c r="AH66" s="107"/>
      <c r="AP66"/>
      <c r="AQ66"/>
      <c r="AW66"/>
    </row>
    <row r="67" spans="33:49" x14ac:dyDescent="0.3">
      <c r="AG67" s="107"/>
      <c r="AH67" s="107"/>
      <c r="AP67"/>
      <c r="AQ67"/>
      <c r="AW67"/>
    </row>
    <row r="68" spans="33:49" x14ac:dyDescent="0.3">
      <c r="AG68" s="107"/>
      <c r="AH68" s="107"/>
      <c r="AP68"/>
      <c r="AQ68"/>
    </row>
    <row r="69" spans="33:49" x14ac:dyDescent="0.3">
      <c r="AG69" s="107"/>
      <c r="AH69" s="107"/>
      <c r="AP69"/>
      <c r="AQ69"/>
    </row>
    <row r="70" spans="33:49" x14ac:dyDescent="0.3">
      <c r="AG70" s="107"/>
      <c r="AH70" s="107"/>
      <c r="AP70"/>
      <c r="AQ70"/>
    </row>
    <row r="71" spans="33:49" x14ac:dyDescent="0.3">
      <c r="AG71" s="107"/>
      <c r="AH71" s="107"/>
      <c r="AP71"/>
      <c r="AQ71"/>
    </row>
    <row r="72" spans="33:49" x14ac:dyDescent="0.3">
      <c r="AG72" s="107"/>
      <c r="AH72" s="107"/>
      <c r="AP72"/>
      <c r="AQ72"/>
    </row>
    <row r="73" spans="33:49" x14ac:dyDescent="0.3">
      <c r="AG73" s="107"/>
      <c r="AH73" s="107"/>
      <c r="AP73"/>
      <c r="AQ73"/>
    </row>
    <row r="74" spans="33:49" x14ac:dyDescent="0.3">
      <c r="AG74" s="107"/>
      <c r="AH74" s="107"/>
      <c r="AP74"/>
      <c r="AQ74"/>
    </row>
    <row r="75" spans="33:49" x14ac:dyDescent="0.3">
      <c r="AG75" s="107"/>
      <c r="AH75" s="107"/>
      <c r="AP75"/>
      <c r="AQ75"/>
    </row>
    <row r="76" spans="33:49" x14ac:dyDescent="0.3">
      <c r="AG76" s="107"/>
      <c r="AH76" s="107"/>
      <c r="AP76"/>
      <c r="AQ76"/>
    </row>
    <row r="77" spans="33:49" x14ac:dyDescent="0.3">
      <c r="AG77" s="107"/>
      <c r="AH77" s="107"/>
      <c r="AP77"/>
      <c r="AQ77"/>
    </row>
    <row r="78" spans="33:49" x14ac:dyDescent="0.3">
      <c r="AG78" s="107"/>
      <c r="AH78" s="107"/>
      <c r="AP78"/>
      <c r="AQ78"/>
    </row>
    <row r="79" spans="33:49" x14ac:dyDescent="0.3">
      <c r="AG79" s="107"/>
      <c r="AH79" s="107"/>
      <c r="AP79"/>
      <c r="AQ79"/>
    </row>
    <row r="80" spans="33:49" x14ac:dyDescent="0.3">
      <c r="AG80" s="107"/>
      <c r="AH80" s="107"/>
      <c r="AP80"/>
      <c r="AQ80"/>
    </row>
    <row r="81" spans="33:43" x14ac:dyDescent="0.3">
      <c r="AG81" s="107"/>
      <c r="AH81" s="107"/>
      <c r="AP81"/>
      <c r="AQ81"/>
    </row>
    <row r="82" spans="33:43" ht="30.6" customHeight="1" x14ac:dyDescent="0.3">
      <c r="AG82" s="107"/>
      <c r="AH82" s="107"/>
      <c r="AP82"/>
      <c r="AQ82"/>
    </row>
    <row r="83" spans="33:43" x14ac:dyDescent="0.3">
      <c r="AG83" s="107"/>
      <c r="AH83" s="107"/>
      <c r="AP83"/>
      <c r="AQ83"/>
    </row>
    <row r="84" spans="33:43" x14ac:dyDescent="0.3">
      <c r="AG84" s="107"/>
      <c r="AH84" s="107"/>
      <c r="AP84"/>
      <c r="AQ84"/>
    </row>
    <row r="85" spans="33:43" x14ac:dyDescent="0.3">
      <c r="AG85" s="107"/>
      <c r="AH85" s="107"/>
      <c r="AP85"/>
      <c r="AQ85"/>
    </row>
    <row r="86" spans="33:43" x14ac:dyDescent="0.3">
      <c r="AG86" s="107"/>
      <c r="AH86" s="107"/>
      <c r="AP86"/>
      <c r="AQ86"/>
    </row>
    <row r="87" spans="33:43" x14ac:dyDescent="0.3">
      <c r="AG87" s="107"/>
      <c r="AH87" s="107"/>
      <c r="AP87"/>
      <c r="AQ87"/>
    </row>
    <row r="88" spans="33:43" x14ac:dyDescent="0.3">
      <c r="AG88" s="107"/>
      <c r="AH88" s="107"/>
      <c r="AP88"/>
      <c r="AQ88"/>
    </row>
    <row r="89" spans="33:43" x14ac:dyDescent="0.3">
      <c r="AG89" s="107"/>
      <c r="AH89" s="107"/>
      <c r="AP89"/>
      <c r="AQ89"/>
    </row>
    <row r="90" spans="33:43" x14ac:dyDescent="0.3">
      <c r="AG90" s="107"/>
      <c r="AH90" s="107"/>
      <c r="AP90"/>
      <c r="AQ90"/>
    </row>
    <row r="91" spans="33:43" x14ac:dyDescent="0.3">
      <c r="AG91" s="107"/>
      <c r="AH91" s="107"/>
      <c r="AP91"/>
      <c r="AQ91"/>
    </row>
    <row r="92" spans="33:43" x14ac:dyDescent="0.3">
      <c r="AG92" s="107"/>
      <c r="AH92" s="107"/>
      <c r="AP92"/>
      <c r="AQ92"/>
    </row>
    <row r="93" spans="33:43" x14ac:dyDescent="0.3">
      <c r="AG93" s="107"/>
      <c r="AH93" s="107"/>
      <c r="AP93"/>
      <c r="AQ93"/>
    </row>
    <row r="94" spans="33:43" x14ac:dyDescent="0.3">
      <c r="AP94"/>
      <c r="AQ94"/>
    </row>
    <row r="95" spans="33:43" x14ac:dyDescent="0.3">
      <c r="AP95"/>
      <c r="AQ95"/>
    </row>
    <row r="96" spans="33:43" x14ac:dyDescent="0.3">
      <c r="AP96"/>
      <c r="AQ96"/>
    </row>
    <row r="97" spans="42:43" x14ac:dyDescent="0.3">
      <c r="AP97"/>
      <c r="AQ97"/>
    </row>
    <row r="98" spans="42:43" x14ac:dyDescent="0.3">
      <c r="AP98"/>
      <c r="AQ98"/>
    </row>
    <row r="99" spans="42:43" x14ac:dyDescent="0.3">
      <c r="AP99"/>
      <c r="AQ99"/>
    </row>
    <row r="100" spans="42:43" x14ac:dyDescent="0.3">
      <c r="AP100"/>
      <c r="AQ100"/>
    </row>
    <row r="101" spans="42:43" x14ac:dyDescent="0.3">
      <c r="AP101"/>
      <c r="AQ101"/>
    </row>
    <row r="102" spans="42:43" x14ac:dyDescent="0.3">
      <c r="AP102"/>
      <c r="AQ102"/>
    </row>
    <row r="103" spans="42:43" x14ac:dyDescent="0.3">
      <c r="AP103"/>
      <c r="AQ103"/>
    </row>
    <row r="104" spans="42:43" x14ac:dyDescent="0.3">
      <c r="AP104"/>
      <c r="AQ104"/>
    </row>
    <row r="105" spans="42:43" x14ac:dyDescent="0.3">
      <c r="AP105"/>
      <c r="AQ105"/>
    </row>
    <row r="106" spans="42:43" x14ac:dyDescent="0.3">
      <c r="AP106"/>
      <c r="AQ106"/>
    </row>
    <row r="107" spans="42:43" x14ac:dyDescent="0.3">
      <c r="AP107"/>
      <c r="AQ107"/>
    </row>
    <row r="108" spans="42:43" x14ac:dyDescent="0.3">
      <c r="AP108"/>
      <c r="AQ108"/>
    </row>
  </sheetData>
  <mergeCells count="7">
    <mergeCell ref="Z23:AD23"/>
    <mergeCell ref="A1:AF1"/>
    <mergeCell ref="AJ1:AM1"/>
    <mergeCell ref="AT1:AW1"/>
    <mergeCell ref="B3:C3"/>
    <mergeCell ref="Z6:AD6"/>
    <mergeCell ref="A19:B19"/>
  </mergeCells>
  <pageMargins left="0.7" right="0.7" top="0.75" bottom="0.75" header="0.3" footer="0.3"/>
  <pageSetup orientation="portrait" r:id="rId7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BA66A-895E-408D-9C2C-8497707D9666}">
  <sheetPr>
    <tabColor rgb="FF00B050"/>
  </sheetPr>
  <dimension ref="A1:AZ106"/>
  <sheetViews>
    <sheetView topLeftCell="A45" zoomScale="96" zoomScaleNormal="70" workbookViewId="0">
      <selection activeCell="T31" sqref="T31"/>
    </sheetView>
  </sheetViews>
  <sheetFormatPr baseColWidth="10" defaultRowHeight="14.4" x14ac:dyDescent="0.3"/>
  <cols>
    <col min="2" max="4" width="16.6640625" customWidth="1"/>
    <col min="5" max="5" width="18.44140625" customWidth="1"/>
    <col min="6" max="8" width="16.6640625" customWidth="1"/>
    <col min="9" max="9" width="14.109375" customWidth="1"/>
    <col min="16" max="16" width="14.5546875" customWidth="1"/>
    <col min="17" max="17" width="17.88671875" customWidth="1"/>
    <col min="18" max="18" width="14.5546875" customWidth="1"/>
    <col min="19" max="19" width="15.44140625" bestFit="1" customWidth="1"/>
    <col min="20" max="20" width="18.44140625" bestFit="1" customWidth="1"/>
    <col min="22" max="22" width="12.33203125" bestFit="1" customWidth="1"/>
    <col min="23" max="23" width="29" bestFit="1" customWidth="1"/>
    <col min="24" max="24" width="28.21875" bestFit="1" customWidth="1"/>
    <col min="25" max="25" width="20.5546875" bestFit="1" customWidth="1"/>
    <col min="26" max="26" width="27.77734375" bestFit="1" customWidth="1"/>
    <col min="27" max="27" width="28.21875" bestFit="1" customWidth="1"/>
    <col min="28" max="28" width="16.33203125" bestFit="1" customWidth="1"/>
    <col min="30" max="30" width="12.33203125" bestFit="1" customWidth="1"/>
    <col min="31" max="31" width="19.33203125" bestFit="1" customWidth="1"/>
    <col min="32" max="32" width="14.5546875" bestFit="1" customWidth="1"/>
    <col min="33" max="35" width="17.33203125" bestFit="1" customWidth="1"/>
    <col min="36" max="36" width="11.5546875" bestFit="1" customWidth="1"/>
    <col min="38" max="38" width="12.33203125" bestFit="1" customWidth="1"/>
    <col min="39" max="39" width="19.33203125" bestFit="1" customWidth="1"/>
    <col min="40" max="40" width="18" bestFit="1" customWidth="1"/>
    <col min="41" max="41" width="10.109375" bestFit="1" customWidth="1"/>
    <col min="42" max="42" width="16.5546875" bestFit="1" customWidth="1"/>
    <col min="43" max="43" width="18" bestFit="1" customWidth="1"/>
    <col min="44" max="44" width="16.33203125" bestFit="1" customWidth="1"/>
    <col min="46" max="46" width="12.33203125" bestFit="1" customWidth="1"/>
    <col min="47" max="47" width="11.109375" bestFit="1" customWidth="1"/>
    <col min="48" max="48" width="11.5546875" bestFit="1" customWidth="1"/>
    <col min="49" max="49" width="18.21875" bestFit="1" customWidth="1"/>
    <col min="50" max="50" width="19.109375" bestFit="1" customWidth="1"/>
    <col min="51" max="51" width="16.109375" bestFit="1" customWidth="1"/>
    <col min="52" max="52" width="16.5546875" bestFit="1" customWidth="1"/>
  </cols>
  <sheetData>
    <row r="1" spans="1:52" ht="28.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V1" t="s">
        <v>0</v>
      </c>
      <c r="W1" t="s">
        <v>1</v>
      </c>
      <c r="AD1" t="s">
        <v>0</v>
      </c>
      <c r="AE1" t="s">
        <v>1</v>
      </c>
      <c r="AL1" t="s">
        <v>0</v>
      </c>
      <c r="AM1" t="s">
        <v>1</v>
      </c>
      <c r="AV1" s="2" t="s">
        <v>2</v>
      </c>
      <c r="AW1" s="3" t="s">
        <v>3</v>
      </c>
      <c r="AX1" s="3" t="s">
        <v>4</v>
      </c>
      <c r="AY1" s="3" t="s">
        <v>5</v>
      </c>
      <c r="AZ1" s="3" t="s">
        <v>6</v>
      </c>
    </row>
    <row r="2" spans="1:5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AV2" s="4">
        <v>830</v>
      </c>
      <c r="AW2" s="4">
        <v>2900</v>
      </c>
      <c r="AX2" s="4">
        <v>6295</v>
      </c>
      <c r="AY2" s="4">
        <v>19050</v>
      </c>
      <c r="AZ2" s="4">
        <v>22050</v>
      </c>
    </row>
    <row r="3" spans="1:52" ht="29.4" thickBo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V3" t="s">
        <v>7</v>
      </c>
      <c r="W3" t="s">
        <v>8</v>
      </c>
      <c r="X3" t="s">
        <v>9</v>
      </c>
      <c r="Y3" t="s">
        <v>10</v>
      </c>
      <c r="Z3" t="s">
        <v>11</v>
      </c>
      <c r="AA3" t="s">
        <v>12</v>
      </c>
      <c r="AB3" t="s">
        <v>13</v>
      </c>
      <c r="AD3" t="s">
        <v>7</v>
      </c>
      <c r="AE3" s="5" t="s">
        <v>14</v>
      </c>
      <c r="AF3" s="5" t="s">
        <v>15</v>
      </c>
      <c r="AG3" s="5" t="s">
        <v>16</v>
      </c>
      <c r="AH3" s="5" t="s">
        <v>17</v>
      </c>
      <c r="AI3" s="5" t="s">
        <v>18</v>
      </c>
      <c r="AJ3" s="5" t="s">
        <v>13</v>
      </c>
      <c r="AL3" t="s">
        <v>7</v>
      </c>
      <c r="AM3" t="s">
        <v>19</v>
      </c>
      <c r="AN3" t="s">
        <v>20</v>
      </c>
      <c r="AO3" t="s">
        <v>21</v>
      </c>
      <c r="AP3" t="s">
        <v>22</v>
      </c>
      <c r="AQ3" t="s">
        <v>23</v>
      </c>
      <c r="AR3" t="s">
        <v>13</v>
      </c>
      <c r="AT3" s="6" t="s">
        <v>7</v>
      </c>
      <c r="AU3" s="7" t="s">
        <v>24</v>
      </c>
      <c r="AV3" s="7" t="s">
        <v>25</v>
      </c>
      <c r="AW3" s="7" t="s">
        <v>26</v>
      </c>
      <c r="AX3" s="7" t="s">
        <v>27</v>
      </c>
      <c r="AY3" s="7" t="s">
        <v>28</v>
      </c>
      <c r="AZ3" s="7" t="s">
        <v>29</v>
      </c>
    </row>
    <row r="4" spans="1:52" ht="18.600000000000001" thickBo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8" t="s">
        <v>30</v>
      </c>
      <c r="Q4" s="9"/>
      <c r="R4" s="9"/>
      <c r="S4" s="9"/>
      <c r="T4" s="10"/>
      <c r="U4" s="11"/>
      <c r="V4" s="12">
        <v>1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4">
        <v>0</v>
      </c>
      <c r="AD4" s="12">
        <v>1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4">
        <v>0</v>
      </c>
      <c r="AL4" s="12">
        <v>1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4">
        <v>0</v>
      </c>
      <c r="AT4" s="15">
        <v>1</v>
      </c>
      <c r="AU4" s="16">
        <v>0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</row>
    <row r="5" spans="1:5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7"/>
      <c r="Q5" s="18" t="s">
        <v>31</v>
      </c>
      <c r="R5" s="18" t="s">
        <v>32</v>
      </c>
      <c r="S5" s="18" t="s">
        <v>33</v>
      </c>
      <c r="T5" s="19" t="s">
        <v>34</v>
      </c>
      <c r="U5" s="11"/>
      <c r="V5" s="12">
        <v>2</v>
      </c>
      <c r="W5" s="13">
        <v>2.8409090909090908</v>
      </c>
      <c r="X5" s="13">
        <v>2.8409090909090908</v>
      </c>
      <c r="Y5" s="13">
        <v>204.54545454545453</v>
      </c>
      <c r="Z5" s="13">
        <v>136.36363636363637</v>
      </c>
      <c r="AA5" s="13">
        <v>102.27272727272727</v>
      </c>
      <c r="AB5" s="14">
        <v>2001.6698863636364</v>
      </c>
      <c r="AD5" s="12">
        <v>2</v>
      </c>
      <c r="AE5" s="13">
        <v>10</v>
      </c>
      <c r="AF5" s="13">
        <v>10</v>
      </c>
      <c r="AG5" s="13">
        <v>180</v>
      </c>
      <c r="AH5" s="13">
        <v>120</v>
      </c>
      <c r="AI5" s="13">
        <v>90</v>
      </c>
      <c r="AJ5" s="14">
        <v>2001.6698863636364</v>
      </c>
      <c r="AL5" s="12">
        <v>2</v>
      </c>
      <c r="AM5" s="13">
        <v>10</v>
      </c>
      <c r="AN5" s="13">
        <v>10</v>
      </c>
      <c r="AO5" s="13">
        <v>234</v>
      </c>
      <c r="AP5" s="13">
        <v>159</v>
      </c>
      <c r="AQ5" s="13">
        <v>112.5</v>
      </c>
      <c r="AR5" s="14">
        <v>2001.6698863636364</v>
      </c>
      <c r="AT5" s="15">
        <v>2</v>
      </c>
      <c r="AU5" s="16">
        <v>2001.6698863636364</v>
      </c>
      <c r="AV5" s="16">
        <v>220.70454545454547</v>
      </c>
      <c r="AW5" s="16">
        <v>509.16136363636366</v>
      </c>
      <c r="AX5" s="16">
        <v>804.75852272727275</v>
      </c>
      <c r="AY5" s="16">
        <v>216.47727272727272</v>
      </c>
      <c r="AZ5" s="16">
        <v>250.56818181818181</v>
      </c>
    </row>
    <row r="6" spans="1:52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20" t="s">
        <v>35</v>
      </c>
      <c r="Q6" s="21">
        <f>_xlfn.MINIFS(AA4:AA30,AA4:AA30,"&lt;&gt;0")</f>
        <v>37.5</v>
      </c>
      <c r="R6" s="21">
        <f>_xlfn.MINIFS(AI4:AI30,AI4:AI30,"&lt;&gt;0")</f>
        <v>30</v>
      </c>
      <c r="S6" s="21">
        <f>_xlfn.MINIFS(AQ4:AQ30,AQ4:AQ30,"&lt;&gt;0")</f>
        <v>37.5</v>
      </c>
      <c r="T6" s="22">
        <f>_xlfn.MINIFS(AX4:AX30,AX4:AX30,"&lt;&gt;0")</f>
        <v>295.078125</v>
      </c>
      <c r="V6" s="12">
        <v>3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4">
        <v>0</v>
      </c>
      <c r="AD6" s="12">
        <v>3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4">
        <v>0</v>
      </c>
      <c r="AL6" s="12">
        <v>3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4">
        <v>0</v>
      </c>
      <c r="AT6" s="15">
        <v>3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</row>
    <row r="7" spans="1:52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20" t="s">
        <v>36</v>
      </c>
      <c r="Q7" s="21">
        <f>MAX(AA4:AA30)</f>
        <v>190.78947368421052</v>
      </c>
      <c r="R7" s="21">
        <f>MAX(AI4:AI30)</f>
        <v>305</v>
      </c>
      <c r="S7" s="21">
        <f>MAX(AQ4:AQ30)</f>
        <v>381.25</v>
      </c>
      <c r="T7" s="22">
        <f>MAX(AX4:AX30)</f>
        <v>1501.2746710526317</v>
      </c>
      <c r="V7" s="12">
        <v>4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4">
        <v>0</v>
      </c>
      <c r="AD7" s="12">
        <v>4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4">
        <v>0</v>
      </c>
      <c r="AL7" s="12">
        <v>4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4">
        <v>0</v>
      </c>
      <c r="AT7" s="15">
        <v>4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</row>
    <row r="8" spans="1:5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0" t="s">
        <v>37</v>
      </c>
      <c r="Q8" s="23">
        <f>AVERAGEIF(AA4:AA30,"&lt;&gt;0")</f>
        <v>114.80291048384164</v>
      </c>
      <c r="R8" s="23">
        <f>AVERAGEIF(AI4:AI30,"&lt;&gt;0")</f>
        <v>154.76190476190476</v>
      </c>
      <c r="S8" s="23">
        <f>AVERAGEIF(AQ4:AQ30,"&lt;&gt;0")</f>
        <v>193.45238095238096</v>
      </c>
      <c r="T8" s="22">
        <f>AVERAGEIF(AX4:AX30,"&lt;&gt;0")</f>
        <v>903.35540186972889</v>
      </c>
      <c r="V8" s="12">
        <v>5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4">
        <v>0</v>
      </c>
      <c r="AD8" s="12">
        <v>5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4">
        <v>0</v>
      </c>
      <c r="AL8" s="12">
        <v>5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4">
        <v>0</v>
      </c>
      <c r="AT8" s="15">
        <v>5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</row>
    <row r="9" spans="1:52" ht="15" thickBo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24" t="s">
        <v>38</v>
      </c>
      <c r="Q9" s="25"/>
      <c r="R9" s="26">
        <f>GETPIVOTDATA("CONSUMO LITROS DECOLORANTE (L) ",$AD$3)</f>
        <v>3840</v>
      </c>
      <c r="S9" s="26">
        <f>GETPIVOTDATA("KG DECOLORANTE  ",$AL$3)</f>
        <v>4800</v>
      </c>
      <c r="T9" s="27">
        <f>S9*AX2</f>
        <v>30216000</v>
      </c>
      <c r="V9" s="12">
        <v>6</v>
      </c>
      <c r="W9" s="13">
        <v>3.6057692307692308</v>
      </c>
      <c r="X9" s="13">
        <v>1.2019230769230769</v>
      </c>
      <c r="Y9" s="13">
        <v>144.23076923076923</v>
      </c>
      <c r="Z9" s="13">
        <v>413.46153846153845</v>
      </c>
      <c r="AA9" s="13">
        <v>67.307692307692307</v>
      </c>
      <c r="AB9" s="14">
        <v>2638.6711538461536</v>
      </c>
      <c r="AD9" s="12">
        <v>6</v>
      </c>
      <c r="AE9" s="13">
        <v>15</v>
      </c>
      <c r="AF9" s="13">
        <v>5</v>
      </c>
      <c r="AG9" s="13">
        <v>150</v>
      </c>
      <c r="AH9" s="13">
        <v>430</v>
      </c>
      <c r="AI9" s="13">
        <v>70</v>
      </c>
      <c r="AJ9" s="14">
        <v>2638.6711538461536</v>
      </c>
      <c r="AL9" s="12">
        <v>6</v>
      </c>
      <c r="AM9" s="13">
        <v>15</v>
      </c>
      <c r="AN9" s="13">
        <v>5</v>
      </c>
      <c r="AO9" s="13">
        <v>195</v>
      </c>
      <c r="AP9" s="13">
        <v>569.75</v>
      </c>
      <c r="AQ9" s="13">
        <v>87.5</v>
      </c>
      <c r="AR9" s="14">
        <v>2638.6711538461536</v>
      </c>
      <c r="AT9" s="15">
        <v>6</v>
      </c>
      <c r="AU9" s="16">
        <v>2638.6711538461536</v>
      </c>
      <c r="AV9" s="16">
        <v>155.625</v>
      </c>
      <c r="AW9" s="16">
        <v>1543.8033653846153</v>
      </c>
      <c r="AX9" s="16">
        <v>529.62740384615381</v>
      </c>
      <c r="AY9" s="16">
        <v>91.586538461538467</v>
      </c>
      <c r="AZ9" s="16">
        <v>318.02884615384613</v>
      </c>
    </row>
    <row r="10" spans="1:52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28" t="s">
        <v>39</v>
      </c>
      <c r="Q10" s="29"/>
      <c r="R10" s="29"/>
      <c r="S10" s="30">
        <v>0.23755146338873881</v>
      </c>
      <c r="T10" s="31">
        <v>1495.4</v>
      </c>
      <c r="V10" s="12">
        <v>7</v>
      </c>
      <c r="W10" s="13">
        <v>2.3169601482854496</v>
      </c>
      <c r="X10" s="13">
        <v>1.1584800741427248</v>
      </c>
      <c r="Y10" s="13">
        <v>139.01760889712696</v>
      </c>
      <c r="Z10" s="13">
        <v>389.24930491195551</v>
      </c>
      <c r="AA10" s="13">
        <v>111.21408711770158</v>
      </c>
      <c r="AB10" s="14">
        <v>2771.1464318813714</v>
      </c>
      <c r="AD10" s="12">
        <v>7</v>
      </c>
      <c r="AE10" s="13">
        <v>10</v>
      </c>
      <c r="AF10" s="13">
        <v>5</v>
      </c>
      <c r="AG10" s="13">
        <v>150</v>
      </c>
      <c r="AH10" s="13">
        <v>420</v>
      </c>
      <c r="AI10" s="13">
        <v>120</v>
      </c>
      <c r="AJ10" s="14">
        <v>2771.1464318813714</v>
      </c>
      <c r="AL10" s="12">
        <v>7</v>
      </c>
      <c r="AM10" s="13">
        <v>10</v>
      </c>
      <c r="AN10" s="13">
        <v>5</v>
      </c>
      <c r="AO10" s="13">
        <v>195</v>
      </c>
      <c r="AP10" s="13">
        <v>556.5</v>
      </c>
      <c r="AQ10" s="13">
        <v>150</v>
      </c>
      <c r="AR10" s="14">
        <v>2771.1464318813714</v>
      </c>
      <c r="AT10" s="15">
        <v>7</v>
      </c>
      <c r="AU10" s="16">
        <v>2771.1464318813714</v>
      </c>
      <c r="AV10" s="16">
        <v>150</v>
      </c>
      <c r="AW10" s="16">
        <v>1453.3985171455051</v>
      </c>
      <c r="AX10" s="16">
        <v>875.11584800741423</v>
      </c>
      <c r="AY10" s="16">
        <v>88.276181649675621</v>
      </c>
      <c r="AZ10" s="16">
        <v>204.35588507877665</v>
      </c>
    </row>
    <row r="11" spans="1:52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32" t="s">
        <v>40</v>
      </c>
      <c r="Q11" s="33"/>
      <c r="R11" s="33"/>
      <c r="S11" s="34">
        <f>S9/F82</f>
        <v>0.14808416116492873</v>
      </c>
      <c r="T11" s="22">
        <f>T9/F82</f>
        <v>932.1897945332264</v>
      </c>
      <c r="V11" s="12">
        <v>8</v>
      </c>
      <c r="W11" s="13">
        <v>2.0833333333333335</v>
      </c>
      <c r="X11" s="13">
        <v>1.0416666666666667</v>
      </c>
      <c r="Y11" s="13">
        <v>308.33333333333331</v>
      </c>
      <c r="Z11" s="13">
        <v>283.33333333333331</v>
      </c>
      <c r="AA11" s="13">
        <v>83.333333333333329</v>
      </c>
      <c r="AB11" s="14">
        <v>2309.4699999999998</v>
      </c>
      <c r="AD11" s="12">
        <v>8</v>
      </c>
      <c r="AE11" s="13">
        <v>10</v>
      </c>
      <c r="AF11" s="13">
        <v>5</v>
      </c>
      <c r="AG11" s="13">
        <v>370</v>
      </c>
      <c r="AH11" s="13">
        <v>340</v>
      </c>
      <c r="AI11" s="13">
        <v>100</v>
      </c>
      <c r="AJ11" s="14">
        <v>2309.4699999999998</v>
      </c>
      <c r="AL11" s="12">
        <v>8</v>
      </c>
      <c r="AM11" s="13">
        <v>10</v>
      </c>
      <c r="AN11" s="13">
        <v>5</v>
      </c>
      <c r="AO11" s="13">
        <v>481</v>
      </c>
      <c r="AP11" s="13">
        <v>450.5</v>
      </c>
      <c r="AQ11" s="13">
        <v>125</v>
      </c>
      <c r="AR11" s="14">
        <v>2309.4699999999998</v>
      </c>
      <c r="AT11" s="15">
        <v>8</v>
      </c>
      <c r="AU11" s="16">
        <v>2309.4699999999998</v>
      </c>
      <c r="AV11" s="16">
        <v>332.69166666666666</v>
      </c>
      <c r="AW11" s="16">
        <v>1057.9241666666667</v>
      </c>
      <c r="AX11" s="16">
        <v>655.72916666666663</v>
      </c>
      <c r="AY11" s="16">
        <v>79.375</v>
      </c>
      <c r="AZ11" s="16">
        <v>183.75</v>
      </c>
    </row>
    <row r="12" spans="1:5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32" t="s">
        <v>41</v>
      </c>
      <c r="Q12" s="33"/>
      <c r="R12" s="33"/>
      <c r="S12" s="35">
        <v>6027</v>
      </c>
      <c r="T12" s="22">
        <v>37939765.914243862</v>
      </c>
      <c r="V12" s="12">
        <v>9</v>
      </c>
      <c r="W12" s="13">
        <v>2.9296875</v>
      </c>
      <c r="X12" s="13">
        <v>1.953125</v>
      </c>
      <c r="Y12" s="13">
        <v>335.9375</v>
      </c>
      <c r="Z12" s="13">
        <v>164.0625</v>
      </c>
      <c r="AA12" s="13">
        <v>54.6875</v>
      </c>
      <c r="AB12" s="14">
        <v>1812.61015625</v>
      </c>
      <c r="AD12" s="12">
        <v>9</v>
      </c>
      <c r="AE12" s="13">
        <v>15</v>
      </c>
      <c r="AF12" s="13">
        <v>10</v>
      </c>
      <c r="AG12" s="13">
        <v>430</v>
      </c>
      <c r="AH12" s="13">
        <v>210</v>
      </c>
      <c r="AI12" s="13">
        <v>70</v>
      </c>
      <c r="AJ12" s="14">
        <v>1812.61015625</v>
      </c>
      <c r="AL12" s="12">
        <v>9</v>
      </c>
      <c r="AM12" s="13">
        <v>15</v>
      </c>
      <c r="AN12" s="13">
        <v>10</v>
      </c>
      <c r="AO12" s="13">
        <v>559</v>
      </c>
      <c r="AP12" s="13">
        <v>278.25</v>
      </c>
      <c r="AQ12" s="13">
        <v>87.5</v>
      </c>
      <c r="AR12" s="14">
        <v>1812.61015625</v>
      </c>
      <c r="AT12" s="15">
        <v>9</v>
      </c>
      <c r="AU12" s="16">
        <v>1812.61015625</v>
      </c>
      <c r="AV12" s="16">
        <v>362.4765625</v>
      </c>
      <c r="AW12" s="16">
        <v>612.58476562500005</v>
      </c>
      <c r="AX12" s="16">
        <v>430.322265625</v>
      </c>
      <c r="AY12" s="16">
        <v>148.828125</v>
      </c>
      <c r="AZ12" s="16">
        <v>258.3984375</v>
      </c>
    </row>
    <row r="13" spans="1:52" ht="15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36" t="s">
        <v>42</v>
      </c>
      <c r="Q13" s="37"/>
      <c r="R13" s="37"/>
      <c r="S13" s="38">
        <f>+S9</f>
        <v>4800</v>
      </c>
      <c r="T13" s="39">
        <f>+T9</f>
        <v>30216000</v>
      </c>
      <c r="V13" s="12">
        <v>10</v>
      </c>
      <c r="W13" s="13">
        <v>2.4671052631578947</v>
      </c>
      <c r="X13" s="13">
        <v>1.6447368421052631</v>
      </c>
      <c r="Y13" s="13">
        <v>131.57894736842104</v>
      </c>
      <c r="Z13" s="13">
        <v>276.31578947368422</v>
      </c>
      <c r="AA13" s="13">
        <v>92.10526315789474</v>
      </c>
      <c r="AB13" s="14">
        <v>2241.3763157894737</v>
      </c>
      <c r="AD13" s="12">
        <v>10</v>
      </c>
      <c r="AE13" s="13">
        <v>15</v>
      </c>
      <c r="AF13" s="13">
        <v>10</v>
      </c>
      <c r="AG13" s="13">
        <v>200</v>
      </c>
      <c r="AH13" s="13">
        <v>420</v>
      </c>
      <c r="AI13" s="13">
        <v>140</v>
      </c>
      <c r="AJ13" s="14">
        <v>2241.3763157894737</v>
      </c>
      <c r="AL13" s="12">
        <v>10</v>
      </c>
      <c r="AM13" s="13">
        <v>15</v>
      </c>
      <c r="AN13" s="13">
        <v>10</v>
      </c>
      <c r="AO13" s="13">
        <v>260</v>
      </c>
      <c r="AP13" s="13">
        <v>556.5</v>
      </c>
      <c r="AQ13" s="13">
        <v>175</v>
      </c>
      <c r="AR13" s="14">
        <v>2241.3763157894737</v>
      </c>
      <c r="AT13" s="15">
        <v>10</v>
      </c>
      <c r="AU13" s="16">
        <v>2241.3763157894737</v>
      </c>
      <c r="AV13" s="16">
        <v>141.97368421052633</v>
      </c>
      <c r="AW13" s="16">
        <v>1031.7217105263157</v>
      </c>
      <c r="AX13" s="16">
        <v>724.75328947368416</v>
      </c>
      <c r="AY13" s="16">
        <v>125.32894736842105</v>
      </c>
      <c r="AZ13" s="16">
        <v>217.59868421052633</v>
      </c>
    </row>
    <row r="14" spans="1:52" ht="15" thickBo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V14" s="12">
        <v>11</v>
      </c>
      <c r="W14" s="13">
        <v>2.4038461538461537</v>
      </c>
      <c r="X14" s="13">
        <v>0</v>
      </c>
      <c r="Y14" s="13">
        <v>173.07692307692307</v>
      </c>
      <c r="Z14" s="13">
        <v>355.76923076923077</v>
      </c>
      <c r="AA14" s="13">
        <v>182.69230769230768</v>
      </c>
      <c r="AB14" s="14">
        <v>3164.7182692307692</v>
      </c>
      <c r="AD14" s="12">
        <v>11</v>
      </c>
      <c r="AE14" s="13">
        <v>10</v>
      </c>
      <c r="AF14" s="13">
        <v>0</v>
      </c>
      <c r="AG14" s="13">
        <v>180</v>
      </c>
      <c r="AH14" s="13">
        <v>370</v>
      </c>
      <c r="AI14" s="13">
        <v>190</v>
      </c>
      <c r="AJ14" s="14">
        <v>3164.7182692307692</v>
      </c>
      <c r="AL14" s="12">
        <v>11</v>
      </c>
      <c r="AM14" s="13">
        <v>10</v>
      </c>
      <c r="AN14" s="13">
        <v>0</v>
      </c>
      <c r="AO14" s="13">
        <v>234</v>
      </c>
      <c r="AP14" s="13">
        <v>490.25</v>
      </c>
      <c r="AQ14" s="13">
        <v>237.5</v>
      </c>
      <c r="AR14" s="14">
        <v>3164.7182692307692</v>
      </c>
      <c r="AT14" s="40">
        <v>11</v>
      </c>
      <c r="AU14" s="16">
        <v>3164.7182692307692</v>
      </c>
      <c r="AV14" s="16">
        <v>186.75</v>
      </c>
      <c r="AW14" s="16">
        <v>1328.3889423076923</v>
      </c>
      <c r="AX14" s="16">
        <v>1437.5600961538462</v>
      </c>
      <c r="AY14" s="16">
        <v>0</v>
      </c>
      <c r="AZ14" s="16">
        <v>212.01923076923077</v>
      </c>
    </row>
    <row r="15" spans="1:52" ht="18.600000000000001" thickBo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8" t="s">
        <v>43</v>
      </c>
      <c r="Q15" s="9"/>
      <c r="R15" s="9"/>
      <c r="S15" s="9"/>
      <c r="T15" s="10"/>
      <c r="V15" s="12">
        <v>12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4">
        <v>0</v>
      </c>
      <c r="AD15" s="12">
        <v>12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4">
        <v>0</v>
      </c>
      <c r="AL15" s="12">
        <v>12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4">
        <v>0</v>
      </c>
      <c r="AT15" s="15">
        <v>12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1:5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7"/>
      <c r="Q16" s="18" t="s">
        <v>31</v>
      </c>
      <c r="R16" s="18" t="s">
        <v>32</v>
      </c>
      <c r="S16" s="18" t="s">
        <v>33</v>
      </c>
      <c r="T16" s="19" t="s">
        <v>34</v>
      </c>
      <c r="V16" s="12">
        <v>13</v>
      </c>
      <c r="W16" s="13">
        <v>3.6764705882352939</v>
      </c>
      <c r="X16" s="13">
        <v>0.91911764705882348</v>
      </c>
      <c r="Y16" s="13">
        <v>257.35294117647061</v>
      </c>
      <c r="Z16" s="13">
        <v>220.58823529411765</v>
      </c>
      <c r="AA16" s="13">
        <v>110.29411764705883</v>
      </c>
      <c r="AB16" s="14">
        <v>2363.5055147058824</v>
      </c>
      <c r="AD16" s="12">
        <v>13</v>
      </c>
      <c r="AE16" s="13">
        <v>20</v>
      </c>
      <c r="AF16" s="13">
        <v>5</v>
      </c>
      <c r="AG16" s="13">
        <v>350</v>
      </c>
      <c r="AH16" s="13">
        <v>300</v>
      </c>
      <c r="AI16" s="13">
        <v>150</v>
      </c>
      <c r="AJ16" s="14">
        <v>2363.5055147058824</v>
      </c>
      <c r="AL16" s="12">
        <v>13</v>
      </c>
      <c r="AM16" s="13">
        <v>20</v>
      </c>
      <c r="AN16" s="13">
        <v>5</v>
      </c>
      <c r="AO16" s="13">
        <v>455</v>
      </c>
      <c r="AP16" s="13">
        <v>397.5</v>
      </c>
      <c r="AQ16" s="13">
        <v>187.5</v>
      </c>
      <c r="AR16" s="14">
        <v>2363.5055147058824</v>
      </c>
      <c r="AT16" s="15">
        <v>13</v>
      </c>
      <c r="AU16" s="16">
        <v>2363.5055147058824</v>
      </c>
      <c r="AV16" s="16">
        <v>277.68382352941177</v>
      </c>
      <c r="AW16" s="16">
        <v>823.64338235294122</v>
      </c>
      <c r="AX16" s="16">
        <v>867.87683823529414</v>
      </c>
      <c r="AY16" s="16">
        <v>70.036764705882348</v>
      </c>
      <c r="AZ16" s="16">
        <v>324.26470588235293</v>
      </c>
    </row>
    <row r="17" spans="1:5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0" t="s">
        <v>35</v>
      </c>
      <c r="Q17" s="21">
        <f>_xlfn.MINIFS(Z4:Z30,Z4:Z30,"&lt;&gt;0")</f>
        <v>125</v>
      </c>
      <c r="R17" s="21">
        <f>_xlfn.MINIFS(AH4:AH30,AH4:AH30,"&lt;&gt;0")</f>
        <v>100</v>
      </c>
      <c r="S17" s="21">
        <f>_xlfn.MINIFS(AP4:AP30,AP4:AP30,"&lt;&gt;0")</f>
        <v>132.5</v>
      </c>
      <c r="T17" s="22">
        <f>_xlfn.MINIFS(AW4:AW30,AW4:AW30,"&lt;&gt;0")</f>
        <v>466.73124999999999</v>
      </c>
      <c r="V17" s="12">
        <v>14</v>
      </c>
      <c r="W17" s="13">
        <v>3.90625</v>
      </c>
      <c r="X17" s="13">
        <v>2.9296875</v>
      </c>
      <c r="Y17" s="13">
        <v>156.25</v>
      </c>
      <c r="Z17" s="13">
        <v>445.3125</v>
      </c>
      <c r="AA17" s="13">
        <v>93.75</v>
      </c>
      <c r="AB17" s="14">
        <v>3136.7925781250001</v>
      </c>
      <c r="AD17" s="12">
        <v>14</v>
      </c>
      <c r="AE17" s="13">
        <v>20</v>
      </c>
      <c r="AF17" s="13">
        <v>15</v>
      </c>
      <c r="AG17" s="13">
        <v>200</v>
      </c>
      <c r="AH17" s="13">
        <v>570</v>
      </c>
      <c r="AI17" s="13">
        <v>120</v>
      </c>
      <c r="AJ17" s="14">
        <v>3136.7925781250001</v>
      </c>
      <c r="AL17" s="12">
        <v>14</v>
      </c>
      <c r="AM17" s="13">
        <v>20</v>
      </c>
      <c r="AN17" s="13">
        <v>15</v>
      </c>
      <c r="AO17" s="13">
        <v>260</v>
      </c>
      <c r="AP17" s="13">
        <v>755.25</v>
      </c>
      <c r="AQ17" s="13">
        <v>150</v>
      </c>
      <c r="AR17" s="14">
        <v>3136.7925781250001</v>
      </c>
      <c r="AT17" s="15">
        <v>14</v>
      </c>
      <c r="AU17" s="16">
        <v>3136.7925781250001</v>
      </c>
      <c r="AV17" s="16">
        <v>168.59375</v>
      </c>
      <c r="AW17" s="16">
        <v>1662.7300781250001</v>
      </c>
      <c r="AX17" s="16">
        <v>737.6953125</v>
      </c>
      <c r="AY17" s="16">
        <v>223.2421875</v>
      </c>
      <c r="AZ17" s="16">
        <v>344.53125</v>
      </c>
    </row>
    <row r="18" spans="1:5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20" t="s">
        <v>36</v>
      </c>
      <c r="Q18" s="21">
        <f>MAX(Z4:Z30)</f>
        <v>445.3125</v>
      </c>
      <c r="R18" s="21">
        <f>MAX(AH4:AH30)</f>
        <v>650</v>
      </c>
      <c r="S18" s="21">
        <f>MAX(AP4:AP30)</f>
        <v>861.25</v>
      </c>
      <c r="T18" s="22">
        <f>MAX(AW4:AW30)</f>
        <v>1662.7300781250001</v>
      </c>
      <c r="V18" s="12">
        <v>15</v>
      </c>
      <c r="W18" s="13">
        <v>4.166666666666667</v>
      </c>
      <c r="X18" s="13">
        <v>1.0416666666666667</v>
      </c>
      <c r="Y18" s="13">
        <v>166.66666666666666</v>
      </c>
      <c r="Z18" s="13">
        <v>291.66666666666669</v>
      </c>
      <c r="AA18" s="13">
        <v>150</v>
      </c>
      <c r="AB18" s="14">
        <v>2896.0604166666667</v>
      </c>
      <c r="AD18" s="12">
        <v>15</v>
      </c>
      <c r="AE18" s="13">
        <v>20</v>
      </c>
      <c r="AF18" s="13">
        <v>5</v>
      </c>
      <c r="AG18" s="13">
        <v>200</v>
      </c>
      <c r="AH18" s="13">
        <v>350</v>
      </c>
      <c r="AI18" s="13">
        <v>180</v>
      </c>
      <c r="AJ18" s="14">
        <v>2896.0604166666667</v>
      </c>
      <c r="AL18" s="12">
        <v>15</v>
      </c>
      <c r="AM18" s="13">
        <v>20</v>
      </c>
      <c r="AN18" s="13">
        <v>5</v>
      </c>
      <c r="AO18" s="13">
        <v>260</v>
      </c>
      <c r="AP18" s="13">
        <v>463.75</v>
      </c>
      <c r="AQ18" s="13">
        <v>225</v>
      </c>
      <c r="AR18" s="14">
        <v>2896.0604166666667</v>
      </c>
      <c r="AT18" s="15">
        <v>15</v>
      </c>
      <c r="AU18" s="16">
        <v>2896.0604166666667</v>
      </c>
      <c r="AV18" s="16">
        <v>179.83333333333334</v>
      </c>
      <c r="AW18" s="16">
        <v>1089.0395833333334</v>
      </c>
      <c r="AX18" s="16">
        <v>1180.3125</v>
      </c>
      <c r="AY18" s="16">
        <v>79.375</v>
      </c>
      <c r="AZ18" s="16">
        <v>367.5</v>
      </c>
    </row>
    <row r="19" spans="1:5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20" t="s">
        <v>37</v>
      </c>
      <c r="Q19" s="23">
        <f>AVERAGEIF(Z4:Z30,"&lt;&gt;0")</f>
        <v>291.80825004991209</v>
      </c>
      <c r="R19" s="23">
        <f>AVERAGEIF(AH4:AH30,"&lt;&gt;0")</f>
        <v>388.57142857142856</v>
      </c>
      <c r="S19" s="23">
        <f>AVERAGEIF(AP4:AP30,"&lt;&gt;0")</f>
        <v>514.85714285714289</v>
      </c>
      <c r="T19" s="22">
        <f>AVERAGEIF(AW4:AW30,"&lt;&gt;0")</f>
        <v>1089.5682344488644</v>
      </c>
      <c r="V19" s="12">
        <v>16</v>
      </c>
      <c r="W19" s="13">
        <v>1.5625</v>
      </c>
      <c r="X19" s="13">
        <v>1.5625</v>
      </c>
      <c r="Y19" s="13">
        <v>200</v>
      </c>
      <c r="Z19" s="13">
        <v>318.75</v>
      </c>
      <c r="AA19" s="13">
        <v>125</v>
      </c>
      <c r="AB19" s="14">
        <v>2646.4334374999999</v>
      </c>
      <c r="AD19" s="12">
        <v>16</v>
      </c>
      <c r="AE19" s="13">
        <v>10</v>
      </c>
      <c r="AF19" s="13">
        <v>10</v>
      </c>
      <c r="AG19" s="13">
        <v>320</v>
      </c>
      <c r="AH19" s="13">
        <v>510</v>
      </c>
      <c r="AI19" s="13">
        <v>200</v>
      </c>
      <c r="AJ19" s="14">
        <v>2646.4334374999999</v>
      </c>
      <c r="AL19" s="12">
        <v>16</v>
      </c>
      <c r="AM19" s="13">
        <v>10</v>
      </c>
      <c r="AN19" s="13">
        <v>10</v>
      </c>
      <c r="AO19" s="13">
        <v>416</v>
      </c>
      <c r="AP19" s="13">
        <v>675.75</v>
      </c>
      <c r="AQ19" s="13">
        <v>250</v>
      </c>
      <c r="AR19" s="14">
        <v>2646.4334374999999</v>
      </c>
      <c r="AT19" s="15">
        <v>16</v>
      </c>
      <c r="AU19" s="16">
        <v>2646.4334374999999</v>
      </c>
      <c r="AV19" s="16">
        <v>215.8</v>
      </c>
      <c r="AW19" s="16">
        <v>1190.1646874999999</v>
      </c>
      <c r="AX19" s="16">
        <v>983.59375</v>
      </c>
      <c r="AY19" s="16">
        <v>119.0625</v>
      </c>
      <c r="AZ19" s="16">
        <v>137.8125</v>
      </c>
    </row>
    <row r="20" spans="1:52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41" t="s">
        <v>38</v>
      </c>
      <c r="Q20" s="42"/>
      <c r="R20" s="43">
        <f>GETPIVOTDATA("CONSUMO LITROS COAGULANTE (L) ",$AD$3)</f>
        <v>9830</v>
      </c>
      <c r="S20" s="43">
        <f>GETPIVOTDATA("KG COAGULANTE ",$AL$3)</f>
        <v>13024.75</v>
      </c>
      <c r="T20" s="44">
        <f>S20*AW2</f>
        <v>37771775</v>
      </c>
      <c r="V20" s="12">
        <v>17</v>
      </c>
      <c r="W20" s="13">
        <v>2.6041666666666665</v>
      </c>
      <c r="X20" s="13">
        <v>0.86805555555555558</v>
      </c>
      <c r="Y20" s="13">
        <v>388.88888888888891</v>
      </c>
      <c r="Z20" s="13">
        <v>375</v>
      </c>
      <c r="AA20" s="13">
        <v>173.61111111111111</v>
      </c>
      <c r="AB20" s="14">
        <v>3481.7406249999999</v>
      </c>
      <c r="AD20" s="12">
        <v>17</v>
      </c>
      <c r="AE20" s="13">
        <v>15</v>
      </c>
      <c r="AF20" s="13">
        <v>5</v>
      </c>
      <c r="AG20" s="13">
        <v>560</v>
      </c>
      <c r="AH20" s="13">
        <v>540</v>
      </c>
      <c r="AI20" s="13">
        <v>250</v>
      </c>
      <c r="AJ20" s="14">
        <v>3481.7406249999999</v>
      </c>
      <c r="AL20" s="12">
        <v>17</v>
      </c>
      <c r="AM20" s="13">
        <v>15</v>
      </c>
      <c r="AN20" s="13">
        <v>5</v>
      </c>
      <c r="AO20" s="13">
        <v>728</v>
      </c>
      <c r="AP20" s="13">
        <v>715.5</v>
      </c>
      <c r="AQ20" s="13">
        <v>312.5</v>
      </c>
      <c r="AR20" s="14">
        <v>3481.7406249999999</v>
      </c>
      <c r="AT20" s="15">
        <v>17</v>
      </c>
      <c r="AU20" s="16">
        <v>3481.7406249999999</v>
      </c>
      <c r="AV20" s="16">
        <v>419.61111111111109</v>
      </c>
      <c r="AW20" s="16">
        <v>1400.1937499999999</v>
      </c>
      <c r="AX20" s="16">
        <v>1366.1024305555557</v>
      </c>
      <c r="AY20" s="16">
        <v>66.145833333333329</v>
      </c>
      <c r="AZ20" s="16">
        <v>229.6875</v>
      </c>
    </row>
    <row r="21" spans="1:5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28" t="s">
        <v>39</v>
      </c>
      <c r="Q21" s="29"/>
      <c r="R21" s="29"/>
      <c r="S21" s="30">
        <v>0.54180085487226071</v>
      </c>
      <c r="T21" s="31">
        <v>1571.2</v>
      </c>
      <c r="V21" s="12">
        <v>18</v>
      </c>
      <c r="W21" s="13">
        <v>2.2321428571428572</v>
      </c>
      <c r="X21" s="13">
        <v>0.74404761904761907</v>
      </c>
      <c r="Y21" s="13">
        <v>270.83333333333331</v>
      </c>
      <c r="Z21" s="13">
        <v>297.61904761904759</v>
      </c>
      <c r="AA21" s="13">
        <v>181.54761904761904</v>
      </c>
      <c r="AB21" s="14">
        <v>3085.6183035714284</v>
      </c>
      <c r="AD21" s="12">
        <v>18</v>
      </c>
      <c r="AE21" s="13">
        <v>15</v>
      </c>
      <c r="AF21" s="13">
        <v>5</v>
      </c>
      <c r="AG21" s="13">
        <v>455</v>
      </c>
      <c r="AH21" s="13">
        <v>500</v>
      </c>
      <c r="AI21" s="13">
        <v>305</v>
      </c>
      <c r="AJ21" s="14">
        <v>3085.6183035714284</v>
      </c>
      <c r="AL21" s="12">
        <v>18</v>
      </c>
      <c r="AM21" s="13">
        <v>15</v>
      </c>
      <c r="AN21" s="13">
        <v>5</v>
      </c>
      <c r="AO21" s="13">
        <v>591.5</v>
      </c>
      <c r="AP21" s="13">
        <v>662.5</v>
      </c>
      <c r="AQ21" s="13">
        <v>381.25</v>
      </c>
      <c r="AR21" s="14">
        <v>3085.6183035714284</v>
      </c>
      <c r="AT21" s="15">
        <v>18</v>
      </c>
      <c r="AU21" s="16">
        <v>3085.6183035714284</v>
      </c>
      <c r="AV21" s="16">
        <v>292.22916666666669</v>
      </c>
      <c r="AW21" s="16">
        <v>1111.264880952381</v>
      </c>
      <c r="AX21" s="16">
        <v>1428.5528273809523</v>
      </c>
      <c r="AY21" s="16">
        <v>56.696428571428569</v>
      </c>
      <c r="AZ21" s="16">
        <v>196.875</v>
      </c>
    </row>
    <row r="22" spans="1:5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32" t="s">
        <v>40</v>
      </c>
      <c r="Q22" s="33"/>
      <c r="R22" s="33"/>
      <c r="S22" s="45">
        <f>S20/F82</f>
        <v>0.40182482877768866</v>
      </c>
      <c r="T22" s="22">
        <f>T20/F82</f>
        <v>1165.2920034552972</v>
      </c>
      <c r="V22" s="12">
        <v>19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4">
        <v>0</v>
      </c>
      <c r="AD22" s="12">
        <v>19</v>
      </c>
      <c r="AE22" s="13">
        <v>15</v>
      </c>
      <c r="AF22" s="13">
        <v>0</v>
      </c>
      <c r="AG22" s="13">
        <v>0</v>
      </c>
      <c r="AH22" s="13">
        <v>0</v>
      </c>
      <c r="AI22" s="13">
        <v>0</v>
      </c>
      <c r="AJ22" s="14">
        <v>0</v>
      </c>
      <c r="AL22" s="12">
        <v>19</v>
      </c>
      <c r="AM22" s="13">
        <v>15</v>
      </c>
      <c r="AN22" s="13">
        <v>0</v>
      </c>
      <c r="AO22" s="13">
        <v>0</v>
      </c>
      <c r="AP22" s="13">
        <v>0</v>
      </c>
      <c r="AQ22" s="13">
        <v>0</v>
      </c>
      <c r="AR22" s="14">
        <v>0</v>
      </c>
      <c r="AT22" s="15">
        <v>19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</row>
    <row r="23" spans="1:5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32" t="s">
        <v>41</v>
      </c>
      <c r="Q23" s="33"/>
      <c r="R23" s="33"/>
      <c r="S23" s="35">
        <v>13746</v>
      </c>
      <c r="T23" s="22">
        <v>39863817.5287247</v>
      </c>
      <c r="V23" s="12">
        <v>20</v>
      </c>
      <c r="W23" s="13">
        <v>2.34375</v>
      </c>
      <c r="X23" s="13">
        <v>0.78125</v>
      </c>
      <c r="Y23" s="13">
        <v>46.875</v>
      </c>
      <c r="Z23" s="13">
        <v>268.75</v>
      </c>
      <c r="AA23" s="13">
        <v>109.375</v>
      </c>
      <c r="AB23" s="14">
        <v>2180.94484375</v>
      </c>
      <c r="AD23" s="12">
        <v>20</v>
      </c>
      <c r="AE23" s="13">
        <v>15</v>
      </c>
      <c r="AF23" s="13">
        <v>5</v>
      </c>
      <c r="AG23" s="13">
        <v>75</v>
      </c>
      <c r="AH23" s="13">
        <v>430</v>
      </c>
      <c r="AI23" s="13">
        <v>175</v>
      </c>
      <c r="AJ23" s="14">
        <v>2180.94484375</v>
      </c>
      <c r="AL23" s="12">
        <v>20</v>
      </c>
      <c r="AM23" s="13">
        <v>15</v>
      </c>
      <c r="AN23" s="13">
        <v>5</v>
      </c>
      <c r="AO23" s="13">
        <v>97.5</v>
      </c>
      <c r="AP23" s="13">
        <v>569.75</v>
      </c>
      <c r="AQ23" s="13">
        <v>218.75</v>
      </c>
      <c r="AR23" s="14">
        <v>2180.94484375</v>
      </c>
      <c r="AT23" s="15">
        <v>20</v>
      </c>
      <c r="AU23" s="16">
        <v>2180.94484375</v>
      </c>
      <c r="AV23" s="16">
        <v>50.578125</v>
      </c>
      <c r="AW23" s="16">
        <v>1003.4721875</v>
      </c>
      <c r="AX23" s="16">
        <v>860.64453125</v>
      </c>
      <c r="AY23" s="16">
        <v>59.53125</v>
      </c>
      <c r="AZ23" s="16">
        <v>206.71875</v>
      </c>
    </row>
    <row r="24" spans="1:52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36" t="s">
        <v>42</v>
      </c>
      <c r="Q24" s="37"/>
      <c r="R24" s="37"/>
      <c r="S24" s="38">
        <f>+S20</f>
        <v>13024.75</v>
      </c>
      <c r="T24" s="39">
        <f>+T20</f>
        <v>37771775</v>
      </c>
      <c r="V24" s="12">
        <v>21</v>
      </c>
      <c r="W24" s="13">
        <v>2.7573529411764706</v>
      </c>
      <c r="X24" s="13">
        <v>1.838235294117647</v>
      </c>
      <c r="Y24" s="13">
        <v>205.88235294117646</v>
      </c>
      <c r="Z24" s="13">
        <v>279.41176470588238</v>
      </c>
      <c r="AA24" s="13">
        <v>139.70588235294119</v>
      </c>
      <c r="AB24" s="14">
        <v>2748.0113970588236</v>
      </c>
      <c r="AD24" s="12">
        <v>21</v>
      </c>
      <c r="AE24" s="13">
        <v>15</v>
      </c>
      <c r="AF24" s="13">
        <v>10</v>
      </c>
      <c r="AG24" s="13">
        <v>280</v>
      </c>
      <c r="AH24" s="13">
        <v>380</v>
      </c>
      <c r="AI24" s="13">
        <v>190</v>
      </c>
      <c r="AJ24" s="14">
        <v>2748.0113970588236</v>
      </c>
      <c r="AL24" s="12">
        <v>21</v>
      </c>
      <c r="AM24" s="13">
        <v>15</v>
      </c>
      <c r="AN24" s="13">
        <v>10</v>
      </c>
      <c r="AO24" s="13">
        <v>364</v>
      </c>
      <c r="AP24" s="13">
        <v>503.5</v>
      </c>
      <c r="AQ24" s="13">
        <v>237.5</v>
      </c>
      <c r="AR24" s="14">
        <v>2748.0113970588236</v>
      </c>
      <c r="AT24" s="15">
        <v>21</v>
      </c>
      <c r="AU24" s="16">
        <v>2748.0113970588236</v>
      </c>
      <c r="AV24" s="16">
        <v>222.14705882352942</v>
      </c>
      <c r="AW24" s="16">
        <v>1043.2816176470587</v>
      </c>
      <c r="AX24" s="16">
        <v>1099.3106617647059</v>
      </c>
      <c r="AY24" s="16">
        <v>140.0735294117647</v>
      </c>
      <c r="AZ24" s="16">
        <v>243.1985294117647</v>
      </c>
    </row>
    <row r="25" spans="1:5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V25" s="12">
        <v>22</v>
      </c>
      <c r="W25" s="13">
        <v>2.4671052631578947</v>
      </c>
      <c r="X25" s="13">
        <v>1.6447368421052631</v>
      </c>
      <c r="Y25" s="13">
        <v>203.94736842105263</v>
      </c>
      <c r="Z25" s="13">
        <v>427.63157894736844</v>
      </c>
      <c r="AA25" s="13">
        <v>190.78947368421052</v>
      </c>
      <c r="AB25" s="14">
        <v>3660.9736842105262</v>
      </c>
      <c r="AD25" s="12">
        <v>22</v>
      </c>
      <c r="AE25" s="13">
        <v>15</v>
      </c>
      <c r="AF25" s="13">
        <v>10</v>
      </c>
      <c r="AG25" s="13">
        <v>310</v>
      </c>
      <c r="AH25" s="13">
        <v>650</v>
      </c>
      <c r="AI25" s="13">
        <v>290</v>
      </c>
      <c r="AJ25" s="14">
        <v>3660.9736842105262</v>
      </c>
      <c r="AL25" s="12">
        <v>22</v>
      </c>
      <c r="AM25" s="13">
        <v>15</v>
      </c>
      <c r="AN25" s="13">
        <v>10</v>
      </c>
      <c r="AO25" s="13">
        <v>403</v>
      </c>
      <c r="AP25" s="13">
        <v>861.25</v>
      </c>
      <c r="AQ25" s="13">
        <v>362.5</v>
      </c>
      <c r="AR25" s="14">
        <v>3660.9736842105262</v>
      </c>
      <c r="AT25" s="15">
        <v>22</v>
      </c>
      <c r="AU25" s="16">
        <v>3660.9736842105262</v>
      </c>
      <c r="AV25" s="16">
        <v>220.05921052631578</v>
      </c>
      <c r="AW25" s="16">
        <v>1596.7121710526317</v>
      </c>
      <c r="AX25" s="16">
        <v>1501.2746710526317</v>
      </c>
      <c r="AY25" s="16">
        <v>125.32894736842105</v>
      </c>
      <c r="AZ25" s="16">
        <v>217.59868421052633</v>
      </c>
    </row>
    <row r="26" spans="1:52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V26" s="12">
        <v>23</v>
      </c>
      <c r="W26" s="13">
        <v>3.3444816053511706</v>
      </c>
      <c r="X26" s="13">
        <v>1.6722408026755853</v>
      </c>
      <c r="Y26" s="13">
        <v>214.04682274247492</v>
      </c>
      <c r="Z26" s="13">
        <v>240.80267558528428</v>
      </c>
      <c r="AA26" s="13">
        <v>100.33444816053512</v>
      </c>
      <c r="AB26" s="14">
        <v>2341.9923076923078</v>
      </c>
      <c r="AD26" s="12">
        <v>23</v>
      </c>
      <c r="AE26" s="13">
        <v>20</v>
      </c>
      <c r="AF26" s="13">
        <v>10</v>
      </c>
      <c r="AG26" s="13">
        <v>320</v>
      </c>
      <c r="AH26" s="13">
        <v>360</v>
      </c>
      <c r="AI26" s="13">
        <v>150</v>
      </c>
      <c r="AJ26" s="14">
        <v>2341.9923076923078</v>
      </c>
      <c r="AL26" s="12">
        <v>23</v>
      </c>
      <c r="AM26" s="13">
        <v>20</v>
      </c>
      <c r="AN26" s="13">
        <v>10</v>
      </c>
      <c r="AO26" s="13">
        <v>416</v>
      </c>
      <c r="AP26" s="13">
        <v>477</v>
      </c>
      <c r="AQ26" s="13">
        <v>187.5</v>
      </c>
      <c r="AR26" s="14">
        <v>2341.9923076923078</v>
      </c>
      <c r="AT26" s="15">
        <v>23</v>
      </c>
      <c r="AU26" s="16">
        <v>2341.9923076923078</v>
      </c>
      <c r="AV26" s="16">
        <v>230.95652173913044</v>
      </c>
      <c r="AW26" s="16">
        <v>899.12107023411374</v>
      </c>
      <c r="AX26" s="16">
        <v>789.50668896321065</v>
      </c>
      <c r="AY26" s="16">
        <v>127.4247491638796</v>
      </c>
      <c r="AZ26" s="16">
        <v>294.98327759197326</v>
      </c>
    </row>
    <row r="27" spans="1:52" ht="18.600000000000001" thickBo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8" t="s">
        <v>44</v>
      </c>
      <c r="Q27" s="9"/>
      <c r="R27" s="9"/>
      <c r="S27" s="9"/>
      <c r="T27" s="10"/>
      <c r="V27" s="12">
        <v>24</v>
      </c>
      <c r="W27" s="13">
        <v>0.91911764705882348</v>
      </c>
      <c r="X27" s="13">
        <v>0.91911764705882348</v>
      </c>
      <c r="Y27" s="13">
        <v>227.94117647058823</v>
      </c>
      <c r="Z27" s="13">
        <v>227.94117647058823</v>
      </c>
      <c r="AA27" s="13">
        <v>110.29411764705883</v>
      </c>
      <c r="AB27" s="14">
        <v>2116.0264705882355</v>
      </c>
      <c r="AD27" s="12">
        <v>24</v>
      </c>
      <c r="AE27" s="13">
        <v>5</v>
      </c>
      <c r="AF27" s="13">
        <v>5</v>
      </c>
      <c r="AG27" s="13">
        <v>310</v>
      </c>
      <c r="AH27" s="13">
        <v>310</v>
      </c>
      <c r="AI27" s="13">
        <v>150</v>
      </c>
      <c r="AJ27" s="14">
        <v>2116.0264705882355</v>
      </c>
      <c r="AL27" s="12">
        <v>24</v>
      </c>
      <c r="AM27" s="13">
        <v>5</v>
      </c>
      <c r="AN27" s="13">
        <v>5</v>
      </c>
      <c r="AO27" s="13">
        <v>403</v>
      </c>
      <c r="AP27" s="13">
        <v>410.75</v>
      </c>
      <c r="AQ27" s="13">
        <v>187.5</v>
      </c>
      <c r="AR27" s="14">
        <v>2116.0264705882355</v>
      </c>
      <c r="AT27" s="15">
        <v>24</v>
      </c>
      <c r="AU27" s="16">
        <v>2116.0264705882355</v>
      </c>
      <c r="AV27" s="16">
        <v>245.9485294117647</v>
      </c>
      <c r="AW27" s="16">
        <v>851.09816176470588</v>
      </c>
      <c r="AX27" s="16">
        <v>867.87683823529414</v>
      </c>
      <c r="AY27" s="16">
        <v>70.036764705882348</v>
      </c>
      <c r="AZ27" s="16">
        <v>81.066176470588232</v>
      </c>
    </row>
    <row r="28" spans="1:5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7"/>
      <c r="Q28" s="18" t="s">
        <v>31</v>
      </c>
      <c r="R28" s="18" t="s">
        <v>32</v>
      </c>
      <c r="S28" s="18" t="s">
        <v>33</v>
      </c>
      <c r="T28" s="19" t="s">
        <v>34</v>
      </c>
      <c r="V28" s="12">
        <v>25</v>
      </c>
      <c r="W28" s="13">
        <v>2.7573529411764706</v>
      </c>
      <c r="X28" s="13">
        <v>0.91911764705882348</v>
      </c>
      <c r="Y28" s="13">
        <v>220.58823529411765</v>
      </c>
      <c r="Z28" s="13">
        <v>301.47058823529414</v>
      </c>
      <c r="AA28" s="13">
        <v>102.94117647058823</v>
      </c>
      <c r="AB28" s="14">
        <v>2486.9143382352941</v>
      </c>
      <c r="AD28" s="12">
        <v>25</v>
      </c>
      <c r="AE28" s="13">
        <v>15</v>
      </c>
      <c r="AF28" s="13">
        <v>5</v>
      </c>
      <c r="AG28" s="13">
        <v>300</v>
      </c>
      <c r="AH28" s="13">
        <v>410</v>
      </c>
      <c r="AI28" s="13">
        <v>140</v>
      </c>
      <c r="AJ28" s="14">
        <v>2486.9143382352941</v>
      </c>
      <c r="AL28" s="12">
        <v>25</v>
      </c>
      <c r="AM28" s="13">
        <v>15</v>
      </c>
      <c r="AN28" s="13">
        <v>5</v>
      </c>
      <c r="AO28" s="13">
        <v>390</v>
      </c>
      <c r="AP28" s="13">
        <v>543.25</v>
      </c>
      <c r="AQ28" s="13">
        <v>175</v>
      </c>
      <c r="AR28" s="14">
        <v>2486.9143382352941</v>
      </c>
      <c r="AT28" s="15">
        <v>25</v>
      </c>
      <c r="AU28" s="16">
        <v>2486.9143382352941</v>
      </c>
      <c r="AV28" s="16">
        <v>238.01470588235293</v>
      </c>
      <c r="AW28" s="16">
        <v>1125.6459558823528</v>
      </c>
      <c r="AX28" s="16">
        <v>810.01838235294122</v>
      </c>
      <c r="AY28" s="16">
        <v>70.036764705882348</v>
      </c>
      <c r="AZ28" s="16">
        <v>243.1985294117647</v>
      </c>
    </row>
    <row r="29" spans="1:5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0" t="s">
        <v>35</v>
      </c>
      <c r="Q29" s="21">
        <f>_xlfn.MINIFS(Y4:Y30,Y4:Y30,"&lt;&gt;0")</f>
        <v>46.875</v>
      </c>
      <c r="R29" s="21">
        <f>_xlfn.MINIFS(AG4:AG30,AG4:AG30,"&lt;&gt;0")</f>
        <v>75</v>
      </c>
      <c r="S29" s="21">
        <f>_xlfn.MINIFS(AO4:AO30,AO4:AO30,"&lt;&gt;0")</f>
        <v>97.5</v>
      </c>
      <c r="T29" s="22">
        <f>_xlfn.MINIFS(AV4:AV30,AV4:AV30,"&lt;&gt;0")</f>
        <v>50.578125</v>
      </c>
      <c r="V29" s="12">
        <v>26</v>
      </c>
      <c r="W29" s="13">
        <v>3.125</v>
      </c>
      <c r="X29" s="13">
        <v>1.5625</v>
      </c>
      <c r="Y29" s="13">
        <v>287.5</v>
      </c>
      <c r="Z29" s="13">
        <v>125</v>
      </c>
      <c r="AA29" s="13">
        <v>37.5</v>
      </c>
      <c r="AB29" s="14">
        <v>1466.7093749999999</v>
      </c>
      <c r="AD29" s="12">
        <v>26</v>
      </c>
      <c r="AE29" s="13">
        <v>10</v>
      </c>
      <c r="AF29" s="13">
        <v>5</v>
      </c>
      <c r="AG29" s="13">
        <v>230</v>
      </c>
      <c r="AH29" s="13">
        <v>100</v>
      </c>
      <c r="AI29" s="13">
        <v>30</v>
      </c>
      <c r="AJ29" s="14">
        <v>1466.7093749999999</v>
      </c>
      <c r="AL29" s="12">
        <v>26</v>
      </c>
      <c r="AM29" s="13">
        <v>10</v>
      </c>
      <c r="AN29" s="13">
        <v>5</v>
      </c>
      <c r="AO29" s="13">
        <v>299</v>
      </c>
      <c r="AP29" s="13">
        <v>132.5</v>
      </c>
      <c r="AQ29" s="13">
        <v>37.5</v>
      </c>
      <c r="AR29" s="14">
        <v>1466.7093749999999</v>
      </c>
      <c r="AT29" s="15">
        <v>26</v>
      </c>
      <c r="AU29" s="16">
        <v>1466.7093749999999</v>
      </c>
      <c r="AV29" s="16">
        <v>310.21249999999998</v>
      </c>
      <c r="AW29" s="16">
        <v>466.73124999999999</v>
      </c>
      <c r="AX29" s="16">
        <v>295.078125</v>
      </c>
      <c r="AY29" s="16">
        <v>119.0625</v>
      </c>
      <c r="AZ29" s="16">
        <v>275.625</v>
      </c>
    </row>
    <row r="30" spans="1:5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0" t="s">
        <v>36</v>
      </c>
      <c r="Q30" s="21">
        <f>MAX(Y4:Y30)</f>
        <v>388.88888888888891</v>
      </c>
      <c r="R30" s="21">
        <f>MAX(AG4:AG30)</f>
        <v>560</v>
      </c>
      <c r="S30" s="21">
        <f>MAX(AO4:AO30)</f>
        <v>728</v>
      </c>
      <c r="T30" s="22">
        <f>MAX(AV4:AV30)</f>
        <v>419.61111111111109</v>
      </c>
      <c r="V30" s="12">
        <v>27</v>
      </c>
      <c r="W30" s="13">
        <v>3.2894736842105261</v>
      </c>
      <c r="X30" s="13">
        <v>2.4671052631578947</v>
      </c>
      <c r="Y30" s="13">
        <v>315.78947368421052</v>
      </c>
      <c r="Z30" s="13">
        <v>289.4736842105263</v>
      </c>
      <c r="AA30" s="13">
        <v>92.10526315789474</v>
      </c>
      <c r="AB30" s="14">
        <v>2624.4664473684211</v>
      </c>
      <c r="AD30" s="12">
        <v>27</v>
      </c>
      <c r="AE30" s="13">
        <v>20</v>
      </c>
      <c r="AF30" s="13">
        <v>15</v>
      </c>
      <c r="AG30" s="13">
        <v>480</v>
      </c>
      <c r="AH30" s="13">
        <v>440</v>
      </c>
      <c r="AI30" s="13">
        <v>140</v>
      </c>
      <c r="AJ30" s="14">
        <v>2624.4664473684211</v>
      </c>
      <c r="AL30" s="12">
        <v>27</v>
      </c>
      <c r="AM30" s="13">
        <v>20</v>
      </c>
      <c r="AN30" s="13">
        <v>15</v>
      </c>
      <c r="AO30" s="13">
        <v>624</v>
      </c>
      <c r="AP30" s="13">
        <v>583</v>
      </c>
      <c r="AQ30" s="13">
        <v>175</v>
      </c>
      <c r="AR30" s="14">
        <v>2624.4664473684211</v>
      </c>
      <c r="AT30" s="15">
        <v>27</v>
      </c>
      <c r="AU30" s="16">
        <v>2624.4664473684211</v>
      </c>
      <c r="AV30" s="16">
        <v>340.73684210526318</v>
      </c>
      <c r="AW30" s="16">
        <v>1080.8513157894736</v>
      </c>
      <c r="AX30" s="16">
        <v>724.75328947368416</v>
      </c>
      <c r="AY30" s="16">
        <v>187.99342105263159</v>
      </c>
      <c r="AZ30" s="16">
        <v>290.13157894736844</v>
      </c>
    </row>
    <row r="31" spans="1:5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0" t="s">
        <v>37</v>
      </c>
      <c r="Q31" s="23">
        <f>AVERAGEIF(Y4:Y30,"&lt;&gt;0")</f>
        <v>219.01346647957183</v>
      </c>
      <c r="R31" s="23">
        <f>AVERAGEIF(AG4:AG30,"&lt;&gt;0")</f>
        <v>288.09523809523807</v>
      </c>
      <c r="S31" s="23">
        <f>AVERAGEIF(AO4:AO30,"&lt;&gt;0")</f>
        <v>374.52380952380952</v>
      </c>
      <c r="T31" s="22">
        <f>AVERAGEIF(AV4:AV30,"&lt;&gt;0")</f>
        <v>236.31553033145798</v>
      </c>
      <c r="V31" s="12">
        <v>28</v>
      </c>
      <c r="W31" s="13">
        <v>1.5625</v>
      </c>
      <c r="X31" s="13">
        <v>1.5625</v>
      </c>
      <c r="Y31" s="13">
        <v>325</v>
      </c>
      <c r="Z31" s="13">
        <v>381.25</v>
      </c>
      <c r="AA31" s="13">
        <v>112.5</v>
      </c>
      <c r="AB31" s="14">
        <v>2916.3146875000002</v>
      </c>
      <c r="AD31" s="12">
        <v>28</v>
      </c>
      <c r="AE31" s="13">
        <v>10</v>
      </c>
      <c r="AF31" s="13">
        <v>10</v>
      </c>
      <c r="AG31" s="13">
        <v>520</v>
      </c>
      <c r="AH31" s="13">
        <v>610</v>
      </c>
      <c r="AI31" s="13">
        <v>180</v>
      </c>
      <c r="AJ31" s="14">
        <v>2916.3146875000002</v>
      </c>
      <c r="AL31" s="12">
        <v>28</v>
      </c>
      <c r="AM31" s="13">
        <v>10</v>
      </c>
      <c r="AN31" s="13">
        <v>10</v>
      </c>
      <c r="AO31" s="13">
        <v>676</v>
      </c>
      <c r="AP31" s="13">
        <v>808.25</v>
      </c>
      <c r="AQ31" s="13">
        <v>225</v>
      </c>
      <c r="AR31" s="14">
        <v>2916.3146875000002</v>
      </c>
      <c r="AT31" s="15">
        <v>28</v>
      </c>
      <c r="AU31" s="16">
        <v>2916.3146875000002</v>
      </c>
      <c r="AV31" s="16">
        <v>350.67500000000001</v>
      </c>
      <c r="AW31" s="16">
        <v>1423.5303125</v>
      </c>
      <c r="AX31" s="16">
        <v>885.234375</v>
      </c>
      <c r="AY31" s="16">
        <v>119.0625</v>
      </c>
      <c r="AZ31" s="16">
        <v>137.8125</v>
      </c>
    </row>
    <row r="32" spans="1:52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41" t="s">
        <v>38</v>
      </c>
      <c r="Q32" s="42"/>
      <c r="R32" s="43">
        <f>GETPIVOTDATA("CONSUMO LITROS ACIDO (L) ",$AD$3)</f>
        <v>7170</v>
      </c>
      <c r="S32" s="43">
        <f>GETPIVOTDATA("KG ACIDO ",$AL$3)</f>
        <v>9321</v>
      </c>
      <c r="T32" s="44">
        <f>AV2*S32</f>
        <v>7736430</v>
      </c>
      <c r="V32" s="12">
        <v>29</v>
      </c>
      <c r="W32" s="13">
        <v>2.2321428571428572</v>
      </c>
      <c r="X32" s="13">
        <v>2.2321428571428572</v>
      </c>
      <c r="Y32" s="13">
        <v>154.76190476190476</v>
      </c>
      <c r="Z32" s="13">
        <v>315.47619047619048</v>
      </c>
      <c r="AA32" s="13">
        <v>148.8095238095238</v>
      </c>
      <c r="AB32" s="14">
        <v>2882.8380952380953</v>
      </c>
      <c r="AD32" s="12">
        <v>29</v>
      </c>
      <c r="AE32" s="13">
        <v>15</v>
      </c>
      <c r="AF32" s="13">
        <v>15</v>
      </c>
      <c r="AG32" s="13">
        <v>260</v>
      </c>
      <c r="AH32" s="13">
        <v>530</v>
      </c>
      <c r="AI32" s="13">
        <v>250</v>
      </c>
      <c r="AJ32" s="14">
        <v>2882.8380952380953</v>
      </c>
      <c r="AL32" s="12">
        <v>29</v>
      </c>
      <c r="AM32" s="13">
        <v>15</v>
      </c>
      <c r="AN32" s="13">
        <v>15</v>
      </c>
      <c r="AO32" s="13">
        <v>338</v>
      </c>
      <c r="AP32" s="13">
        <v>702.25</v>
      </c>
      <c r="AQ32" s="13">
        <v>312.5</v>
      </c>
      <c r="AR32" s="14">
        <v>2882.8380952380953</v>
      </c>
      <c r="AT32" s="15">
        <v>29</v>
      </c>
      <c r="AU32" s="16">
        <v>2882.8380952380953</v>
      </c>
      <c r="AV32" s="16">
        <v>166.98809523809524</v>
      </c>
      <c r="AW32" s="16">
        <v>1177.9407738095238</v>
      </c>
      <c r="AX32" s="16">
        <v>1170.9449404761904</v>
      </c>
      <c r="AY32" s="16">
        <v>170.08928571428572</v>
      </c>
      <c r="AZ32" s="16">
        <v>196.875</v>
      </c>
    </row>
    <row r="33" spans="1:52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8" t="s">
        <v>39</v>
      </c>
      <c r="Q33" s="29"/>
      <c r="R33" s="29"/>
      <c r="S33" s="30">
        <v>0.30804067524684736</v>
      </c>
      <c r="T33" s="31">
        <v>255.7</v>
      </c>
      <c r="V33" s="12">
        <v>30</v>
      </c>
      <c r="W33" s="13">
        <v>2.4671052631578947</v>
      </c>
      <c r="X33" s="13">
        <v>2.4671052631578947</v>
      </c>
      <c r="Y33" s="13">
        <v>223.68421052631578</v>
      </c>
      <c r="Z33" s="13">
        <v>348.68421052631578</v>
      </c>
      <c r="AA33" s="13">
        <v>105.26315789473684</v>
      </c>
      <c r="AB33" s="14">
        <v>2777.1713815789471</v>
      </c>
      <c r="AD33" s="12">
        <v>30</v>
      </c>
      <c r="AE33" s="13">
        <v>15</v>
      </c>
      <c r="AF33" s="13">
        <v>15</v>
      </c>
      <c r="AG33" s="13">
        <v>340</v>
      </c>
      <c r="AH33" s="13">
        <v>530</v>
      </c>
      <c r="AI33" s="13">
        <v>160</v>
      </c>
      <c r="AJ33" s="14">
        <v>2777.1713815789471</v>
      </c>
      <c r="AL33" s="12">
        <v>30</v>
      </c>
      <c r="AM33" s="13">
        <v>15</v>
      </c>
      <c r="AN33" s="13">
        <v>15</v>
      </c>
      <c r="AO33" s="13">
        <v>442</v>
      </c>
      <c r="AP33" s="13">
        <v>702.25</v>
      </c>
      <c r="AQ33" s="13">
        <v>200</v>
      </c>
      <c r="AR33" s="14">
        <v>2777.1713815789471</v>
      </c>
      <c r="AT33" s="15">
        <v>30</v>
      </c>
      <c r="AU33" s="16">
        <v>2777.1713815789471</v>
      </c>
      <c r="AV33" s="16">
        <v>241.35526315789474</v>
      </c>
      <c r="AW33" s="16">
        <v>1301.9345394736843</v>
      </c>
      <c r="AX33" s="16">
        <v>828.28947368421052</v>
      </c>
      <c r="AY33" s="16">
        <v>187.99342105263159</v>
      </c>
      <c r="AZ33" s="16">
        <v>217.59868421052633</v>
      </c>
    </row>
    <row r="34" spans="1:52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32" t="s">
        <v>40</v>
      </c>
      <c r="Q34" s="33"/>
      <c r="R34" s="33"/>
      <c r="S34" s="45">
        <f>+S32/F82</f>
        <v>0.28756093046214598</v>
      </c>
      <c r="T34" s="22">
        <f>T32/F82</f>
        <v>238.67557228358118</v>
      </c>
      <c r="V34" s="12" t="s">
        <v>45</v>
      </c>
      <c r="W34" s="13">
        <v>2.7380144382057137</v>
      </c>
      <c r="X34" s="13">
        <v>1.5039797618313075</v>
      </c>
      <c r="Y34" s="13">
        <v>221.20071574011229</v>
      </c>
      <c r="Z34" s="13">
        <v>303.26402171901032</v>
      </c>
      <c r="AA34" s="13">
        <v>118.46732893194299</v>
      </c>
      <c r="AB34" s="14">
        <v>2659.3038656136237</v>
      </c>
      <c r="AD34" s="12" t="s">
        <v>45</v>
      </c>
      <c r="AE34" s="13">
        <v>355</v>
      </c>
      <c r="AF34" s="13">
        <v>195</v>
      </c>
      <c r="AG34" s="13">
        <v>7170</v>
      </c>
      <c r="AH34" s="13">
        <v>9830</v>
      </c>
      <c r="AI34" s="13">
        <v>3840</v>
      </c>
      <c r="AJ34" s="14">
        <v>2659.3038656136237</v>
      </c>
      <c r="AL34" s="12" t="s">
        <v>45</v>
      </c>
      <c r="AM34" s="13">
        <v>355</v>
      </c>
      <c r="AN34" s="13">
        <v>195</v>
      </c>
      <c r="AO34" s="13">
        <v>9321</v>
      </c>
      <c r="AP34" s="13">
        <v>13024.75</v>
      </c>
      <c r="AQ34" s="13">
        <v>4800</v>
      </c>
      <c r="AR34" s="14">
        <v>2659.3038656136237</v>
      </c>
      <c r="AT34" s="15">
        <v>31</v>
      </c>
      <c r="AU34" s="16">
        <v>-19.649093619972259</v>
      </c>
      <c r="AV34" s="16">
        <v>-1.0475728155339805</v>
      </c>
      <c r="AW34" s="16">
        <v>-8.234149098474342</v>
      </c>
      <c r="AX34" s="16">
        <v>-7.8578363384188625</v>
      </c>
      <c r="AY34" s="16">
        <v>-1.0568654646324549</v>
      </c>
      <c r="AZ34" s="16">
        <v>-1.4526699029126213</v>
      </c>
    </row>
    <row r="35" spans="1:5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32" t="s">
        <v>41</v>
      </c>
      <c r="Q35" s="33"/>
      <c r="R35" s="33"/>
      <c r="S35" s="46">
        <v>7815</v>
      </c>
      <c r="T35" s="22">
        <v>6486753</v>
      </c>
      <c r="AT35" s="15" t="s">
        <v>45</v>
      </c>
      <c r="AU35" s="16">
        <v>-81.25270008357063</v>
      </c>
      <c r="AV35" s="16">
        <v>-6.560103463002612</v>
      </c>
      <c r="AW35" s="16">
        <v>-34.462167260458038</v>
      </c>
      <c r="AX35" s="16">
        <v>-29.474611694497533</v>
      </c>
      <c r="AY35" s="16">
        <v>-3.7165167644968098</v>
      </c>
      <c r="AZ35" s="16">
        <v>-7.0393009011156469</v>
      </c>
    </row>
    <row r="36" spans="1:52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36" t="s">
        <v>42</v>
      </c>
      <c r="Q36" s="37"/>
      <c r="R36" s="37"/>
      <c r="S36" s="47">
        <f>S32</f>
        <v>9321</v>
      </c>
      <c r="T36" s="39">
        <f>+T32</f>
        <v>7736430</v>
      </c>
    </row>
    <row r="37" spans="1:5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T37" s="48"/>
    </row>
    <row r="38" spans="1:52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T38" s="49"/>
    </row>
    <row r="39" spans="1:52" ht="18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50" t="s">
        <v>46</v>
      </c>
      <c r="Q39" s="51"/>
      <c r="R39" s="51"/>
      <c r="S39" s="52"/>
      <c r="T39" s="53"/>
    </row>
    <row r="40" spans="1:5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20"/>
      <c r="Q40" s="54" t="s">
        <v>31</v>
      </c>
      <c r="R40" s="54" t="s">
        <v>33</v>
      </c>
      <c r="S40" s="55" t="s">
        <v>34</v>
      </c>
      <c r="T40" s="53"/>
    </row>
    <row r="41" spans="1:5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20" t="s">
        <v>35</v>
      </c>
      <c r="Q41" s="21">
        <f>_xlfn.MINIFS(X4:X30,X4:X30,"&lt;&gt;0")</f>
        <v>0.74404761904761907</v>
      </c>
      <c r="R41" s="21">
        <f>_xlfn.MINIFS(AN4:AN30,AN4:AN30,"&lt;&gt;0")</f>
        <v>5</v>
      </c>
      <c r="S41" s="22">
        <f>_xlfn.MINIFS(AY4:AY30,AY4:AY30,"&lt;&gt;0")</f>
        <v>56.696428571428569</v>
      </c>
      <c r="T41" s="56"/>
    </row>
    <row r="42" spans="1:5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20" t="s">
        <v>36</v>
      </c>
      <c r="Q42" s="21">
        <f>MAX(X4:X30)</f>
        <v>2.9296875</v>
      </c>
      <c r="R42" s="21">
        <f>MAX(AN4:AN30)</f>
        <v>15</v>
      </c>
      <c r="S42" s="22">
        <f>MAX(AY4:AY30)</f>
        <v>223.2421875</v>
      </c>
      <c r="T42" s="1"/>
    </row>
    <row r="43" spans="1:5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20" t="s">
        <v>37</v>
      </c>
      <c r="Q43" s="23">
        <f>AVERAGEIF(X4:X30,"&lt;&gt;0")</f>
        <v>1.4855109617624762</v>
      </c>
      <c r="R43" s="23">
        <f>AVERAGEIF(AN4:AN30,"&lt;&gt;0")</f>
        <v>7.75</v>
      </c>
      <c r="S43" s="22">
        <f>AVERAGEIF(AY4:AY30,"&lt;&gt;0")</f>
        <v>113.19593528630071</v>
      </c>
      <c r="T43" s="1"/>
    </row>
    <row r="44" spans="1:52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24" t="s">
        <v>38</v>
      </c>
      <c r="Q44" s="25"/>
      <c r="R44" s="25">
        <f>GETPIVOTDATA("KG POL ANIONICO  ",$AL$3)</f>
        <v>195</v>
      </c>
      <c r="S44" s="57">
        <f>R44*AY2</f>
        <v>3714750</v>
      </c>
      <c r="T44" s="1"/>
    </row>
    <row r="45" spans="1:5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28" t="s">
        <v>39</v>
      </c>
      <c r="Q45" s="29"/>
      <c r="R45" s="58">
        <v>5.4182543146669175E-3</v>
      </c>
      <c r="S45" s="31">
        <v>103.2</v>
      </c>
      <c r="T45" s="1"/>
    </row>
    <row r="46" spans="1:5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32" t="s">
        <v>40</v>
      </c>
      <c r="Q46" s="33" t="s">
        <v>40</v>
      </c>
      <c r="R46" s="59">
        <f>R44/F82</f>
        <v>6.0159190473252295E-3</v>
      </c>
      <c r="S46" s="22">
        <f>+S44/F82</f>
        <v>114.60325785154564</v>
      </c>
      <c r="T46" s="1"/>
    </row>
    <row r="47" spans="1:52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32" t="s">
        <v>41</v>
      </c>
      <c r="Q47" s="33" t="s">
        <v>41</v>
      </c>
      <c r="R47" s="46">
        <v>137</v>
      </c>
      <c r="S47" s="22">
        <v>2618759</v>
      </c>
      <c r="T47" s="1"/>
    </row>
    <row r="48" spans="1:52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36" t="s">
        <v>42</v>
      </c>
      <c r="Q48" s="37" t="s">
        <v>42</v>
      </c>
      <c r="R48" s="47">
        <f>+R44</f>
        <v>195</v>
      </c>
      <c r="S48" s="39">
        <v>762000</v>
      </c>
      <c r="T48" s="1"/>
    </row>
    <row r="49" spans="1:20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T49" s="1"/>
    </row>
    <row r="50" spans="1:20" ht="18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50" t="s">
        <v>47</v>
      </c>
      <c r="Q50" s="51"/>
      <c r="R50" s="51"/>
      <c r="S50" s="52"/>
      <c r="T50" s="1"/>
    </row>
    <row r="51" spans="1:2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20"/>
      <c r="Q51" s="54" t="s">
        <v>31</v>
      </c>
      <c r="R51" s="54" t="s">
        <v>33</v>
      </c>
      <c r="S51" s="55" t="s">
        <v>34</v>
      </c>
      <c r="T51" s="1"/>
    </row>
    <row r="52" spans="1:2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20" t="s">
        <v>35</v>
      </c>
      <c r="Q52" s="21">
        <f>_xlfn.MINIFS(W4:W30,W4:W30,"&lt;&gt;0")</f>
        <v>0.91911764705882348</v>
      </c>
      <c r="R52" s="21">
        <f>_xlfn.MINIFS(AM4:AM30,AM4:AM30,"&lt;&gt;0")</f>
        <v>5</v>
      </c>
      <c r="S52" s="22">
        <f>_xlfn.MINIFS(AZ4:AZ30,AZ4:AZ30,"&lt;&gt;0")</f>
        <v>81.066176470588232</v>
      </c>
      <c r="T52" s="1"/>
    </row>
    <row r="53" spans="1:2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20" t="s">
        <v>36</v>
      </c>
      <c r="Q53" s="21">
        <f>MAX(W4:W30)</f>
        <v>4.166666666666667</v>
      </c>
      <c r="R53" s="21">
        <f>MAX(AM4:AM30)</f>
        <v>20</v>
      </c>
      <c r="S53" s="22">
        <f>MAX(AZ4:AZ30)</f>
        <v>367.5</v>
      </c>
      <c r="T53" s="1"/>
    </row>
    <row r="54" spans="1:2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20" t="s">
        <v>37</v>
      </c>
      <c r="Q54" s="23">
        <f>AVERAGEIF(W4:W30,"&lt;&gt;0")</f>
        <v>2.7523543610068568</v>
      </c>
      <c r="R54" s="23">
        <f>AVERAGEIF(AM4:AM30,"&lt;&gt;0")</f>
        <v>14.318181818181818</v>
      </c>
      <c r="S54" s="22">
        <f>AVERAGEIF(AZ4:AZ30,"&lt;&gt;0")</f>
        <v>242.75765464080476</v>
      </c>
      <c r="T54" s="1"/>
    </row>
    <row r="55" spans="1:20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41" t="s">
        <v>38</v>
      </c>
      <c r="Q55" s="42"/>
      <c r="R55" s="42">
        <f>GETPIVOTDATA("KG POL CATIONICO  ",$AL$3)</f>
        <v>355</v>
      </c>
      <c r="S55" s="60">
        <f>R55*AZ2</f>
        <v>7827750</v>
      </c>
      <c r="T55" s="1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28" t="s">
        <v>39</v>
      </c>
      <c r="Q56" s="29" t="s">
        <v>39</v>
      </c>
      <c r="R56" s="61">
        <v>9.1306963630572498E-3</v>
      </c>
      <c r="S56" s="31">
        <v>201.3</v>
      </c>
      <c r="T56" s="1"/>
    </row>
    <row r="57" spans="1:2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32" t="s">
        <v>40</v>
      </c>
      <c r="Q57" s="33" t="s">
        <v>40</v>
      </c>
      <c r="R57" s="62">
        <f>+R55/F82</f>
        <v>1.0952057752822854E-2</v>
      </c>
      <c r="S57" s="22">
        <f>+S55/F82</f>
        <v>241.49287344974394</v>
      </c>
      <c r="T57" s="1"/>
    </row>
    <row r="58" spans="1:2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32" t="s">
        <v>41</v>
      </c>
      <c r="Q58" s="33" t="s">
        <v>41</v>
      </c>
      <c r="R58" s="46">
        <v>232</v>
      </c>
      <c r="S58" s="22">
        <v>5108033.0311522214</v>
      </c>
      <c r="T58" s="1"/>
    </row>
    <row r="59" spans="1:20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36" t="s">
        <v>42</v>
      </c>
      <c r="Q59" s="37" t="s">
        <v>42</v>
      </c>
      <c r="R59" s="63">
        <f>+R55</f>
        <v>355</v>
      </c>
      <c r="S59" s="39">
        <v>2094750</v>
      </c>
      <c r="T59" s="1"/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49"/>
      <c r="K60" s="49"/>
      <c r="L60" s="49"/>
      <c r="M60" s="49"/>
      <c r="N60" s="49"/>
      <c r="O60" s="49"/>
      <c r="T60" s="1"/>
    </row>
    <row r="61" spans="1:20" x14ac:dyDescent="0.3">
      <c r="A61" s="1"/>
      <c r="B61" s="1"/>
      <c r="C61" s="1"/>
      <c r="D61" s="1"/>
      <c r="E61" s="1"/>
      <c r="F61" s="1"/>
      <c r="G61" s="1"/>
      <c r="H61" s="1"/>
      <c r="I61" s="1"/>
      <c r="J61" s="49"/>
      <c r="K61" s="49"/>
      <c r="L61" s="49"/>
      <c r="M61" s="49"/>
      <c r="N61" s="49"/>
      <c r="O61" s="49"/>
      <c r="P61" s="1"/>
      <c r="Q61" s="1"/>
      <c r="R61" s="1"/>
      <c r="S61" s="1"/>
      <c r="T61" s="1"/>
    </row>
    <row r="62" spans="1:2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1"/>
      <c r="B69" s="1"/>
      <c r="C69" s="1"/>
      <c r="D69" s="1"/>
      <c r="E69" s="1"/>
      <c r="F69" s="1"/>
      <c r="G69" s="1"/>
      <c r="H69" s="1"/>
      <c r="I69" s="1"/>
      <c r="J69" s="64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"/>
      <c r="B70" s="1"/>
      <c r="C70" s="1"/>
      <c r="D70" s="1"/>
      <c r="E70" s="1"/>
      <c r="F70" s="1"/>
      <c r="G70" s="1"/>
      <c r="H70" s="1"/>
      <c r="I70" s="1"/>
      <c r="J70" s="65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1"/>
      <c r="B71" s="1"/>
      <c r="C71" s="1"/>
      <c r="D71" s="1"/>
      <c r="E71" s="1"/>
      <c r="F71" s="1"/>
      <c r="G71" s="1"/>
      <c r="H71" s="1"/>
      <c r="I71" s="1"/>
      <c r="J71" s="66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3">
      <c r="A80" s="1"/>
      <c r="B80" s="67" t="s">
        <v>48</v>
      </c>
      <c r="C80" s="68"/>
      <c r="D80" s="68"/>
      <c r="E80" s="68"/>
      <c r="F80" s="68"/>
      <c r="G80" s="68"/>
      <c r="H80" s="68"/>
      <c r="I80" s="6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43.2" x14ac:dyDescent="0.3">
      <c r="A81" s="1"/>
      <c r="B81" s="70" t="s">
        <v>49</v>
      </c>
      <c r="C81" s="70" t="s">
        <v>50</v>
      </c>
      <c r="D81" s="70" t="s">
        <v>51</v>
      </c>
      <c r="E81" s="70" t="s">
        <v>52</v>
      </c>
      <c r="F81" s="70" t="s">
        <v>53</v>
      </c>
      <c r="G81" s="70" t="s">
        <v>54</v>
      </c>
      <c r="H81" s="70" t="s">
        <v>55</v>
      </c>
      <c r="I81" s="70" t="s">
        <v>56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3">
      <c r="A82" s="1"/>
      <c r="B82" s="71">
        <f>E97</f>
        <v>1326</v>
      </c>
      <c r="C82" s="72">
        <f>F97</f>
        <v>652</v>
      </c>
      <c r="D82" s="72">
        <f>+B82-C82</f>
        <v>674</v>
      </c>
      <c r="E82" s="73">
        <f>(D82/1000000)*1000</f>
        <v>0.67400000000000004</v>
      </c>
      <c r="F82" s="71">
        <f>'[1]DB QUIMICA'!Z8</f>
        <v>32414</v>
      </c>
      <c r="G82" s="71">
        <f>+F82*E82</f>
        <v>21847.036</v>
      </c>
      <c r="H82" s="74">
        <f>'[1]DB QUIMICA'!AD8</f>
        <v>86198675.5</v>
      </c>
      <c r="I82" s="75">
        <f>H82/G82</f>
        <v>3945.5546967561181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3">
      <c r="A84" s="1"/>
      <c r="B84" s="67" t="s">
        <v>57</v>
      </c>
      <c r="C84" s="68"/>
      <c r="D84" s="68"/>
      <c r="E84" s="68"/>
      <c r="F84" s="68"/>
      <c r="G84" s="68"/>
      <c r="H84" s="68"/>
      <c r="I84" s="6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28.8" x14ac:dyDescent="0.3">
      <c r="A85" s="1"/>
      <c r="B85" s="70" t="s">
        <v>58</v>
      </c>
      <c r="C85" s="70" t="s">
        <v>59</v>
      </c>
      <c r="D85" s="70" t="s">
        <v>60</v>
      </c>
      <c r="E85" s="70" t="s">
        <v>61</v>
      </c>
      <c r="F85" s="70" t="s">
        <v>53</v>
      </c>
      <c r="G85" s="70" t="s">
        <v>54</v>
      </c>
      <c r="H85" s="70" t="s">
        <v>55</v>
      </c>
      <c r="I85" s="70" t="s">
        <v>62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3">
      <c r="A86" s="1"/>
      <c r="B86" s="71">
        <f>E102</f>
        <v>558</v>
      </c>
      <c r="C86" s="72">
        <f>F102</f>
        <v>44</v>
      </c>
      <c r="D86" s="72">
        <f>+B86-C86</f>
        <v>514</v>
      </c>
      <c r="E86" s="73">
        <f>(D86/1000000)*1000</f>
        <v>0.51400000000000001</v>
      </c>
      <c r="F86" s="71">
        <f>+F82</f>
        <v>32414</v>
      </c>
      <c r="G86" s="71">
        <f>+F86*E86</f>
        <v>16660.796000000002</v>
      </c>
      <c r="H86" s="74">
        <f>H82</f>
        <v>86198675.5</v>
      </c>
      <c r="I86" s="75">
        <f>H86/D86</f>
        <v>167701.70330739301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90" spans="1:20" ht="15" thickBot="1" x14ac:dyDescent="0.35">
      <c r="B90" s="76"/>
      <c r="C90" s="76"/>
      <c r="D90" s="76"/>
      <c r="E90" s="76"/>
      <c r="F90" s="76"/>
    </row>
    <row r="91" spans="1:20" ht="18.600000000000001" thickBot="1" x14ac:dyDescent="0.35">
      <c r="B91" s="77" t="s">
        <v>63</v>
      </c>
      <c r="C91" s="78"/>
      <c r="D91" s="79"/>
      <c r="E91" s="80" t="s">
        <v>64</v>
      </c>
      <c r="F91" s="81" t="s">
        <v>65</v>
      </c>
    </row>
    <row r="92" spans="1:20" x14ac:dyDescent="0.3">
      <c r="B92" s="82" t="s">
        <v>66</v>
      </c>
      <c r="C92" s="83"/>
      <c r="D92" s="83"/>
      <c r="E92" s="83"/>
      <c r="F92" s="84"/>
    </row>
    <row r="93" spans="1:20" x14ac:dyDescent="0.3">
      <c r="B93" s="85" t="s">
        <v>37</v>
      </c>
      <c r="C93" s="86"/>
      <c r="D93" s="87"/>
      <c r="E93" s="88">
        <v>5807</v>
      </c>
      <c r="F93" s="89">
        <v>878</v>
      </c>
    </row>
    <row r="94" spans="1:20" x14ac:dyDescent="0.3">
      <c r="B94" s="90" t="s">
        <v>67</v>
      </c>
      <c r="C94" s="91"/>
      <c r="D94" s="92"/>
      <c r="E94" s="88">
        <v>8104</v>
      </c>
      <c r="F94" s="89">
        <v>1218</v>
      </c>
    </row>
    <row r="95" spans="1:20" ht="15" thickBot="1" x14ac:dyDescent="0.35">
      <c r="B95" s="93" t="s">
        <v>68</v>
      </c>
      <c r="C95" s="94"/>
      <c r="D95" s="95"/>
      <c r="E95" s="96">
        <v>0.29809999999999998</v>
      </c>
      <c r="F95" s="97">
        <v>0.29459999999999997</v>
      </c>
    </row>
    <row r="96" spans="1:20" x14ac:dyDescent="0.3">
      <c r="B96" s="98" t="s">
        <v>69</v>
      </c>
      <c r="C96" s="99"/>
      <c r="D96" s="99"/>
      <c r="E96" s="99"/>
      <c r="F96" s="100"/>
    </row>
    <row r="97" spans="2:7" x14ac:dyDescent="0.3">
      <c r="B97" s="85" t="s">
        <v>37</v>
      </c>
      <c r="C97" s="86"/>
      <c r="D97" s="87"/>
      <c r="E97" s="88">
        <v>1326</v>
      </c>
      <c r="F97" s="89">
        <v>652</v>
      </c>
    </row>
    <row r="98" spans="2:7" x14ac:dyDescent="0.3">
      <c r="B98" s="90" t="s">
        <v>67</v>
      </c>
      <c r="C98" s="91"/>
      <c r="D98" s="92"/>
      <c r="E98" s="88">
        <v>1417</v>
      </c>
      <c r="F98" s="89">
        <v>803.9</v>
      </c>
    </row>
    <row r="99" spans="2:7" ht="15" thickBot="1" x14ac:dyDescent="0.35">
      <c r="B99" s="90" t="s">
        <v>68</v>
      </c>
      <c r="C99" s="91"/>
      <c r="D99" s="92"/>
      <c r="E99" s="96">
        <v>7.7700000000000005E-2</v>
      </c>
      <c r="F99" s="97">
        <v>0.20530000000000001</v>
      </c>
    </row>
    <row r="100" spans="2:7" ht="15" thickBot="1" x14ac:dyDescent="0.35">
      <c r="B100" s="93" t="s">
        <v>70</v>
      </c>
      <c r="C100" s="94"/>
      <c r="D100" s="95"/>
      <c r="E100" s="101">
        <f>+G82</f>
        <v>21847.036</v>
      </c>
      <c r="F100" s="102"/>
    </row>
    <row r="101" spans="2:7" x14ac:dyDescent="0.3">
      <c r="B101" s="103" t="s">
        <v>71</v>
      </c>
      <c r="C101" s="104"/>
      <c r="D101" s="104"/>
      <c r="E101" s="104"/>
      <c r="F101" s="105"/>
    </row>
    <row r="102" spans="2:7" x14ac:dyDescent="0.3">
      <c r="B102" s="85" t="s">
        <v>37</v>
      </c>
      <c r="C102" s="86"/>
      <c r="D102" s="87"/>
      <c r="E102" s="88">
        <v>558</v>
      </c>
      <c r="F102" s="89">
        <v>44</v>
      </c>
    </row>
    <row r="103" spans="2:7" x14ac:dyDescent="0.3">
      <c r="B103" s="90" t="s">
        <v>67</v>
      </c>
      <c r="C103" s="91"/>
      <c r="D103" s="92"/>
      <c r="E103" s="88">
        <v>879.5</v>
      </c>
      <c r="F103" s="89">
        <v>63.9</v>
      </c>
    </row>
    <row r="104" spans="2:7" ht="15" thickBot="1" x14ac:dyDescent="0.35">
      <c r="B104" s="90" t="s">
        <v>68</v>
      </c>
      <c r="C104" s="91"/>
      <c r="D104" s="92"/>
      <c r="E104" s="96">
        <v>0.35759999999999997</v>
      </c>
      <c r="F104" s="97">
        <v>0.33119999999999999</v>
      </c>
    </row>
    <row r="105" spans="2:7" ht="15" thickBot="1" x14ac:dyDescent="0.35">
      <c r="B105" s="93" t="s">
        <v>72</v>
      </c>
      <c r="C105" s="94"/>
      <c r="D105" s="95"/>
      <c r="E105" s="101">
        <f>+G86</f>
        <v>16660.796000000002</v>
      </c>
      <c r="F105" s="102"/>
      <c r="G105" s="106"/>
    </row>
    <row r="106" spans="2:7" x14ac:dyDescent="0.3">
      <c r="G106">
        <v>25</v>
      </c>
    </row>
  </sheetData>
  <mergeCells count="37">
    <mergeCell ref="E105:F105"/>
    <mergeCell ref="B93:D93"/>
    <mergeCell ref="B96:F96"/>
    <mergeCell ref="B97:D97"/>
    <mergeCell ref="E100:F100"/>
    <mergeCell ref="B101:F101"/>
    <mergeCell ref="B102:D102"/>
    <mergeCell ref="P59:Q59"/>
    <mergeCell ref="B80:I80"/>
    <mergeCell ref="B84:I84"/>
    <mergeCell ref="B90:F90"/>
    <mergeCell ref="B91:D91"/>
    <mergeCell ref="B92:F92"/>
    <mergeCell ref="P47:Q47"/>
    <mergeCell ref="P48:Q48"/>
    <mergeCell ref="P50:S50"/>
    <mergeCell ref="P56:Q56"/>
    <mergeCell ref="P57:Q57"/>
    <mergeCell ref="P58:Q58"/>
    <mergeCell ref="P34:R34"/>
    <mergeCell ref="P35:R35"/>
    <mergeCell ref="P36:R36"/>
    <mergeCell ref="P39:S39"/>
    <mergeCell ref="P45:Q45"/>
    <mergeCell ref="P46:Q46"/>
    <mergeCell ref="P21:R21"/>
    <mergeCell ref="P22:R22"/>
    <mergeCell ref="P23:R23"/>
    <mergeCell ref="P24:R24"/>
    <mergeCell ref="P27:T27"/>
    <mergeCell ref="P33:R33"/>
    <mergeCell ref="P4:T4"/>
    <mergeCell ref="P10:R10"/>
    <mergeCell ref="P11:R11"/>
    <mergeCell ref="P12:R12"/>
    <mergeCell ref="P13:R13"/>
    <mergeCell ref="P15:T15"/>
  </mergeCells>
  <conditionalFormatting sqref="R46:S46">
    <cfRule type="cellIs" dxfId="4" priority="1" operator="greaterThan">
      <formula>R45</formula>
    </cfRule>
  </conditionalFormatting>
  <conditionalFormatting sqref="R57:S57">
    <cfRule type="cellIs" dxfId="3" priority="2" operator="greaterThan">
      <formula>R56</formula>
    </cfRule>
  </conditionalFormatting>
  <conditionalFormatting sqref="S22:T22">
    <cfRule type="cellIs" dxfId="2" priority="5" operator="greaterThan">
      <formula>S21</formula>
    </cfRule>
  </conditionalFormatting>
  <conditionalFormatting sqref="S34:T34">
    <cfRule type="cellIs" dxfId="1" priority="3" operator="greaterThan">
      <formula>S33</formula>
    </cfRule>
  </conditionalFormatting>
  <conditionalFormatting sqref="T11">
    <cfRule type="cellIs" dxfId="0" priority="4" operator="greaterThan">
      <formula>T10</formula>
    </cfRule>
  </conditionalFormatting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DB QUIMICA</vt:lpstr>
      <vt:lpstr>GRAFICAS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Sofia Osorio Parra</dc:creator>
  <cp:lastModifiedBy>Luna Sofia Osorio Parra</cp:lastModifiedBy>
  <dcterms:created xsi:type="dcterms:W3CDTF">2026-05-29T16:29:31Z</dcterms:created>
  <dcterms:modified xsi:type="dcterms:W3CDTF">2026-05-29T16:30:08Z</dcterms:modified>
</cp:coreProperties>
</file>