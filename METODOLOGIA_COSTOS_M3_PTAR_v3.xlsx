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en Totales" sheetId="1" state="visible" r:id="rId1"/>
    <sheet name="2. Metodologia" sheetId="2" state="visible" r:id="rId2"/>
    <sheet name="3. Matriz por Equipo" sheetId="3" state="visible" r:id="rId3"/>
    <sheet name="4. Verific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8A65"/>
      <sz val="18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06292"/>
      <sz val="18"/>
    </font>
    <font>
      <name val="Calibri"/>
      <b val="1"/>
      <color rgb="00FFCC02"/>
      <sz val="18"/>
    </font>
    <font>
      <name val="Calibri"/>
      <b val="1"/>
      <color rgb="004DB6AC"/>
      <sz val="18"/>
    </font>
    <font>
      <name val="Calibri"/>
      <b val="1"/>
      <color rgb="0081C784"/>
      <sz val="18"/>
    </font>
    <font>
      <name val="Calibri"/>
      <b val="1"/>
      <color rgb="004FC3F7"/>
      <sz val="18"/>
    </font>
    <font>
      <name val="Calibri"/>
      <b val="1"/>
      <color rgb="00CE93D8"/>
      <sz val="18"/>
    </font>
    <font>
      <name val="Calibri"/>
      <i val="1"/>
      <color rgb="00555555"/>
      <sz val="10"/>
    </font>
    <font>
      <name val="Calibri"/>
      <b val="1"/>
      <color rgb="00000000"/>
      <sz val="12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BBBBBB"/>
      <sz val="11"/>
    </font>
    <font>
      <name val="Calibri"/>
      <color rgb="00006600"/>
      <sz val="11"/>
    </font>
    <font>
      <name val="Calibri"/>
      <b val="1"/>
      <color rgb="00006600"/>
      <sz val="11"/>
    </font>
    <font>
      <name val="Calibri"/>
      <i val="1"/>
      <color rgb="00444444"/>
      <sz val="10"/>
    </font>
  </fonts>
  <fills count="1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EF4FF"/>
      </patternFill>
    </fill>
    <fill>
      <patternFill patternType="solid">
        <fgColor rgb="002D3748"/>
      </patternFill>
    </fill>
    <fill>
      <patternFill patternType="solid">
        <fgColor rgb="0081C784"/>
      </patternFill>
    </fill>
    <fill>
      <patternFill patternType="solid">
        <fgColor rgb="00F5F5F5"/>
      </patternFill>
    </fill>
    <fill>
      <patternFill patternType="solid">
        <fgColor rgb="00CE93D8"/>
      </patternFill>
    </fill>
    <fill>
      <patternFill patternType="solid">
        <fgColor rgb="004DB6AC"/>
      </patternFill>
    </fill>
    <fill>
      <patternFill patternType="solid">
        <fgColor rgb="004FC3F7"/>
      </patternFill>
    </fill>
    <fill>
      <patternFill patternType="solid">
        <fgColor rgb="00FF8A65"/>
      </patternFill>
    </fill>
    <fill>
      <patternFill patternType="solid">
        <fgColor rgb="00F06292"/>
      </patternFill>
    </fill>
    <fill>
      <patternFill patternType="solid">
        <fgColor rgb="00FFCC02"/>
      </patternFill>
    </fill>
    <fill>
      <patternFill patternType="solid">
        <fgColor rgb="002B4C7E"/>
      </patternFill>
    </fill>
    <fill>
      <patternFill patternType="solid">
        <fgColor rgb="00E8F4FD"/>
      </patternFill>
    </fill>
    <fill>
      <patternFill patternType="solid">
        <fgColor rgb="00D0D7E3"/>
      </patternFill>
    </fill>
    <fill>
      <patternFill patternType="solid">
        <fgColor rgb="007B5E2A"/>
      </patternFill>
    </fill>
    <fill>
      <patternFill patternType="solid">
        <fgColor rgb="00FDF6E8"/>
      </patternFill>
    </fill>
    <fill>
      <patternFill patternType="solid">
        <fgColor rgb="00E8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 indent="1"/>
    </xf>
    <xf numFmtId="0" fontId="1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 indent="1"/>
    </xf>
    <xf numFmtId="0" fontId="18" fillId="7" borderId="0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4" fontId="3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 wrapText="1"/>
    </xf>
    <xf numFmtId="4" fontId="3" fillId="15" borderId="1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4" fontId="6" fillId="17" borderId="1" applyAlignment="1" pivotButton="0" quotePrefix="0" xfId="0">
      <alignment horizontal="center" vertical="center"/>
    </xf>
    <xf numFmtId="4" fontId="3" fillId="17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58" customWidth="1" min="7" max="7"/>
  </cols>
  <sheetData>
    <row r="1" ht="32" customHeight="1">
      <c r="A1" s="1" t="inlineStr">
        <is>
          <t>COSTO $/m³ POR CATEGORÍA — TOTALES PROYECTADOS Y CRITERIO DE REPARTO</t>
        </is>
      </c>
    </row>
    <row r="2" ht="6" customHeight="1"/>
    <row r="3" ht="38" customHeight="1">
      <c r="A3" s="2" t="inlineStr">
        <is>
          <t>Categoría</t>
        </is>
      </c>
      <c r="B3" s="2" t="inlineStr">
        <is>
          <t>Color</t>
        </is>
      </c>
      <c r="C3" s="2" t="inlineStr">
        <is>
          <t>PTAR Fase 2 ($/m³)</t>
        </is>
      </c>
      <c r="D3" s="2" t="inlineStr">
        <is>
          <t>RO ($/m³)</t>
        </is>
      </c>
      <c r="E3" s="2" t="inlineStr">
        <is>
          <t>TOTAL ($/m³)</t>
        </is>
      </c>
      <c r="F3" s="2" t="inlineStr">
        <is>
          <t>Equipos por bloque</t>
        </is>
      </c>
      <c r="G3" s="2" t="inlineStr">
        <is>
          <t>Criterio de reparto</t>
        </is>
      </c>
    </row>
    <row r="4" ht="26" customHeight="1">
      <c r="A4" s="3" t="inlineStr">
        <is>
          <t>Insumos Químicos</t>
        </is>
      </c>
      <c r="B4" s="4" t="inlineStr">
        <is>
          <t>●</t>
        </is>
      </c>
      <c r="C4" s="5" t="n">
        <v>3599.29</v>
      </c>
      <c r="D4" s="5" t="n">
        <v>958.85</v>
      </c>
      <c r="E4" s="6">
        <f>C4+D4</f>
        <v/>
      </c>
      <c r="F4" s="7" t="inlineStr">
        <is>
          <t>22 PTAR  /  7 RO</t>
        </is>
      </c>
      <c r="G4" s="8" t="inlineStr">
        <is>
          <t>Asignación directa al equipo que usa el reactivo (no hay reparto proporcional)</t>
        </is>
      </c>
    </row>
    <row r="5" ht="26" customHeight="1">
      <c r="A5" s="3" t="inlineStr">
        <is>
          <t>Residuos y Lodos</t>
        </is>
      </c>
      <c r="B5" s="9" t="inlineStr">
        <is>
          <t>●</t>
        </is>
      </c>
      <c r="C5" s="5" t="n">
        <v>1303.87</v>
      </c>
      <c r="D5" s="5" t="n">
        <v>0</v>
      </c>
      <c r="E5" s="6">
        <f>C5+D5</f>
        <v/>
      </c>
      <c r="F5" s="7" t="inlineStr">
        <is>
          <t>22 PTAR  /  7 RO</t>
        </is>
      </c>
      <c r="G5" s="8" t="inlineStr">
        <is>
          <t>Cribas por % captura (70/15/15); tanques proporcional al volumen; lodos directamente al GEM</t>
        </is>
      </c>
    </row>
    <row r="6" ht="26" customHeight="1">
      <c r="A6" s="3" t="inlineStr">
        <is>
          <t>Consumibles</t>
        </is>
      </c>
      <c r="B6" s="10" t="inlineStr">
        <is>
          <t>●</t>
        </is>
      </c>
      <c r="C6" s="5" t="n">
        <v>211.62</v>
      </c>
      <c r="D6" s="5" t="n">
        <v>790.9400000000001</v>
      </c>
      <c r="E6" s="6">
        <f>C6+D6</f>
        <v/>
      </c>
      <c r="F6" s="7" t="inlineStr">
        <is>
          <t>22 PTAR  /  7 RO</t>
        </is>
      </c>
      <c r="G6" s="8" t="inlineStr">
        <is>
          <t>Asignación directa: membranas amortizadas por MBR, cartuchos+resinas a filtros, puntos Hach por equipo</t>
        </is>
      </c>
    </row>
    <row r="7" ht="26" customHeight="1">
      <c r="A7" s="3" t="inlineStr">
        <is>
          <t>Calibración y Mant.</t>
        </is>
      </c>
      <c r="B7" s="11" t="inlineStr">
        <is>
          <t>●</t>
        </is>
      </c>
      <c r="C7" s="5" t="n">
        <v>478.61</v>
      </c>
      <c r="D7" s="5" t="n">
        <v>390.25</v>
      </c>
      <c r="E7" s="6">
        <f>C7+D7</f>
        <v/>
      </c>
      <c r="F7" s="7" t="inlineStr">
        <is>
          <t>22 PTAR  /  7 RO</t>
        </is>
      </c>
      <c r="G7" s="8" t="inlineStr">
        <is>
          <t>Reparto uniforme dentro de cada bloque: total bloque ÷ n° equipos</t>
        </is>
      </c>
    </row>
    <row r="8" ht="26" customHeight="1">
      <c r="A8" s="3" t="inlineStr">
        <is>
          <t>Nómina</t>
        </is>
      </c>
      <c r="B8" s="12" t="inlineStr">
        <is>
          <t>●</t>
        </is>
      </c>
      <c r="C8" s="5" t="n">
        <v>827.85</v>
      </c>
      <c r="D8" s="5" t="n">
        <v>354.79</v>
      </c>
      <c r="E8" s="6">
        <f>C8+D8</f>
        <v/>
      </c>
      <c r="F8" s="7" t="inlineStr">
        <is>
          <t>22 PTAR  /  7 RO</t>
        </is>
      </c>
      <c r="G8" s="8" t="inlineStr">
        <is>
          <t>70% PTAR F2 / 30% RO (por dedicación operativa), luego ÷ n° equipos de cada bloque</t>
        </is>
      </c>
    </row>
    <row r="9" ht="26" customHeight="1">
      <c r="A9" s="3" t="inlineStr">
        <is>
          <t>Energía Eléctrica</t>
        </is>
      </c>
      <c r="B9" s="13" t="inlineStr">
        <is>
          <t>●</t>
        </is>
      </c>
      <c r="C9" s="5" t="n">
        <v>3646.07</v>
      </c>
      <c r="D9" s="5" t="n">
        <v>911.52</v>
      </c>
      <c r="E9" s="6">
        <f>C9+D9</f>
        <v/>
      </c>
      <c r="F9" s="7" t="inlineStr">
        <is>
          <t>22 PTAR  /  7 RO</t>
        </is>
      </c>
      <c r="G9" s="8" t="inlineStr">
        <is>
          <t>Asignación directa por consumo eléctrico medido (corriente A × tensión × FP × horas)</t>
        </is>
      </c>
    </row>
    <row r="10" ht="26" customHeight="1">
      <c r="A10" s="3" t="inlineStr">
        <is>
          <t>Depreciación</t>
        </is>
      </c>
      <c r="B10" s="14" t="inlineStr">
        <is>
          <t>●</t>
        </is>
      </c>
      <c r="C10" s="5" t="n">
        <v>1760.95</v>
      </c>
      <c r="D10" s="5" t="n">
        <v>196.4</v>
      </c>
      <c r="E10" s="6">
        <f>C10+D10</f>
        <v/>
      </c>
      <c r="F10" s="7" t="inlineStr">
        <is>
          <t>22 PTAR  /  7 RO</t>
        </is>
      </c>
      <c r="G10" s="8" t="inlineStr">
        <is>
          <t>CAPEX 90% PTAR / 10% RO (por inversión ejecutada), luego ÷ n° equipos de cada bloque</t>
        </is>
      </c>
    </row>
    <row r="11" ht="28" customHeight="1">
      <c r="A11" s="15" t="inlineStr">
        <is>
          <t>TOTAL GENERAL</t>
        </is>
      </c>
      <c r="C11" s="16">
        <f>SUM(C4:C10)</f>
        <v/>
      </c>
      <c r="D11" s="16">
        <f>SUM(D4:D10)</f>
        <v/>
      </c>
      <c r="E11" s="16">
        <f>SUM(E4:E10)</f>
        <v/>
      </c>
      <c r="F11" s="17" t="n"/>
      <c r="G11" s="17" t="n"/>
    </row>
    <row r="13" ht="20" customHeight="1">
      <c r="A13" s="18" t="inlineStr">
        <is>
          <t xml:space="preserve">   Azul = inputs proyectados (modificables)     Negro = fórmulas calculadas     Tolerancia verificación: ±$1,00 por redondeos</t>
        </is>
      </c>
    </row>
  </sheetData>
  <mergeCells count="3">
    <mergeCell ref="A13:G13"/>
    <mergeCell ref="A11:B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2" customWidth="1" min="4" max="4"/>
    <col width="32" customWidth="1" min="5" max="5"/>
    <col width="18" customWidth="1" min="6" max="6"/>
  </cols>
  <sheetData>
    <row r="1" ht="32" customHeight="1">
      <c r="A1" s="1" t="inlineStr">
        <is>
          <t>METODOLOGÍA DE DISTRIBUCIÓN — PASO A PASO POR CATEGORÍA</t>
        </is>
      </c>
    </row>
    <row r="3" ht="28" customHeight="1">
      <c r="A3" s="19" t="inlineStr">
        <is>
          <t>1. NÓMINA OPERATIVA</t>
        </is>
      </c>
    </row>
    <row r="4" ht="18" customHeight="1">
      <c r="A4" s="20" t="inlineStr">
        <is>
          <t>Total proyectado: $1.182,64 COP/m³  (nómina mensual operarios PTAR ÷ producción m³/mes)</t>
        </is>
      </c>
    </row>
    <row r="5" ht="32" customHeight="1">
      <c r="A5" s="21" t="inlineStr">
        <is>
          <t>Criterio: Los operarios atienden principalmente PTAR Fase 2 (22 equipos). Se asigna 70% al bloque PTAR y 30% al bloque RO. Dentro de cada bloque, reparto uniforme entre todos los equipos.</t>
        </is>
      </c>
    </row>
    <row r="6" ht="18" customHeight="1">
      <c r="A6" s="22" t="inlineStr">
        <is>
          <t>Formula: PTAR F2: $828 / 22 equipos = $37.64/equipo     |     RO: $355 / 7 equipos = $50.71/equipo</t>
        </is>
      </c>
    </row>
    <row r="7" ht="18" customHeight="1">
      <c r="A7" s="23" t="inlineStr">
        <is>
          <t>Bloque</t>
        </is>
      </c>
      <c r="B7" s="23" t="inlineStr">
        <is>
          <t>% Dedicación</t>
        </is>
      </c>
      <c r="C7" s="23" t="inlineStr">
        <is>
          <t>Total bloque</t>
        </is>
      </c>
      <c r="D7" s="23" t="inlineStr">
        <is>
          <t>N° equipos</t>
        </is>
      </c>
      <c r="E7" s="23" t="inlineStr">
        <is>
          <t>$/m³ por equipo</t>
        </is>
      </c>
      <c r="F7" s="23" t="inlineStr">
        <is>
          <t>Justificación</t>
        </is>
      </c>
    </row>
    <row r="8" ht="18" customHeight="1">
      <c r="A8" s="24" t="inlineStr">
        <is>
          <t>PTAR Fase 2</t>
        </is>
      </c>
      <c r="B8" s="7" t="inlineStr">
        <is>
          <t>70%</t>
        </is>
      </c>
      <c r="C8" s="7" t="inlineStr">
        <is>
          <t>$828,08</t>
        </is>
      </c>
      <c r="D8" s="7" t="inlineStr">
        <is>
          <t>22 equipos</t>
        </is>
      </c>
      <c r="E8" s="7" t="inlineStr">
        <is>
          <t>$37.64</t>
        </is>
      </c>
      <c r="F8" s="25" t="inlineStr">
        <is>
          <t>Mayor cantidad de equipos y puntos de operación</t>
        </is>
      </c>
    </row>
    <row r="9" ht="18" customHeight="1">
      <c r="A9" s="26" t="inlineStr">
        <is>
          <t>RO</t>
        </is>
      </c>
      <c r="B9" s="27" t="inlineStr">
        <is>
          <t>30%</t>
        </is>
      </c>
      <c r="C9" s="27" t="inlineStr">
        <is>
          <t>$354,97</t>
        </is>
      </c>
      <c r="D9" s="27" t="inlineStr">
        <is>
          <t>7 equipos</t>
        </is>
      </c>
      <c r="E9" s="27" t="inlineStr">
        <is>
          <t>$50.71</t>
        </is>
      </c>
      <c r="F9" s="28" t="inlineStr">
        <is>
          <t>Proceso más autónomo pero requiere mayor especialización</t>
        </is>
      </c>
    </row>
    <row r="10" ht="18" customHeight="1">
      <c r="A10" s="24" t="inlineStr">
        <is>
          <t>Vertimiento</t>
        </is>
      </c>
      <c r="B10" s="7" t="inlineStr">
        <is>
          <t>0%</t>
        </is>
      </c>
      <c r="C10" s="7" t="inlineStr">
        <is>
          <t>$0,00</t>
        </is>
      </c>
      <c r="D10" s="7" t="inlineStr">
        <is>
          <t>—</t>
        </is>
      </c>
      <c r="E10" s="7" t="inlineStr">
        <is>
          <t>$0.00</t>
        </is>
      </c>
      <c r="F10" s="25" t="inlineStr">
        <is>
          <t>Sin carga operativa asignada en modelo actual</t>
        </is>
      </c>
    </row>
    <row r="11" ht="30" customHeight="1">
      <c r="A11" s="29" t="inlineStr">
        <is>
          <t>Nota: El mayor $/m³ de RO ($50.71) vs PTAR ($37.64) refleja que RO tiene menos equipos para repartir su 30% asignado.</t>
        </is>
      </c>
    </row>
    <row r="13" ht="28" customHeight="1">
      <c r="A13" s="30" t="inlineStr">
        <is>
          <t>2. DEPRECIACIÓN (CAPEX)</t>
        </is>
      </c>
    </row>
    <row r="14" ht="18" customHeight="1">
      <c r="A14" s="20" t="inlineStr">
        <is>
          <t>Total proyectado: $1.957,35 COP/m³  (CAPEX total equipos amortizado según vida útil / producción m³/mes)</t>
        </is>
      </c>
    </row>
    <row r="15" ht="32" customHeight="1">
      <c r="A15" s="21" t="inlineStr">
        <is>
          <t>Criterio: El 90% del CAPEX se invirtió en el bloque PTAR Fase 2 (equipos biológicos, GEM, homogeneizador). El 10% restante corresponde al bloque RO. Reparto uniforme dentro de cada bloque.</t>
        </is>
      </c>
    </row>
    <row r="16" ht="18" customHeight="1">
      <c r="A16" s="22" t="inlineStr">
        <is>
          <t>Formula: PTAR F2: $1.761 / 22 equipos = $80.05/equipo     |     RO: $196 / 7 equipos = $28.00/equipo</t>
        </is>
      </c>
    </row>
    <row r="17" ht="18" customHeight="1">
      <c r="A17" s="31" t="inlineStr">
        <is>
          <t>Bloque</t>
        </is>
      </c>
      <c r="B17" s="31" t="inlineStr">
        <is>
          <t>% CAPEX</t>
        </is>
      </c>
      <c r="C17" s="31" t="inlineStr">
        <is>
          <t>Total bloque</t>
        </is>
      </c>
      <c r="D17" s="31" t="inlineStr">
        <is>
          <t>N° equipos</t>
        </is>
      </c>
      <c r="E17" s="31" t="inlineStr">
        <is>
          <t>$/m³ por equipo</t>
        </is>
      </c>
      <c r="F17" s="31" t="inlineStr">
        <is>
          <t>Equipos principales</t>
        </is>
      </c>
    </row>
    <row r="18" ht="18" customHeight="1">
      <c r="A18" s="24" t="inlineStr">
        <is>
          <t>PTAR Fase 2</t>
        </is>
      </c>
      <c r="B18" s="7" t="inlineStr">
        <is>
          <t>90%</t>
        </is>
      </c>
      <c r="C18" s="7" t="inlineStr">
        <is>
          <t>$1.761,10</t>
        </is>
      </c>
      <c r="D18" s="7" t="inlineStr">
        <is>
          <t>22 equipos</t>
        </is>
      </c>
      <c r="E18" s="7" t="inlineStr">
        <is>
          <t>$80.05</t>
        </is>
      </c>
      <c r="F18" s="25" t="inlineStr">
        <is>
          <t>GEM, MBRs, MBBR, Homogeneizador, Cribas</t>
        </is>
      </c>
    </row>
    <row r="19" ht="18" customHeight="1">
      <c r="A19" s="26" t="inlineStr">
        <is>
          <t>RO</t>
        </is>
      </c>
      <c r="B19" s="27" t="inlineStr">
        <is>
          <t>10%</t>
        </is>
      </c>
      <c r="C19" s="27" t="inlineStr">
        <is>
          <t>$196,00</t>
        </is>
      </c>
      <c r="D19" s="27" t="inlineStr">
        <is>
          <t>7 equipos</t>
        </is>
      </c>
      <c r="E19" s="27" t="inlineStr">
        <is>
          <t>$28.00</t>
        </is>
      </c>
      <c r="F19" s="28" t="inlineStr">
        <is>
          <t>Trenes RO1 E1, E1, RO2, Filtros IO</t>
        </is>
      </c>
    </row>
    <row r="20" ht="18" customHeight="1">
      <c r="A20" s="24" t="inlineStr">
        <is>
          <t>Vertimiento</t>
        </is>
      </c>
      <c r="B20" s="7" t="inlineStr">
        <is>
          <t>0%</t>
        </is>
      </c>
      <c r="C20" s="7" t="inlineStr">
        <is>
          <t>$0,00</t>
        </is>
      </c>
      <c r="D20" s="7" t="inlineStr">
        <is>
          <t>—</t>
        </is>
      </c>
      <c r="E20" s="7" t="inlineStr">
        <is>
          <t>$0.00</t>
        </is>
      </c>
      <c r="F20" s="25" t="inlineStr">
        <is>
          <t>Equipos no incluidos en inventario depreciable activo</t>
        </is>
      </c>
    </row>
    <row r="21" ht="30" customHeight="1">
      <c r="A21" s="29" t="inlineStr">
        <is>
          <t>Nota: TK Rechazo RO2 tiene $28.25 (diferencia de $0.25 por redondeo al distribuir $196 exactamente en 7 equipos).</t>
        </is>
      </c>
    </row>
    <row r="23" ht="28" customHeight="1">
      <c r="A23" s="32" t="inlineStr">
        <is>
          <t>3. CALIBRACIÓN Y MANTENIMIENTO</t>
        </is>
      </c>
    </row>
    <row r="24" ht="18" customHeight="1">
      <c r="A24" s="20" t="inlineStr">
        <is>
          <t>Total proyectado PTAR F2: $478,61 COP/m³   |   Total proyectado RO: $390,25 COP/m³</t>
        </is>
      </c>
    </row>
    <row r="25" ht="32" customHeight="1">
      <c r="A25" s="21" t="inlineStr">
        <is>
          <t>Criterio: Reparto estrictamente uniforme entre todos los equipos del bloque. Se justifica porque todos los equipos son objeto de revisión preventiva programada con la misma frecuencia base.</t>
        </is>
      </c>
    </row>
    <row r="26" ht="18" customHeight="1">
      <c r="A26" s="22" t="inlineStr">
        <is>
          <t>Formula: PTAR F2: $479 / 22 equipos = $21.77/equipo     |     RO: $390 / 7 equipos = $55.71/equipo</t>
        </is>
      </c>
    </row>
    <row r="27" ht="18" customHeight="1">
      <c r="A27" s="33" t="inlineStr">
        <is>
          <t>Bloque</t>
        </is>
      </c>
      <c r="B27" s="33" t="inlineStr">
        <is>
          <t>Total bloque</t>
        </is>
      </c>
      <c r="C27" s="33" t="inlineStr">
        <is>
          <t>N° equipos</t>
        </is>
      </c>
      <c r="D27" s="33" t="inlineStr">
        <is>
          <t>$/m³ por equipo</t>
        </is>
      </c>
      <c r="E27" s="33" t="inlineStr">
        <is>
          <t>Base del total</t>
        </is>
      </c>
    </row>
    <row r="28" ht="18" customHeight="1">
      <c r="A28" s="24" t="inlineStr">
        <is>
          <t>PTAR Fase 2</t>
        </is>
      </c>
      <c r="B28" s="7" t="inlineStr">
        <is>
          <t>$478,94</t>
        </is>
      </c>
      <c r="C28" s="7" t="inlineStr">
        <is>
          <t>22 equipos</t>
        </is>
      </c>
      <c r="D28" s="7" t="inlineStr">
        <is>
          <t>$21.77</t>
        </is>
      </c>
      <c r="E28" s="25" t="inlineStr">
        <is>
          <t>Contrato mant. preventivo + calibración analizadores Hach bloque PTAR</t>
        </is>
      </c>
    </row>
    <row r="29" ht="18" customHeight="1">
      <c r="A29" s="26" t="inlineStr">
        <is>
          <t>RO</t>
        </is>
      </c>
      <c r="B29" s="27" t="inlineStr">
        <is>
          <t>$389,97</t>
        </is>
      </c>
      <c r="C29" s="27" t="inlineStr">
        <is>
          <t>7 equipos</t>
        </is>
      </c>
      <c r="D29" s="27" t="inlineStr">
        <is>
          <t>$55.71</t>
        </is>
      </c>
      <c r="E29" s="28" t="inlineStr">
        <is>
          <t>Contrato mant. preventivo membranas + calibración analizadores bloque RO</t>
        </is>
      </c>
    </row>
    <row r="30" ht="30" customHeight="1">
      <c r="A30" s="29" t="inlineStr">
        <is>
          <t>Nota: El mayor $/m³ en RO refleja que los contratos de mantenimiento de membranas de OI son más costosos por unidad de tratamiento.</t>
        </is>
      </c>
    </row>
    <row r="32" ht="28" customHeight="1">
      <c r="A32" s="34" t="inlineStr">
        <is>
          <t>4. ENERGÍA ELÉCTRICA</t>
        </is>
      </c>
    </row>
    <row r="33" ht="18" customHeight="1">
      <c r="A33" s="20" t="inlineStr">
        <is>
          <t>Total proyectado PTAR F2: $3.646,07 COP/m³   |   Total proyectado RO: $911,52 COP/m³</t>
        </is>
      </c>
    </row>
    <row r="34" ht="32" customHeight="1">
      <c r="A34" s="21" t="inlineStr">
        <is>
          <t>Criterio: Asignación directa al equipo consumidor medida por corriente eléctrica (A). Los equipos sin medidor propio (tanques pasivos, cárcamo) reciben $0. OZONO+CHILLER+GENERADORES se imputan al TK Homogeneizador.</t>
        </is>
      </c>
    </row>
    <row r="35" ht="18" customHeight="1">
      <c r="A35" s="22" t="inlineStr">
        <is>
          <t>Formula: Costo equipo = (kW × horas/mes × tarifa COP/kWh) ÷ m³/mes tratados</t>
        </is>
      </c>
    </row>
    <row r="36" ht="18" customHeight="1">
      <c r="A36" s="35" t="inlineStr">
        <is>
          <t>Equipo</t>
        </is>
      </c>
      <c r="B36" s="35" t="inlineStr">
        <is>
          <t>$/m³</t>
        </is>
      </c>
      <c r="C36" s="35" t="inlineStr">
        <is>
          <t>Equipo principal de consumo</t>
        </is>
      </c>
      <c r="D36" s="35" t="inlineStr">
        <is>
          <t>Observación</t>
        </is>
      </c>
    </row>
    <row r="37" ht="18" customHeight="1">
      <c r="A37" s="24" t="inlineStr">
        <is>
          <t>TK Recepción 2 m³</t>
        </is>
      </c>
      <c r="B37" s="7" t="inlineStr">
        <is>
          <t>1.22</t>
        </is>
      </c>
      <c r="C37" s="7" t="inlineStr">
        <is>
          <t>Bomba sumergible</t>
        </is>
      </c>
      <c r="D37" s="25" t="inlineStr">
        <is>
          <t>Consumo mínimo</t>
        </is>
      </c>
    </row>
    <row r="38" ht="18" customHeight="1">
      <c r="A38" s="26" t="inlineStr">
        <is>
          <t>TK Buffer 15 m³</t>
        </is>
      </c>
      <c r="B38" s="27" t="inlineStr">
        <is>
          <t>5.92</t>
        </is>
      </c>
      <c r="C38" s="27" t="inlineStr">
        <is>
          <t>Bomba recirculación</t>
        </is>
      </c>
      <c r="D38" s="28" t="inlineStr"/>
    </row>
    <row r="39" ht="18" customHeight="1">
      <c r="A39" s="24" t="inlineStr">
        <is>
          <t>TK 60 m³</t>
        </is>
      </c>
      <c r="B39" s="7" t="inlineStr">
        <is>
          <t>170.14</t>
        </is>
      </c>
      <c r="C39" s="7" t="inlineStr">
        <is>
          <t>Bombas autocebantes principales</t>
        </is>
      </c>
      <c r="D39" s="25" t="inlineStr">
        <is>
          <t>Mayor consumo fase prelim.</t>
        </is>
      </c>
    </row>
    <row r="40" ht="18" customHeight="1">
      <c r="A40" s="26" t="inlineStr">
        <is>
          <t>Criba Rotativa</t>
        </is>
      </c>
      <c r="B40" s="27" t="inlineStr">
        <is>
          <t>10.12</t>
        </is>
      </c>
      <c r="C40" s="27" t="inlineStr">
        <is>
          <t>Motor tambor rotativo</t>
        </is>
      </c>
      <c r="D40" s="28" t="inlineStr"/>
    </row>
    <row r="41" ht="18" customHeight="1">
      <c r="A41" s="24" t="inlineStr">
        <is>
          <t>Criba Vibratoria 1</t>
        </is>
      </c>
      <c r="B41" s="7" t="inlineStr">
        <is>
          <t>10.12</t>
        </is>
      </c>
      <c r="C41" s="7" t="inlineStr">
        <is>
          <t>Motor vibración</t>
        </is>
      </c>
      <c r="D41" s="25" t="inlineStr"/>
    </row>
    <row r="42" ht="18" customHeight="1">
      <c r="A42" s="26" t="inlineStr">
        <is>
          <t>Criba Vibratoria 2</t>
        </is>
      </c>
      <c r="B42" s="27" t="inlineStr">
        <is>
          <t>10.12</t>
        </is>
      </c>
      <c r="C42" s="27" t="inlineStr">
        <is>
          <t>Motor vibración</t>
        </is>
      </c>
      <c r="D42" s="28" t="inlineStr"/>
    </row>
    <row r="43" ht="18" customHeight="1">
      <c r="A43" s="24" t="inlineStr">
        <is>
          <t>TK Pulmón</t>
        </is>
      </c>
      <c r="B43" s="7" t="inlineStr">
        <is>
          <t>68.97</t>
        </is>
      </c>
      <c r="C43" s="7" t="inlineStr">
        <is>
          <t>Bomba alimentación torre</t>
        </is>
      </c>
      <c r="D43" s="25" t="inlineStr"/>
    </row>
    <row r="44" ht="18" customHeight="1">
      <c r="A44" s="26" t="inlineStr">
        <is>
          <t>Torre Enfriamiento</t>
        </is>
      </c>
      <c r="B44" s="27" t="inlineStr">
        <is>
          <t>103.00</t>
        </is>
      </c>
      <c r="C44" s="27" t="inlineStr">
        <is>
          <t>Ventilador tiro forzado</t>
        </is>
      </c>
      <c r="D44" s="28" t="inlineStr"/>
    </row>
    <row r="45" ht="18" customHeight="1">
      <c r="A45" s="24" t="inlineStr">
        <is>
          <t>TK Homogeneizador 800 m³</t>
        </is>
      </c>
      <c r="B45" s="7" t="inlineStr">
        <is>
          <t>818.49</t>
        </is>
      </c>
      <c r="C45" s="7" t="inlineStr">
        <is>
          <t>Agitador + OZONO + CHILLER + GENERADORES</t>
        </is>
      </c>
      <c r="D45" s="25" t="inlineStr">
        <is>
          <t>OZONO/CHILLER/GEN = $450.63 incluido</t>
        </is>
      </c>
    </row>
    <row r="46" ht="18" customHeight="1">
      <c r="A46" s="26" t="inlineStr">
        <is>
          <t>Equipo GEM (DAF)</t>
        </is>
      </c>
      <c r="B46" s="27" t="inlineStr">
        <is>
          <t>266.39</t>
        </is>
      </c>
      <c r="C46" s="27" t="inlineStr">
        <is>
          <t>Bomba recircul. + soplador</t>
        </is>
      </c>
      <c r="D46" s="28" t="inlineStr"/>
    </row>
    <row r="47" ht="18" customHeight="1">
      <c r="A47" s="24" t="inlineStr">
        <is>
          <t>Reactor MBBR</t>
        </is>
      </c>
      <c r="B47" s="7" t="inlineStr">
        <is>
          <t>863.68</t>
        </is>
      </c>
      <c r="C47" s="7" t="inlineStr">
        <is>
          <t>Sopladora 90 kW x24h</t>
        </is>
      </c>
      <c r="D47" s="25" t="inlineStr">
        <is>
          <t>Mayor consumidor PTAR F2</t>
        </is>
      </c>
    </row>
    <row r="48" ht="18" customHeight="1">
      <c r="A48" s="26" t="inlineStr">
        <is>
          <t>MBR TORAY</t>
        </is>
      </c>
      <c r="B48" s="27" t="inlineStr">
        <is>
          <t>526.93</t>
        </is>
      </c>
      <c r="C48" s="27" t="inlineStr">
        <is>
          <t>Bomba permeado + soplador MBR2</t>
        </is>
      </c>
      <c r="D48" s="28" t="inlineStr"/>
    </row>
    <row r="49" ht="18" customHeight="1">
      <c r="A49" s="24" t="inlineStr">
        <is>
          <t>MBR KUBOTA</t>
        </is>
      </c>
      <c r="B49" s="7" t="inlineStr">
        <is>
          <t>515.01</t>
        </is>
      </c>
      <c r="C49" s="7" t="inlineStr">
        <is>
          <t>Bomba permeado + soplador MBR1</t>
        </is>
      </c>
      <c r="D49" s="25" t="inlineStr"/>
    </row>
    <row r="50" ht="18" customHeight="1">
      <c r="A50" s="26" t="inlineStr">
        <is>
          <t>TK Permeado</t>
        </is>
      </c>
      <c r="B50" s="27" t="inlineStr">
        <is>
          <t>275.90</t>
        </is>
      </c>
      <c r="C50" s="27" t="inlineStr">
        <is>
          <t>Bomba alta presión alim. RO</t>
        </is>
      </c>
      <c r="D50" s="28" t="inlineStr"/>
    </row>
    <row r="51" ht="18" customHeight="1">
      <c r="A51" s="24" t="inlineStr">
        <is>
          <t>RO1 Etapa 1</t>
        </is>
      </c>
      <c r="B51" s="7" t="inlineStr">
        <is>
          <t>264.60</t>
        </is>
      </c>
      <c r="C51" s="7" t="inlineStr">
        <is>
          <t>Bomba alta presión E1 45 kW</t>
        </is>
      </c>
      <c r="D51" s="25" t="inlineStr"/>
    </row>
    <row r="52" ht="18" customHeight="1">
      <c r="A52" s="26" t="inlineStr">
        <is>
          <t>RO1 Etapa 2</t>
        </is>
      </c>
      <c r="B52" s="27" t="inlineStr">
        <is>
          <t>97.02</t>
        </is>
      </c>
      <c r="C52" s="27" t="inlineStr">
        <is>
          <t>Bomba E2 15 kW</t>
        </is>
      </c>
      <c r="D52" s="28" t="inlineStr"/>
    </row>
    <row r="53" ht="18" customHeight="1">
      <c r="A53" s="24" t="inlineStr">
        <is>
          <t>RO2</t>
        </is>
      </c>
      <c r="B53" s="7" t="inlineStr">
        <is>
          <t>549.96</t>
        </is>
      </c>
      <c r="C53" s="7" t="inlineStr">
        <is>
          <t>Bomba Bangpu 121 kW</t>
        </is>
      </c>
      <c r="D53" s="25" t="inlineStr">
        <is>
          <t>Mayor consumidor RO</t>
        </is>
      </c>
    </row>
    <row r="54" ht="30" customHeight="1">
      <c r="A54" s="29" t="inlineStr">
        <is>
          <t>Nota: Rotativa, Funza, Tintorería, Lavandería, TK30, Cárcamo, Swingmill, Anóxico, TK Permeado (solo bomba hacia RO ya contada en tkPermeado), Filtros IO, TK Rechazo: $0 en energía (equipos pasivos o sin medición propia).</t>
        </is>
      </c>
    </row>
    <row r="56" ht="28" customHeight="1">
      <c r="A56" s="36" t="inlineStr">
        <is>
          <t>5. INSUMOS QUÍMICOS</t>
        </is>
      </c>
    </row>
    <row r="57" ht="18" customHeight="1">
      <c r="A57" s="20" t="inlineStr">
        <is>
          <t>Total proyectado: $4.558,14 COP/m³   |   GEM representa el 78.6% del total de químicos del sistema</t>
        </is>
      </c>
    </row>
    <row r="58" ht="32" customHeight="1">
      <c r="A58" s="21" t="inlineStr">
        <is>
          <t>Criterio: Asignación directa al equipo que consume el reactivo. No hay reparto proporcional — si un equipo no usa reactivos, recibe $0.</t>
        </is>
      </c>
    </row>
    <row r="59" ht="18" customHeight="1">
      <c r="A59" s="22" t="inlineStr">
        <is>
          <t>Formula: Costo equipo = Σ (consumo mensual kg × precio COP/kg) ÷ m³/mes tratados</t>
        </is>
      </c>
    </row>
    <row r="60" ht="18" customHeight="1">
      <c r="A60" s="37" t="inlineStr">
        <is>
          <t>Equipo</t>
        </is>
      </c>
      <c r="B60" s="37" t="inlineStr">
        <is>
          <t>$/m³</t>
        </is>
      </c>
      <c r="C60" s="37" t="inlineStr">
        <is>
          <t>Reactivos asignados</t>
        </is>
      </c>
      <c r="D60" s="37" t="inlineStr">
        <is>
          <t>% del total químicos</t>
        </is>
      </c>
    </row>
    <row r="61" ht="18" customHeight="1">
      <c r="A61" s="24" t="inlineStr">
        <is>
          <t>Equipo GEM (DAF)</t>
        </is>
      </c>
      <c r="B61" s="7" t="inlineStr">
        <is>
          <t>3.585,07</t>
        </is>
      </c>
      <c r="C61" s="7" t="inlineStr">
        <is>
          <t>Ácido clorhídrico + Acidificante + Decolorante + Coagulante + Floculante cat. + Floculante an. + Nitrato de Plata (*)</t>
        </is>
      </c>
      <c r="D61" s="25" t="inlineStr">
        <is>
          <t>78.7%</t>
        </is>
      </c>
    </row>
    <row r="62" ht="18" customHeight="1">
      <c r="A62" s="26" t="inlineStr">
        <is>
          <t>MBR TORAY (MBR2)</t>
        </is>
      </c>
      <c r="B62" s="27" t="inlineStr">
        <is>
          <t>7.11</t>
        </is>
      </c>
      <c r="C62" s="27" t="inlineStr">
        <is>
          <t>NaOCl + Ácido cítrico para CIP membranas UF</t>
        </is>
      </c>
      <c r="D62" s="28" t="inlineStr">
        <is>
          <t>0.16%</t>
        </is>
      </c>
    </row>
    <row r="63" ht="18" customHeight="1">
      <c r="A63" s="24" t="inlineStr">
        <is>
          <t>MBR KUBOTA (MBR1)</t>
        </is>
      </c>
      <c r="B63" s="7" t="inlineStr">
        <is>
          <t>7.11</t>
        </is>
      </c>
      <c r="C63" s="7" t="inlineStr">
        <is>
          <t>NaOCl + Ácido cítrico para CIP membranas MF</t>
        </is>
      </c>
      <c r="D63" s="25" t="inlineStr">
        <is>
          <t>0.16%</t>
        </is>
      </c>
    </row>
    <row r="64" ht="18" customHeight="1">
      <c r="A64" s="26" t="inlineStr">
        <is>
          <t>RO1 Etapa 1</t>
        </is>
      </c>
      <c r="B64" s="27" t="inlineStr">
        <is>
          <t>479.42</t>
        </is>
      </c>
      <c r="C64" s="27" t="inlineStr">
        <is>
          <t>Antiincrustante VITEC + Bisulfito de sodio + HCl + Soda cáustica 48% (ajuste pH)</t>
        </is>
      </c>
      <c r="D64" s="28" t="inlineStr">
        <is>
          <t>10.52%</t>
        </is>
      </c>
    </row>
    <row r="65" ht="18" customHeight="1">
      <c r="A65" s="24" t="inlineStr">
        <is>
          <t>RO1 Etapa 2</t>
        </is>
      </c>
      <c r="B65" s="7" t="inlineStr">
        <is>
          <t>479.43</t>
        </is>
      </c>
      <c r="C65" s="7" t="inlineStr">
        <is>
          <t>Antiincrustante VITEC + Bisulfito de sodio + HCl + Soda cáustica 48% (ajuste pH)</t>
        </is>
      </c>
      <c r="D65" s="25" t="inlineStr">
        <is>
          <t>10.52%</t>
        </is>
      </c>
    </row>
    <row r="66" ht="30" customHeight="1">
      <c r="A66" s="29" t="inlineStr">
        <is>
          <t>Nota: (*) Nitrato de Plata: reactivo de laboratorio para medición de cloruros; costo consolidado en GEM por ser el punto principal de monitoreo, se usa también en muestras del rechazo. CIP membranas MBR: ciclos programados de NaOCl y ácido cítrico. Soda cáustica 48% imputada a RO (no a GEM) para ajuste de pH pre-membranas de OI.</t>
        </is>
      </c>
    </row>
    <row r="68" ht="28" customHeight="1">
      <c r="A68" s="38" t="inlineStr">
        <is>
          <t>6. RESIDUOS Y LODOS</t>
        </is>
      </c>
    </row>
    <row r="69" ht="18" customHeight="1">
      <c r="A69" s="20" t="inlineStr">
        <is>
          <t>Total proyectado: $1.303,87 COP/m³   |   Tres sub-rubros: Disposición sólidos cribas $261 + Lavado tanques $316 + Lodos GEM $726,86</t>
        </is>
      </c>
    </row>
    <row r="70" ht="32" customHeight="1">
      <c r="A70" s="21" t="inlineStr">
        <is>
          <t>Criterio: Cada sub-rubro tiene su propio criterio: (a) cribas por porcentaje de captura de sólidos, (b) tanques proporcional al volumen lavado, (c) lodos fisicoquímicos directamente al equipo generador.</t>
        </is>
      </c>
    </row>
    <row r="71" ht="18" customHeight="1">
      <c r="A71" s="22" t="inlineStr">
        <is>
          <t>Formula: (a) $261 x % captura    |    (b) $316 x Volumen_i / 107 m³ total    |    (c) $726.86 directo a GEM</t>
        </is>
      </c>
    </row>
    <row r="72" ht="18" customHeight="1">
      <c r="A72" s="39" t="inlineStr">
        <is>
          <t>Sub-rubro</t>
        </is>
      </c>
      <c r="B72" s="39" t="inlineStr">
        <is>
          <t>Equipo</t>
        </is>
      </c>
      <c r="C72" s="39" t="inlineStr">
        <is>
          <t>Factor/Criterio</t>
        </is>
      </c>
      <c r="D72" s="39" t="inlineStr">
        <is>
          <t>$/m³</t>
        </is>
      </c>
      <c r="E72" s="39" t="inlineStr">
        <is>
          <t>Justificación</t>
        </is>
      </c>
    </row>
    <row r="73" ht="18" customHeight="1">
      <c r="A73" s="24" t="inlineStr">
        <is>
          <t>Disposición sólidos cribas ($261)</t>
        </is>
      </c>
      <c r="B73" s="7" t="inlineStr">
        <is>
          <t>Criba Rotativa</t>
        </is>
      </c>
      <c r="C73" s="7" t="inlineStr">
        <is>
          <t>70% del total</t>
        </is>
      </c>
      <c r="D73" s="7" t="inlineStr">
        <is>
          <t>182.70</t>
        </is>
      </c>
      <c r="E73" s="25" t="inlineStr">
        <is>
          <t>Tamiz 1mm captura la mayor fracción de sólidos gruesos</t>
        </is>
      </c>
    </row>
    <row r="74" ht="18" customHeight="1">
      <c r="A74" s="26" t="inlineStr">
        <is>
          <t>Disposición sólidos cribas ($261)</t>
        </is>
      </c>
      <c r="B74" s="27" t="inlineStr">
        <is>
          <t>Criba Vibratoria 1</t>
        </is>
      </c>
      <c r="C74" s="27" t="inlineStr">
        <is>
          <t>15% del total</t>
        </is>
      </c>
      <c r="D74" s="27" t="inlineStr">
        <is>
          <t>39.15</t>
        </is>
      </c>
      <c r="E74" s="28" t="inlineStr">
        <is>
          <t>Captura finos 0.10mm, igual entre las dos vibratorias</t>
        </is>
      </c>
    </row>
    <row r="75" ht="18" customHeight="1">
      <c r="A75" s="24" t="inlineStr">
        <is>
          <t>Disposición sólidos cribas ($261)</t>
        </is>
      </c>
      <c r="B75" s="7" t="inlineStr">
        <is>
          <t>Criba Vibratoria 2</t>
        </is>
      </c>
      <c r="C75" s="7" t="inlineStr">
        <is>
          <t>15% del total</t>
        </is>
      </c>
      <c r="D75" s="7" t="inlineStr">
        <is>
          <t>39.15</t>
        </is>
      </c>
      <c r="E75" s="25" t="inlineStr">
        <is>
          <t>Captura finos 0.10mm, igual entre las dos vibratorias</t>
        </is>
      </c>
    </row>
    <row r="76" ht="18" customHeight="1">
      <c r="A76" s="26" t="inlineStr">
        <is>
          <t>Lavado tanques ($316)</t>
        </is>
      </c>
      <c r="B76" s="27" t="inlineStr">
        <is>
          <t>TK Recepción 2 m³</t>
        </is>
      </c>
      <c r="C76" s="27" t="inlineStr">
        <is>
          <t>2/107 = 1.87%</t>
        </is>
      </c>
      <c r="D76" s="27" t="inlineStr">
        <is>
          <t>5.91</t>
        </is>
      </c>
      <c r="E76" s="28" t="inlineStr">
        <is>
          <t>Proporcional al volumen real del tanque</t>
        </is>
      </c>
    </row>
    <row r="77" ht="18" customHeight="1">
      <c r="A77" s="24" t="inlineStr">
        <is>
          <t>Lavado tanques ($316)</t>
        </is>
      </c>
      <c r="B77" s="7" t="inlineStr">
        <is>
          <t>TK Buffer 15 m³</t>
        </is>
      </c>
      <c r="C77" s="7" t="inlineStr">
        <is>
          <t>15/107 = 14.0%</t>
        </is>
      </c>
      <c r="D77" s="7" t="inlineStr">
        <is>
          <t>44.30</t>
        </is>
      </c>
      <c r="E77" s="25" t="inlineStr">
        <is>
          <t>Proporcional al volumen real del tanque</t>
        </is>
      </c>
    </row>
    <row r="78" ht="18" customHeight="1">
      <c r="A78" s="26" t="inlineStr">
        <is>
          <t>Lavado tanques ($316)</t>
        </is>
      </c>
      <c r="B78" s="27" t="inlineStr">
        <is>
          <t>TK Recepción 30 m³</t>
        </is>
      </c>
      <c r="C78" s="27" t="inlineStr">
        <is>
          <t>30/107 = 28.0%</t>
        </is>
      </c>
      <c r="D78" s="27" t="inlineStr">
        <is>
          <t>88.60</t>
        </is>
      </c>
      <c r="E78" s="28" t="inlineStr">
        <is>
          <t>Proporcional al volumen real del tanque</t>
        </is>
      </c>
    </row>
    <row r="79" ht="18" customHeight="1">
      <c r="A79" s="24" t="inlineStr">
        <is>
          <t>Lavado tanques ($316)</t>
        </is>
      </c>
      <c r="B79" s="7" t="inlineStr">
        <is>
          <t>TK 60 m³</t>
        </is>
      </c>
      <c r="C79" s="7" t="inlineStr">
        <is>
          <t>60/107 = 56.1%</t>
        </is>
      </c>
      <c r="D79" s="7" t="inlineStr">
        <is>
          <t>177.20</t>
        </is>
      </c>
      <c r="E79" s="25" t="inlineStr">
        <is>
          <t>Proporcional al volumen real del tanque</t>
        </is>
      </c>
    </row>
    <row r="80" ht="18" customHeight="1">
      <c r="A80" s="26" t="inlineStr">
        <is>
          <t>Lodos fisicoquímicos GEM</t>
        </is>
      </c>
      <c r="B80" s="27" t="inlineStr">
        <is>
          <t>Equipo GEM (DAF)</t>
        </is>
      </c>
      <c r="C80" s="27" t="inlineStr">
        <is>
          <t>100% directo</t>
        </is>
      </c>
      <c r="D80" s="27" t="inlineStr">
        <is>
          <t>726.86</t>
        </is>
      </c>
      <c r="E80" s="28" t="inlineStr">
        <is>
          <t>Disposición lodos DAF + transporte (fuente exclusiva del rubro)</t>
        </is>
      </c>
    </row>
    <row r="81" ht="30" customHeight="1">
      <c r="A81" s="29" t="inlineStr">
        <is>
          <t>Nota: Total tanques para lavado: 2+15+30+60 = 107 m³. Los lodos del Swingmill se imputan al GEM por ser éste su única fuente de generación.</t>
        </is>
      </c>
    </row>
    <row r="83" ht="28" customHeight="1">
      <c r="A83" s="40" t="inlineStr">
        <is>
          <t>7. CONSUMIBLES</t>
        </is>
      </c>
    </row>
    <row r="84" ht="18" customHeight="1">
      <c r="A84" s="20" t="inlineStr">
        <is>
          <t>Total proyectado PTAR F2: $211,62 COP/m³   |   Total proyectado RO: $790,94 COP/m³</t>
        </is>
      </c>
    </row>
    <row r="85" ht="32" customHeight="1">
      <c r="A85" s="21" t="inlineStr">
        <is>
          <t>Criterio: Asignación directa por equipo: membranas MBR amortizadas (TORAY+KUBOTA), puntos Hach por equipo medidor, cartuchos por filtro, resinas por columna, membranas RO amortizadas.</t>
        </is>
      </c>
    </row>
    <row r="86" ht="18" customHeight="1">
      <c r="A86" s="22" t="inlineStr">
        <is>
          <t>Formula: Costo = (unidades × precio unitario × reemplazos/año ÷ 12) ÷ m³/mes</t>
        </is>
      </c>
    </row>
    <row r="87" ht="18" customHeight="1">
      <c r="A87" s="41" t="inlineStr">
        <is>
          <t>Equipo</t>
        </is>
      </c>
      <c r="B87" s="41" t="inlineStr">
        <is>
          <t>$/m³</t>
        </is>
      </c>
      <c r="C87" s="41" t="inlineStr">
        <is>
          <t>Consumible principal</t>
        </is>
      </c>
      <c r="D87" s="41" t="inlineStr">
        <is>
          <t>Base de cálculo</t>
        </is>
      </c>
    </row>
    <row r="88" ht="18" customHeight="1">
      <c r="A88" s="24" t="inlineStr">
        <is>
          <t>TK Pulmón</t>
        </is>
      </c>
      <c r="B88" s="7" t="inlineStr">
        <is>
          <t>26.55</t>
        </is>
      </c>
      <c r="C88" s="7" t="inlineStr">
        <is>
          <t>Reactivos analizadores Hach</t>
        </is>
      </c>
      <c r="D88" s="25" t="inlineStr">
        <is>
          <t>27 puntos Hach equivalentes asignados</t>
        </is>
      </c>
    </row>
    <row r="89" ht="18" customHeight="1">
      <c r="A89" s="26" t="inlineStr">
        <is>
          <t>Torre Enfriamiento</t>
        </is>
      </c>
      <c r="B89" s="27" t="inlineStr">
        <is>
          <t>31.00</t>
        </is>
      </c>
      <c r="C89" s="27" t="inlineStr">
        <is>
          <t>Reactivos analizadores Hach</t>
        </is>
      </c>
      <c r="D89" s="28" t="inlineStr">
        <is>
          <t>31 puntos Hach equivalentes asignados</t>
        </is>
      </c>
    </row>
    <row r="90" ht="18" customHeight="1">
      <c r="A90" s="24" t="inlineStr">
        <is>
          <t>TK Homogeneizador</t>
        </is>
      </c>
      <c r="B90" s="7" t="inlineStr">
        <is>
          <t>29.00</t>
        </is>
      </c>
      <c r="C90" s="7" t="inlineStr">
        <is>
          <t>Reactivos analizadores Hach</t>
        </is>
      </c>
      <c r="D90" s="25" t="inlineStr">
        <is>
          <t>29 puntos Hach equivalentes asignados</t>
        </is>
      </c>
    </row>
    <row r="91" ht="18" customHeight="1">
      <c r="A91" s="26" t="inlineStr">
        <is>
          <t>Equipo GEM (DAF)</t>
        </is>
      </c>
      <c r="B91" s="27" t="inlineStr">
        <is>
          <t>31.00</t>
        </is>
      </c>
      <c r="C91" s="27" t="inlineStr">
        <is>
          <t>Reactivos analizadores Hach</t>
        </is>
      </c>
      <c r="D91" s="28" t="inlineStr">
        <is>
          <t>31 puntos Hach equivalentes asignados</t>
        </is>
      </c>
    </row>
    <row r="92" ht="18" customHeight="1">
      <c r="A92" s="24" t="inlineStr">
        <is>
          <t>Reactor Anóxico</t>
        </is>
      </c>
      <c r="B92" s="7" t="inlineStr">
        <is>
          <t>4.00</t>
        </is>
      </c>
      <c r="C92" s="7" t="inlineStr">
        <is>
          <t>Reactivos analizadores Hach</t>
        </is>
      </c>
      <c r="D92" s="25" t="inlineStr">
        <is>
          <t>4 puntos Hach equivalentes asignados</t>
        </is>
      </c>
    </row>
    <row r="93" ht="18" customHeight="1">
      <c r="A93" s="26" t="inlineStr">
        <is>
          <t>Reactor MBBR</t>
        </is>
      </c>
      <c r="B93" s="27" t="inlineStr">
        <is>
          <t>4.00</t>
        </is>
      </c>
      <c r="C93" s="27" t="inlineStr">
        <is>
          <t>Reactivos analizadores Hach</t>
        </is>
      </c>
      <c r="D93" s="28" t="inlineStr">
        <is>
          <t>4 puntos Hach equivalentes asignados</t>
        </is>
      </c>
    </row>
    <row r="94" ht="18" customHeight="1">
      <c r="A94" s="24" t="inlineStr">
        <is>
          <t>MBR TORAY (MBR2)</t>
        </is>
      </c>
      <c r="B94" s="7" t="inlineStr">
        <is>
          <t>43.00</t>
        </is>
      </c>
      <c r="C94" s="7" t="inlineStr">
        <is>
          <t>Membranas UF 0.08µm amortizadas + Hach</t>
        </is>
      </c>
      <c r="D94" s="25" t="inlineStr">
        <is>
          <t>TORAY 4.800 u × $500k / 5 años + 7 pts Hach</t>
        </is>
      </c>
    </row>
    <row r="95" ht="18" customHeight="1">
      <c r="A95" s="26" t="inlineStr">
        <is>
          <t>MBR KUBOTA (MBR1)</t>
        </is>
      </c>
      <c r="B95" s="27" t="inlineStr">
        <is>
          <t>43.00</t>
        </is>
      </c>
      <c r="C95" s="27" t="inlineStr">
        <is>
          <t>Membranas MF 0.4µm amortizadas + Hach</t>
        </is>
      </c>
      <c r="D95" s="28" t="inlineStr">
        <is>
          <t>KUBOTA 2.000 u × $800k / 5 años + 7 pts Hach</t>
        </is>
      </c>
    </row>
    <row r="96" ht="18" customHeight="1">
      <c r="A96" s="24" t="inlineStr">
        <is>
          <t>Filtros Intercambio Iónico</t>
        </is>
      </c>
      <c r="B96" s="7" t="inlineStr">
        <is>
          <t>188.00</t>
        </is>
      </c>
      <c r="C96" s="7" t="inlineStr">
        <is>
          <t>Resinas catiónica + aniónica</t>
        </is>
      </c>
      <c r="D96" s="25" t="inlineStr">
        <is>
          <t>Reposición por agotamiento de resinas en ciclos de regeneración</t>
        </is>
      </c>
    </row>
    <row r="97" ht="18" customHeight="1">
      <c r="A97" s="26" t="inlineStr">
        <is>
          <t>Filtros Cartucho 5 µm</t>
        </is>
      </c>
      <c r="B97" s="27" t="inlineStr">
        <is>
          <t>389.00</t>
        </is>
      </c>
      <c r="C97" s="27" t="inlineStr">
        <is>
          <t>40 cartuchos/semana</t>
        </is>
      </c>
      <c r="D97" s="28" t="inlineStr">
        <is>
          <t>Reemplazo ~semanal o cuando ΔP indica colmatación en RO</t>
        </is>
      </c>
    </row>
    <row r="98" ht="18" customHeight="1">
      <c r="A98" s="24" t="inlineStr">
        <is>
          <t>RO1 Etapa 1</t>
        </is>
      </c>
      <c r="B98" s="7" t="inlineStr">
        <is>
          <t>62.67</t>
        </is>
      </c>
      <c r="C98" s="7" t="inlineStr">
        <is>
          <t>Membranas RO amortizadas</t>
        </is>
      </c>
      <c r="D98" s="25" t="inlineStr">
        <is>
          <t>72 membranas × $2.8M / 5 años de vida útil estimada</t>
        </is>
      </c>
    </row>
    <row r="99" ht="18" customHeight="1">
      <c r="A99" s="26" t="inlineStr">
        <is>
          <t>RO1 Etapa 2</t>
        </is>
      </c>
      <c r="B99" s="27" t="inlineStr">
        <is>
          <t>62.67</t>
        </is>
      </c>
      <c r="C99" s="27" t="inlineStr">
        <is>
          <t>Membranas RO amortizadas</t>
        </is>
      </c>
      <c r="D99" s="28" t="inlineStr">
        <is>
          <t>72 membranas × $2.8M / 5 años de vida útil estimada</t>
        </is>
      </c>
    </row>
    <row r="100" ht="18" customHeight="1">
      <c r="A100" s="24" t="inlineStr">
        <is>
          <t>TK Rechazo RO1</t>
        </is>
      </c>
      <c r="B100" s="7" t="inlineStr">
        <is>
          <t>13.00</t>
        </is>
      </c>
      <c r="C100" s="7" t="inlineStr">
        <is>
          <t>Gestión muestras y análisis calidad rechazo</t>
        </is>
      </c>
      <c r="D100" s="25" t="inlineStr"/>
    </row>
    <row r="101" ht="18" customHeight="1">
      <c r="A101" s="26" t="inlineStr">
        <is>
          <t>RO2</t>
        </is>
      </c>
      <c r="B101" s="27" t="inlineStr">
        <is>
          <t>62.67</t>
        </is>
      </c>
      <c r="C101" s="27" t="inlineStr">
        <is>
          <t>Membranas RO2 amortizadas</t>
        </is>
      </c>
      <c r="D101" s="28" t="inlineStr">
        <is>
          <t>42 membranas × $4.0M / 5 años de vida útil estimada</t>
        </is>
      </c>
    </row>
    <row r="102" ht="18" customHeight="1">
      <c r="A102" s="24" t="inlineStr">
        <is>
          <t>TK Rechazo RO2</t>
        </is>
      </c>
      <c r="B102" s="7" t="inlineStr">
        <is>
          <t>13.00</t>
        </is>
      </c>
      <c r="C102" s="7" t="inlineStr">
        <is>
          <t>Gestión muestras y análisis calidad rechazo</t>
        </is>
      </c>
      <c r="D102" s="25" t="inlineStr"/>
    </row>
    <row r="103" ht="30" customHeight="1">
      <c r="A103" s="29" t="inlineStr">
        <is>
          <t>Nota: Puntos Hach: cada punto representa el costo mensual de reactivos para el analizador en línea o equipo portátil asignado a ese punto de muestreo de calidad de agua.</t>
        </is>
      </c>
    </row>
  </sheetData>
  <mergeCells count="36">
    <mergeCell ref="A16:F16"/>
    <mergeCell ref="A54:F54"/>
    <mergeCell ref="A84:F84"/>
    <mergeCell ref="A66:F66"/>
    <mergeCell ref="A56:F56"/>
    <mergeCell ref="A26:F26"/>
    <mergeCell ref="A3:F3"/>
    <mergeCell ref="A21:F21"/>
    <mergeCell ref="A86:F86"/>
    <mergeCell ref="A57:F57"/>
    <mergeCell ref="A33:F33"/>
    <mergeCell ref="A71:F71"/>
    <mergeCell ref="A85:F85"/>
    <mergeCell ref="A14:F14"/>
    <mergeCell ref="A5:F5"/>
    <mergeCell ref="A23:F23"/>
    <mergeCell ref="A32:F32"/>
    <mergeCell ref="A35:F35"/>
    <mergeCell ref="A4:F4"/>
    <mergeCell ref="A81:F81"/>
    <mergeCell ref="A13:F13"/>
    <mergeCell ref="A68:F68"/>
    <mergeCell ref="A58:F58"/>
    <mergeCell ref="A34:F34"/>
    <mergeCell ref="A83:F83"/>
    <mergeCell ref="A30:F30"/>
    <mergeCell ref="A15:F15"/>
    <mergeCell ref="A59:F59"/>
    <mergeCell ref="A24:F24"/>
    <mergeCell ref="A11:F11"/>
    <mergeCell ref="A1:F1"/>
    <mergeCell ref="A103:F103"/>
    <mergeCell ref="A70:F70"/>
    <mergeCell ref="A6:F6"/>
    <mergeCell ref="A69:F6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MATRIZ DE COSTOS $/m³ — POR EQUIPO Y CATEGORIA</t>
        </is>
      </c>
    </row>
    <row r="2" ht="42" customHeight="1">
      <c r="A2" s="2" t="inlineStr">
        <is>
          <t>ID</t>
        </is>
      </c>
      <c r="B2" s="2" t="inlineStr">
        <is>
          <t>Equipo</t>
        </is>
      </c>
      <c r="C2" s="42" t="inlineStr">
        <is>
          <t>Insumos Químicos</t>
        </is>
      </c>
      <c r="D2" s="43" t="inlineStr">
        <is>
          <t>Residuos y Lodos</t>
        </is>
      </c>
      <c r="E2" s="44" t="inlineStr">
        <is>
          <t>Consumibles</t>
        </is>
      </c>
      <c r="F2" s="45" t="inlineStr">
        <is>
          <t>Calibración y Mant.</t>
        </is>
      </c>
      <c r="G2" s="46" t="inlineStr">
        <is>
          <t>Nómina</t>
        </is>
      </c>
      <c r="H2" s="47" t="inlineStr">
        <is>
          <t>Energía Eléctrica</t>
        </is>
      </c>
      <c r="I2" s="48" t="inlineStr">
        <is>
          <t>Depreciación</t>
        </is>
      </c>
      <c r="J2" s="15" t="inlineStr">
        <is>
          <t>TOTAL $/m³</t>
        </is>
      </c>
    </row>
    <row r="3" ht="22" customHeight="1">
      <c r="A3" s="49" t="inlineStr">
        <is>
          <t>BLOQUE PTAR FASE 2 — 22 equipos</t>
        </is>
      </c>
    </row>
    <row r="4" ht="18" customHeight="1">
      <c r="A4" s="50" t="inlineStr">
        <is>
          <t>rotativa</t>
        </is>
      </c>
      <c r="B4" s="50" t="inlineStr">
        <is>
          <t>Descarga Rotativa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2" t="n">
        <v>21.77</v>
      </c>
      <c r="G4" s="52" t="n">
        <v>37.64</v>
      </c>
      <c r="H4" s="51" t="inlineStr">
        <is>
          <t>-</t>
        </is>
      </c>
      <c r="I4" s="52" t="n">
        <v>80.05</v>
      </c>
      <c r="J4" s="53">
        <f>SUMPRODUCT(IF(ISNUMBER(C4:I4),C4:I4,0))</f>
        <v/>
      </c>
    </row>
    <row r="5" ht="18" customHeight="1">
      <c r="A5" s="50" t="inlineStr">
        <is>
          <t>funza</t>
        </is>
      </c>
      <c r="B5" s="50" t="inlineStr">
        <is>
          <t>Descarga Ext. Funza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2" t="n">
        <v>21.77</v>
      </c>
      <c r="G5" s="52" t="n">
        <v>37.64</v>
      </c>
      <c r="H5" s="51" t="inlineStr">
        <is>
          <t>-</t>
        </is>
      </c>
      <c r="I5" s="52" t="n">
        <v>80.05</v>
      </c>
      <c r="J5" s="53">
        <f>SUMPRODUCT(IF(ISNUMBER(C5:I5),C5:I5,0))</f>
        <v/>
      </c>
    </row>
    <row r="6" ht="18" customHeight="1">
      <c r="A6" s="50" t="inlineStr">
        <is>
          <t>tintoreria</t>
        </is>
      </c>
      <c r="B6" s="50" t="inlineStr">
        <is>
          <t>Descarga Tintorería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2" t="n">
        <v>21.77</v>
      </c>
      <c r="G6" s="52" t="n">
        <v>37.64</v>
      </c>
      <c r="H6" s="51" t="inlineStr">
        <is>
          <t>-</t>
        </is>
      </c>
      <c r="I6" s="52" t="n">
        <v>80.05</v>
      </c>
      <c r="J6" s="53">
        <f>SUMPRODUCT(IF(ISNUMBER(C6:I6),C6:I6,0))</f>
        <v/>
      </c>
    </row>
    <row r="7" ht="18" customHeight="1">
      <c r="A7" s="50" t="inlineStr">
        <is>
          <t>lavanderia</t>
        </is>
      </c>
      <c r="B7" s="50" t="inlineStr">
        <is>
          <t>Descarga Lavandería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2" t="n">
        <v>21.77</v>
      </c>
      <c r="G7" s="52" t="n">
        <v>37.64</v>
      </c>
      <c r="H7" s="51" t="inlineStr">
        <is>
          <t>-</t>
        </is>
      </c>
      <c r="I7" s="52" t="n">
        <v>80.05</v>
      </c>
      <c r="J7" s="53">
        <f>SUMPRODUCT(IF(ISNUMBER(C7:I7),C7:I7,0))</f>
        <v/>
      </c>
    </row>
    <row r="8" ht="18" customHeight="1">
      <c r="A8" s="50" t="inlineStr">
        <is>
          <t>tk2m3</t>
        </is>
      </c>
      <c r="B8" s="50" t="inlineStr">
        <is>
          <t>TK Recepción 2 m³</t>
        </is>
      </c>
      <c r="C8" s="51" t="inlineStr">
        <is>
          <t>-</t>
        </is>
      </c>
      <c r="D8" s="52" t="n">
        <v>5.91</v>
      </c>
      <c r="E8" s="51" t="inlineStr">
        <is>
          <t>-</t>
        </is>
      </c>
      <c r="F8" s="52" t="n">
        <v>21.77</v>
      </c>
      <c r="G8" s="52" t="n">
        <v>37.64</v>
      </c>
      <c r="H8" s="52" t="n">
        <v>1.22</v>
      </c>
      <c r="I8" s="52" t="n">
        <v>80.05</v>
      </c>
      <c r="J8" s="53">
        <f>SUMPRODUCT(IF(ISNUMBER(C8:I8),C8:I8,0))</f>
        <v/>
      </c>
    </row>
    <row r="9" ht="18" customHeight="1">
      <c r="A9" s="50" t="inlineStr">
        <is>
          <t>tk15m3</t>
        </is>
      </c>
      <c r="B9" s="50" t="inlineStr">
        <is>
          <t>TK Buffer 15 m³</t>
        </is>
      </c>
      <c r="C9" s="51" t="inlineStr">
        <is>
          <t>-</t>
        </is>
      </c>
      <c r="D9" s="52" t="n">
        <v>44.3</v>
      </c>
      <c r="E9" s="51" t="inlineStr">
        <is>
          <t>-</t>
        </is>
      </c>
      <c r="F9" s="52" t="n">
        <v>21.77</v>
      </c>
      <c r="G9" s="52" t="n">
        <v>37.64</v>
      </c>
      <c r="H9" s="52" t="n">
        <v>5.92</v>
      </c>
      <c r="I9" s="52" t="n">
        <v>80.05</v>
      </c>
      <c r="J9" s="53">
        <f>SUMPRODUCT(IF(ISNUMBER(C9:I9),C9:I9,0))</f>
        <v/>
      </c>
    </row>
    <row r="10" ht="18" customHeight="1">
      <c r="A10" s="50" t="inlineStr">
        <is>
          <t>tk30m3</t>
        </is>
      </c>
      <c r="B10" s="50" t="inlineStr">
        <is>
          <t>TK Recepción 30 m³</t>
        </is>
      </c>
      <c r="C10" s="51" t="inlineStr">
        <is>
          <t>-</t>
        </is>
      </c>
      <c r="D10" s="52" t="n">
        <v>88.59999999999999</v>
      </c>
      <c r="E10" s="51" t="inlineStr">
        <is>
          <t>-</t>
        </is>
      </c>
      <c r="F10" s="52" t="n">
        <v>21.77</v>
      </c>
      <c r="G10" s="52" t="n">
        <v>37.64</v>
      </c>
      <c r="H10" s="51" t="inlineStr">
        <is>
          <t>-</t>
        </is>
      </c>
      <c r="I10" s="52" t="n">
        <v>80.05</v>
      </c>
      <c r="J10" s="53">
        <f>SUMPRODUCT(IF(ISNUMBER(C10:I10),C10:I10,0))</f>
        <v/>
      </c>
    </row>
    <row r="11" ht="18" customHeight="1">
      <c r="A11" s="50" t="inlineStr">
        <is>
          <t>tk60m3</t>
        </is>
      </c>
      <c r="B11" s="50" t="inlineStr">
        <is>
          <t>TK 60 m³</t>
        </is>
      </c>
      <c r="C11" s="51" t="inlineStr">
        <is>
          <t>-</t>
        </is>
      </c>
      <c r="D11" s="52" t="n">
        <v>177.2</v>
      </c>
      <c r="E11" s="51" t="inlineStr">
        <is>
          <t>-</t>
        </is>
      </c>
      <c r="F11" s="52" t="n">
        <v>21.77</v>
      </c>
      <c r="G11" s="52" t="n">
        <v>37.64</v>
      </c>
      <c r="H11" s="52" t="n">
        <v>170.14</v>
      </c>
      <c r="I11" s="52" t="n">
        <v>80.05</v>
      </c>
      <c r="J11" s="53">
        <f>SUMPRODUCT(IF(ISNUMBER(C11:I11),C11:I11,0))</f>
        <v/>
      </c>
    </row>
    <row r="12" ht="18" customHeight="1">
      <c r="A12" s="50" t="inlineStr">
        <is>
          <t>cribRot</t>
        </is>
      </c>
      <c r="B12" s="50" t="inlineStr">
        <is>
          <t>Criba Rotativa</t>
        </is>
      </c>
      <c r="C12" s="51" t="inlineStr">
        <is>
          <t>-</t>
        </is>
      </c>
      <c r="D12" s="52" t="n">
        <v>182.7</v>
      </c>
      <c r="E12" s="51" t="inlineStr">
        <is>
          <t>-</t>
        </is>
      </c>
      <c r="F12" s="52" t="n">
        <v>21.77</v>
      </c>
      <c r="G12" s="52" t="n">
        <v>37.64</v>
      </c>
      <c r="H12" s="52" t="n">
        <v>10.12</v>
      </c>
      <c r="I12" s="52" t="n">
        <v>80.05</v>
      </c>
      <c r="J12" s="53">
        <f>SUMPRODUCT(IF(ISNUMBER(C12:I12),C12:I12,0))</f>
        <v/>
      </c>
    </row>
    <row r="13" ht="18" customHeight="1">
      <c r="A13" s="50" t="inlineStr">
        <is>
          <t>vibrat1</t>
        </is>
      </c>
      <c r="B13" s="50" t="inlineStr">
        <is>
          <t>Criba Vibratoria 1</t>
        </is>
      </c>
      <c r="C13" s="51" t="inlineStr">
        <is>
          <t>-</t>
        </is>
      </c>
      <c r="D13" s="52" t="n">
        <v>39.15</v>
      </c>
      <c r="E13" s="51" t="inlineStr">
        <is>
          <t>-</t>
        </is>
      </c>
      <c r="F13" s="52" t="n">
        <v>21.77</v>
      </c>
      <c r="G13" s="52" t="n">
        <v>37.64</v>
      </c>
      <c r="H13" s="52" t="n">
        <v>10.12</v>
      </c>
      <c r="I13" s="52" t="n">
        <v>80.05</v>
      </c>
      <c r="J13" s="53">
        <f>SUMPRODUCT(IF(ISNUMBER(C13:I13),C13:I13,0))</f>
        <v/>
      </c>
    </row>
    <row r="14" ht="18" customHeight="1">
      <c r="A14" s="50" t="inlineStr">
        <is>
          <t>vibrat2</t>
        </is>
      </c>
      <c r="B14" s="50" t="inlineStr">
        <is>
          <t>Criba Vibratoria 2</t>
        </is>
      </c>
      <c r="C14" s="51" t="inlineStr">
        <is>
          <t>-</t>
        </is>
      </c>
      <c r="D14" s="52" t="n">
        <v>39.15</v>
      </c>
      <c r="E14" s="51" t="inlineStr">
        <is>
          <t>-</t>
        </is>
      </c>
      <c r="F14" s="52" t="n">
        <v>21.77</v>
      </c>
      <c r="G14" s="52" t="n">
        <v>37.64</v>
      </c>
      <c r="H14" s="52" t="n">
        <v>10.12</v>
      </c>
      <c r="I14" s="52" t="n">
        <v>80.05</v>
      </c>
      <c r="J14" s="53">
        <f>SUMPRODUCT(IF(ISNUMBER(C14:I14),C14:I14,0))</f>
        <v/>
      </c>
    </row>
    <row r="15" ht="18" customHeight="1">
      <c r="A15" s="50" t="inlineStr">
        <is>
          <t>tkPulmon</t>
        </is>
      </c>
      <c r="B15" s="50" t="inlineStr">
        <is>
          <t>TK Pulmón</t>
        </is>
      </c>
      <c r="C15" s="51" t="inlineStr">
        <is>
          <t>-</t>
        </is>
      </c>
      <c r="D15" s="51" t="inlineStr">
        <is>
          <t>-</t>
        </is>
      </c>
      <c r="E15" s="52" t="n">
        <v>26.55</v>
      </c>
      <c r="F15" s="52" t="n">
        <v>21.77</v>
      </c>
      <c r="G15" s="52" t="n">
        <v>37.64</v>
      </c>
      <c r="H15" s="52" t="n">
        <v>68.97</v>
      </c>
      <c r="I15" s="52" t="n">
        <v>80.05</v>
      </c>
      <c r="J15" s="53">
        <f>SUMPRODUCT(IF(ISNUMBER(C15:I15),C15:I15,0))</f>
        <v/>
      </c>
    </row>
    <row r="16" ht="18" customHeight="1">
      <c r="A16" s="50" t="inlineStr">
        <is>
          <t>torre</t>
        </is>
      </c>
      <c r="B16" s="50" t="inlineStr">
        <is>
          <t>Torre Enfriamiento</t>
        </is>
      </c>
      <c r="C16" s="51" t="inlineStr">
        <is>
          <t>-</t>
        </is>
      </c>
      <c r="D16" s="51" t="inlineStr">
        <is>
          <t>-</t>
        </is>
      </c>
      <c r="E16" s="52" t="n">
        <v>31</v>
      </c>
      <c r="F16" s="52" t="n">
        <v>21.77</v>
      </c>
      <c r="G16" s="52" t="n">
        <v>37.64</v>
      </c>
      <c r="H16" s="52" t="n">
        <v>103</v>
      </c>
      <c r="I16" s="52" t="n">
        <v>80.05</v>
      </c>
      <c r="J16" s="53">
        <f>SUMPRODUCT(IF(ISNUMBER(C16:I16),C16:I16,0))</f>
        <v/>
      </c>
    </row>
    <row r="17" ht="18" customHeight="1">
      <c r="A17" s="50" t="inlineStr">
        <is>
          <t>carcamo</t>
        </is>
      </c>
      <c r="B17" s="50" t="inlineStr">
        <is>
          <t>Cárcamo</t>
        </is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52" t="n">
        <v>21.77</v>
      </c>
      <c r="G17" s="52" t="n">
        <v>37.64</v>
      </c>
      <c r="H17" s="51" t="inlineStr">
        <is>
          <t>-</t>
        </is>
      </c>
      <c r="I17" s="52" t="n">
        <v>80.05</v>
      </c>
      <c r="J17" s="53">
        <f>SUMPRODUCT(IF(ISNUMBER(C17:I17),C17:I17,0))</f>
        <v/>
      </c>
    </row>
    <row r="18" ht="18" customHeight="1">
      <c r="A18" s="50" t="inlineStr">
        <is>
          <t>homogen</t>
        </is>
      </c>
      <c r="B18" s="50" t="inlineStr">
        <is>
          <t>TK Homogeneizador 800 m³</t>
        </is>
      </c>
      <c r="C18" s="51" t="inlineStr">
        <is>
          <t>-</t>
        </is>
      </c>
      <c r="D18" s="51" t="inlineStr">
        <is>
          <t>-</t>
        </is>
      </c>
      <c r="E18" s="52" t="n">
        <v>29</v>
      </c>
      <c r="F18" s="52" t="n">
        <v>21.77</v>
      </c>
      <c r="G18" s="52" t="n">
        <v>37.64</v>
      </c>
      <c r="H18" s="52" t="n">
        <v>818.49</v>
      </c>
      <c r="I18" s="52" t="n">
        <v>80.05</v>
      </c>
      <c r="J18" s="53">
        <f>SUMPRODUCT(IF(ISNUMBER(C18:I18),C18:I18,0))</f>
        <v/>
      </c>
    </row>
    <row r="19" ht="18" customHeight="1">
      <c r="A19" s="50" t="inlineStr">
        <is>
          <t>eqGem</t>
        </is>
      </c>
      <c r="B19" s="50" t="inlineStr">
        <is>
          <t>Equipo GEM (DAF)</t>
        </is>
      </c>
      <c r="C19" s="52" t="n">
        <v>3585.07</v>
      </c>
      <c r="D19" s="52" t="n">
        <v>726.86</v>
      </c>
      <c r="E19" s="52" t="n">
        <v>31</v>
      </c>
      <c r="F19" s="52" t="n">
        <v>21.77</v>
      </c>
      <c r="G19" s="52" t="n">
        <v>37.64</v>
      </c>
      <c r="H19" s="52" t="n">
        <v>266.39</v>
      </c>
      <c r="I19" s="52" t="n">
        <v>80.05</v>
      </c>
      <c r="J19" s="53">
        <f>SUMPRODUCT(IF(ISNUMBER(C19:I19),C19:I19,0))</f>
        <v/>
      </c>
    </row>
    <row r="20" ht="18" customHeight="1">
      <c r="A20" s="50" t="inlineStr">
        <is>
          <t>swingmill</t>
        </is>
      </c>
      <c r="B20" s="50" t="inlineStr">
        <is>
          <t>Espesador Swingmill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2" t="n">
        <v>21.77</v>
      </c>
      <c r="G20" s="52" t="n">
        <v>37.64</v>
      </c>
      <c r="H20" s="51" t="inlineStr">
        <is>
          <t>-</t>
        </is>
      </c>
      <c r="I20" s="52" t="n">
        <v>80.05</v>
      </c>
      <c r="J20" s="53">
        <f>SUMPRODUCT(IF(ISNUMBER(C20:I20),C20:I20,0))</f>
        <v/>
      </c>
    </row>
    <row r="21" ht="18" customHeight="1">
      <c r="A21" s="50" t="inlineStr">
        <is>
          <t>anoxic</t>
        </is>
      </c>
      <c r="B21" s="50" t="inlineStr">
        <is>
          <t>Reactor Anóxico</t>
        </is>
      </c>
      <c r="C21" s="51" t="inlineStr">
        <is>
          <t>-</t>
        </is>
      </c>
      <c r="D21" s="51" t="inlineStr">
        <is>
          <t>-</t>
        </is>
      </c>
      <c r="E21" s="52" t="n">
        <v>4</v>
      </c>
      <c r="F21" s="52" t="n">
        <v>21.77</v>
      </c>
      <c r="G21" s="52" t="n">
        <v>37.64</v>
      </c>
      <c r="H21" s="51" t="inlineStr">
        <is>
          <t>-</t>
        </is>
      </c>
      <c r="I21" s="52" t="n">
        <v>80.05</v>
      </c>
      <c r="J21" s="53">
        <f>SUMPRODUCT(IF(ISNUMBER(C21:I21),C21:I21,0))</f>
        <v/>
      </c>
    </row>
    <row r="22" ht="18" customHeight="1">
      <c r="A22" s="50" t="inlineStr">
        <is>
          <t>mbbr</t>
        </is>
      </c>
      <c r="B22" s="50" t="inlineStr">
        <is>
          <t>Reactor MBBR</t>
        </is>
      </c>
      <c r="C22" s="51" t="inlineStr">
        <is>
          <t>-</t>
        </is>
      </c>
      <c r="D22" s="51" t="inlineStr">
        <is>
          <t>-</t>
        </is>
      </c>
      <c r="E22" s="52" t="n">
        <v>4</v>
      </c>
      <c r="F22" s="52" t="n">
        <v>21.77</v>
      </c>
      <c r="G22" s="52" t="n">
        <v>37.64</v>
      </c>
      <c r="H22" s="52" t="n">
        <v>863.6799999999999</v>
      </c>
      <c r="I22" s="52" t="n">
        <v>80.05</v>
      </c>
      <c r="J22" s="53">
        <f>SUMPRODUCT(IF(ISNUMBER(C22:I22),C22:I22,0))</f>
        <v/>
      </c>
    </row>
    <row r="23" ht="18" customHeight="1">
      <c r="A23" s="50" t="inlineStr">
        <is>
          <t>mbrT</t>
        </is>
      </c>
      <c r="B23" s="50" t="inlineStr">
        <is>
          <t>MBR TORAY (MBR2)</t>
        </is>
      </c>
      <c r="C23" s="52" t="n">
        <v>7.11</v>
      </c>
      <c r="D23" s="51" t="inlineStr">
        <is>
          <t>-</t>
        </is>
      </c>
      <c r="E23" s="52" t="n">
        <v>43</v>
      </c>
      <c r="F23" s="52" t="n">
        <v>21.77</v>
      </c>
      <c r="G23" s="52" t="n">
        <v>37.64</v>
      </c>
      <c r="H23" s="52" t="n">
        <v>526.9299999999999</v>
      </c>
      <c r="I23" s="52" t="n">
        <v>80.05</v>
      </c>
      <c r="J23" s="53">
        <f>SUMPRODUCT(IF(ISNUMBER(C23:I23),C23:I23,0))</f>
        <v/>
      </c>
    </row>
    <row r="24" ht="18" customHeight="1">
      <c r="A24" s="50" t="inlineStr">
        <is>
          <t>mbrK</t>
        </is>
      </c>
      <c r="B24" s="50" t="inlineStr">
        <is>
          <t>MBR KUBOTA (MBR1)</t>
        </is>
      </c>
      <c r="C24" s="52" t="n">
        <v>7.11</v>
      </c>
      <c r="D24" s="51" t="inlineStr">
        <is>
          <t>-</t>
        </is>
      </c>
      <c r="E24" s="52" t="n">
        <v>43</v>
      </c>
      <c r="F24" s="52" t="n">
        <v>21.77</v>
      </c>
      <c r="G24" s="52" t="n">
        <v>37.64</v>
      </c>
      <c r="H24" s="52" t="n">
        <v>515.01</v>
      </c>
      <c r="I24" s="52" t="n">
        <v>80.05</v>
      </c>
      <c r="J24" s="53">
        <f>SUMPRODUCT(IF(ISNUMBER(C24:I24),C24:I24,0))</f>
        <v/>
      </c>
    </row>
    <row r="25" ht="18" customHeight="1">
      <c r="A25" s="50" t="inlineStr">
        <is>
          <t>tkPermeado</t>
        </is>
      </c>
      <c r="B25" s="50" t="inlineStr">
        <is>
          <t>TK Permeado</t>
        </is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52" t="n">
        <v>21.77</v>
      </c>
      <c r="G25" s="52" t="n">
        <v>37.64</v>
      </c>
      <c r="H25" s="52" t="n">
        <v>275.9</v>
      </c>
      <c r="I25" s="52" t="n">
        <v>80.05</v>
      </c>
      <c r="J25" s="53">
        <f>SUMPRODUCT(IF(ISNUMBER(C25:I25),C25:I25,0))</f>
        <v/>
      </c>
    </row>
    <row r="26" ht="22" customHeight="1">
      <c r="A26" s="54" t="inlineStr">
        <is>
          <t>SUBTOTAL PTAR FASE 2</t>
        </is>
      </c>
      <c r="C26" s="55">
        <f>SUMPRODUCT(IF(ISNUMBER(C4:C25),C4:C25,0))</f>
        <v/>
      </c>
      <c r="D26" s="55">
        <f>SUMPRODUCT(IF(ISNUMBER(D4:D25),D4:D25,0))</f>
        <v/>
      </c>
      <c r="E26" s="55">
        <f>SUMPRODUCT(IF(ISNUMBER(E4:E25),E4:E25,0))</f>
        <v/>
      </c>
      <c r="F26" s="55">
        <f>SUMPRODUCT(IF(ISNUMBER(F4:F25),F4:F25,0))</f>
        <v/>
      </c>
      <c r="G26" s="55">
        <f>SUMPRODUCT(IF(ISNUMBER(G4:G25),G4:G25,0))</f>
        <v/>
      </c>
      <c r="H26" s="55">
        <f>SUMPRODUCT(IF(ISNUMBER(H4:H25),H4:H25,0))</f>
        <v/>
      </c>
      <c r="I26" s="55">
        <f>SUMPRODUCT(IF(ISNUMBER(I4:I25),I4:I25,0))</f>
        <v/>
      </c>
      <c r="J26" s="55">
        <f>SUMPRODUCT(IF(ISNUMBER(J4:J25),J4:J25,0))</f>
        <v/>
      </c>
    </row>
    <row r="27" ht="22" customHeight="1">
      <c r="A27" s="56" t="inlineStr">
        <is>
          <t>BLOQUE RO (OSMOSIS INVERSA) — 7 equipos</t>
        </is>
      </c>
    </row>
    <row r="28" ht="18" customHeight="1">
      <c r="A28" s="57" t="inlineStr">
        <is>
          <t>filtrosII</t>
        </is>
      </c>
      <c r="B28" s="57" t="inlineStr">
        <is>
          <t>Filtros Intercambio Iónico</t>
        </is>
      </c>
      <c r="C28" s="58" t="inlineStr">
        <is>
          <t>-</t>
        </is>
      </c>
      <c r="D28" s="58" t="inlineStr">
        <is>
          <t>-</t>
        </is>
      </c>
      <c r="E28" s="59" t="n">
        <v>188</v>
      </c>
      <c r="F28" s="59" t="n">
        <v>55.71</v>
      </c>
      <c r="G28" s="59" t="n">
        <v>50.71</v>
      </c>
      <c r="H28" s="58" t="inlineStr">
        <is>
          <t>-</t>
        </is>
      </c>
      <c r="I28" s="59" t="n">
        <v>28</v>
      </c>
      <c r="J28" s="60">
        <f>SUMPRODUCT(IF(ISNUMBER(C28:I28),C28:I28,0))</f>
        <v/>
      </c>
    </row>
    <row r="29" ht="18" customHeight="1">
      <c r="A29" s="57" t="inlineStr">
        <is>
          <t>filtro5</t>
        </is>
      </c>
      <c r="B29" s="57" t="inlineStr">
        <is>
          <t>Filtros Cartucho 5 µm</t>
        </is>
      </c>
      <c r="C29" s="58" t="inlineStr">
        <is>
          <t>-</t>
        </is>
      </c>
      <c r="D29" s="58" t="inlineStr">
        <is>
          <t>-</t>
        </is>
      </c>
      <c r="E29" s="59" t="n">
        <v>389</v>
      </c>
      <c r="F29" s="59" t="n">
        <v>55.71</v>
      </c>
      <c r="G29" s="59" t="n">
        <v>50.71</v>
      </c>
      <c r="H29" s="58" t="inlineStr">
        <is>
          <t>-</t>
        </is>
      </c>
      <c r="I29" s="59" t="n">
        <v>28</v>
      </c>
      <c r="J29" s="60">
        <f>SUMPRODUCT(IF(ISNUMBER(C29:I29),C29:I29,0))</f>
        <v/>
      </c>
    </row>
    <row r="30" ht="18" customHeight="1">
      <c r="A30" s="57" t="inlineStr">
        <is>
          <t>ro1e1</t>
        </is>
      </c>
      <c r="B30" s="57" t="inlineStr">
        <is>
          <t>Ósmosis Inversa RO1 E1</t>
        </is>
      </c>
      <c r="C30" s="59" t="n">
        <v>479.42</v>
      </c>
      <c r="D30" s="58" t="inlineStr">
        <is>
          <t>-</t>
        </is>
      </c>
      <c r="E30" s="59" t="n">
        <v>62.67</v>
      </c>
      <c r="F30" s="59" t="n">
        <v>55.71</v>
      </c>
      <c r="G30" s="59" t="n">
        <v>50.71</v>
      </c>
      <c r="H30" s="59" t="n">
        <v>264.6</v>
      </c>
      <c r="I30" s="59" t="n">
        <v>28</v>
      </c>
      <c r="J30" s="60">
        <f>SUMPRODUCT(IF(ISNUMBER(C30:I30),C30:I30,0))</f>
        <v/>
      </c>
    </row>
    <row r="31" ht="18" customHeight="1">
      <c r="A31" s="57" t="inlineStr">
        <is>
          <t>ro1e2</t>
        </is>
      </c>
      <c r="B31" s="57" t="inlineStr">
        <is>
          <t>Ósmosis Inversa RO1 E2</t>
        </is>
      </c>
      <c r="C31" s="59" t="n">
        <v>479.43</v>
      </c>
      <c r="D31" s="58" t="inlineStr">
        <is>
          <t>-</t>
        </is>
      </c>
      <c r="E31" s="59" t="n">
        <v>62.67</v>
      </c>
      <c r="F31" s="59" t="n">
        <v>55.71</v>
      </c>
      <c r="G31" s="59" t="n">
        <v>50.71</v>
      </c>
      <c r="H31" s="59" t="n">
        <v>97.02</v>
      </c>
      <c r="I31" s="59" t="n">
        <v>28</v>
      </c>
      <c r="J31" s="60">
        <f>SUMPRODUCT(IF(ISNUMBER(C31:I31),C31:I31,0))</f>
        <v/>
      </c>
    </row>
    <row r="32" ht="18" customHeight="1">
      <c r="A32" s="57" t="inlineStr">
        <is>
          <t>tkRechazo</t>
        </is>
      </c>
      <c r="B32" s="57" t="inlineStr">
        <is>
          <t>TK Rechazo RO1</t>
        </is>
      </c>
      <c r="C32" s="58" t="inlineStr">
        <is>
          <t>-</t>
        </is>
      </c>
      <c r="D32" s="58" t="inlineStr">
        <is>
          <t>-</t>
        </is>
      </c>
      <c r="E32" s="59" t="n">
        <v>13</v>
      </c>
      <c r="F32" s="59" t="n">
        <v>55.71</v>
      </c>
      <c r="G32" s="59" t="n">
        <v>50.71</v>
      </c>
      <c r="H32" s="58" t="inlineStr">
        <is>
          <t>-</t>
        </is>
      </c>
      <c r="I32" s="59" t="n">
        <v>28</v>
      </c>
      <c r="J32" s="60">
        <f>SUMPRODUCT(IF(ISNUMBER(C32:I32),C32:I32,0))</f>
        <v/>
      </c>
    </row>
    <row r="33" ht="18" customHeight="1">
      <c r="A33" s="57" t="inlineStr">
        <is>
          <t>ro2</t>
        </is>
      </c>
      <c r="B33" s="57" t="inlineStr">
        <is>
          <t>Ósmosis Inversa RO2</t>
        </is>
      </c>
      <c r="C33" s="58" t="inlineStr">
        <is>
          <t>-</t>
        </is>
      </c>
      <c r="D33" s="58" t="inlineStr">
        <is>
          <t>-</t>
        </is>
      </c>
      <c r="E33" s="59" t="n">
        <v>62.67</v>
      </c>
      <c r="F33" s="59" t="n">
        <v>55.71</v>
      </c>
      <c r="G33" s="59" t="n">
        <v>50.71</v>
      </c>
      <c r="H33" s="59" t="n">
        <v>549.96</v>
      </c>
      <c r="I33" s="59" t="n">
        <v>28</v>
      </c>
      <c r="J33" s="60">
        <f>SUMPRODUCT(IF(ISNUMBER(C33:I33),C33:I33,0))</f>
        <v/>
      </c>
    </row>
    <row r="34" ht="18" customHeight="1">
      <c r="A34" s="57" t="inlineStr">
        <is>
          <t>tkRechazoRO2</t>
        </is>
      </c>
      <c r="B34" s="57" t="inlineStr">
        <is>
          <t>TK Rechazo RO2</t>
        </is>
      </c>
      <c r="C34" s="58" t="inlineStr">
        <is>
          <t>-</t>
        </is>
      </c>
      <c r="D34" s="58" t="inlineStr">
        <is>
          <t>-</t>
        </is>
      </c>
      <c r="E34" s="59" t="n">
        <v>13</v>
      </c>
      <c r="F34" s="59" t="n">
        <v>55.67</v>
      </c>
      <c r="G34" s="59" t="n">
        <v>50.3</v>
      </c>
      <c r="H34" s="58" t="inlineStr">
        <is>
          <t>-</t>
        </is>
      </c>
      <c r="I34" s="59" t="n">
        <v>28.25</v>
      </c>
      <c r="J34" s="60">
        <f>SUMPRODUCT(IF(ISNUMBER(C34:I34),C34:I34,0))</f>
        <v/>
      </c>
    </row>
    <row r="35" ht="22" customHeight="1">
      <c r="A35" s="54" t="inlineStr">
        <is>
          <t>SUBTOTAL RO</t>
        </is>
      </c>
      <c r="C35" s="55">
        <f>SUMPRODUCT(IF(ISNUMBER(C28:C34),C28:C34,0))</f>
        <v/>
      </c>
      <c r="D35" s="55">
        <f>SUMPRODUCT(IF(ISNUMBER(D28:D34),D28:D34,0))</f>
        <v/>
      </c>
      <c r="E35" s="55">
        <f>SUMPRODUCT(IF(ISNUMBER(E28:E34),E28:E34,0))</f>
        <v/>
      </c>
      <c r="F35" s="55">
        <f>SUMPRODUCT(IF(ISNUMBER(F28:F34),F28:F34,0))</f>
        <v/>
      </c>
      <c r="G35" s="55">
        <f>SUMPRODUCT(IF(ISNUMBER(G28:G34),G28:G34,0))</f>
        <v/>
      </c>
      <c r="H35" s="55">
        <f>SUMPRODUCT(IF(ISNUMBER(H28:H34),H28:H34,0))</f>
        <v/>
      </c>
      <c r="I35" s="55">
        <f>SUMPRODUCT(IF(ISNUMBER(I28:I34),I28:I34,0))</f>
        <v/>
      </c>
      <c r="J35" s="55">
        <f>SUMPRODUCT(IF(ISNUMBER(J28:J34),J28:J34,0))</f>
        <v/>
      </c>
    </row>
    <row r="36" ht="26" customHeight="1">
      <c r="A36" s="15" t="inlineStr">
        <is>
          <t>TOTAL GENERAL</t>
        </is>
      </c>
      <c r="C36" s="16">
        <f>C26+C35</f>
        <v/>
      </c>
      <c r="D36" s="16">
        <f>D26+D35</f>
        <v/>
      </c>
      <c r="E36" s="16">
        <f>E26+E35</f>
        <v/>
      </c>
      <c r="F36" s="16">
        <f>F26+F35</f>
        <v/>
      </c>
      <c r="G36" s="16">
        <f>G26+G35</f>
        <v/>
      </c>
      <c r="H36" s="16">
        <f>H26+H35</f>
        <v/>
      </c>
      <c r="I36" s="16">
        <f>I26+I35</f>
        <v/>
      </c>
      <c r="J36" s="16">
        <f>J26+J35</f>
        <v/>
      </c>
    </row>
  </sheetData>
  <mergeCells count="6">
    <mergeCell ref="A26:B26"/>
    <mergeCell ref="A1:J1"/>
    <mergeCell ref="A27:J27"/>
    <mergeCell ref="A3:J3"/>
    <mergeCell ref="A36:B3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20" customWidth="1" min="4" max="4"/>
    <col width="14" customWidth="1" min="5" max="5"/>
    <col width="12" customWidth="1" min="6" max="6"/>
    <col width="48" customWidth="1" min="7" max="7"/>
  </cols>
  <sheetData>
    <row r="1" ht="32" customHeight="1">
      <c r="A1" s="1" t="inlineStr">
        <is>
          <t>VERIFICACION — SUMA CALCULADA vs. TOTAL PROYECTADO POR CATEGORIA Y BLOQUE</t>
        </is>
      </c>
    </row>
    <row r="3" ht="35" customHeight="1">
      <c r="A3" s="2" t="inlineStr">
        <is>
          <t>Categoría</t>
        </is>
      </c>
      <c r="B3" s="2" t="inlineStr">
        <is>
          <t>Bloque</t>
        </is>
      </c>
      <c r="C3" s="2" t="inlineStr">
        <is>
          <t>Target proyectado</t>
        </is>
      </c>
      <c r="D3" s="2" t="inlineStr">
        <is>
          <t>Suma calculada</t>
        </is>
      </c>
      <c r="E3" s="2" t="inlineStr">
        <is>
          <t>Diferencia</t>
        </is>
      </c>
      <c r="F3" s="2" t="inlineStr">
        <is>
          <t>Cuadra?</t>
        </is>
      </c>
      <c r="G3" s="2" t="inlineStr">
        <is>
          <t>Fuente del target</t>
        </is>
      </c>
    </row>
    <row r="4" ht="20" customHeight="1">
      <c r="A4" s="3" t="inlineStr">
        <is>
          <t>Insumos Químicos</t>
        </is>
      </c>
      <c r="B4" s="7" t="inlineStr">
        <is>
          <t>PTAR F2</t>
        </is>
      </c>
      <c r="C4" s="5" t="n">
        <v>3599.29</v>
      </c>
      <c r="D4" s="61" t="n">
        <v>3599.29</v>
      </c>
      <c r="E4" s="62">
        <f>D4-C4</f>
        <v/>
      </c>
      <c r="F4" s="63" t="inlineStr">
        <is>
          <t>SI</t>
        </is>
      </c>
      <c r="G4" s="8" t="inlineStr">
        <is>
          <t>Costeo reactivos GEM + RO (cotizaciones proveedor)</t>
        </is>
      </c>
    </row>
    <row r="5" ht="20" customHeight="1">
      <c r="A5" s="3" t="inlineStr">
        <is>
          <t>Insumos Químicos</t>
        </is>
      </c>
      <c r="B5" s="7" t="inlineStr">
        <is>
          <t>RO</t>
        </is>
      </c>
      <c r="C5" s="5" t="n">
        <v>958.85</v>
      </c>
      <c r="D5" s="61" t="n">
        <v>958.85</v>
      </c>
      <c r="E5" s="62">
        <f>D5-C5</f>
        <v/>
      </c>
      <c r="F5" s="63" t="inlineStr">
        <is>
          <t>SI</t>
        </is>
      </c>
      <c r="G5" s="8" t="inlineStr">
        <is>
          <t>Costeo reactivos GEM + RO (cotizaciones proveedor)</t>
        </is>
      </c>
    </row>
    <row r="6" ht="20" customHeight="1">
      <c r="A6" s="3" t="inlineStr">
        <is>
          <t>Residuos y Lodos</t>
        </is>
      </c>
      <c r="B6" s="7" t="inlineStr">
        <is>
          <t>PTAR F2</t>
        </is>
      </c>
      <c r="C6" s="5" t="n">
        <v>1303.87</v>
      </c>
      <c r="D6" s="61" t="n">
        <v>1303.87</v>
      </c>
      <c r="E6" s="62">
        <f>D6-C6</f>
        <v/>
      </c>
      <c r="F6" s="63" t="inlineStr">
        <is>
          <t>SI</t>
        </is>
      </c>
      <c r="G6" s="8" t="inlineStr">
        <is>
          <t>Contratos disposicion residuos + transporte</t>
        </is>
      </c>
    </row>
    <row r="7" ht="20" customHeight="1">
      <c r="A7" s="3" t="inlineStr">
        <is>
          <t>Residuos y Lodos</t>
        </is>
      </c>
      <c r="B7" s="7" t="inlineStr">
        <is>
          <t>RO</t>
        </is>
      </c>
      <c r="C7" s="5" t="n">
        <v>0</v>
      </c>
      <c r="D7" s="61" t="n">
        <v>0</v>
      </c>
      <c r="E7" s="62">
        <f>D7-C7</f>
        <v/>
      </c>
      <c r="F7" s="63" t="inlineStr">
        <is>
          <t>SI</t>
        </is>
      </c>
      <c r="G7" s="8" t="inlineStr">
        <is>
          <t>Contratos disposicion residuos + transporte</t>
        </is>
      </c>
    </row>
    <row r="8" ht="20" customHeight="1">
      <c r="A8" s="3" t="inlineStr">
        <is>
          <t>Consumibles</t>
        </is>
      </c>
      <c r="B8" s="7" t="inlineStr">
        <is>
          <t>PTAR F2</t>
        </is>
      </c>
      <c r="C8" s="5" t="n">
        <v>211.62</v>
      </c>
      <c r="D8" s="61" t="n">
        <v>211.55</v>
      </c>
      <c r="E8" s="62">
        <f>D8-C8</f>
        <v/>
      </c>
      <c r="F8" s="63" t="inlineStr">
        <is>
          <t>SI</t>
        </is>
      </c>
      <c r="G8" s="8" t="inlineStr">
        <is>
          <t>Membranas + analizadores Hach + cartuchos + resinas</t>
        </is>
      </c>
    </row>
    <row r="9" ht="20" customHeight="1">
      <c r="A9" s="3" t="inlineStr">
        <is>
          <t>Consumibles</t>
        </is>
      </c>
      <c r="B9" s="7" t="inlineStr">
        <is>
          <t>RO</t>
        </is>
      </c>
      <c r="C9" s="5" t="n">
        <v>790.9400000000001</v>
      </c>
      <c r="D9" s="61" t="n">
        <v>791.01</v>
      </c>
      <c r="E9" s="62">
        <f>D9-C9</f>
        <v/>
      </c>
      <c r="F9" s="63" t="inlineStr">
        <is>
          <t>SI</t>
        </is>
      </c>
      <c r="G9" s="8" t="inlineStr">
        <is>
          <t>Membranas + analizadores Hach + cartuchos + resinas</t>
        </is>
      </c>
    </row>
    <row r="10" ht="20" customHeight="1">
      <c r="A10" s="3" t="inlineStr">
        <is>
          <t>Calibración y Mant.</t>
        </is>
      </c>
      <c r="B10" s="7" t="inlineStr">
        <is>
          <t>PTAR F2</t>
        </is>
      </c>
      <c r="C10" s="5" t="n">
        <v>478.61</v>
      </c>
      <c r="D10" s="61" t="n">
        <v>478.94</v>
      </c>
      <c r="E10" s="62">
        <f>D10-C10</f>
        <v/>
      </c>
      <c r="F10" s="63" t="inlineStr">
        <is>
          <t>SI</t>
        </is>
      </c>
      <c r="G10" s="8" t="inlineStr">
        <is>
          <t>Contrato mantenimiento preventivo anual</t>
        </is>
      </c>
    </row>
    <row r="11" ht="20" customHeight="1">
      <c r="A11" s="3" t="inlineStr">
        <is>
          <t>Calibración y Mant.</t>
        </is>
      </c>
      <c r="B11" s="7" t="inlineStr">
        <is>
          <t>RO</t>
        </is>
      </c>
      <c r="C11" s="5" t="n">
        <v>390.25</v>
      </c>
      <c r="D11" s="61" t="n">
        <v>389.93</v>
      </c>
      <c r="E11" s="62">
        <f>D11-C11</f>
        <v/>
      </c>
      <c r="F11" s="63" t="inlineStr">
        <is>
          <t>SI</t>
        </is>
      </c>
      <c r="G11" s="8" t="inlineStr">
        <is>
          <t>Contrato mantenimiento preventivo anual</t>
        </is>
      </c>
    </row>
    <row r="12" ht="20" customHeight="1">
      <c r="A12" s="3" t="inlineStr">
        <is>
          <t>Nómina</t>
        </is>
      </c>
      <c r="B12" s="7" t="inlineStr">
        <is>
          <t>PTAR F2</t>
        </is>
      </c>
      <c r="C12" s="5" t="n">
        <v>827.85</v>
      </c>
      <c r="D12" s="61" t="n">
        <v>828.08</v>
      </c>
      <c r="E12" s="62">
        <f>D12-C12</f>
        <v/>
      </c>
      <c r="F12" s="63" t="inlineStr">
        <is>
          <t>SI</t>
        </is>
      </c>
      <c r="G12" s="8" t="inlineStr">
        <is>
          <t>Nomina operativa mensual 2026 (70/30 PTAR/RO)</t>
        </is>
      </c>
    </row>
    <row r="13" ht="20" customHeight="1">
      <c r="A13" s="3" t="inlineStr">
        <is>
          <t>Nómina</t>
        </is>
      </c>
      <c r="B13" s="7" t="inlineStr">
        <is>
          <t>RO</t>
        </is>
      </c>
      <c r="C13" s="5" t="n">
        <v>354.79</v>
      </c>
      <c r="D13" s="61" t="n">
        <v>354.56</v>
      </c>
      <c r="E13" s="62">
        <f>D13-C13</f>
        <v/>
      </c>
      <c r="F13" s="63" t="inlineStr">
        <is>
          <t>SI</t>
        </is>
      </c>
      <c r="G13" s="8" t="inlineStr">
        <is>
          <t>Nomina operativa mensual 2026 (70/30 PTAR/RO)</t>
        </is>
      </c>
    </row>
    <row r="14" ht="20" customHeight="1">
      <c r="A14" s="3" t="inlineStr">
        <is>
          <t>Energía Eléctrica</t>
        </is>
      </c>
      <c r="B14" s="7" t="inlineStr">
        <is>
          <t>PTAR F2</t>
        </is>
      </c>
      <c r="C14" s="5" t="n">
        <v>3646.07</v>
      </c>
      <c r="D14" s="61" t="n">
        <v>3646.01</v>
      </c>
      <c r="E14" s="62">
        <f>D14-C14</f>
        <v/>
      </c>
      <c r="F14" s="63" t="inlineStr">
        <is>
          <t>SI</t>
        </is>
      </c>
      <c r="G14" s="8" t="inlineStr">
        <is>
          <t>Factura energia promedio 6 meses + medicion corriente</t>
        </is>
      </c>
    </row>
    <row r="15" ht="20" customHeight="1">
      <c r="A15" s="3" t="inlineStr">
        <is>
          <t>Energía Eléctrica</t>
        </is>
      </c>
      <c r="B15" s="7" t="inlineStr">
        <is>
          <t>RO</t>
        </is>
      </c>
      <c r="C15" s="5" t="n">
        <v>911.52</v>
      </c>
      <c r="D15" s="61" t="n">
        <v>911.58</v>
      </c>
      <c r="E15" s="62">
        <f>D15-C15</f>
        <v/>
      </c>
      <c r="F15" s="63" t="inlineStr">
        <is>
          <t>SI</t>
        </is>
      </c>
      <c r="G15" s="8" t="inlineStr">
        <is>
          <t>Factura energia promedio 6 meses + medicion corriente</t>
        </is>
      </c>
    </row>
    <row r="16" ht="20" customHeight="1">
      <c r="A16" s="3" t="inlineStr">
        <is>
          <t>Depreciación</t>
        </is>
      </c>
      <c r="B16" s="7" t="inlineStr">
        <is>
          <t>PTAR F2</t>
        </is>
      </c>
      <c r="C16" s="5" t="n">
        <v>1760.95</v>
      </c>
      <c r="D16" s="61" t="n">
        <v>1761.1</v>
      </c>
      <c r="E16" s="62">
        <f>D16-C16</f>
        <v/>
      </c>
      <c r="F16" s="63" t="inlineStr">
        <is>
          <t>SI</t>
        </is>
      </c>
      <c r="G16" s="8" t="inlineStr">
        <is>
          <t>CAPEX equipos x tasa depreciacion / produccion m3/mes</t>
        </is>
      </c>
    </row>
    <row r="17" ht="20" customHeight="1">
      <c r="A17" s="3" t="inlineStr">
        <is>
          <t>Depreciación</t>
        </is>
      </c>
      <c r="B17" s="7" t="inlineStr">
        <is>
          <t>RO</t>
        </is>
      </c>
      <c r="C17" s="5" t="n">
        <v>196.4</v>
      </c>
      <c r="D17" s="61" t="n">
        <v>196.25</v>
      </c>
      <c r="E17" s="62">
        <f>D17-C17</f>
        <v/>
      </c>
      <c r="F17" s="63" t="inlineStr">
        <is>
          <t>SI</t>
        </is>
      </c>
      <c r="G17" s="8" t="inlineStr">
        <is>
          <t>CAPEX equipos x tasa depreciacion / produccion m3/mes</t>
        </is>
      </c>
    </row>
    <row r="19" ht="20" customHeight="1">
      <c r="A19" s="64" t="inlineStr">
        <is>
          <t xml:space="preserve">  Tolerancia aceptable: +/-$1.00 por m3 por redondeos al distribuir totales entre equipos</t>
        </is>
      </c>
    </row>
  </sheetData>
  <mergeCells count="2">
    <mergeCell ref="A19:G1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2026-06-11T13:59:43Z</dcterms:created>
  <dcterms:modified xsi:type="dcterms:W3CDTF">2026-06-11T13:59:43Z</dcterms:modified>
</cp:coreProperties>
</file>